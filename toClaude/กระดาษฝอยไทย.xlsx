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ms-office.chartex+xml" PartName="/xl/charts/chartEx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office.chartstyle+xml" PartName="/xl/charts/style1.xml"/>
  <Override ContentType="application/vnd.ms-office.chartcolorstyle+xml" PartName="/xl/charts/colors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💰 Transaction ขาย" sheetId="1" r:id="rId5"/>
    <sheet state="visible" name="💸 Transaction ซื้อ" sheetId="2" r:id="rId6"/>
    <sheet state="visible" name="📦 ชื่อสินค้า" sheetId="3" r:id="rId7"/>
    <sheet state="visible" name="ช่องทางการขาย" sheetId="4" r:id="rId8"/>
    <sheet state="visible" name="📊 รายงานสินค้าคงเหลือ" sheetId="5" r:id="rId9"/>
    <sheet state="visible" name="📊 Inventory Dashboard" sheetId="6" r:id="rId10"/>
    <sheet state="visible" name="📊 Product Search" sheetId="7" r:id="rId11"/>
    <sheet state="visible" name="📊 รายงานสินค้าที่ไม่เคลื่อนไหว" sheetId="8" r:id="rId12"/>
    <sheet state="visible" name="📊 Dashboard รายเดือน" sheetId="9" r:id="rId13"/>
    <sheet state="visible" name="📊 Dashboard รายปี" sheetId="10" r:id="rId14"/>
    <sheet state="visible" name="📊 Dashboard สต๊อกสินค้า" sheetId="11" r:id="rId15"/>
    <sheet state="visible" name="📊 รายงานขาย-วัน" sheetId="12" r:id="rId16"/>
    <sheet state="visible" name="ข้อมูล Inventory Dashboard" sheetId="13" r:id="rId17"/>
    <sheet state="visible" name="ข้อมูล Product Search Dashboard" sheetId="14" r:id="rId18"/>
    <sheet state="visible" name="ข้อมูล Dashboard รายเดือน" sheetId="15" r:id="rId19"/>
    <sheet state="visible" name="เป้าหมายยอดขาย" sheetId="16" r:id="rId20"/>
    <sheet state="visible" name="⚙️ Config" sheetId="17" r:id="rId21"/>
  </sheets>
  <definedNames/>
  <calcPr/>
</workbook>
</file>

<file path=xl/sharedStrings.xml><?xml version="1.0" encoding="utf-8"?>
<sst xmlns="http://schemas.openxmlformats.org/spreadsheetml/2006/main" count="450" uniqueCount="181">
  <si>
    <t>วันที่</t>
  </si>
  <si>
    <t>ชื่อสินค้า</t>
  </si>
  <si>
    <t>ราคา</t>
  </si>
  <si>
    <t>หน่วยนับ</t>
  </si>
  <si>
    <t>จำนวนที่ขาย</t>
  </si>
  <si>
    <t>มูลค่ารวม</t>
  </si>
  <si>
    <t>ต้นทุนเฉลี่ยรวม</t>
  </si>
  <si>
    <t>กำไรขั้นต้น</t>
  </si>
  <si>
    <t>%กำไรขั้นต้น</t>
  </si>
  <si>
    <t>ปีเดือน</t>
  </si>
  <si>
    <t>กลุ่มสินค้า</t>
  </si>
  <si>
    <t>Date</t>
  </si>
  <si>
    <t>หมายเหตุ</t>
  </si>
  <si>
    <t>831 สีโอรส</t>
  </si>
  <si>
    <t>โล</t>
  </si>
  <si>
    <t>881 เปลือกไม้ รุ่นหยัก</t>
  </si>
  <si>
    <t>881 เปลือกไม้</t>
  </si>
  <si>
    <t>521 ครีม</t>
  </si>
  <si>
    <t>853 ชมพูพาสเทล</t>
  </si>
  <si>
    <t>860 ม่วงอ่อน</t>
  </si>
  <si>
    <t>862 ฟ้า PT อ่อน</t>
  </si>
  <si>
    <t>510 ขาวธรรมชาติ</t>
  </si>
  <si>
    <t>522 เหลืองอ่อน</t>
  </si>
  <si>
    <t>552 ชมพูเข้ม</t>
  </si>
  <si>
    <t>561 ฟ้าเข้ม</t>
  </si>
  <si>
    <t>571 เขียวหยก</t>
  </si>
  <si>
    <t>882 กาแฟ</t>
  </si>
  <si>
    <t>ตัดได้จริง</t>
  </si>
  <si>
    <t>ต้นทุนอื่นๆ</t>
  </si>
  <si>
    <t>สั่งมา</t>
  </si>
  <si>
    <t>861 ฟ้าอ่อน</t>
  </si>
  <si>
    <t>551 ชมพูอ่อน</t>
  </si>
  <si>
    <t>591 เทาอ่อน</t>
  </si>
  <si>
    <t>111 เงินเงา</t>
  </si>
  <si>
    <t>112 เงินด้าน</t>
  </si>
  <si>
    <t>863 ฟ้าพาสเทลเข้ม</t>
  </si>
  <si>
    <t>ราคาซื้อ</t>
  </si>
  <si>
    <t>ราคาขาย</t>
  </si>
  <si>
    <t>จำนวนขั้นต่ำ</t>
  </si>
  <si>
    <t>Status</t>
  </si>
  <si>
    <t>รุ่นสีอ่อน</t>
  </si>
  <si>
    <t>Active</t>
  </si>
  <si>
    <t>รุ่นสีพิเศษ A</t>
  </si>
  <si>
    <t>รุ่นหยัก</t>
  </si>
  <si>
    <t>863 ฟ้า PT เข้ม</t>
  </si>
  <si>
    <t>511 กรีนรีด</t>
  </si>
  <si>
    <t>จำนวนสินค้าคงเหลือ</t>
  </si>
  <si>
    <t>สถานะการเติมสินค้า</t>
  </si>
  <si>
    <t>ต้นทุนเฉลี่ยต่อชิ้น</t>
  </si>
  <si>
    <t>ต้นทุนรวมปัจจุบัน</t>
  </si>
  <si>
    <t>อัตราขายเฉลี่ยต่อวัน</t>
  </si>
  <si>
    <t>จำนวนเดือนที่คาดว่าจะขายสินค้าหมด
(MOS)</t>
  </si>
  <si>
    <t>ยอดขายรวมของปีนี้</t>
  </si>
  <si>
    <t>Deadstock</t>
  </si>
  <si>
    <t>-</t>
  </si>
  <si>
    <t>เลือกปี</t>
  </si>
  <si>
    <t>เลือกเดือน</t>
  </si>
  <si>
    <t>เลือกทั้งหมด</t>
  </si>
  <si>
    <t>ประเภทการเคลื่อนไหว</t>
  </si>
  <si>
    <t>รายงานสินค้าที่ไม่เคลื่อนไหว</t>
  </si>
  <si>
    <t>เลือกประเภทสินค้า</t>
  </si>
  <si>
    <t>Slow Moving</t>
  </si>
  <si>
    <t>จำนวนสินค้าในประเภทต่างๆ</t>
  </si>
  <si>
    <t>Fast Moving</t>
  </si>
  <si>
    <t>Normal Moving</t>
  </si>
  <si>
    <t>Very Slow Moving</t>
  </si>
  <si>
    <t>ยอดขายรวม</t>
  </si>
  <si>
    <t>ภาพรวมกำไรขาดทุนประจำเดือน</t>
  </si>
  <si>
    <t>สรุปรายรับประจำเดือนตามกลุ่มสินค้า</t>
  </si>
  <si>
    <t>เดือนที่</t>
  </si>
  <si>
    <t>เดือน</t>
  </si>
  <si>
    <t>เป้าหมาย</t>
  </si>
  <si>
    <t>ยอดขาย</t>
  </si>
  <si>
    <t>%</t>
  </si>
  <si>
    <t>ต้นทุนสินค้า</t>
  </si>
  <si>
    <t>% ต้นทุนสินค้า</t>
  </si>
  <si>
    <t>กำไรขั้นต้นสะสม</t>
  </si>
  <si>
    <t>มูลค่าสินค้ารวม</t>
  </si>
  <si>
    <t>มูลค่าสต๊อกแยกตามสินค้า</t>
  </si>
  <si>
    <t>มูลค่าสต๊อกแยกตามประเภทสินค้า</t>
  </si>
  <si>
    <t>จำนวนสินค้าในแต่ละสถานะ</t>
  </si>
  <si>
    <t>สัดส่วนจำนวนสินค้า และ มูลค่าในแต่ละประเภท</t>
  </si>
  <si>
    <t>มูลค่าสต๊อกสูงสุด 10 อันดับ</t>
  </si>
  <si>
    <t>มูลค่าสต๊อกแยกตามกลุ่มสินค้า</t>
  </si>
  <si>
    <t>สถานะสินค้า</t>
  </si>
  <si>
    <t>ประเภทของสินค้า</t>
  </si>
  <si>
    <t>จำนวนสินค้า</t>
  </si>
  <si>
    <t>มูลค่าสินค้า</t>
  </si>
  <si>
    <t>OK</t>
  </si>
  <si>
    <t>ควรเติมทันที่</t>
  </si>
  <si>
    <t>สินค้าหมด</t>
  </si>
  <si>
    <t>จำนวนสินค้าทั้งหมด</t>
  </si>
  <si>
    <t>Sparkline</t>
  </si>
  <si>
    <t>Total SKU</t>
  </si>
  <si>
    <t>Inventory Value Overtime</t>
  </si>
  <si>
    <t>Inventory Turn-over</t>
  </si>
  <si>
    <t>Inventory to Sales Ratio (Current Month)</t>
  </si>
  <si>
    <t>Inventory to Sales Ratio (Current Year)</t>
  </si>
  <si>
    <t>Inventory Movement</t>
  </si>
  <si>
    <t>Top 10 Current Inventory Value</t>
  </si>
  <si>
    <t>Top 10 Sale Product of the year</t>
  </si>
  <si>
    <t>มูลค่าสต๊อกรวม</t>
  </si>
  <si>
    <t>Year</t>
  </si>
  <si>
    <t>Month</t>
  </si>
  <si>
    <t>Year-Month</t>
  </si>
  <si>
    <t>มูลค่าสต๊อก</t>
  </si>
  <si>
    <t>เปลี่ยนแปลง</t>
  </si>
  <si>
    <t>Total Purchase</t>
  </si>
  <si>
    <t>Total COGS Sale</t>
  </si>
  <si>
    <t>Inventory/Sale Ratio</t>
  </si>
  <si>
    <t>ยอดขายรวมทั้งปี</t>
  </si>
  <si>
    <t>Total COGS Sold this period</t>
  </si>
  <si>
    <t>Total Inventory Value</t>
  </si>
  <si>
    <t>Average Inventory Value</t>
  </si>
  <si>
    <t>Purchase</t>
  </si>
  <si>
    <t>มูลค่าสต๊อก/ยอดขาย</t>
  </si>
  <si>
    <t>Current Selected Period</t>
  </si>
  <si>
    <t>Total Sales</t>
  </si>
  <si>
    <t>Total Sale</t>
  </si>
  <si>
    <t>COGS Sale</t>
  </si>
  <si>
    <t>มูลค่าสต๊อกเฉลี่ยทั้งปี
จนถึงปัจจุบัน</t>
  </si>
  <si>
    <t>Previous Period</t>
  </si>
  <si>
    <t>Ratio</t>
  </si>
  <si>
    <t>Total</t>
  </si>
  <si>
    <t>Inventory Value of Current Period</t>
  </si>
  <si>
    <t>Inventory Value of Previous Period</t>
  </si>
  <si>
    <t>Inventory Turnover</t>
  </si>
  <si>
    <t>Avg Inventory Days of Supply (Year)</t>
  </si>
  <si>
    <t>Total Day until selected period</t>
  </si>
  <si>
    <t>Total COGS Sale until selected period</t>
  </si>
  <si>
    <t>Avg COGS Sale / Day</t>
  </si>
  <si>
    <t>Inventory Days of Supply (Until Select Period)</t>
  </si>
  <si>
    <t>จำนวน SKU ที่เลือก</t>
  </si>
  <si>
    <t>ยอดขายรวมปีนี้</t>
  </si>
  <si>
    <t>สต๊อก / ยอดขาย</t>
  </si>
  <si>
    <t>ข้อมูลประจำเดือน</t>
  </si>
  <si>
    <t>ยอดขายประจำเดือน</t>
  </si>
  <si>
    <t>เป้าหมายรายเดือน</t>
  </si>
  <si>
    <t>กลุ่มรายรับ</t>
  </si>
  <si>
    <t>กำไรขั้นต้น%</t>
  </si>
  <si>
    <t>Target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</si>
  <si>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</si>
  <si>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</si>
  <si>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</si>
  <si>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</si>
  <si>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</si>
  <si>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</si>
  <si>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</si>
  <si>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</si>
  <si>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</si>
  <si>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</si>
  <si>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</si>
  <si>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</si>
  <si>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มกราคม</t>
  </si>
  <si>
    <t>ม.ค.</t>
  </si>
  <si>
    <t>วันนี้วันที่</t>
  </si>
  <si>
    <t>กุมภาพันธ์</t>
  </si>
  <si>
    <t>ก.พ.</t>
  </si>
  <si>
    <t>Daily Requirement Period (วัน)</t>
  </si>
  <si>
    <t>มีนาคม</t>
  </si>
  <si>
    <t>มี.ค.</t>
  </si>
  <si>
    <t>รุ่นปุยนุ่น</t>
  </si>
  <si>
    <t>เมษายน</t>
  </si>
  <si>
    <t>เม.ย.</t>
  </si>
  <si>
    <t>พฤษภาคม</t>
  </si>
  <si>
    <t>พ.ค.</t>
  </si>
  <si>
    <t>รุ่นสีพิเศษ B</t>
  </si>
  <si>
    <t>มิถุนายน</t>
  </si>
  <si>
    <t>มิ.ย.</t>
  </si>
  <si>
    <t>กรกฎาคม</t>
  </si>
  <si>
    <t>ก.ค.</t>
  </si>
  <si>
    <t>สิงหาคม</t>
  </si>
  <si>
    <t>ส.ค.</t>
  </si>
  <si>
    <t>กันยายน</t>
  </si>
  <si>
    <t>ก.ย.</t>
  </si>
  <si>
    <t>ตุลาคม</t>
  </si>
  <si>
    <t>ต.ค.</t>
  </si>
  <si>
    <t>พฤศจิกายน</t>
  </si>
  <si>
    <t>พ.ย.</t>
  </si>
  <si>
    <t>ธันวาคม</t>
  </si>
  <si>
    <t>ธ.ค.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</si>
</sst>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 &quot;d&quot;/&quot;mmm&quot;/&quot;yyyy"/>
    <numFmt numFmtId="165" formatCode="m/d/yyyy"/>
    <numFmt numFmtId="166" formatCode="&quot; &quot;d&quot;/&quot;mmm&quot;/&quot;yy"/>
    <numFmt numFmtId="167" formatCode="#,##0.000"/>
    <numFmt numFmtId="168" formatCode="d-mmm-yy"/>
    <numFmt numFmtId="169" formatCode="d&quot;/&quot;mmm&quot;/&quot;yyyy"/>
  </numFmts>
  <fonts count="24">
    <font>
      <sz val="10.0"/>
      <color rgb="FF000000"/>
      <name val="Arial"/>
      <scheme val="minor"/>
    </font>
    <font>
      <b/>
      <color theme="1"/>
      <name val="Noto Sans Thai"/>
    </font>
    <font>
      <color theme="1"/>
      <name val="Noto Sans Thai"/>
    </font>
    <font>
      <b/>
      <sz val="14.0"/>
      <color rgb="FF000000"/>
      <name val="&quot;Noto Sans Thai&quot;"/>
    </font>
    <font>
      <b/>
      <color rgb="FF424242"/>
      <name val="Noto Sans Thai"/>
    </font>
    <font>
      <b/>
      <sz val="18.0"/>
      <color rgb="FFFFFFFF"/>
      <name val="Noto Sans Thai"/>
    </font>
    <font>
      <b/>
      <sz val="24.0"/>
      <color rgb="FF424242"/>
      <name val="Noto Sans Thai"/>
    </font>
    <font>
      <b/>
      <color rgb="FFFFFFFF"/>
      <name val="Noto Sans Thai"/>
    </font>
    <font>
      <b/>
      <sz val="18.0"/>
      <color rgb="FF424242"/>
      <name val="Noto Sans Thai"/>
    </font>
    <font>
      <color rgb="FF424242"/>
      <name val="Noto Sans Thai"/>
    </font>
    <font>
      <color theme="1"/>
      <name val="&quot;Noto Sans Thai&quot;"/>
    </font>
    <font>
      <sz val="18.0"/>
      <color theme="1"/>
      <name val="Arial"/>
      <scheme val="minor"/>
    </font>
    <font>
      <color rgb="FF424242"/>
      <name val="&quot;docs-Noto Sans Thai&quot;"/>
    </font>
    <font>
      <color rgb="FFFFFFFF"/>
      <name val="Noto Sans Thai"/>
    </font>
    <font>
      <b/>
      <sz val="18.0"/>
      <color theme="1"/>
      <name val="Noto Sans Thai"/>
    </font>
    <font>
      <b/>
      <sz val="24.0"/>
      <color theme="1"/>
      <name val="Noto Sans Thai"/>
    </font>
    <font>
      <color theme="1"/>
      <name val="Arial"/>
      <scheme val="minor"/>
    </font>
    <font>
      <b/>
      <sz val="18.0"/>
      <color rgb="FF000000"/>
      <name val="Noto Sans Thai"/>
    </font>
    <font>
      <b/>
      <color rgb="FF000000"/>
      <name val="Noto Sans Thai"/>
    </font>
    <font>
      <sz val="11.0"/>
      <color rgb="FF000000"/>
      <name val="Noto Sans Thai"/>
    </font>
    <font>
      <color rgb="FF99DDCC"/>
      <name val="Noto Sans Thai"/>
    </font>
    <font>
      <color rgb="FF000000"/>
      <name val="Noto Sans Thai"/>
    </font>
    <font>
      <b/>
      <color theme="1"/>
      <name val="Verdana"/>
    </font>
    <font>
      <color theme="1"/>
      <name val="Verdana"/>
    </font>
  </fonts>
  <fills count="1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CFCFC"/>
        <bgColor rgb="FFFCFCFC"/>
      </patternFill>
    </fill>
    <fill>
      <patternFill patternType="solid">
        <fgColor rgb="FF99DDCC"/>
        <bgColor rgb="FF99DDCC"/>
      </patternFill>
    </fill>
    <fill>
      <patternFill patternType="solid">
        <fgColor rgb="FFF6F6F6"/>
        <bgColor rgb="FFF6F6F6"/>
      </patternFill>
    </fill>
    <fill>
      <patternFill patternType="solid">
        <fgColor rgb="FFBAD7DF"/>
        <bgColor rgb="FFBAD7DF"/>
      </patternFill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  <fill>
      <patternFill patternType="solid">
        <fgColor rgb="FFE8F0FE"/>
        <bgColor rgb="FFE8F0FE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434343"/>
        <bgColor rgb="FF434343"/>
      </patternFill>
    </fill>
  </fills>
  <borders count="14">
    <border/>
    <border>
      <left style="thin">
        <color rgb="FF0B6374"/>
      </left>
      <top style="thin">
        <color rgb="FF0B6374"/>
      </top>
    </border>
    <border>
      <right style="thin">
        <color rgb="FF0B6374"/>
      </right>
      <top style="thin">
        <color rgb="FF0B6374"/>
      </top>
    </border>
    <border>
      <left style="thin">
        <color rgb="FF0B6374"/>
      </left>
      <bottom style="thin">
        <color rgb="FF0B6374"/>
      </bottom>
    </border>
    <border>
      <right style="thin">
        <color rgb="FF0B6374"/>
      </right>
      <bottom style="thin">
        <color rgb="FF0B6374"/>
      </bottom>
    </border>
    <border>
      <left style="thin">
        <color rgb="FF0B6374"/>
      </left>
      <top style="thin">
        <color rgb="FF0B6374"/>
      </top>
      <bottom style="thin">
        <color rgb="FF0B6374"/>
      </bottom>
    </border>
    <border>
      <right style="thin">
        <color rgb="FF0B6374"/>
      </right>
      <top style="thin">
        <color rgb="FF0B6374"/>
      </top>
      <bottom style="thin">
        <color rgb="FF0B6374"/>
      </bottom>
    </border>
    <border>
      <left style="dotted">
        <color rgb="FF0B6374"/>
      </left>
      <right style="dotted">
        <color rgb="FF0B6374"/>
      </right>
      <top style="thin">
        <color rgb="FF000000"/>
      </top>
      <bottom style="dotted">
        <color rgb="FF0B6374"/>
      </bottom>
    </border>
    <border>
      <left style="dotted">
        <color rgb="FF0B6374"/>
      </left>
      <right style="dotted">
        <color rgb="FF0B6374"/>
      </right>
      <top style="dotted">
        <color rgb="FF0B6374"/>
      </top>
      <bottom style="double">
        <color rgb="FF000000"/>
      </bottom>
    </border>
    <border>
      <left style="dotted">
        <color rgb="FF0B6374"/>
      </left>
      <right style="dotted">
        <color rgb="FF0B6374"/>
      </right>
      <bottom style="dotted">
        <color rgb="FF0B6374"/>
      </bottom>
    </border>
    <border>
      <left style="dotted">
        <color rgb="FF0B6374"/>
      </left>
      <right style="dotted">
        <color rgb="FF0B6374"/>
      </right>
      <top style="dotted">
        <color rgb="FF0B6374"/>
      </top>
      <bottom style="dotted">
        <color rgb="FF0B6374"/>
      </bottom>
    </border>
    <border>
      <left style="dotted">
        <color rgb="FF0B6374"/>
      </left>
      <right style="dotted">
        <color rgb="FF0B6374"/>
      </right>
      <top style="dotted">
        <color rgb="FF0B6374"/>
      </top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B6374"/>
      </left>
      <right style="dotted">
        <color rgb="FF0B6374"/>
      </right>
      <top style="dotted">
        <color rgb="FF0B6374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4" xfId="0" applyAlignment="1" applyFont="1" applyNumberFormat="1">
      <alignment horizontal="center" readingOrder="0"/>
    </xf>
    <xf borderId="0" fillId="2" fontId="1" numFmtId="10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2" numFmtId="4" xfId="0" applyAlignment="1" applyFont="1" applyNumberFormat="1">
      <alignment horizontal="center"/>
    </xf>
    <xf borderId="0" fillId="4" fontId="2" numFmtId="10" xfId="0" applyAlignment="1" applyFont="1" applyNumberFormat="1">
      <alignment horizontal="center"/>
    </xf>
    <xf borderId="0" fillId="4" fontId="2" numFmtId="0" xfId="0" applyAlignment="1" applyFont="1">
      <alignment horizontal="center"/>
    </xf>
    <xf borderId="0" fillId="4" fontId="2" numFmtId="164" xfId="0" applyAlignment="1" applyFont="1" applyNumberFormat="1">
      <alignment horizontal="center"/>
    </xf>
    <xf borderId="0" fillId="5" fontId="2" numFmtId="0" xfId="0" applyAlignment="1" applyFill="1" applyFont="1">
      <alignment horizontal="center"/>
    </xf>
    <xf borderId="0" fillId="3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2" fontId="1" numFmtId="4" xfId="0" applyAlignment="1" applyFont="1" applyNumberFormat="1">
      <alignment horizontal="center" readingOrder="0" shrinkToFit="0" wrapText="1"/>
    </xf>
    <xf borderId="0" fillId="2" fontId="1" numFmtId="3" xfId="0" applyAlignment="1" applyFont="1" applyNumberFormat="1">
      <alignment horizontal="center" readingOrder="0" shrinkToFit="0" wrapText="1"/>
    </xf>
    <xf borderId="0" fillId="6" fontId="2" numFmtId="0" xfId="0" applyAlignment="1" applyFill="1" applyFont="1">
      <alignment horizontal="center"/>
    </xf>
    <xf borderId="0" fillId="6" fontId="2" numFmtId="0" xfId="0" applyAlignment="1" applyFont="1">
      <alignment horizontal="center" readingOrder="0"/>
    </xf>
    <xf borderId="0" fillId="6" fontId="2" numFmtId="4" xfId="0" applyAlignment="1" applyFont="1" applyNumberFormat="1">
      <alignment horizontal="center"/>
    </xf>
    <xf borderId="0" fillId="6" fontId="2" numFmtId="166" xfId="0" applyAlignment="1" applyFont="1" applyNumberFormat="1">
      <alignment horizontal="center"/>
    </xf>
    <xf borderId="0" fillId="6" fontId="2" numFmtId="3" xfId="0" applyAlignment="1" applyFont="1" applyNumberFormat="1">
      <alignment horizontal="center"/>
    </xf>
    <xf borderId="0" fillId="6" fontId="2" numFmtId="3" xfId="0" applyAlignment="1" applyFont="1" applyNumberFormat="1">
      <alignment horizontal="center" readingOrder="0"/>
    </xf>
    <xf borderId="0" fillId="6" fontId="2" numFmtId="167" xfId="0" applyAlignment="1" applyFont="1" applyNumberFormat="1">
      <alignment horizontal="center" readingOrder="0"/>
    </xf>
    <xf borderId="0" fillId="7" fontId="2" numFmtId="0" xfId="0" applyFill="1" applyFont="1"/>
    <xf borderId="0" fillId="8" fontId="1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9" fontId="1" numFmtId="0" xfId="0" applyAlignment="1" applyFont="1">
      <alignment horizontal="right" readingOrder="0"/>
    </xf>
    <xf borderId="0" fillId="7" fontId="2" numFmtId="0" xfId="0" applyAlignment="1" applyFont="1">
      <alignment horizontal="right"/>
    </xf>
    <xf borderId="0" fillId="10" fontId="4" numFmtId="0" xfId="0" applyAlignment="1" applyFill="1" applyFont="1">
      <alignment horizontal="center" shrinkToFit="0" wrapText="1"/>
    </xf>
    <xf borderId="0" fillId="9" fontId="2" numFmtId="0" xfId="0" applyAlignment="1" applyFont="1">
      <alignment horizontal="left"/>
    </xf>
    <xf borderId="0" fillId="9" fontId="2" numFmtId="0" xfId="0" applyAlignment="1" applyFont="1">
      <alignment horizontal="center"/>
    </xf>
    <xf borderId="0" fillId="9" fontId="2" numFmtId="4" xfId="0" applyAlignment="1" applyFont="1" applyNumberFormat="1">
      <alignment horizontal="center"/>
    </xf>
    <xf borderId="0" fillId="9" fontId="2" numFmtId="166" xfId="0" applyAlignment="1" applyFont="1" applyNumberFormat="1">
      <alignment horizontal="center"/>
    </xf>
    <xf borderId="0" fillId="9" fontId="2" numFmtId="3" xfId="0" applyAlignment="1" applyFont="1" applyNumberFormat="1">
      <alignment horizontal="center"/>
    </xf>
    <xf borderId="0" fillId="9" fontId="2" numFmtId="167" xfId="0" applyAlignment="1" applyFont="1" applyNumberFormat="1">
      <alignment horizontal="center"/>
    </xf>
    <xf borderId="0" fillId="10" fontId="5" numFmtId="0" xfId="0" applyAlignment="1" applyFont="1">
      <alignment horizontal="left" readingOrder="0"/>
    </xf>
    <xf borderId="0" fillId="10" fontId="6" numFmtId="0" xfId="0" applyAlignment="1" applyFont="1">
      <alignment horizontal="center" readingOrder="0"/>
    </xf>
    <xf borderId="0" fillId="10" fontId="2" numFmtId="0" xfId="0" applyAlignment="1" applyFont="1">
      <alignment horizontal="center"/>
    </xf>
    <xf borderId="0" fillId="10" fontId="2" numFmtId="0" xfId="0" applyFont="1"/>
    <xf borderId="0" fillId="0" fontId="2" numFmtId="0" xfId="0" applyFont="1"/>
    <xf borderId="0" fillId="5" fontId="1" numFmtId="0" xfId="0" applyAlignment="1" applyFont="1">
      <alignment horizontal="center" readingOrder="0"/>
    </xf>
    <xf borderId="0" fillId="5" fontId="2" numFmtId="0" xfId="0" applyFont="1"/>
    <xf borderId="0" fillId="0" fontId="1" numFmtId="0" xfId="0" applyAlignment="1" applyFont="1">
      <alignment readingOrder="0" shrinkToFit="0" wrapText="1"/>
    </xf>
    <xf borderId="0" fillId="11" fontId="7" numFmtId="0" xfId="0" applyAlignment="1" applyFill="1" applyFont="1">
      <alignment horizontal="center" shrinkToFit="0" wrapText="1"/>
    </xf>
    <xf borderId="0" fillId="11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10" fontId="8" numFmtId="0" xfId="0" applyAlignment="1" applyFont="1">
      <alignment horizontal="left" readingOrder="0"/>
    </xf>
    <xf borderId="0" fillId="10" fontId="6" numFmtId="0" xfId="0" applyAlignment="1" applyFont="1">
      <alignment readingOrder="0"/>
    </xf>
    <xf borderId="0" fillId="10" fontId="4" numFmtId="0" xfId="0" applyAlignment="1" applyFont="1">
      <alignment horizontal="center" readingOrder="0"/>
    </xf>
    <xf borderId="0" fillId="10" fontId="9" numFmtId="0" xfId="0" applyFont="1"/>
    <xf borderId="1" fillId="0" fontId="10" numFmtId="0" xfId="0" applyAlignment="1" applyBorder="1" applyFont="1">
      <alignment vertical="bottom"/>
    </xf>
    <xf borderId="2" fillId="0" fontId="10" numFmtId="0" xfId="0" applyAlignment="1" applyBorder="1" applyFont="1">
      <alignment horizontal="right" readingOrder="0" vertical="bottom"/>
    </xf>
    <xf borderId="0" fillId="0" fontId="11" numFmtId="4" xfId="0" applyFont="1" applyNumberFormat="1"/>
    <xf borderId="3" fillId="0" fontId="10" numFmtId="0" xfId="0" applyAlignment="1" applyBorder="1" applyFont="1">
      <alignment vertical="bottom"/>
    </xf>
    <xf borderId="4" fillId="0" fontId="10" numFmtId="0" xfId="0" applyAlignment="1" applyBorder="1" applyFont="1">
      <alignment horizontal="right" readingOrder="0" vertical="bottom"/>
    </xf>
    <xf borderId="0" fillId="5" fontId="12" numFmtId="0" xfId="0" applyAlignment="1" applyFont="1">
      <alignment horizontal="left" readingOrder="0"/>
    </xf>
    <xf borderId="0" fillId="10" fontId="9" numFmtId="0" xfId="0" applyAlignment="1" applyFont="1">
      <alignment horizontal="center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7" fillId="12" fontId="13" numFmtId="0" xfId="0" applyAlignment="1" applyBorder="1" applyFill="1" applyFont="1">
      <alignment readingOrder="0"/>
    </xf>
    <xf borderId="7" fillId="12" fontId="13" numFmtId="0" xfId="0" applyAlignment="1" applyBorder="1" applyFont="1">
      <alignment horizontal="center" readingOrder="0"/>
    </xf>
    <xf borderId="8" fillId="13" fontId="2" numFmtId="0" xfId="0" applyAlignment="1" applyBorder="1" applyFill="1" applyFont="1">
      <alignment readingOrder="0"/>
    </xf>
    <xf borderId="8" fillId="13" fontId="2" numFmtId="0" xfId="0" applyAlignment="1" applyBorder="1" applyFont="1">
      <alignment horizontal="center"/>
    </xf>
    <xf borderId="9" fillId="0" fontId="2" numFmtId="0" xfId="0" applyAlignment="1" applyBorder="1" applyFont="1">
      <alignment readingOrder="0"/>
    </xf>
    <xf borderId="9" fillId="0" fontId="2" numFmtId="3" xfId="0" applyAlignment="1" applyBorder="1" applyFont="1" applyNumberFormat="1">
      <alignment horizontal="center"/>
    </xf>
    <xf borderId="10" fillId="0" fontId="2" numFmtId="0" xfId="0" applyAlignment="1" applyBorder="1" applyFont="1">
      <alignment readingOrder="0"/>
    </xf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readingOrder="0"/>
    </xf>
    <xf borderId="11" fillId="0" fontId="2" numFmtId="10" xfId="0" applyAlignment="1" applyBorder="1" applyFont="1" applyNumberFormat="1">
      <alignment horizontal="center"/>
    </xf>
    <xf borderId="12" fillId="0" fontId="2" numFmtId="0" xfId="0" applyAlignment="1" applyBorder="1" applyFont="1">
      <alignment readingOrder="0"/>
    </xf>
    <xf borderId="12" fillId="0" fontId="2" numFmtId="2" xfId="0" applyAlignment="1" applyBorder="1" applyFont="1" applyNumberFormat="1">
      <alignment horizontal="center"/>
    </xf>
    <xf borderId="13" fillId="0" fontId="2" numFmtId="0" xfId="0" applyAlignment="1" applyBorder="1" applyFont="1">
      <alignment readingOrder="0"/>
    </xf>
    <xf borderId="13" fillId="0" fontId="2" numFmtId="10" xfId="0" applyAlignment="1" applyBorder="1" applyFont="1" applyNumberFormat="1">
      <alignment horizontal="center"/>
    </xf>
    <xf borderId="9" fillId="0" fontId="2" numFmtId="2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13" fillId="0" fontId="2" numFmtId="2" xfId="0" applyAlignment="1" applyBorder="1" applyFont="1" applyNumberFormat="1">
      <alignment horizontal="center"/>
    </xf>
    <xf borderId="13" fillId="0" fontId="2" numFmtId="0" xfId="0" applyAlignment="1" applyBorder="1" applyFont="1">
      <alignment horizontal="center"/>
    </xf>
    <xf borderId="0" fillId="10" fontId="14" numFmtId="0" xfId="0" applyAlignment="1" applyFont="1">
      <alignment horizontal="left" readingOrder="0"/>
    </xf>
    <xf borderId="0" fillId="10" fontId="15" numFmtId="0" xfId="0" applyAlignment="1" applyFont="1">
      <alignment readingOrder="0"/>
    </xf>
    <xf borderId="0" fillId="10" fontId="1" numFmtId="0" xfId="0" applyAlignment="1" applyFont="1">
      <alignment horizontal="center" readingOrder="0"/>
    </xf>
    <xf borderId="0" fillId="0" fontId="2" numFmtId="4" xfId="0" applyFont="1" applyNumberFormat="1"/>
    <xf borderId="0" fillId="13" fontId="1" numFmtId="0" xfId="0" applyAlignment="1" applyFont="1">
      <alignment readingOrder="0"/>
    </xf>
    <xf borderId="0" fillId="13" fontId="2" numFmtId="0" xfId="0" applyFont="1"/>
    <xf borderId="0" fillId="13" fontId="16" numFmtId="0" xfId="0" applyFont="1"/>
    <xf borderId="0" fillId="13" fontId="1" numFmtId="0" xfId="0" applyAlignment="1" applyFont="1">
      <alignment horizontal="center" readingOrder="0"/>
    </xf>
    <xf borderId="0" fillId="2" fontId="2" numFmtId="0" xfId="0" applyFont="1"/>
    <xf borderId="0" fillId="0" fontId="2" numFmtId="4" xfId="0" applyAlignment="1" applyFont="1" applyNumberFormat="1">
      <alignment horizontal="center"/>
    </xf>
    <xf borderId="0" fillId="3" fontId="2" numFmtId="0" xfId="0" applyFont="1"/>
    <xf borderId="0" fillId="14" fontId="2" numFmtId="0" xfId="0" applyFill="1" applyFont="1"/>
    <xf borderId="0" fillId="4" fontId="1" numFmtId="0" xfId="0" applyAlignment="1" applyFont="1">
      <alignment readingOrder="0"/>
    </xf>
    <xf borderId="0" fillId="4" fontId="2" numFmtId="0" xfId="0" applyFont="1"/>
    <xf borderId="0" fillId="10" fontId="17" numFmtId="0" xfId="0" applyAlignment="1" applyFont="1">
      <alignment horizontal="left" readingOrder="0"/>
    </xf>
    <xf borderId="0" fillId="10" fontId="18" numFmtId="0" xfId="0" applyAlignment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0" fillId="0" fontId="19" numFmtId="168" xfId="0" applyAlignment="1" applyFont="1" applyNumberFormat="1">
      <alignment horizontal="center" vertical="bottom"/>
    </xf>
    <xf borderId="0" fillId="0" fontId="20" numFmtId="0" xfId="0" applyFont="1"/>
    <xf borderId="0" fillId="0" fontId="21" numFmtId="0" xfId="0" applyAlignment="1" applyFont="1">
      <alignment horizontal="center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center"/>
    </xf>
    <xf borderId="0" fillId="0" fontId="16" numFmtId="49" xfId="0" applyFont="1" applyNumberFormat="1"/>
    <xf borderId="0" fillId="0" fontId="16" numFmtId="4" xfId="0" applyAlignment="1" applyFont="1" applyNumberFormat="1">
      <alignment horizontal="center"/>
    </xf>
    <xf borderId="0" fillId="0" fontId="16" numFmtId="0" xfId="0" applyAlignment="1" applyFont="1">
      <alignment horizontal="center" readingOrder="0"/>
    </xf>
    <xf borderId="0" fillId="0" fontId="16" numFmtId="49" xfId="0" applyAlignment="1" applyFont="1" applyNumberFormat="1">
      <alignment horizontal="center" readingOrder="0"/>
    </xf>
    <xf borderId="0" fillId="0" fontId="16" numFmtId="0" xfId="0" applyFont="1"/>
    <xf borderId="0" fillId="0" fontId="16" numFmtId="4" xfId="0" applyFont="1" applyNumberFormat="1"/>
    <xf borderId="0" fillId="0" fontId="16" numFmtId="2" xfId="0" applyAlignment="1" applyFont="1" applyNumberFormat="1">
      <alignment horizontal="center"/>
    </xf>
    <xf borderId="0" fillId="0" fontId="16" numFmtId="169" xfId="0" applyFont="1" applyNumberFormat="1"/>
    <xf borderId="0" fillId="0" fontId="16" numFmtId="167" xfId="0" applyFont="1" applyNumberFormat="1"/>
    <xf borderId="0" fillId="0" fontId="16" numFmtId="2" xfId="0" applyFont="1" applyNumberFormat="1"/>
    <xf borderId="0" fillId="0" fontId="16" numFmtId="4" xfId="0" applyAlignment="1" applyFont="1" applyNumberFormat="1">
      <alignment readingOrder="0"/>
    </xf>
    <xf borderId="0" fillId="16" fontId="2" numFmtId="0" xfId="0" applyFill="1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readingOrder="0"/>
    </xf>
    <xf borderId="0" fillId="0" fontId="2" numFmtId="3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10" xfId="0" applyFont="1" applyNumberFormat="1"/>
    <xf borderId="0" fillId="0" fontId="2" numFmtId="10" xfId="0" applyAlignment="1" applyFont="1" applyNumberFormat="1">
      <alignment horizontal="right" vertical="bottom"/>
    </xf>
    <xf borderId="0" fillId="0" fontId="2" numFmtId="0" xfId="0" applyAlignment="1" applyFont="1">
      <alignment horizontal="right"/>
    </xf>
    <xf borderId="0" fillId="0" fontId="22" numFmtId="0" xfId="0" applyAlignment="1" applyFont="1">
      <alignment horizontal="center" vertical="bottom"/>
    </xf>
    <xf borderId="0" fillId="0" fontId="22" numFmtId="3" xfId="0" applyAlignment="1" applyFont="1" applyNumberFormat="1">
      <alignment horizontal="center" vertical="bottom"/>
    </xf>
    <xf quotePrefix="1" borderId="0" fillId="0" fontId="23" numFmtId="0" xfId="0" applyAlignment="1" applyFont="1">
      <alignment horizontal="center" readingOrder="0" vertical="bottom"/>
    </xf>
    <xf borderId="0" fillId="0" fontId="16" numFmtId="3" xfId="0" applyAlignment="1" applyFont="1" applyNumberFormat="1">
      <alignment horizontal="center" readingOrder="0"/>
    </xf>
    <xf borderId="0" fillId="0" fontId="23" numFmtId="0" xfId="0" applyAlignment="1" applyFont="1">
      <alignment horizontal="center" readingOrder="0" vertical="bottom"/>
    </xf>
    <xf borderId="0" fillId="0" fontId="16" numFmtId="3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23" numFmtId="0" xfId="0" applyAlignment="1" applyFont="1">
      <alignment horizontal="right" vertical="bottom"/>
    </xf>
    <xf borderId="0" fillId="0" fontId="23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166" xfId="0" applyAlignment="1" applyFont="1" applyNumberForma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8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1C26E"/>
          <bgColor rgb="FFE1C26E"/>
        </patternFill>
      </fill>
      <border/>
    </dxf>
    <dxf>
      <font>
        <color rgb="FFFFFFFF"/>
      </font>
      <fill>
        <patternFill patternType="solid">
          <fgColor rgb="FF424242"/>
          <bgColor rgb="FF42424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'ข้อมูล Inventory Dashboard'!$I$2</c:f>
            </c:strRef>
          </c:tx>
          <c:spPr>
            <a:solidFill>
              <a:srgbClr val="99DDCC"/>
            </a:solidFill>
            <a:ln cmpd="sng">
              <a:solidFill>
                <a:srgbClr val="000000"/>
              </a:solidFill>
            </a:ln>
          </c:spPr>
          <c:cat>
            <c:strRef>
              <c:f>'ข้อมูล Inventory Dashboard'!$H$3:$H$14</c:f>
            </c:strRef>
          </c:cat>
          <c:val>
            <c:numRef>
              <c:f>'ข้อมูล Inventory Dashboard'!$I$3:$I$14</c:f>
              <c:numCache/>
            </c:numRef>
          </c:val>
        </c:ser>
        <c:axId val="980832415"/>
        <c:axId val="480910640"/>
      </c:barChart>
      <c:lineChart>
        <c:varyColors val="0"/>
        <c:ser>
          <c:idx val="1"/>
          <c:order val="1"/>
          <c:tx>
            <c:strRef>
              <c:f>'ข้อมูล Inventory Dashboard'!$J$2</c:f>
            </c:strRef>
          </c:tx>
          <c:spPr>
            <a:ln cmpd="sng">
              <a:solidFill>
                <a:srgbClr val="F4C7C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'ข้อมูล Inventory Dashboard'!$H$3:$H$14</c:f>
            </c:strRef>
          </c:cat>
          <c:val>
            <c:numRef>
              <c:f>'ข้อมูล Inventory Dashboard'!$J$3:$J$14</c:f>
              <c:numCache/>
            </c:numRef>
          </c:val>
          <c:smooth val="1"/>
        </c:ser>
        <c:axId val="980832415"/>
        <c:axId val="480910640"/>
      </c:lineChart>
      <c:catAx>
        <c:axId val="980832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480910640"/>
      </c:catAx>
      <c:valAx>
        <c:axId val="480910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9808324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'ข้อมูล Inventory Dashboard'!$AD$3</c:f>
            </c:strRef>
          </c:tx>
          <c:spPr>
            <a:solidFill>
              <a:srgbClr val="99DD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'ข้อมูล Inventory Dashboard'!$AB$4:$AB$13</c:f>
            </c:strRef>
          </c:cat>
          <c:val>
            <c:numRef>
              <c:f>'ข้อมูล Inventory Dashboard'!$AD$4:$AD$13</c:f>
              <c:numCache/>
            </c:numRef>
          </c:val>
        </c:ser>
        <c:overlap val="100"/>
        <c:axId val="6406264"/>
        <c:axId val="1679314849"/>
      </c:barChart>
      <c:catAx>
        <c:axId val="64062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314849"/>
      </c:catAx>
      <c:valAx>
        <c:axId val="16793148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62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'ข้อมูล Inventory Dashboard'!$I$2</c:f>
            </c:strRef>
          </c:tx>
          <c:spPr>
            <a:solidFill>
              <a:srgbClr val="99DDCC"/>
            </a:solidFill>
            <a:ln cmpd="sng">
              <a:solidFill>
                <a:srgbClr val="000000"/>
              </a:solidFill>
            </a:ln>
          </c:spPr>
          <c:cat>
            <c:strRef>
              <c:f>'ข้อมูล Inventory Dashboard'!$H$3:$H$14</c:f>
            </c:strRef>
          </c:cat>
          <c:val>
            <c:numRef>
              <c:f>'ข้อมูล Inventory Dashboard'!$I$3:$I$14</c:f>
              <c:numCache/>
            </c:numRef>
          </c:val>
        </c:ser>
        <c:ser>
          <c:idx val="1"/>
          <c:order val="1"/>
          <c:tx>
            <c:strRef>
              <c:f>'ข้อมูล Inventory Dashboard'!$M$2</c:f>
            </c:strRef>
          </c:tx>
          <c:spPr>
            <a:solidFill>
              <a:srgbClr val="F4C7C3"/>
            </a:solidFill>
            <a:ln cmpd="sng">
              <a:solidFill>
                <a:srgbClr val="000000"/>
              </a:solidFill>
            </a:ln>
          </c:spPr>
          <c:cat>
            <c:strRef>
              <c:f>'ข้อมูล Inventory Dashboard'!$H$3:$H$14</c:f>
            </c:strRef>
          </c:cat>
          <c:val>
            <c:numRef>
              <c:f>'ข้อมูล Inventory Dashboard'!$M$3:$M$14</c:f>
              <c:numCache/>
            </c:numRef>
          </c:val>
        </c:ser>
        <c:axId val="1066174540"/>
        <c:axId val="1400539679"/>
      </c:barChart>
      <c:catAx>
        <c:axId val="1066174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400539679"/>
      </c:catAx>
      <c:valAx>
        <c:axId val="1400539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066174540"/>
      </c:valAx>
      <c:lineChart>
        <c:varyColors val="0"/>
        <c:ser>
          <c:idx val="2"/>
          <c:order val="2"/>
          <c:tx>
            <c:strRef>
              <c:f>'ข้อมูล Inventory Dashboard'!$N$2</c:f>
            </c:strRef>
          </c:tx>
          <c:spPr>
            <a:ln cmpd="sng">
              <a:solidFill>
                <a:srgbClr val="BAD7D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'ข้อมูล Inventory Dashboard'!$H$3:$H$14</c:f>
            </c:strRef>
          </c:cat>
          <c:val>
            <c:numRef>
              <c:f>'ข้อมูล Inventory Dashboard'!$N$3:$N$14</c:f>
              <c:numCache/>
            </c:numRef>
          </c:val>
          <c:smooth val="0"/>
        </c:ser>
        <c:axId val="1301674755"/>
        <c:axId val="1513143332"/>
      </c:lineChart>
      <c:catAx>
        <c:axId val="13016747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513143332"/>
      </c:catAx>
      <c:valAx>
        <c:axId val="151314333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3016747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'ข้อมูล Inventory Dashboard'!$AI$3</c:f>
            </c:strRef>
          </c:tx>
          <c:spPr>
            <a:solidFill>
              <a:srgbClr val="99DD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'ข้อมูล Inventory Dashboard'!$AH$4:$AH$13</c:f>
            </c:strRef>
          </c:cat>
          <c:val>
            <c:numRef>
              <c:f>'ข้อมูล Inventory Dashboard'!$AI$4:$AI$13</c:f>
              <c:numCache/>
            </c:numRef>
          </c:val>
        </c:ser>
        <c:overlap val="100"/>
        <c:axId val="1908487561"/>
        <c:axId val="1157676488"/>
      </c:barChart>
      <c:catAx>
        <c:axId val="19084875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676488"/>
      </c:catAx>
      <c:valAx>
        <c:axId val="11576764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84875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8F0FE"/>
              </a:solidFill>
            </c:spPr>
          </c:dPt>
          <c:dPt>
            <c:idx val="2"/>
            <c:spPr>
              <a:solidFill>
                <a:srgbClr val="FCE8B2"/>
              </a:solidFill>
            </c:spPr>
          </c:dPt>
          <c:dPt>
            <c:idx val="3"/>
            <c:spPr>
              <a:solidFill>
                <a:srgbClr val="E1C26E"/>
              </a:solidFill>
            </c:spPr>
          </c:dPt>
          <c:dPt>
            <c:idx val="4"/>
            <c:spPr>
              <a:solidFill>
                <a:srgbClr val="42424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'📊 รายงานสินค้าที่ไม่เคลื่อนไหว'!$C$15:$C$19</c:f>
            </c:strRef>
          </c:cat>
          <c:val>
            <c:numRef>
              <c:f>'📊 รายงานสินค้าที่ไม่เคลื่อนไหว'!$D$15:$D$19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DDCC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'ข้อมูล Dashboard รายเดือน'!$J$2:$J$500</c:f>
            </c:strRef>
          </c:cat>
          <c:val>
            <c:numRef>
              <c:f>'ข้อมูล Dashboard รายเดือน'!$K$2:$K$500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'📊 Dashboard รายปี'!$D$14</c:f>
            </c:strRef>
          </c:tx>
          <c:spPr>
            <a:solidFill>
              <a:srgbClr val="99DDCC"/>
            </a:solidFill>
            <a:ln cmpd="sng">
              <a:solidFill>
                <a:srgbClr val="000000"/>
              </a:solidFill>
            </a:ln>
          </c:spPr>
          <c:cat>
            <c:strRef>
              <c:f>'📊 Dashboard รายปี'!$E$12:$P$12</c:f>
            </c:strRef>
          </c:cat>
          <c:val>
            <c:numRef>
              <c:f>'📊 Dashboard รายปี'!$E$14:$P$14</c:f>
              <c:numCache/>
            </c:numRef>
          </c:val>
        </c:ser>
        <c:ser>
          <c:idx val="1"/>
          <c:order val="1"/>
          <c:tx>
            <c:strRef>
              <c:f>'📊 Dashboard รายปี'!$D$16</c:f>
            </c:strRef>
          </c:tx>
          <c:spPr>
            <a:solidFill>
              <a:srgbClr val="F4C7C3"/>
            </a:solidFill>
            <a:ln cmpd="sng">
              <a:solidFill>
                <a:srgbClr val="000000"/>
              </a:solidFill>
            </a:ln>
          </c:spPr>
          <c:cat>
            <c:strRef>
              <c:f>'📊 Dashboard รายปี'!$E$12:$P$12</c:f>
            </c:strRef>
          </c:cat>
          <c:val>
            <c:numRef>
              <c:f>'📊 Dashboard รายปี'!$E$16:$P$16</c:f>
              <c:numCache/>
            </c:numRef>
          </c:val>
        </c:ser>
        <c:axId val="355249742"/>
        <c:axId val="1620859849"/>
      </c:barChart>
      <c:catAx>
        <c:axId val="355249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859849"/>
      </c:catAx>
      <c:valAx>
        <c:axId val="1620859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249742"/>
      </c:valAx>
      <c:lineChart>
        <c:varyColors val="0"/>
        <c:ser>
          <c:idx val="2"/>
          <c:order val="2"/>
          <c:tx>
            <c:strRef>
              <c:f>'📊 Dashboard รายปี'!$D$19</c:f>
            </c:strRef>
          </c:tx>
          <c:spPr>
            <a:ln cmpd="sng">
              <a:solidFill>
                <a:srgbClr val="BAD7D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'📊 Dashboard รายปี'!$E$12:$P$12</c:f>
            </c:strRef>
          </c:cat>
          <c:val>
            <c:numRef>
              <c:f>'📊 Dashboard รายปี'!$E$19:$P$19</c:f>
              <c:numCache/>
            </c:numRef>
          </c:val>
          <c:smooth val="0"/>
        </c:ser>
        <c:axId val="1258376398"/>
        <c:axId val="1860670174"/>
      </c:lineChart>
      <c:catAx>
        <c:axId val="125837639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0670174"/>
      </c:catAx>
      <c:valAx>
        <c:axId val="186067017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376398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'📊 รายงานสินค้าคงเหลือ'!$G$1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รายงานสินค้าคงเหลือ'!$A$2:$A$1000</c:f>
            </c:strRef>
          </c:cat>
          <c:val>
            <c:numRef>
              <c:f>'📊 รายงานสินค้าคงเหลือ'!$G$2:$G$1000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DDCC"/>
              </a:solidFill>
            </c:spPr>
          </c:dPt>
          <c:dPt>
            <c:idx val="1"/>
            <c:spPr>
              <a:solidFill>
                <a:srgbClr val="F4C7C3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Dashboard สต๊อกสินค้า'!$J$17:$J$19</c:f>
            </c:strRef>
          </c:cat>
          <c:val>
            <c:numRef>
              <c:f>'📊 Dashboard สต๊อกสินค้า'!$K$17:$K$19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DDCC"/>
              </a:solidFill>
            </c:spPr>
          </c:dPt>
          <c:dPt>
            <c:idx val="1"/>
            <c:spPr>
              <a:solidFill>
                <a:srgbClr val="F4C7C3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Pt>
            <c:idx val="999"/>
          </c:dPt>
          <c:dPt>
            <c:idx val="1000"/>
          </c:dPt>
          <c:dPt>
            <c:idx val="1001"/>
          </c:dPt>
          <c:dPt>
            <c:idx val="1002"/>
          </c:dPt>
          <c:dPt>
            <c:idx val="1003"/>
          </c:dPt>
          <c:dPt>
            <c:idx val="1004"/>
          </c:dPt>
          <c:dPt>
            <c:idx val="1005"/>
          </c:dPt>
          <c:dPt>
            <c:idx val="1006"/>
          </c:dPt>
          <c:dPt>
            <c:idx val="1007"/>
          </c:dPt>
          <c:dPt>
            <c:idx val="1008"/>
          </c:dPt>
          <c:dPt>
            <c:idx val="1009"/>
          </c:dPt>
          <c:dPt>
            <c:idx val="1010"/>
          </c:dPt>
          <c:dPt>
            <c:idx val="1011"/>
          </c:dPt>
          <c:dPt>
            <c:idx val="1012"/>
          </c:dPt>
          <c:dPt>
            <c:idx val="1013"/>
          </c:dPt>
          <c:dPt>
            <c:idx val="1014"/>
          </c:dPt>
          <c:dPt>
            <c:idx val="1015"/>
          </c:dPt>
          <c:dPt>
            <c:idx val="1016"/>
          </c:dPt>
          <c:dPt>
            <c:idx val="1017"/>
          </c:dPt>
          <c:dPt>
            <c:idx val="1018"/>
          </c:dPt>
          <c:dPt>
            <c:idx val="1019"/>
          </c:dPt>
          <c:dPt>
            <c:idx val="1020"/>
          </c:dPt>
          <c:dPt>
            <c:idx val="1021"/>
          </c:dPt>
          <c:dPt>
            <c:idx val="1022"/>
          </c:dPt>
          <c:dPt>
            <c:idx val="1023"/>
          </c:dPt>
          <c:dPt>
            <c:idx val="1024"/>
          </c:dPt>
          <c:dPt>
            <c:idx val="1025"/>
          </c:dPt>
          <c:dPt>
            <c:idx val="1026"/>
          </c:dPt>
          <c:dPt>
            <c:idx val="1027"/>
          </c:dPt>
          <c:dPt>
            <c:idx val="1028"/>
          </c:dPt>
          <c:dPt>
            <c:idx val="1029"/>
          </c:dPt>
          <c:dPt>
            <c:idx val="1030"/>
          </c:dPt>
          <c:dPt>
            <c:idx val="1031"/>
          </c:dPt>
          <c:dPt>
            <c:idx val="1032"/>
          </c:dPt>
          <c:dPt>
            <c:idx val="1033"/>
          </c:dPt>
          <c:dPt>
            <c:idx val="1034"/>
          </c:dPt>
          <c:dPt>
            <c:idx val="1035"/>
          </c:dPt>
          <c:dPt>
            <c:idx val="1036"/>
          </c:dPt>
          <c:dPt>
            <c:idx val="1037"/>
          </c:dPt>
          <c:dPt>
            <c:idx val="1038"/>
          </c:dPt>
          <c:dPt>
            <c:idx val="1039"/>
          </c:dPt>
          <c:dPt>
            <c:idx val="1040"/>
          </c:dPt>
          <c:dPt>
            <c:idx val="1041"/>
          </c:dPt>
          <c:dPt>
            <c:idx val="1042"/>
          </c:dPt>
          <c:dPt>
            <c:idx val="1043"/>
          </c:dPt>
          <c:dPt>
            <c:idx val="1044"/>
          </c:dPt>
          <c:dPt>
            <c:idx val="1045"/>
          </c:dPt>
          <c:dPt>
            <c:idx val="1046"/>
          </c:dPt>
          <c:dPt>
            <c:idx val="1047"/>
          </c:dPt>
          <c:dPt>
            <c:idx val="1048"/>
          </c:dPt>
          <c:dPt>
            <c:idx val="1049"/>
          </c:dPt>
          <c:dPt>
            <c:idx val="1050"/>
          </c:dPt>
          <c:dPt>
            <c:idx val="1051"/>
          </c:dPt>
          <c:dPt>
            <c:idx val="1052"/>
          </c:dPt>
          <c:dPt>
            <c:idx val="1053"/>
          </c:dPt>
          <c:dPt>
            <c:idx val="1054"/>
          </c:dPt>
          <c:dPt>
            <c:idx val="1055"/>
          </c:dPt>
          <c:dPt>
            <c:idx val="1056"/>
          </c:dPt>
          <c:dPt>
            <c:idx val="1057"/>
          </c:dPt>
          <c:dPt>
            <c:idx val="1058"/>
          </c:dPt>
          <c:dPt>
            <c:idx val="1059"/>
          </c:dPt>
          <c:dPt>
            <c:idx val="1060"/>
          </c:dPt>
          <c:dPt>
            <c:idx val="1061"/>
          </c:dPt>
          <c:dPt>
            <c:idx val="1062"/>
          </c:dPt>
          <c:dPt>
            <c:idx val="1063"/>
          </c:dPt>
          <c:dPt>
            <c:idx val="1064"/>
          </c:dPt>
          <c:dPt>
            <c:idx val="1065"/>
          </c:dPt>
          <c:dPt>
            <c:idx val="1066"/>
          </c:dPt>
          <c:dPt>
            <c:idx val="1067"/>
          </c:dPt>
          <c:dPt>
            <c:idx val="1068"/>
          </c:dPt>
          <c:dPt>
            <c:idx val="1069"/>
          </c:dPt>
          <c:dPt>
            <c:idx val="1070"/>
          </c:dPt>
          <c:dPt>
            <c:idx val="1071"/>
          </c:dPt>
          <c:dPt>
            <c:idx val="1072"/>
          </c:dPt>
          <c:dPt>
            <c:idx val="1073"/>
          </c:dPt>
          <c:dPt>
            <c:idx val="1074"/>
          </c:dPt>
          <c:dPt>
            <c:idx val="1075"/>
          </c:dPt>
          <c:dPt>
            <c:idx val="1076"/>
          </c:dPt>
          <c:dPt>
            <c:idx val="1077"/>
          </c:dPt>
          <c:dPt>
            <c:idx val="1078"/>
          </c:dPt>
          <c:dPt>
            <c:idx val="1079"/>
          </c:dPt>
          <c:dPt>
            <c:idx val="1080"/>
          </c:dPt>
          <c:dPt>
            <c:idx val="1081"/>
          </c:dPt>
          <c:dPt>
            <c:idx val="1082"/>
          </c:dPt>
          <c:dPt>
            <c:idx val="1083"/>
          </c:dPt>
          <c:dPt>
            <c:idx val="1084"/>
          </c:dPt>
          <c:dPt>
            <c:idx val="1085"/>
          </c:dPt>
          <c:dPt>
            <c:idx val="1086"/>
          </c:dPt>
          <c:dPt>
            <c:idx val="1087"/>
          </c:dPt>
          <c:dPt>
            <c:idx val="1088"/>
          </c:dPt>
          <c:dPt>
            <c:idx val="1089"/>
          </c:dPt>
          <c:dPt>
            <c:idx val="1090"/>
          </c:dPt>
          <c:dPt>
            <c:idx val="1091"/>
          </c:dPt>
          <c:dPt>
            <c:idx val="1092"/>
          </c:dPt>
          <c:dPt>
            <c:idx val="1093"/>
          </c:dPt>
          <c:dPt>
            <c:idx val="1094"/>
          </c:dPt>
          <c:dPt>
            <c:idx val="1095"/>
          </c:dPt>
          <c:dPt>
            <c:idx val="1096"/>
          </c:dPt>
          <c:dPt>
            <c:idx val="1097"/>
          </c:dPt>
          <c:dPt>
            <c:idx val="1098"/>
          </c:dPt>
          <c:dPt>
            <c:idx val="1099"/>
          </c:dPt>
          <c:dPt>
            <c:idx val="1100"/>
          </c:dPt>
          <c:dPt>
            <c:idx val="1101"/>
          </c:dPt>
          <c:dPt>
            <c:idx val="1102"/>
          </c:dPt>
          <c:dPt>
            <c:idx val="1103"/>
          </c:dPt>
          <c:dPt>
            <c:idx val="1104"/>
          </c:dPt>
          <c:dPt>
            <c:idx val="1105"/>
          </c:dPt>
          <c:dPt>
            <c:idx val="1106"/>
          </c:dPt>
          <c:dPt>
            <c:idx val="1107"/>
          </c:dPt>
          <c:dPt>
            <c:idx val="1108"/>
          </c:dPt>
          <c:dPt>
            <c:idx val="1109"/>
          </c:dPt>
          <c:dPt>
            <c:idx val="1110"/>
          </c:dPt>
          <c:dPt>
            <c:idx val="1111"/>
          </c:dPt>
          <c:dPt>
            <c:idx val="1112"/>
          </c:dPt>
          <c:dPt>
            <c:idx val="1113"/>
          </c:dPt>
          <c:dPt>
            <c:idx val="1114"/>
          </c:dPt>
          <c:dPt>
            <c:idx val="1115"/>
          </c:dPt>
          <c:dPt>
            <c:idx val="1116"/>
          </c:dPt>
          <c:dPt>
            <c:idx val="1117"/>
          </c:dPt>
          <c:dPt>
            <c:idx val="1118"/>
          </c:dPt>
          <c:dPt>
            <c:idx val="1119"/>
          </c:dPt>
          <c:dPt>
            <c:idx val="1120"/>
          </c:dPt>
          <c:dPt>
            <c:idx val="1121"/>
          </c:dPt>
          <c:dPt>
            <c:idx val="1122"/>
          </c:dPt>
          <c:dPt>
            <c:idx val="1123"/>
          </c:dPt>
          <c:dPt>
            <c:idx val="1124"/>
          </c:dPt>
          <c:dPt>
            <c:idx val="1125"/>
          </c:dPt>
          <c:dPt>
            <c:idx val="1126"/>
          </c:dPt>
          <c:dPt>
            <c:idx val="1127"/>
          </c:dPt>
          <c:dPt>
            <c:idx val="1128"/>
          </c:dPt>
          <c:dPt>
            <c:idx val="1129"/>
          </c:dPt>
          <c:dPt>
            <c:idx val="1130"/>
          </c:dPt>
          <c:dPt>
            <c:idx val="1131"/>
          </c:dPt>
          <c:dPt>
            <c:idx val="1132"/>
          </c:dPt>
          <c:dPt>
            <c:idx val="1133"/>
          </c:dPt>
          <c:dPt>
            <c:idx val="1134"/>
          </c:dPt>
          <c:dPt>
            <c:idx val="1135"/>
          </c:dPt>
          <c:dPt>
            <c:idx val="1136"/>
          </c:dPt>
          <c:dPt>
            <c:idx val="1137"/>
          </c:dPt>
          <c:dPt>
            <c:idx val="1138"/>
          </c:dPt>
          <c:dPt>
            <c:idx val="1139"/>
          </c:dPt>
          <c:dPt>
            <c:idx val="1140"/>
          </c:dPt>
          <c:dPt>
            <c:idx val="1141"/>
          </c:dPt>
          <c:dPt>
            <c:idx val="1142"/>
          </c:dPt>
          <c:dPt>
            <c:idx val="1143"/>
          </c:dPt>
          <c:dPt>
            <c:idx val="1144"/>
          </c:dPt>
          <c:dPt>
            <c:idx val="1145"/>
          </c:dPt>
          <c:dPt>
            <c:idx val="1146"/>
          </c:dPt>
          <c:dPt>
            <c:idx val="1147"/>
          </c:dPt>
          <c:dPt>
            <c:idx val="1148"/>
          </c:dPt>
          <c:dPt>
            <c:idx val="1149"/>
          </c:dPt>
          <c:dPt>
            <c:idx val="1150"/>
          </c:dPt>
          <c:dPt>
            <c:idx val="1151"/>
          </c:dPt>
          <c:dPt>
            <c:idx val="1152"/>
          </c:dPt>
          <c:dPt>
            <c:idx val="1153"/>
          </c:dPt>
          <c:dPt>
            <c:idx val="1154"/>
          </c:dPt>
          <c:dPt>
            <c:idx val="1155"/>
          </c:dPt>
          <c:dPt>
            <c:idx val="1156"/>
          </c:dPt>
          <c:dPt>
            <c:idx val="1157"/>
          </c:dPt>
          <c:dPt>
            <c:idx val="1158"/>
          </c:dPt>
          <c:dPt>
            <c:idx val="1159"/>
          </c:dPt>
          <c:dPt>
            <c:idx val="1160"/>
          </c:dPt>
          <c:dPt>
            <c:idx val="1161"/>
          </c:dPt>
          <c:dPt>
            <c:idx val="1162"/>
          </c:dPt>
          <c:dPt>
            <c:idx val="1163"/>
          </c:dPt>
          <c:dPt>
            <c:idx val="1164"/>
          </c:dPt>
          <c:dPt>
            <c:idx val="1165"/>
          </c:dPt>
          <c:dPt>
            <c:idx val="1166"/>
          </c:dPt>
          <c:dPt>
            <c:idx val="1167"/>
          </c:dPt>
          <c:dPt>
            <c:idx val="1168"/>
          </c:dPt>
          <c:dPt>
            <c:idx val="1169"/>
          </c:dPt>
          <c:dPt>
            <c:idx val="1170"/>
          </c:dPt>
          <c:dPt>
            <c:idx val="1171"/>
          </c:dPt>
          <c:dPt>
            <c:idx val="1172"/>
          </c:dPt>
          <c:dPt>
            <c:idx val="1173"/>
          </c:dPt>
          <c:dPt>
            <c:idx val="1174"/>
          </c:dPt>
          <c:dPt>
            <c:idx val="1175"/>
          </c:dPt>
          <c:dPt>
            <c:idx val="1176"/>
          </c:dPt>
          <c:dPt>
            <c:idx val="1177"/>
          </c:dPt>
          <c:dPt>
            <c:idx val="1178"/>
          </c:dPt>
          <c:dPt>
            <c:idx val="1179"/>
          </c:dPt>
          <c:dPt>
            <c:idx val="1180"/>
          </c:dPt>
          <c:dPt>
            <c:idx val="1181"/>
          </c:dPt>
          <c:dPt>
            <c:idx val="1182"/>
          </c:dPt>
          <c:dPt>
            <c:idx val="1183"/>
          </c:dPt>
          <c:dPt>
            <c:idx val="1184"/>
          </c:dPt>
          <c:dPt>
            <c:idx val="1185"/>
          </c:dPt>
          <c:dPt>
            <c:idx val="1186"/>
          </c:dPt>
          <c:dPt>
            <c:idx val="1187"/>
          </c:dPt>
          <c:dPt>
            <c:idx val="1188"/>
          </c:dPt>
          <c:dPt>
            <c:idx val="1189"/>
          </c:dPt>
          <c:dPt>
            <c:idx val="1190"/>
          </c:dPt>
          <c:dPt>
            <c:idx val="1191"/>
          </c:dPt>
          <c:dPt>
            <c:idx val="1192"/>
          </c:dPt>
          <c:dPt>
            <c:idx val="1193"/>
          </c:dPt>
          <c:dPt>
            <c:idx val="1194"/>
          </c:dPt>
          <c:dPt>
            <c:idx val="1195"/>
          </c:dPt>
          <c:dPt>
            <c:idx val="1196"/>
          </c:dPt>
          <c:dPt>
            <c:idx val="1197"/>
          </c:dPt>
          <c:dPt>
            <c:idx val="1198"/>
          </c:dPt>
          <c:dPt>
            <c:idx val="1199"/>
          </c:dPt>
          <c:dPt>
            <c:idx val="1200"/>
          </c:dPt>
          <c:dPt>
            <c:idx val="1201"/>
          </c:dPt>
          <c:dPt>
            <c:idx val="1202"/>
          </c:dPt>
          <c:dPt>
            <c:idx val="1203"/>
          </c:dPt>
          <c:dPt>
            <c:idx val="1204"/>
          </c:dPt>
          <c:dPt>
            <c:idx val="1205"/>
          </c:dPt>
          <c:dPt>
            <c:idx val="1206"/>
          </c:dPt>
          <c:dPt>
            <c:idx val="1207"/>
          </c:dPt>
          <c:dPt>
            <c:idx val="1208"/>
          </c:dPt>
          <c:dPt>
            <c:idx val="1209"/>
          </c:dPt>
          <c:dPt>
            <c:idx val="1210"/>
          </c:dPt>
          <c:dPt>
            <c:idx val="1211"/>
          </c:dPt>
          <c:dPt>
            <c:idx val="1212"/>
          </c:dPt>
          <c:dPt>
            <c:idx val="1213"/>
          </c:dPt>
          <c:dPt>
            <c:idx val="1214"/>
          </c:dPt>
          <c:dPt>
            <c:idx val="1215"/>
          </c:dPt>
          <c:dPt>
            <c:idx val="1216"/>
          </c:dPt>
          <c:dPt>
            <c:idx val="1217"/>
          </c:dPt>
          <c:dPt>
            <c:idx val="1218"/>
          </c:dPt>
          <c:dPt>
            <c:idx val="1219"/>
          </c:dPt>
          <c:dPt>
            <c:idx val="1220"/>
          </c:dPt>
          <c:dPt>
            <c:idx val="1221"/>
          </c:dPt>
          <c:dPt>
            <c:idx val="1222"/>
          </c:dPt>
          <c:dPt>
            <c:idx val="1223"/>
          </c:dPt>
          <c:dPt>
            <c:idx val="1224"/>
          </c:dPt>
          <c:dPt>
            <c:idx val="1225"/>
          </c:dPt>
          <c:dPt>
            <c:idx val="1226"/>
          </c:dPt>
          <c:dPt>
            <c:idx val="1227"/>
          </c:dPt>
          <c:dPt>
            <c:idx val="1228"/>
          </c:dPt>
          <c:dPt>
            <c:idx val="1229"/>
          </c:dPt>
          <c:dPt>
            <c:idx val="1230"/>
          </c:dPt>
          <c:dPt>
            <c:idx val="1231"/>
          </c:dPt>
          <c:dPt>
            <c:idx val="1232"/>
          </c:dPt>
          <c:dPt>
            <c:idx val="1233"/>
          </c:dPt>
          <c:dPt>
            <c:idx val="1234"/>
          </c:dPt>
          <c:dPt>
            <c:idx val="1235"/>
          </c:dPt>
          <c:dPt>
            <c:idx val="1236"/>
          </c:dPt>
          <c:dPt>
            <c:idx val="1237"/>
          </c:dPt>
          <c:dPt>
            <c:idx val="1238"/>
          </c:dPt>
          <c:dPt>
            <c:idx val="1239"/>
          </c:dPt>
          <c:dPt>
            <c:idx val="1240"/>
          </c:dPt>
          <c:dPt>
            <c:idx val="1241"/>
          </c:dPt>
          <c:dPt>
            <c:idx val="1242"/>
          </c:dPt>
          <c:dPt>
            <c:idx val="1243"/>
          </c:dPt>
          <c:dPt>
            <c:idx val="1244"/>
          </c:dPt>
          <c:dPt>
            <c:idx val="1245"/>
          </c:dPt>
          <c:dPt>
            <c:idx val="1246"/>
          </c:dPt>
          <c:dPt>
            <c:idx val="1247"/>
          </c:dPt>
          <c:dPt>
            <c:idx val="1248"/>
          </c:dPt>
          <c:dPt>
            <c:idx val="1249"/>
          </c:dPt>
          <c:dPt>
            <c:idx val="1250"/>
          </c:dPt>
          <c:dPt>
            <c:idx val="1251"/>
          </c:dPt>
          <c:dPt>
            <c:idx val="1252"/>
          </c:dPt>
          <c:dPt>
            <c:idx val="1253"/>
          </c:dPt>
          <c:dPt>
            <c:idx val="1254"/>
          </c:dPt>
          <c:dPt>
            <c:idx val="1255"/>
          </c:dPt>
          <c:dPt>
            <c:idx val="1256"/>
          </c:dPt>
          <c:dPt>
            <c:idx val="1257"/>
          </c:dPt>
          <c:dPt>
            <c:idx val="1258"/>
          </c:dPt>
          <c:dPt>
            <c:idx val="1259"/>
          </c:dPt>
          <c:dPt>
            <c:idx val="1260"/>
          </c:dPt>
          <c:dPt>
            <c:idx val="1261"/>
          </c:dPt>
          <c:dPt>
            <c:idx val="1262"/>
          </c:dPt>
          <c:dPt>
            <c:idx val="1263"/>
          </c:dPt>
          <c:dPt>
            <c:idx val="1264"/>
          </c:dPt>
          <c:dPt>
            <c:idx val="1265"/>
          </c:dPt>
          <c:dPt>
            <c:idx val="1266"/>
          </c:dPt>
          <c:dPt>
            <c:idx val="1267"/>
          </c:dPt>
          <c:dPt>
            <c:idx val="1268"/>
          </c:dPt>
          <c:dPt>
            <c:idx val="1269"/>
          </c:dPt>
          <c:dPt>
            <c:idx val="1270"/>
          </c:dPt>
          <c:dPt>
            <c:idx val="1271"/>
          </c:dPt>
          <c:dPt>
            <c:idx val="1272"/>
          </c:dPt>
          <c:dPt>
            <c:idx val="1273"/>
          </c:dPt>
          <c:dPt>
            <c:idx val="1274"/>
          </c:dPt>
          <c:dPt>
            <c:idx val="1275"/>
          </c:dPt>
          <c:dPt>
            <c:idx val="1276"/>
          </c:dPt>
          <c:dPt>
            <c:idx val="1277"/>
          </c:dPt>
          <c:dPt>
            <c:idx val="1278"/>
          </c:dPt>
          <c:dPt>
            <c:idx val="1279"/>
          </c:dPt>
          <c:dPt>
            <c:idx val="1280"/>
          </c:dPt>
          <c:dPt>
            <c:idx val="1281"/>
          </c:dPt>
          <c:dPt>
            <c:idx val="1282"/>
          </c:dPt>
          <c:dPt>
            <c:idx val="1283"/>
          </c:dPt>
          <c:dPt>
            <c:idx val="1284"/>
          </c:dPt>
          <c:dPt>
            <c:idx val="1285"/>
          </c:dPt>
          <c:dPt>
            <c:idx val="1286"/>
          </c:dPt>
          <c:dPt>
            <c:idx val="1287"/>
          </c:dPt>
          <c:dPt>
            <c:idx val="1288"/>
          </c:dPt>
          <c:dPt>
            <c:idx val="1289"/>
          </c:dPt>
          <c:dPt>
            <c:idx val="1290"/>
          </c:dPt>
          <c:dPt>
            <c:idx val="1291"/>
          </c:dPt>
          <c:dPt>
            <c:idx val="1292"/>
          </c:dPt>
          <c:dPt>
            <c:idx val="1293"/>
          </c:dPt>
          <c:dPt>
            <c:idx val="1294"/>
          </c:dPt>
          <c:dPt>
            <c:idx val="1295"/>
          </c:dPt>
          <c:dPt>
            <c:idx val="1296"/>
          </c:dPt>
          <c:dPt>
            <c:idx val="1297"/>
          </c:dPt>
          <c:dPt>
            <c:idx val="1298"/>
          </c:dPt>
          <c:dPt>
            <c:idx val="1299"/>
          </c:dPt>
          <c:dPt>
            <c:idx val="1300"/>
          </c:dPt>
          <c:dPt>
            <c:idx val="1301"/>
          </c:dPt>
          <c:dPt>
            <c:idx val="1302"/>
          </c:dPt>
          <c:dPt>
            <c:idx val="1303"/>
          </c:dPt>
          <c:dPt>
            <c:idx val="1304"/>
          </c:dPt>
          <c:dPt>
            <c:idx val="1305"/>
          </c:dPt>
          <c:dPt>
            <c:idx val="1306"/>
          </c:dPt>
          <c:dPt>
            <c:idx val="1307"/>
          </c:dPt>
          <c:dPt>
            <c:idx val="1308"/>
          </c:dPt>
          <c:dPt>
            <c:idx val="1309"/>
          </c:dPt>
          <c:dPt>
            <c:idx val="1310"/>
          </c:dPt>
          <c:dPt>
            <c:idx val="1311"/>
          </c:dPt>
          <c:dPt>
            <c:idx val="1312"/>
          </c:dPt>
          <c:dPt>
            <c:idx val="1313"/>
          </c:dPt>
          <c:dPt>
            <c:idx val="1314"/>
          </c:dPt>
          <c:dPt>
            <c:idx val="1315"/>
          </c:dPt>
          <c:dPt>
            <c:idx val="1316"/>
          </c:dPt>
          <c:dPt>
            <c:idx val="1317"/>
          </c:dPt>
          <c:dPt>
            <c:idx val="1318"/>
          </c:dPt>
          <c:dPt>
            <c:idx val="1319"/>
          </c:dPt>
          <c:dPt>
            <c:idx val="1320"/>
          </c:dPt>
          <c:dPt>
            <c:idx val="1321"/>
          </c:dPt>
          <c:dPt>
            <c:idx val="1322"/>
          </c:dPt>
          <c:dPt>
            <c:idx val="1323"/>
          </c:dPt>
          <c:dPt>
            <c:idx val="1324"/>
          </c:dPt>
          <c:dPt>
            <c:idx val="1325"/>
          </c:dPt>
          <c:dPt>
            <c:idx val="1326"/>
          </c:dPt>
          <c:dPt>
            <c:idx val="1327"/>
          </c:dPt>
          <c:dPt>
            <c:idx val="1328"/>
          </c:dPt>
          <c:dPt>
            <c:idx val="1329"/>
          </c:dPt>
          <c:dPt>
            <c:idx val="1330"/>
          </c:dPt>
          <c:dPt>
            <c:idx val="1331"/>
          </c:dPt>
          <c:dPt>
            <c:idx val="1332"/>
          </c:dPt>
          <c:dPt>
            <c:idx val="1333"/>
          </c:dPt>
          <c:dPt>
            <c:idx val="1334"/>
          </c:dPt>
          <c:dPt>
            <c:idx val="1335"/>
          </c:dPt>
          <c:dPt>
            <c:idx val="1336"/>
          </c:dPt>
          <c:dPt>
            <c:idx val="1337"/>
          </c:dPt>
          <c:dPt>
            <c:idx val="1338"/>
          </c:dPt>
          <c:dPt>
            <c:idx val="1339"/>
          </c:dPt>
          <c:dPt>
            <c:idx val="1340"/>
          </c:dPt>
          <c:dPt>
            <c:idx val="1341"/>
          </c:dPt>
          <c:dPt>
            <c:idx val="1342"/>
          </c:dPt>
          <c:dPt>
            <c:idx val="1343"/>
          </c:dPt>
          <c:dPt>
            <c:idx val="1344"/>
          </c:dPt>
          <c:dPt>
            <c:idx val="1345"/>
          </c:dPt>
          <c:dPt>
            <c:idx val="1346"/>
          </c:dPt>
          <c:dPt>
            <c:idx val="1347"/>
          </c:dPt>
          <c:dPt>
            <c:idx val="1348"/>
          </c:dPt>
          <c:dPt>
            <c:idx val="1349"/>
          </c:dPt>
          <c:dPt>
            <c:idx val="1350"/>
          </c:dPt>
          <c:dPt>
            <c:idx val="1351"/>
          </c:dPt>
          <c:dPt>
            <c:idx val="1352"/>
          </c:dPt>
          <c:dPt>
            <c:idx val="1353"/>
          </c:dPt>
          <c:dPt>
            <c:idx val="1354"/>
          </c:dPt>
          <c:dPt>
            <c:idx val="1355"/>
          </c:dPt>
          <c:dPt>
            <c:idx val="1356"/>
          </c:dPt>
          <c:dPt>
            <c:idx val="1357"/>
          </c:dPt>
          <c:dPt>
            <c:idx val="1358"/>
          </c:dPt>
          <c:dPt>
            <c:idx val="1359"/>
          </c:dPt>
          <c:dPt>
            <c:idx val="1360"/>
          </c:dPt>
          <c:dPt>
            <c:idx val="1361"/>
          </c:dPt>
          <c:dPt>
            <c:idx val="1362"/>
          </c:dPt>
          <c:dPt>
            <c:idx val="1363"/>
          </c:dPt>
          <c:dPt>
            <c:idx val="1364"/>
          </c:dPt>
          <c:dPt>
            <c:idx val="1365"/>
          </c:dPt>
          <c:dPt>
            <c:idx val="1366"/>
          </c:dPt>
          <c:dPt>
            <c:idx val="1367"/>
          </c:dPt>
          <c:dPt>
            <c:idx val="1368"/>
          </c:dPt>
          <c:dPt>
            <c:idx val="1369"/>
          </c:dPt>
          <c:dPt>
            <c:idx val="1370"/>
          </c:dPt>
          <c:dPt>
            <c:idx val="1371"/>
          </c:dPt>
          <c:dPt>
            <c:idx val="1372"/>
          </c:dPt>
          <c:dPt>
            <c:idx val="1373"/>
          </c:dPt>
          <c:dPt>
            <c:idx val="1374"/>
          </c:dPt>
          <c:dPt>
            <c:idx val="1375"/>
          </c:dPt>
          <c:dPt>
            <c:idx val="1376"/>
          </c:dPt>
          <c:dPt>
            <c:idx val="1377"/>
          </c:dPt>
          <c:dPt>
            <c:idx val="1378"/>
          </c:dPt>
          <c:dPt>
            <c:idx val="1379"/>
          </c:dPt>
          <c:dPt>
            <c:idx val="1380"/>
          </c:dPt>
          <c:dPt>
            <c:idx val="1381"/>
          </c:dPt>
          <c:dPt>
            <c:idx val="1382"/>
          </c:dPt>
          <c:dPt>
            <c:idx val="1383"/>
          </c:dPt>
          <c:dPt>
            <c:idx val="1384"/>
          </c:dPt>
          <c:dPt>
            <c:idx val="1385"/>
          </c:dPt>
          <c:dPt>
            <c:idx val="1386"/>
          </c:dPt>
          <c:dPt>
            <c:idx val="1387"/>
          </c:dPt>
          <c:dPt>
            <c:idx val="1388"/>
          </c:dPt>
          <c:dPt>
            <c:idx val="1389"/>
          </c:dPt>
          <c:dPt>
            <c:idx val="1390"/>
          </c:dPt>
          <c:dPt>
            <c:idx val="1391"/>
          </c:dPt>
          <c:dPt>
            <c:idx val="1392"/>
          </c:dPt>
          <c:dPt>
            <c:idx val="1393"/>
          </c:dPt>
          <c:dPt>
            <c:idx val="1394"/>
          </c:dPt>
          <c:dPt>
            <c:idx val="1395"/>
          </c:dPt>
          <c:dPt>
            <c:idx val="1396"/>
          </c:dPt>
          <c:dPt>
            <c:idx val="1397"/>
          </c:dPt>
          <c:dPt>
            <c:idx val="1398"/>
          </c:dPt>
          <c:dPt>
            <c:idx val="1399"/>
          </c:dPt>
          <c:dPt>
            <c:idx val="1400"/>
          </c:dPt>
          <c:dPt>
            <c:idx val="1401"/>
          </c:dPt>
          <c:dPt>
            <c:idx val="1402"/>
          </c:dPt>
          <c:dPt>
            <c:idx val="1403"/>
          </c:dPt>
          <c:dPt>
            <c:idx val="1404"/>
          </c:dPt>
          <c:dPt>
            <c:idx val="1405"/>
          </c:dPt>
          <c:dPt>
            <c:idx val="1406"/>
          </c:dPt>
          <c:dPt>
            <c:idx val="1407"/>
          </c:dPt>
          <c:dPt>
            <c:idx val="1408"/>
          </c:dPt>
          <c:dPt>
            <c:idx val="1409"/>
          </c:dPt>
          <c:dPt>
            <c:idx val="1410"/>
          </c:dPt>
          <c:dPt>
            <c:idx val="1411"/>
          </c:dPt>
          <c:dPt>
            <c:idx val="1412"/>
          </c:dPt>
          <c:dPt>
            <c:idx val="1413"/>
          </c:dPt>
          <c:dPt>
            <c:idx val="1414"/>
          </c:dPt>
          <c:dPt>
            <c:idx val="1415"/>
          </c:dPt>
          <c:dPt>
            <c:idx val="1416"/>
          </c:dPt>
          <c:dPt>
            <c:idx val="1417"/>
          </c:dPt>
          <c:dPt>
            <c:idx val="1418"/>
          </c:dPt>
          <c:dPt>
            <c:idx val="1419"/>
          </c:dPt>
          <c:dPt>
            <c:idx val="1420"/>
          </c:dPt>
          <c:dPt>
            <c:idx val="1421"/>
          </c:dPt>
          <c:dPt>
            <c:idx val="1422"/>
          </c:dPt>
          <c:dPt>
            <c:idx val="1423"/>
          </c:dPt>
          <c:dPt>
            <c:idx val="1424"/>
          </c:dPt>
          <c:dPt>
            <c:idx val="1425"/>
          </c:dPt>
          <c:dPt>
            <c:idx val="1426"/>
          </c:dPt>
          <c:dPt>
            <c:idx val="1427"/>
          </c:dPt>
          <c:dPt>
            <c:idx val="1428"/>
          </c:dPt>
          <c:dPt>
            <c:idx val="1429"/>
          </c:dPt>
          <c:dPt>
            <c:idx val="1430"/>
          </c:dPt>
          <c:dPt>
            <c:idx val="1431"/>
          </c:dPt>
          <c:dPt>
            <c:idx val="1432"/>
          </c:dPt>
          <c:dPt>
            <c:idx val="1433"/>
          </c:dPt>
          <c:dPt>
            <c:idx val="1434"/>
          </c:dPt>
          <c:dPt>
            <c:idx val="1435"/>
          </c:dPt>
          <c:dPt>
            <c:idx val="1436"/>
          </c:dPt>
          <c:dPt>
            <c:idx val="1437"/>
          </c:dPt>
          <c:dPt>
            <c:idx val="1438"/>
          </c:dPt>
          <c:dPt>
            <c:idx val="1439"/>
          </c:dPt>
          <c:dPt>
            <c:idx val="1440"/>
          </c:dPt>
          <c:dPt>
            <c:idx val="1441"/>
          </c:dPt>
          <c:dPt>
            <c:idx val="1442"/>
          </c:dPt>
          <c:dPt>
            <c:idx val="1443"/>
          </c:dPt>
          <c:dPt>
            <c:idx val="1444"/>
          </c:dPt>
          <c:dPt>
            <c:idx val="1445"/>
          </c:dPt>
          <c:dPt>
            <c:idx val="1446"/>
          </c:dPt>
          <c:dPt>
            <c:idx val="1447"/>
          </c:dPt>
          <c:dPt>
            <c:idx val="1448"/>
          </c:dPt>
          <c:dPt>
            <c:idx val="1449"/>
          </c:dPt>
          <c:dPt>
            <c:idx val="1450"/>
          </c:dPt>
          <c:dPt>
            <c:idx val="1451"/>
          </c:dPt>
          <c:dPt>
            <c:idx val="1452"/>
          </c:dPt>
          <c:dPt>
            <c:idx val="1453"/>
          </c:dPt>
          <c:dPt>
            <c:idx val="1454"/>
          </c:dPt>
          <c:dPt>
            <c:idx val="1455"/>
          </c:dPt>
          <c:dPt>
            <c:idx val="1456"/>
          </c:dPt>
          <c:dPt>
            <c:idx val="1457"/>
          </c:dPt>
          <c:dPt>
            <c:idx val="1458"/>
          </c:dPt>
          <c:dPt>
            <c:idx val="1459"/>
          </c:dPt>
          <c:dPt>
            <c:idx val="1460"/>
          </c:dPt>
          <c:dPt>
            <c:idx val="1461"/>
          </c:dPt>
          <c:dPt>
            <c:idx val="1462"/>
          </c:dPt>
          <c:dPt>
            <c:idx val="1463"/>
          </c:dPt>
          <c:dPt>
            <c:idx val="1464"/>
          </c:dPt>
          <c:dPt>
            <c:idx val="1465"/>
          </c:dPt>
          <c:dPt>
            <c:idx val="1466"/>
          </c:dPt>
          <c:dPt>
            <c:idx val="1467"/>
          </c:dPt>
          <c:dPt>
            <c:idx val="1468"/>
          </c:dPt>
          <c:dPt>
            <c:idx val="1469"/>
          </c:dPt>
          <c:dPt>
            <c:idx val="1470"/>
          </c:dPt>
          <c:dPt>
            <c:idx val="1471"/>
          </c:dPt>
          <c:dPt>
            <c:idx val="1472"/>
          </c:dPt>
          <c:dPt>
            <c:idx val="1473"/>
          </c:dPt>
          <c:dPt>
            <c:idx val="1474"/>
          </c:dPt>
          <c:dPt>
            <c:idx val="1475"/>
          </c:dPt>
          <c:dPt>
            <c:idx val="1476"/>
          </c:dPt>
          <c:dPt>
            <c:idx val="1477"/>
          </c:dPt>
          <c:dPt>
            <c:idx val="1478"/>
          </c:dPt>
          <c:dPt>
            <c:idx val="1479"/>
          </c:dPt>
          <c:dPt>
            <c:idx val="1480"/>
          </c:dPt>
          <c:dPt>
            <c:idx val="1481"/>
          </c:dPt>
          <c:dPt>
            <c:idx val="1482"/>
          </c:dPt>
          <c:dPt>
            <c:idx val="1483"/>
          </c:dPt>
          <c:dPt>
            <c:idx val="1484"/>
          </c:dPt>
          <c:dPt>
            <c:idx val="1485"/>
          </c:dPt>
          <c:dPt>
            <c:idx val="1486"/>
          </c:dPt>
          <c:dPt>
            <c:idx val="1487"/>
          </c:dPt>
          <c:dPt>
            <c:idx val="1488"/>
          </c:dPt>
          <c:dPt>
            <c:idx val="1489"/>
          </c:dPt>
          <c:dPt>
            <c:idx val="1490"/>
          </c:dPt>
          <c:dPt>
            <c:idx val="1491"/>
          </c:dPt>
          <c:dPt>
            <c:idx val="1492"/>
          </c:dPt>
          <c:dPt>
            <c:idx val="1493"/>
          </c:dPt>
          <c:dPt>
            <c:idx val="1494"/>
          </c:dPt>
          <c:dPt>
            <c:idx val="1495"/>
          </c:dPt>
          <c:dPt>
            <c:idx val="1496"/>
          </c:dPt>
          <c:dPt>
            <c:idx val="1497"/>
          </c:dPt>
          <c:dPt>
            <c:idx val="14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'ข้อมูล Dashboard รายเดือน'!$V$2:$V$1500</c:f>
            </c:strRef>
          </c:cat>
          <c:val>
            <c:numRef>
              <c:f>'ข้อมูล Dashboard รายเดือน'!$W$2:$W$1500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E8F0FE"/>
              </a:solidFill>
            </c:spPr>
          </c:dPt>
          <c:dPt>
            <c:idx val="2"/>
            <c:spPr>
              <a:solidFill>
                <a:srgbClr val="FCE8B2"/>
              </a:solidFill>
            </c:spPr>
          </c:dPt>
          <c:dPt>
            <c:idx val="3"/>
            <c:spPr>
              <a:solidFill>
                <a:srgbClr val="E1C26E"/>
              </a:solidFill>
            </c:spPr>
          </c:dPt>
          <c:dPt>
            <c:idx val="4"/>
            <c:spPr>
              <a:solidFill>
                <a:srgbClr val="42424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'📊 รายงานสินค้าที่ไม่เคลื่อนไหว'!$C$15:$C$19</c:f>
            </c:strRef>
          </c:cat>
          <c:val>
            <c:numRef>
              <c:f>'📊 รายงานสินค้าที่ไม่เคลื่อนไหว'!$D$15:$D$19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B7E1CD"/>
              </a:solidFill>
            </c:spPr>
          </c:dPt>
          <c:dPt>
            <c:idx val="2"/>
            <c:spPr>
              <a:solidFill>
                <a:srgbClr val="E8F0FE"/>
              </a:solidFill>
            </c:spPr>
          </c:dPt>
          <c:dPt>
            <c:idx val="3"/>
            <c:spPr>
              <a:solidFill>
                <a:srgbClr val="E1C26E"/>
              </a:solidFill>
            </c:spPr>
          </c:dPt>
          <c:dPt>
            <c:idx val="4"/>
            <c:spPr>
              <a:solidFill>
                <a:srgbClr val="E1C26E"/>
              </a:solidFill>
            </c:spPr>
          </c:dPt>
          <c:dPt>
            <c:idx val="5"/>
            <c:spPr>
              <a:solidFill>
                <a:srgbClr val="42424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'📊 Dashboard สต๊อกสินค้า'!$M$16:$M$21</c:f>
            </c:strRef>
          </c:cat>
          <c:val>
            <c:numRef>
              <c:f>'📊 Dashboard สต๊อกสินค้า'!$O$16:$O$21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'ข้อมูล Inventory Dashboard'!$Z$3:$Z$4</cx:f>
      </cx:numDim>
      <cx:strDim type="cat">
        <cx:f>'ข้อมูล Inventory Dashboard'!$Y$3:$Y$4</cx:f>
      </cx:strDim>
    </cx:data>
  </cx:chartData>
  <cx:chart>
    <cx:plotArea>
      <cx:plotAreaRegion>
        <cx:series layoutId="waterfall" uniqueId="{9FF01B13-C19D-42BC-AF5D-DA229C105C5B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Tahoma"/>
                </a:defRPr>
              </a:pPr>
              <a:r>
                <a:rPr b="0">
                  <a:solidFill>
                    <a:srgbClr val="000000"/>
                  </a:solidFill>
                  <a:latin typeface="Tahoma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Tahoma"/>
                </a:defRPr>
              </a:pPr>
              <a:r>
                <a:rPr b="0">
                  <a:solidFill>
                    <a:srgbClr val="000000"/>
                  </a:solidFill>
                  <a:latin typeface="Tahoma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  <a:endParaRPr b="0">
            <a:solidFill>
              <a:srgbClr val="1A1A1A"/>
            </a:solidFill>
            <a:latin typeface="Tahoma"/>
          </a:endParaRPr>
        </a:p>
      </cx:txPr>
    </cx:legend>
  </cx:chart>
  <cx:spPr>
    <a:solidFill>
      <a:srgbClr val="FFFFFF">
        <a:alpha val="0"/>
      </a:srgbClr>
    </a:solidFill>
  </cx:spPr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99DDCC"/>
  <a:srgbClr val="F4C7C3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png"/><Relationship Id="rId11" Type="http://schemas.openxmlformats.org/officeDocument/2006/relationships/chart" Target="../charts/chart4.xml"/><Relationship Id="rId22" Type="http://schemas.openxmlformats.org/officeDocument/2006/relationships/image" Target="../media/image13.png"/><Relationship Id="rId10" Type="http://schemas.microsoft.com/office/2014/relationships/chartEx" Target="../charts/chartEx1.xml"/><Relationship Id="rId21" Type="http://schemas.openxmlformats.org/officeDocument/2006/relationships/image" Target="../media/image11.png"/><Relationship Id="rId13" Type="http://schemas.openxmlformats.org/officeDocument/2006/relationships/image" Target="../media/image5.png"/><Relationship Id="rId24" Type="http://schemas.openxmlformats.org/officeDocument/2006/relationships/image" Target="../media/image1.png"/><Relationship Id="rId12" Type="http://schemas.openxmlformats.org/officeDocument/2006/relationships/image" Target="../media/image4.png"/><Relationship Id="rId23" Type="http://schemas.openxmlformats.org/officeDocument/2006/relationships/image" Target="../media/image14.png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15" Type="http://schemas.openxmlformats.org/officeDocument/2006/relationships/image" Target="../media/image3.png"/><Relationship Id="rId14" Type="http://schemas.openxmlformats.org/officeDocument/2006/relationships/image" Target="../media/image8.png"/><Relationship Id="rId17" Type="http://schemas.openxmlformats.org/officeDocument/2006/relationships/image" Target="../media/image12.png"/><Relationship Id="rId16" Type="http://schemas.openxmlformats.org/officeDocument/2006/relationships/image" Target="../media/image7.png"/><Relationship Id="rId5" Type="http://schemas.openxmlformats.org/officeDocument/2006/relationships/chart" Target="../charts/chart1.xml"/><Relationship Id="rId19" Type="http://schemas.openxmlformats.org/officeDocument/2006/relationships/image" Target="../media/image10.png"/><Relationship Id="rId6" Type="http://schemas.openxmlformats.org/officeDocument/2006/relationships/chart" Target="../charts/chart2.xml"/><Relationship Id="rId18" Type="http://schemas.openxmlformats.org/officeDocument/2006/relationships/image" Target="../media/image9.png"/><Relationship Id="rId7" Type="http://schemas.openxmlformats.org/officeDocument/2006/relationships/chart" Target="../charts/chart3.xml"/><Relationship Id="rId8" Type="http://schemas.openxmlformats.org/officeDocument/2006/relationships/image" Target="../media/Chart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5.png"/><Relationship Id="rId2" Type="http://schemas.openxmlformats.org/officeDocument/2006/relationships/image" Target="../media/Chart2.png"/><Relationship Id="rId3" Type="http://schemas.openxmlformats.org/officeDocument/2006/relationships/image" Target="../media/Chart17.png"/><Relationship Id="rId4" Type="http://schemas.openxmlformats.org/officeDocument/2006/relationships/image" Target="../media/Chart18.png"/><Relationship Id="rId9" Type="http://schemas.openxmlformats.org/officeDocument/2006/relationships/image" Target="../media/image2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8.png"/><Relationship Id="rId8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20.png"/><Relationship Id="rId2" Type="http://schemas.openxmlformats.org/officeDocument/2006/relationships/chart" Target="../charts/chart6.xml"/><Relationship Id="rId3" Type="http://schemas.openxmlformats.org/officeDocument/2006/relationships/image" Target="../media/Chart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Chart25.png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image" Target="../media/Chart28.png"/><Relationship Id="rId6" Type="http://schemas.openxmlformats.org/officeDocument/2006/relationships/chart" Target="../charts/chart11.xml"/><Relationship Id="rId7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638175</xdr:colOff>
      <xdr:row>3</xdr:row>
      <xdr:rowOff>85725</xdr:rowOff>
    </xdr:from>
    <xdr:ext cx="542925" cy="476250"/>
    <xdr:pic>
      <xdr:nvPicPr>
        <xdr:cNvPr id="101887523" name="Chart1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752475</xdr:colOff>
      <xdr:row>3</xdr:row>
      <xdr:rowOff>85725</xdr:rowOff>
    </xdr:from>
    <xdr:ext cx="1609725" cy="476250"/>
    <xdr:pic>
      <xdr:nvPicPr>
        <xdr:cNvPr id="697835696" name="Chart2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3</xdr:row>
      <xdr:rowOff>85725</xdr:rowOff>
    </xdr:from>
    <xdr:ext cx="1609725" cy="476250"/>
    <xdr:pic>
      <xdr:nvPicPr>
        <xdr:cNvPr id="806550280" name="Chart3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381000</xdr:colOff>
      <xdr:row>3</xdr:row>
      <xdr:rowOff>85725</xdr:rowOff>
    </xdr:from>
    <xdr:ext cx="1447800" cy="476250"/>
    <xdr:pic>
      <xdr:nvPicPr>
        <xdr:cNvPr id="1351144793" name="Chart4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10</xdr:row>
      <xdr:rowOff>142875</xdr:rowOff>
    </xdr:from>
    <xdr:ext cx="5095875" cy="2524125"/>
    <xdr:graphicFrame>
      <xdr:nvGraphicFramePr>
        <xdr:cNvPr id="5" name="Chart 5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819150</xdr:colOff>
      <xdr:row>10</xdr:row>
      <xdr:rowOff>95250</xdr:rowOff>
    </xdr:from>
    <xdr:ext cx="5381625" cy="4581525"/>
    <xdr:graphicFrame>
      <xdr:nvGraphicFramePr>
        <xdr:cNvPr id="6" name="Chart 6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228600</xdr:colOff>
      <xdr:row>27</xdr:row>
      <xdr:rowOff>171450</xdr:rowOff>
    </xdr:from>
    <xdr:ext cx="5095875" cy="2657475"/>
    <xdr:graphicFrame>
      <xdr:nvGraphicFramePr>
        <xdr:cNvPr id="7" name="Chart 7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123825</xdr:colOff>
      <xdr:row>11</xdr:row>
      <xdr:rowOff>38100</xdr:rowOff>
    </xdr:from>
    <xdr:ext cx="542925" cy="476250"/>
    <xdr:pic>
      <xdr:nvPicPr>
        <xdr:cNvPr id="312826326" name="Chart8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18</xdr:row>
      <xdr:rowOff>9525</xdr:rowOff>
    </xdr:from>
    <xdr:ext cx="1076325" cy="476250"/>
    <xdr:pic>
      <xdr:nvPicPr>
        <xdr:cNvPr id="1547545676" name="Chart9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25</xdr:row>
      <xdr:rowOff>28575</xdr:rowOff>
    </xdr:from>
    <xdr:ext cx="542925" cy="476250"/>
    <xdr:pic>
      <xdr:nvPicPr>
        <xdr:cNvPr id="934048561" name="Chart10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32</xdr:row>
      <xdr:rowOff>47625</xdr:rowOff>
    </xdr:from>
    <xdr:ext cx="542925" cy="476250"/>
    <xdr:pic>
      <xdr:nvPicPr>
        <xdr:cNvPr id="411191061" name="Chart11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45</xdr:row>
      <xdr:rowOff>133350</xdr:rowOff>
    </xdr:from>
    <xdr:ext cx="5191125" cy="2524125"/>
    <mc:AlternateContent>
      <mc:Choice Requires="cx1">
        <xdr:graphicFrame>
          <xdr:nvGraphicFramePr>
            <xdr:cNvPr id="12" name="Chart 12" title="แผนภูมิ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0"/>
            </a:graphicData>
          </a:graphic>
        </xdr:graphicFrame>
      </mc:Choice>
      <mc:Fallback>
        <xdr:sp>
          <xdr:nvSpPr>
            <xdr:cNvPr id="13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9</xdr:col>
      <xdr:colOff>819150</xdr:colOff>
      <xdr:row>36</xdr:row>
      <xdr:rowOff>28575</xdr:rowOff>
    </xdr:from>
    <xdr:ext cx="5381625" cy="4581525"/>
    <xdr:graphicFrame>
      <xdr:nvGraphicFramePr>
        <xdr:cNvPr id="14" name="Chart 14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123825</xdr:colOff>
      <xdr:row>4</xdr:row>
      <xdr:rowOff>180975</xdr:rowOff>
    </xdr:from>
    <xdr:ext cx="2105025" cy="419100"/>
    <xdr:sp>
      <xdr:nvSpPr>
        <xdr:cNvPr id="3" name="Shape 3"/>
        <xdr:cNvSpPr txBox="1"/>
      </xdr:nvSpPr>
      <xdr:spPr>
        <a:xfrm>
          <a:off x="119425" y="159225"/>
          <a:ext cx="20898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Noto Sans Thai"/>
              <a:ea typeface="Noto Sans Thai"/>
              <a:cs typeface="Noto Sans Thai"/>
              <a:sym typeface="Noto Sans Thai"/>
            </a:rPr>
            <a:t>Inventory Dashboard</a:t>
          </a:r>
          <a:endParaRPr b="1" sz="1400">
            <a:latin typeface="Noto Sans Thai"/>
            <a:ea typeface="Noto Sans Thai"/>
            <a:cs typeface="Noto Sans Thai"/>
            <a:sym typeface="Noto Sans Thai"/>
          </a:endParaRPr>
        </a:p>
      </xdr:txBody>
    </xdr:sp>
    <xdr:clientData fLocksWithSheet="0"/>
  </xdr:oneCellAnchor>
  <xdr:oneCellAnchor>
    <xdr:from>
      <xdr:col>5</xdr:col>
      <xdr:colOff>295275</xdr:colOff>
      <xdr:row>0</xdr:row>
      <xdr:rowOff>257175</xdr:rowOff>
    </xdr:from>
    <xdr:ext cx="9153525" cy="1057275"/>
    <xdr:grpSp>
      <xdr:nvGrpSpPr>
        <xdr:cNvPr id="2" name="Shape 2" title="ภาพวาด"/>
        <xdr:cNvGrpSpPr/>
      </xdr:nvGrpSpPr>
      <xdr:grpSpPr>
        <a:xfrm>
          <a:off x="0" y="149250"/>
          <a:ext cx="9145200" cy="1035000"/>
          <a:chOff x="0" y="149250"/>
          <a:chExt cx="9145200" cy="1035000"/>
        </a:xfrm>
      </xdr:grpSpPr>
      <xdr:sp>
        <xdr:nvSpPr>
          <xdr:cNvPr id="4" name="Shape 4"/>
          <xdr:cNvSpPr/>
        </xdr:nvSpPr>
        <xdr:spPr>
          <a:xfrm>
            <a:off x="0" y="149250"/>
            <a:ext cx="9145200" cy="1035000"/>
          </a:xfrm>
          <a:prstGeom prst="roundRect">
            <a:avLst>
              <a:gd fmla="val 16667" name="adj"/>
            </a:avLst>
          </a:prstGeom>
          <a:solidFill>
            <a:srgbClr val="F6F6F6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388075" y="298550"/>
            <a:ext cx="1542600" cy="268800"/>
          </a:xfrm>
          <a:prstGeom prst="roundRect">
            <a:avLst>
              <a:gd fmla="val 16667" name="adj"/>
            </a:avLst>
          </a:prstGeom>
          <a:solidFill>
            <a:srgbClr val="BAD7D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latin typeface="Noto Sans Thai"/>
                <a:ea typeface="Noto Sans Thai"/>
                <a:cs typeface="Noto Sans Thai"/>
                <a:sym typeface="Noto Sans Thai"/>
              </a:rPr>
              <a:t>จำนวน </a:t>
            </a:r>
            <a:r>
              <a:rPr lang="en-US" sz="1200">
                <a:latin typeface="Noto Sans Thai"/>
                <a:ea typeface="Noto Sans Thai"/>
                <a:cs typeface="Noto Sans Thai"/>
                <a:sym typeface="Noto Sans Thai"/>
              </a:rPr>
              <a:t>SKU ทั้งหมด</a:t>
            </a:r>
            <a:endParaRPr sz="12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sp>
        <xdr:nvSpPr>
          <xdr:cNvPr id="6" name="Shape 6"/>
          <xdr:cNvSpPr/>
        </xdr:nvSpPr>
        <xdr:spPr>
          <a:xfrm>
            <a:off x="2421225" y="298550"/>
            <a:ext cx="1738200" cy="268800"/>
          </a:xfrm>
          <a:prstGeom prst="roundRect">
            <a:avLst>
              <a:gd fmla="val 16667" name="adj"/>
            </a:avLst>
          </a:prstGeom>
          <a:solidFill>
            <a:srgbClr val="FFE2E2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latin typeface="Noto Sans Thai"/>
                <a:ea typeface="Noto Sans Thai"/>
                <a:cs typeface="Noto Sans Thai"/>
                <a:sym typeface="Noto Sans Thai"/>
              </a:rPr>
              <a:t>มูลค่าสต๊อกรวม</a:t>
            </a:r>
            <a:endParaRPr sz="12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sp>
        <xdr:nvSpPr>
          <xdr:cNvPr id="7" name="Shape 7"/>
          <xdr:cNvSpPr/>
        </xdr:nvSpPr>
        <xdr:spPr>
          <a:xfrm>
            <a:off x="4649975" y="298550"/>
            <a:ext cx="1738200" cy="268800"/>
          </a:xfrm>
          <a:prstGeom prst="roundRect">
            <a:avLst>
              <a:gd fmla="val 16667" name="adj"/>
            </a:avLst>
          </a:prstGeom>
          <a:solidFill>
            <a:srgbClr val="99DDCC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latin typeface="Noto Sans Thai"/>
                <a:ea typeface="Noto Sans Thai"/>
                <a:cs typeface="Noto Sans Thai"/>
                <a:sym typeface="Noto Sans Thai"/>
              </a:rPr>
              <a:t>ยอดขายรวมทั้งปี</a:t>
            </a:r>
            <a:endParaRPr sz="12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sp>
        <xdr:nvSpPr>
          <xdr:cNvPr id="8" name="Shape 8"/>
          <xdr:cNvSpPr/>
        </xdr:nvSpPr>
        <xdr:spPr>
          <a:xfrm>
            <a:off x="6878725" y="298550"/>
            <a:ext cx="1738200" cy="268800"/>
          </a:xfrm>
          <a:prstGeom prst="roundRect">
            <a:avLst>
              <a:gd fmla="val 16667" name="adj"/>
            </a:avLst>
          </a:prstGeom>
          <a:solidFill>
            <a:srgbClr val="99DADD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latin typeface="Noto Sans Thai"/>
                <a:ea typeface="Noto Sans Thai"/>
                <a:cs typeface="Noto Sans Thai"/>
                <a:sym typeface="Noto Sans Thai"/>
              </a:rPr>
              <a:t>มูลค่าสต๊อกเฉลี่ยทั้งปี</a:t>
            </a:r>
            <a:endParaRPr sz="12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pic>
        <xdr:nvPicPr>
          <xdr:cNvPr id="9" name="Shape 9"/>
          <xdr:cNvPicPr preferRelativeResize="0"/>
        </xdr:nvPicPr>
        <xdr:blipFill>
          <a:blip r:embed="rId12">
            <a:alphaModFix/>
          </a:blip>
          <a:stretch>
            <a:fillRect/>
          </a:stretch>
        </xdr:blipFill>
        <xdr:spPr>
          <a:xfrm>
            <a:off x="388075" y="610075"/>
            <a:ext cx="268800" cy="2688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0" name="Shape 10"/>
          <xdr:cNvPicPr preferRelativeResize="0"/>
        </xdr:nvPicPr>
        <xdr:blipFill>
          <a:blip r:embed="rId13">
            <a:alphaModFix/>
          </a:blip>
          <a:stretch>
            <a:fillRect/>
          </a:stretch>
        </xdr:blipFill>
        <xdr:spPr>
          <a:xfrm>
            <a:off x="2421225" y="610075"/>
            <a:ext cx="268800" cy="2688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1" name="Shape 11"/>
          <xdr:cNvPicPr preferRelativeResize="0"/>
        </xdr:nvPicPr>
        <xdr:blipFill>
          <a:blip r:embed="rId14">
            <a:alphaModFix/>
          </a:blip>
          <a:stretch>
            <a:fillRect/>
          </a:stretch>
        </xdr:blipFill>
        <xdr:spPr>
          <a:xfrm>
            <a:off x="4649975" y="610075"/>
            <a:ext cx="268800" cy="2688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2" name="Shape 12"/>
          <xdr:cNvPicPr preferRelativeResize="0"/>
        </xdr:nvPicPr>
        <xdr:blipFill>
          <a:blip r:embed="rId15">
            <a:alphaModFix/>
          </a:blip>
          <a:stretch>
            <a:fillRect/>
          </a:stretch>
        </xdr:blipFill>
        <xdr:spPr>
          <a:xfrm>
            <a:off x="6878725" y="610075"/>
            <a:ext cx="268800" cy="268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152400</xdr:colOff>
      <xdr:row>8</xdr:row>
      <xdr:rowOff>19050</xdr:rowOff>
    </xdr:from>
    <xdr:ext cx="5248275" cy="3200400"/>
    <xdr:grpSp>
      <xdr:nvGrpSpPr>
        <xdr:cNvPr id="2" name="Shape 2" title="ภาพวาด"/>
        <xdr:cNvGrpSpPr/>
      </xdr:nvGrpSpPr>
      <xdr:grpSpPr>
        <a:xfrm>
          <a:off x="0" y="0"/>
          <a:ext cx="5234400" cy="3194400"/>
          <a:chOff x="0" y="0"/>
          <a:chExt cx="5234400" cy="3194400"/>
        </a:xfrm>
      </xdr:grpSpPr>
      <xdr:sp>
        <xdr:nvSpPr>
          <xdr:cNvPr id="13" name="Shape 13"/>
          <xdr:cNvSpPr/>
        </xdr:nvSpPr>
        <xdr:spPr>
          <a:xfrm>
            <a:off x="0" y="0"/>
            <a:ext cx="5234400" cy="31944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587125" y="139325"/>
            <a:ext cx="2746500" cy="308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latin typeface="Noto Sans Thai"/>
                <a:ea typeface="Noto Sans Thai"/>
                <a:cs typeface="Noto Sans Thai"/>
                <a:sym typeface="Noto Sans Thai"/>
              </a:rPr>
              <a:t>การเปลี่ยนแปลงมูลค่าสต๊อกในปี</a:t>
            </a:r>
            <a:endParaRPr b="1" sz="14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pic>
        <xdr:nvPicPr>
          <xdr:cNvPr id="15" name="Shape 15"/>
          <xdr:cNvPicPr preferRelativeResize="0"/>
        </xdr:nvPicPr>
        <xdr:blipFill>
          <a:blip r:embed="rId16">
            <a:alphaModFix/>
          </a:blip>
          <a:stretch>
            <a:fillRect/>
          </a:stretch>
        </xdr:blipFill>
        <xdr:spPr>
          <a:xfrm>
            <a:off x="278725" y="139325"/>
            <a:ext cx="308401" cy="308399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9</xdr:col>
      <xdr:colOff>723900</xdr:colOff>
      <xdr:row>9</xdr:row>
      <xdr:rowOff>-180975</xdr:rowOff>
    </xdr:from>
    <xdr:ext cx="5495925" cy="5057775"/>
    <xdr:sp>
      <xdr:nvSpPr>
        <xdr:cNvPr id="16" name="Shape 16"/>
        <xdr:cNvSpPr/>
      </xdr:nvSpPr>
      <xdr:spPr>
        <a:xfrm>
          <a:off x="0" y="0"/>
          <a:ext cx="5486400" cy="5045100"/>
        </a:xfrm>
        <a:prstGeom prst="roundRect">
          <a:avLst>
            <a:gd fmla="val 16667" name="adj"/>
          </a:avLst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152400</xdr:colOff>
      <xdr:row>25</xdr:row>
      <xdr:rowOff>57150</xdr:rowOff>
    </xdr:from>
    <xdr:ext cx="5248275" cy="3257550"/>
    <xdr:grpSp>
      <xdr:nvGrpSpPr>
        <xdr:cNvPr id="2" name="Shape 2" title="ภาพวาด"/>
        <xdr:cNvGrpSpPr/>
      </xdr:nvGrpSpPr>
      <xdr:grpSpPr>
        <a:xfrm>
          <a:off x="0" y="0"/>
          <a:ext cx="5234400" cy="3244200"/>
          <a:chOff x="0" y="0"/>
          <a:chExt cx="5234400" cy="3244200"/>
        </a:xfrm>
      </xdr:grpSpPr>
      <xdr:sp>
        <xdr:nvSpPr>
          <xdr:cNvPr id="17" name="Shape 17"/>
          <xdr:cNvSpPr/>
        </xdr:nvSpPr>
        <xdr:spPr>
          <a:xfrm>
            <a:off x="0" y="0"/>
            <a:ext cx="5234400" cy="32442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 txBox="1"/>
        </xdr:nvSpPr>
        <xdr:spPr>
          <a:xfrm>
            <a:off x="587125" y="139325"/>
            <a:ext cx="3393300" cy="308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latin typeface="Noto Sans Thai"/>
                <a:ea typeface="Noto Sans Thai"/>
                <a:cs typeface="Noto Sans Thai"/>
                <a:sym typeface="Noto Sans Thai"/>
              </a:rPr>
              <a:t>การเปรียบเทียบยอดขาย และ มูลค่าสต๊อก</a:t>
            </a:r>
            <a:endParaRPr b="1" sz="14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pic>
        <xdr:nvPicPr>
          <xdr:cNvPr id="19" name="Shape 19"/>
          <xdr:cNvPicPr preferRelativeResize="0"/>
        </xdr:nvPicPr>
        <xdr:blipFill rotWithShape="1">
          <a:blip r:embed="rId15">
            <a:alphaModFix/>
          </a:blip>
          <a:srcRect b="0" l="0" r="0" t="0"/>
          <a:stretch/>
        </xdr:blipFill>
        <xdr:spPr>
          <a:xfrm>
            <a:off x="278725" y="139325"/>
            <a:ext cx="308401" cy="308399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85725</xdr:colOff>
      <xdr:row>8</xdr:row>
      <xdr:rowOff>19050</xdr:rowOff>
    </xdr:from>
    <xdr:ext cx="2219325" cy="5924550"/>
    <xdr:grpSp>
      <xdr:nvGrpSpPr>
        <xdr:cNvPr id="2" name="Shape 2" title="ภาพวาด"/>
        <xdr:cNvGrpSpPr/>
      </xdr:nvGrpSpPr>
      <xdr:grpSpPr>
        <a:xfrm>
          <a:off x="0" y="149250"/>
          <a:ext cx="2209200" cy="5901000"/>
          <a:chOff x="0" y="149250"/>
          <a:chExt cx="2209200" cy="5901000"/>
        </a:xfrm>
      </xdr:grpSpPr>
      <xdr:sp>
        <xdr:nvSpPr>
          <xdr:cNvPr id="20" name="Shape 20"/>
          <xdr:cNvSpPr/>
        </xdr:nvSpPr>
        <xdr:spPr>
          <a:xfrm>
            <a:off x="0" y="149250"/>
            <a:ext cx="2209200" cy="5901000"/>
          </a:xfrm>
          <a:prstGeom prst="roundRect">
            <a:avLst>
              <a:gd fmla="val 16667" name="adj"/>
            </a:avLst>
          </a:prstGeom>
          <a:solidFill>
            <a:srgbClr val="F6F6F6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/>
        </xdr:nvSpPr>
        <xdr:spPr>
          <a:xfrm>
            <a:off x="284400" y="408000"/>
            <a:ext cx="1640400" cy="268800"/>
          </a:xfrm>
          <a:prstGeom prst="roundRect">
            <a:avLst>
              <a:gd fmla="val 16667" name="adj"/>
            </a:avLst>
          </a:prstGeom>
          <a:solidFill>
            <a:srgbClr val="BAD7D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latin typeface="Noto Sans Thai"/>
                <a:ea typeface="Noto Sans Thai"/>
                <a:cs typeface="Noto Sans Thai"/>
                <a:sym typeface="Noto Sans Thai"/>
              </a:rPr>
              <a:t>Inventory Turnover</a:t>
            </a:r>
            <a:endParaRPr sz="12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sp>
        <xdr:nvSpPr>
          <xdr:cNvPr id="22" name="Shape 22"/>
          <xdr:cNvSpPr/>
        </xdr:nvSpPr>
        <xdr:spPr>
          <a:xfrm>
            <a:off x="235500" y="1786238"/>
            <a:ext cx="1738200" cy="268800"/>
          </a:xfrm>
          <a:prstGeom prst="roundRect">
            <a:avLst>
              <a:gd fmla="val 16667" name="adj"/>
            </a:avLst>
          </a:prstGeom>
          <a:solidFill>
            <a:srgbClr val="FFE2E2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latin typeface="Noto Sans Thai"/>
                <a:ea typeface="Noto Sans Thai"/>
                <a:cs typeface="Noto Sans Thai"/>
                <a:sym typeface="Noto Sans Thai"/>
              </a:rPr>
              <a:t>Avg. Inv Days of Supply</a:t>
            </a:r>
            <a:endParaRPr sz="10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sp>
        <xdr:nvSpPr>
          <xdr:cNvPr id="23" name="Shape 23"/>
          <xdr:cNvSpPr/>
        </xdr:nvSpPr>
        <xdr:spPr>
          <a:xfrm>
            <a:off x="235500" y="3157013"/>
            <a:ext cx="1738200" cy="268800"/>
          </a:xfrm>
          <a:prstGeom prst="roundRect">
            <a:avLst>
              <a:gd fmla="val 16667" name="adj"/>
            </a:avLst>
          </a:prstGeom>
          <a:solidFill>
            <a:srgbClr val="99DDCC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latin typeface="Noto Sans Thai"/>
                <a:ea typeface="Noto Sans Thai"/>
                <a:cs typeface="Noto Sans Thai"/>
                <a:sym typeface="Noto Sans Thai"/>
              </a:rPr>
              <a:t>Inventory / Sales Ratio (Month)</a:t>
            </a:r>
            <a:endParaRPr sz="8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sp>
        <xdr:nvSpPr>
          <xdr:cNvPr id="24" name="Shape 24"/>
          <xdr:cNvSpPr/>
        </xdr:nvSpPr>
        <xdr:spPr>
          <a:xfrm>
            <a:off x="235500" y="4527800"/>
            <a:ext cx="1738200" cy="268800"/>
          </a:xfrm>
          <a:prstGeom prst="roundRect">
            <a:avLst>
              <a:gd fmla="val 16667" name="adj"/>
            </a:avLst>
          </a:prstGeom>
          <a:solidFill>
            <a:srgbClr val="99DADD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latin typeface="Noto Sans Thai"/>
                <a:ea typeface="Noto Sans Thai"/>
                <a:cs typeface="Noto Sans Thai"/>
                <a:sym typeface="Noto Sans Thai"/>
              </a:rPr>
              <a:t>Inventory / Sales Ratio (Year)</a:t>
            </a:r>
            <a:endParaRPr sz="5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pic>
        <xdr:nvPicPr>
          <xdr:cNvPr id="25" name="Shape 25"/>
          <xdr:cNvPicPr preferRelativeResize="0"/>
        </xdr:nvPicPr>
        <xdr:blipFill rotWithShape="1">
          <a:blip r:embed="rId17">
            <a:alphaModFix/>
          </a:blip>
          <a:srcRect b="0" l="0" r="0" t="0"/>
          <a:stretch/>
        </xdr:blipFill>
        <xdr:spPr>
          <a:xfrm>
            <a:off x="284400" y="719525"/>
            <a:ext cx="268800" cy="2688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6" name="Shape 26"/>
          <xdr:cNvPicPr preferRelativeResize="0"/>
        </xdr:nvPicPr>
        <xdr:blipFill rotWithShape="1">
          <a:blip r:embed="rId18">
            <a:alphaModFix/>
          </a:blip>
          <a:srcRect b="0" l="0" r="0" t="0"/>
          <a:stretch/>
        </xdr:blipFill>
        <xdr:spPr>
          <a:xfrm>
            <a:off x="235500" y="2097763"/>
            <a:ext cx="268800" cy="2688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7" name="Shape 27"/>
          <xdr:cNvPicPr preferRelativeResize="0"/>
        </xdr:nvPicPr>
        <xdr:blipFill rotWithShape="1">
          <a:blip r:embed="rId19">
            <a:alphaModFix/>
          </a:blip>
          <a:srcRect b="0" l="0" r="0" t="0"/>
          <a:stretch/>
        </xdr:blipFill>
        <xdr:spPr>
          <a:xfrm>
            <a:off x="235500" y="3468538"/>
            <a:ext cx="268800" cy="2688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28" name="Shape 28"/>
          <xdr:cNvPicPr preferRelativeResize="0"/>
        </xdr:nvPicPr>
        <xdr:blipFill rotWithShape="1">
          <a:blip r:embed="rId20">
            <a:alphaModFix/>
          </a:blip>
          <a:srcRect b="0" l="0" r="0" t="0"/>
          <a:stretch/>
        </xdr:blipFill>
        <xdr:spPr>
          <a:xfrm>
            <a:off x="235500" y="4839325"/>
            <a:ext cx="268800" cy="268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180975</xdr:colOff>
      <xdr:row>43</xdr:row>
      <xdr:rowOff>19050</xdr:rowOff>
    </xdr:from>
    <xdr:ext cx="5248275" cy="3248025"/>
    <xdr:grpSp>
      <xdr:nvGrpSpPr>
        <xdr:cNvPr id="2" name="Shape 2" title="ภาพวาด"/>
        <xdr:cNvGrpSpPr/>
      </xdr:nvGrpSpPr>
      <xdr:grpSpPr>
        <a:xfrm>
          <a:off x="0" y="0"/>
          <a:ext cx="5234400" cy="3234000"/>
          <a:chOff x="0" y="0"/>
          <a:chExt cx="5234400" cy="3234000"/>
        </a:xfrm>
      </xdr:grpSpPr>
      <xdr:sp>
        <xdr:nvSpPr>
          <xdr:cNvPr id="29" name="Shape 29"/>
          <xdr:cNvSpPr/>
        </xdr:nvSpPr>
        <xdr:spPr>
          <a:xfrm>
            <a:off x="0" y="0"/>
            <a:ext cx="5234400" cy="3234000"/>
          </a:xfrm>
          <a:prstGeom prst="roundRect">
            <a:avLst>
              <a:gd fmla="val 16667" name="adj"/>
            </a:avLst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0" name="Shape 30"/>
          <xdr:cNvSpPr txBox="1"/>
        </xdr:nvSpPr>
        <xdr:spPr>
          <a:xfrm>
            <a:off x="587125" y="139325"/>
            <a:ext cx="3393300" cy="308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latin typeface="Noto Sans Thai"/>
                <a:ea typeface="Noto Sans Thai"/>
                <a:cs typeface="Noto Sans Thai"/>
                <a:sym typeface="Noto Sans Thai"/>
              </a:rPr>
              <a:t>ปริมาณซื้อเข้า - ขายออกของมูลค่าสต๊อก</a:t>
            </a:r>
            <a:endParaRPr b="1" sz="14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pic>
        <xdr:nvPicPr>
          <xdr:cNvPr id="31" name="Shape 31"/>
          <xdr:cNvPicPr preferRelativeResize="0"/>
        </xdr:nvPicPr>
        <xdr:blipFill rotWithShape="1">
          <a:blip r:embed="rId21">
            <a:alphaModFix/>
          </a:blip>
          <a:srcRect b="0" l="0" r="0" t="0"/>
          <a:stretch/>
        </xdr:blipFill>
        <xdr:spPr>
          <a:xfrm>
            <a:off x="278725" y="139325"/>
            <a:ext cx="308401" cy="308399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10</xdr:col>
      <xdr:colOff>304800</xdr:colOff>
      <xdr:row>8</xdr:row>
      <xdr:rowOff>123825</xdr:rowOff>
    </xdr:from>
    <xdr:ext cx="2790825" cy="419100"/>
    <xdr:grpSp>
      <xdr:nvGrpSpPr>
        <xdr:cNvPr id="2" name="Shape 2" title="ภาพวาด"/>
        <xdr:cNvGrpSpPr/>
      </xdr:nvGrpSpPr>
      <xdr:grpSpPr>
        <a:xfrm>
          <a:off x="490650" y="129375"/>
          <a:ext cx="2773425" cy="400200"/>
          <a:chOff x="490650" y="129375"/>
          <a:chExt cx="2773425" cy="400200"/>
        </a:xfrm>
      </xdr:grpSpPr>
      <xdr:sp>
        <xdr:nvSpPr>
          <xdr:cNvPr id="32" name="Shape 32"/>
          <xdr:cNvSpPr txBox="1"/>
        </xdr:nvSpPr>
        <xdr:spPr>
          <a:xfrm>
            <a:off x="835875" y="129375"/>
            <a:ext cx="2428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latin typeface="Noto Sans Thai"/>
                <a:ea typeface="Noto Sans Thai"/>
                <a:cs typeface="Noto Sans Thai"/>
                <a:sym typeface="Noto Sans Thai"/>
              </a:rPr>
              <a:t>มูลค่าสินค้าสูงสุด 10 อันดับ</a:t>
            </a:r>
            <a:endParaRPr b="1" sz="14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pic>
        <xdr:nvPicPr>
          <xdr:cNvPr id="33" name="Shape 33"/>
          <xdr:cNvPicPr preferRelativeResize="0"/>
        </xdr:nvPicPr>
        <xdr:blipFill>
          <a:blip r:embed="rId22">
            <a:alphaModFix/>
          </a:blip>
          <a:stretch>
            <a:fillRect/>
          </a:stretch>
        </xdr:blipFill>
        <xdr:spPr>
          <a:xfrm>
            <a:off x="490650" y="156863"/>
            <a:ext cx="345225" cy="3452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9</xdr:col>
      <xdr:colOff>723900</xdr:colOff>
      <xdr:row>34</xdr:row>
      <xdr:rowOff>9525</xdr:rowOff>
    </xdr:from>
    <xdr:ext cx="5495925" cy="5057775"/>
    <xdr:sp>
      <xdr:nvSpPr>
        <xdr:cNvPr id="34" name="Shape 34"/>
        <xdr:cNvSpPr/>
      </xdr:nvSpPr>
      <xdr:spPr>
        <a:xfrm>
          <a:off x="0" y="0"/>
          <a:ext cx="5486400" cy="5045100"/>
        </a:xfrm>
        <a:prstGeom prst="roundRect">
          <a:avLst>
            <a:gd fmla="val 16667" name="adj"/>
          </a:avLst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304800</xdr:colOff>
      <xdr:row>34</xdr:row>
      <xdr:rowOff>123825</xdr:rowOff>
    </xdr:from>
    <xdr:ext cx="2790825" cy="419100"/>
    <xdr:grpSp>
      <xdr:nvGrpSpPr>
        <xdr:cNvPr id="2" name="Shape 2" title="ภาพวาด"/>
        <xdr:cNvGrpSpPr/>
      </xdr:nvGrpSpPr>
      <xdr:grpSpPr>
        <a:xfrm>
          <a:off x="490650" y="129375"/>
          <a:ext cx="2773425" cy="400200"/>
          <a:chOff x="490650" y="129375"/>
          <a:chExt cx="2773425" cy="400200"/>
        </a:xfrm>
      </xdr:grpSpPr>
      <xdr:sp>
        <xdr:nvSpPr>
          <xdr:cNvPr id="35" name="Shape 35"/>
          <xdr:cNvSpPr txBox="1"/>
        </xdr:nvSpPr>
        <xdr:spPr>
          <a:xfrm>
            <a:off x="835875" y="129375"/>
            <a:ext cx="2428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latin typeface="Noto Sans Thai"/>
                <a:ea typeface="Noto Sans Thai"/>
                <a:cs typeface="Noto Sans Thai"/>
                <a:sym typeface="Noto Sans Thai"/>
              </a:rPr>
              <a:t>สินค้ายอดขายสูงสุด</a:t>
            </a:r>
            <a:r>
              <a:rPr b="1" lang="en-US" sz="1400">
                <a:latin typeface="Noto Sans Thai"/>
                <a:ea typeface="Noto Sans Thai"/>
                <a:cs typeface="Noto Sans Thai"/>
                <a:sym typeface="Noto Sans Thai"/>
              </a:rPr>
              <a:t> 10 อันดับ</a:t>
            </a:r>
            <a:endParaRPr b="1" sz="14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pic>
        <xdr:nvPicPr>
          <xdr:cNvPr id="36" name="Shape 36"/>
          <xdr:cNvPicPr preferRelativeResize="0"/>
        </xdr:nvPicPr>
        <xdr:blipFill rotWithShape="1">
          <a:blip r:embed="rId23">
            <a:alphaModFix/>
          </a:blip>
          <a:srcRect b="0" l="0" r="0" t="0"/>
          <a:stretch/>
        </xdr:blipFill>
        <xdr:spPr>
          <a:xfrm>
            <a:off x="490650" y="156863"/>
            <a:ext cx="345225" cy="3452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123825</xdr:colOff>
      <xdr:row>0</xdr:row>
      <xdr:rowOff>257175</xdr:rowOff>
    </xdr:from>
    <xdr:ext cx="809625" cy="809625"/>
    <xdr:pic>
      <xdr:nvPicPr>
        <xdr:cNvPr id="0" name="image1.png" title="รูปภาพ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495300</xdr:colOff>
      <xdr:row>5</xdr:row>
      <xdr:rowOff>142875</xdr:rowOff>
    </xdr:from>
    <xdr:ext cx="866775" cy="476250"/>
    <xdr:pic>
      <xdr:nvPicPr>
        <xdr:cNvPr id="28172004" name="Chart15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5</xdr:row>
      <xdr:rowOff>142875</xdr:rowOff>
    </xdr:from>
    <xdr:ext cx="1609725" cy="476250"/>
    <xdr:pic>
      <xdr:nvPicPr>
        <xdr:cNvPr id="338000582" name="Chart16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533400</xdr:colOff>
      <xdr:row>5</xdr:row>
      <xdr:rowOff>142875</xdr:rowOff>
    </xdr:from>
    <xdr:ext cx="1609725" cy="476250"/>
    <xdr:pic>
      <xdr:nvPicPr>
        <xdr:cNvPr id="39129296" name="Chart17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857250</xdr:colOff>
      <xdr:row>5</xdr:row>
      <xdr:rowOff>142875</xdr:rowOff>
    </xdr:from>
    <xdr:ext cx="933450" cy="476250"/>
    <xdr:pic>
      <xdr:nvPicPr>
        <xdr:cNvPr id="1604627625" name="Chart18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923925</xdr:colOff>
      <xdr:row>1</xdr:row>
      <xdr:rowOff>104775</xdr:rowOff>
    </xdr:from>
    <xdr:ext cx="2105025" cy="419100"/>
    <xdr:sp>
      <xdr:nvSpPr>
        <xdr:cNvPr id="3" name="Shape 3"/>
        <xdr:cNvSpPr txBox="1"/>
      </xdr:nvSpPr>
      <xdr:spPr>
        <a:xfrm>
          <a:off x="119425" y="159225"/>
          <a:ext cx="20898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Noto Sans Thai"/>
              <a:ea typeface="Noto Sans Thai"/>
              <a:cs typeface="Noto Sans Thai"/>
              <a:sym typeface="Noto Sans Thai"/>
            </a:rPr>
            <a:t>Product Search</a:t>
          </a:r>
          <a:endParaRPr b="1" sz="1400">
            <a:latin typeface="Noto Sans Thai"/>
            <a:ea typeface="Noto Sans Thai"/>
            <a:cs typeface="Noto Sans Thai"/>
            <a:sym typeface="Noto Sans Thai"/>
          </a:endParaRPr>
        </a:p>
      </xdr:txBody>
    </xdr:sp>
    <xdr:clientData fLocksWithSheet="0"/>
  </xdr:oneCellAnchor>
  <xdr:oneCellAnchor>
    <xdr:from>
      <xdr:col>3</xdr:col>
      <xdr:colOff>390525</xdr:colOff>
      <xdr:row>3</xdr:row>
      <xdr:rowOff>28575</xdr:rowOff>
    </xdr:from>
    <xdr:ext cx="9153525" cy="1057275"/>
    <xdr:grpSp>
      <xdr:nvGrpSpPr>
        <xdr:cNvPr id="2" name="Shape 2" title="ภาพวาด"/>
        <xdr:cNvGrpSpPr/>
      </xdr:nvGrpSpPr>
      <xdr:grpSpPr>
        <a:xfrm>
          <a:off x="0" y="149250"/>
          <a:ext cx="9145200" cy="1035000"/>
          <a:chOff x="0" y="149250"/>
          <a:chExt cx="9145200" cy="1035000"/>
        </a:xfrm>
      </xdr:grpSpPr>
      <xdr:sp>
        <xdr:nvSpPr>
          <xdr:cNvPr id="4" name="Shape 4"/>
          <xdr:cNvSpPr/>
        </xdr:nvSpPr>
        <xdr:spPr>
          <a:xfrm>
            <a:off x="0" y="149250"/>
            <a:ext cx="9145200" cy="1035000"/>
          </a:xfrm>
          <a:prstGeom prst="roundRect">
            <a:avLst>
              <a:gd fmla="val 16667" name="adj"/>
            </a:avLst>
          </a:prstGeom>
          <a:solidFill>
            <a:srgbClr val="F6F6F6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388075" y="298550"/>
            <a:ext cx="1542600" cy="268800"/>
          </a:xfrm>
          <a:prstGeom prst="roundRect">
            <a:avLst>
              <a:gd fmla="val 16667" name="adj"/>
            </a:avLst>
          </a:prstGeom>
          <a:solidFill>
            <a:srgbClr val="BAD7D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latin typeface="Noto Sans Thai"/>
                <a:ea typeface="Noto Sans Thai"/>
                <a:cs typeface="Noto Sans Thai"/>
                <a:sym typeface="Noto Sans Thai"/>
              </a:rPr>
              <a:t>จำนวน </a:t>
            </a:r>
            <a:r>
              <a:rPr lang="en-US" sz="1200">
                <a:latin typeface="Noto Sans Thai"/>
                <a:ea typeface="Noto Sans Thai"/>
                <a:cs typeface="Noto Sans Thai"/>
                <a:sym typeface="Noto Sans Thai"/>
              </a:rPr>
              <a:t>SKU ที่เลือก</a:t>
            </a:r>
            <a:endParaRPr sz="12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sp>
        <xdr:nvSpPr>
          <xdr:cNvPr id="6" name="Shape 6"/>
          <xdr:cNvSpPr/>
        </xdr:nvSpPr>
        <xdr:spPr>
          <a:xfrm>
            <a:off x="2421225" y="298550"/>
            <a:ext cx="1738200" cy="268800"/>
          </a:xfrm>
          <a:prstGeom prst="roundRect">
            <a:avLst>
              <a:gd fmla="val 16667" name="adj"/>
            </a:avLst>
          </a:prstGeom>
          <a:solidFill>
            <a:srgbClr val="FFE2E2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latin typeface="Noto Sans Thai"/>
                <a:ea typeface="Noto Sans Thai"/>
                <a:cs typeface="Noto Sans Thai"/>
                <a:sym typeface="Noto Sans Thai"/>
              </a:rPr>
              <a:t>มูลค่าสต๊อกรวม</a:t>
            </a:r>
            <a:endParaRPr sz="12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sp>
        <xdr:nvSpPr>
          <xdr:cNvPr id="7" name="Shape 7"/>
          <xdr:cNvSpPr/>
        </xdr:nvSpPr>
        <xdr:spPr>
          <a:xfrm>
            <a:off x="4649975" y="298550"/>
            <a:ext cx="1738200" cy="268800"/>
          </a:xfrm>
          <a:prstGeom prst="roundRect">
            <a:avLst>
              <a:gd fmla="val 16667" name="adj"/>
            </a:avLst>
          </a:prstGeom>
          <a:solidFill>
            <a:srgbClr val="99DDCC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latin typeface="Noto Sans Thai"/>
                <a:ea typeface="Noto Sans Thai"/>
                <a:cs typeface="Noto Sans Thai"/>
                <a:sym typeface="Noto Sans Thai"/>
              </a:rPr>
              <a:t>ยอดขายรวมทั้งปี</a:t>
            </a:r>
            <a:endParaRPr sz="12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sp>
        <xdr:nvSpPr>
          <xdr:cNvPr id="8" name="Shape 8"/>
          <xdr:cNvSpPr/>
        </xdr:nvSpPr>
        <xdr:spPr>
          <a:xfrm>
            <a:off x="6878725" y="298550"/>
            <a:ext cx="1738200" cy="268800"/>
          </a:xfrm>
          <a:prstGeom prst="roundRect">
            <a:avLst>
              <a:gd fmla="val 16667" name="adj"/>
            </a:avLst>
          </a:prstGeom>
          <a:solidFill>
            <a:srgbClr val="99DADD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>
                <a:latin typeface="Noto Sans Thai"/>
                <a:ea typeface="Noto Sans Thai"/>
                <a:cs typeface="Noto Sans Thai"/>
                <a:sym typeface="Noto Sans Thai"/>
              </a:rPr>
              <a:t>มูลค่าสต๊อก/ยอดขาย</a:t>
            </a:r>
            <a:endParaRPr sz="1200">
              <a:latin typeface="Noto Sans Thai"/>
              <a:ea typeface="Noto Sans Thai"/>
              <a:cs typeface="Noto Sans Thai"/>
              <a:sym typeface="Noto Sans Thai"/>
            </a:endParaRPr>
          </a:p>
        </xdr:txBody>
      </xdr:sp>
      <xdr:pic>
        <xdr:nvPicPr>
          <xdr:cNvPr id="9" name="Shape 9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388075" y="610075"/>
            <a:ext cx="268800" cy="2688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0" name="Shape 10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2421225" y="610075"/>
            <a:ext cx="268800" cy="2688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1" name="Shape 11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4649975" y="610075"/>
            <a:ext cx="268800" cy="2688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2" name="Shape 12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6878725" y="610075"/>
            <a:ext cx="268800" cy="2688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628650</xdr:colOff>
      <xdr:row>1</xdr:row>
      <xdr:rowOff>28575</xdr:rowOff>
    </xdr:from>
    <xdr:ext cx="542925" cy="571500"/>
    <xdr:pic>
      <xdr:nvPicPr>
        <xdr:cNvPr id="0" name="image2.png" title="รูปภาพ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171450</xdr:rowOff>
    </xdr:from>
    <xdr:ext cx="1657350" cy="1771650"/>
    <xdr:graphicFrame>
      <xdr:nvGraphicFramePr>
        <xdr:cNvPr id="19" name="Chart 19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5</xdr:row>
      <xdr:rowOff>180975</xdr:rowOff>
    </xdr:from>
    <xdr:ext cx="3381375" cy="2095500"/>
    <xdr:pic>
      <xdr:nvPicPr>
        <xdr:cNvPr id="591148312" name="Chart20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6</xdr:row>
      <xdr:rowOff>95250</xdr:rowOff>
    </xdr:from>
    <xdr:ext cx="2562225" cy="1552575"/>
    <xdr:graphicFrame>
      <xdr:nvGraphicFramePr>
        <xdr:cNvPr id="21" name="Chart 2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933450</xdr:colOff>
      <xdr:row>14</xdr:row>
      <xdr:rowOff>152400</xdr:rowOff>
    </xdr:from>
    <xdr:ext cx="2819400" cy="800100"/>
    <xdr:pic>
      <xdr:nvPicPr>
        <xdr:cNvPr id="1456134352" name="Chart22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1</xdr:row>
      <xdr:rowOff>104775</xdr:rowOff>
    </xdr:from>
    <xdr:ext cx="7648575" cy="164782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5</xdr:row>
      <xdr:rowOff>28575</xdr:rowOff>
    </xdr:from>
    <xdr:ext cx="3057525" cy="1895475"/>
    <xdr:graphicFrame>
      <xdr:nvGraphicFramePr>
        <xdr:cNvPr id="24" name="Chart 24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247650</xdr:colOff>
      <xdr:row>16</xdr:row>
      <xdr:rowOff>47625</xdr:rowOff>
    </xdr:from>
    <xdr:ext cx="3190875" cy="1790700"/>
    <xdr:pic>
      <xdr:nvPicPr>
        <xdr:cNvPr id="108093489" name="Chart25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485775</xdr:colOff>
      <xdr:row>5</xdr:row>
      <xdr:rowOff>114300</xdr:rowOff>
    </xdr:from>
    <xdr:ext cx="2619375" cy="1790700"/>
    <xdr:graphicFrame>
      <xdr:nvGraphicFramePr>
        <xdr:cNvPr id="26" name="Chart 26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19050</xdr:colOff>
      <xdr:row>5</xdr:row>
      <xdr:rowOff>104775</xdr:rowOff>
    </xdr:from>
    <xdr:ext cx="2828925" cy="1743075"/>
    <xdr:graphicFrame>
      <xdr:nvGraphicFramePr>
        <xdr:cNvPr id="27" name="Chart 27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304800</xdr:colOff>
      <xdr:row>16</xdr:row>
      <xdr:rowOff>47625</xdr:rowOff>
    </xdr:from>
    <xdr:ext cx="2714625" cy="1743075"/>
    <xdr:pic>
      <xdr:nvPicPr>
        <xdr:cNvPr id="1599524283" name="Chart28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847725</xdr:colOff>
      <xdr:row>5</xdr:row>
      <xdr:rowOff>19050</xdr:rowOff>
    </xdr:from>
    <xdr:ext cx="1790700" cy="1914525"/>
    <xdr:graphicFrame>
      <xdr:nvGraphicFramePr>
        <xdr:cNvPr id="29" name="Chart 29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13</xdr:col>
      <xdr:colOff>695325</xdr:colOff>
      <xdr:row>4</xdr:row>
      <xdr:rowOff>200025</xdr:rowOff>
    </xdr:from>
    <xdr:ext cx="1790700" cy="1962150"/>
    <xdr:graphicFrame>
      <xdr:nvGraphicFramePr>
        <xdr:cNvPr id="30" name="Chart 30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38.88"/>
    <col customWidth="1" min="3" max="3" width="8.13"/>
    <col customWidth="1" min="5" max="5" width="9.5"/>
    <col customWidth="1" min="13" max="13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5">
        <v>45437.0</v>
      </c>
      <c r="B2" s="6" t="s">
        <v>13</v>
      </c>
      <c r="C2" s="7"/>
      <c r="D2" s="8" t="s">
        <v>14</v>
      </c>
      <c r="E2" s="6"/>
      <c r="F2" s="8">
        <f t="shared" ref="F2:F990" si="1">IF(LEN(B2)&gt;0,C2*E2,"")</f>
        <v>0</v>
      </c>
      <c r="G2" s="9">
        <f>IF(LEN(B2)&gt;0,vlookup(B2,'📊 รายงานสินค้าคงเหลือ'!A:G,6,false)*E2,)</f>
        <v>0</v>
      </c>
      <c r="H2" s="9">
        <f t="shared" ref="H2:H990" si="2">IF(LEN(B2)&gt;0,F2-G2,)</f>
        <v>0</v>
      </c>
      <c r="I2" s="10" t="str">
        <f t="shared" ref="I2:I990" si="3">IF(LEN(B2)&gt;0,H2/F2,)</f>
        <v>#DIV/0!</v>
      </c>
      <c r="J2" s="11" t="str">
        <f t="shared" ref="J2:J990" si="4">IF(A2&lt;&gt;"",YEAR(A2)&amp;"-"&amp;MONTH(A2),"")</f>
        <v>2024-5</v>
      </c>
      <c r="K2" s="11" t="str">
        <f>IFERROR(IF(A2&lt;&gt;"",VLOOKUP(B2,'📦 ชื่อสินค้า'!A:F,6,false),""),)</f>
        <v>รุ่นสีอ่อน</v>
      </c>
      <c r="L2" s="12">
        <f t="shared" ref="L2:L990" si="5">IF(A2&lt;&gt;"",A2,)</f>
        <v>45437</v>
      </c>
      <c r="M2" s="13"/>
    </row>
    <row r="3">
      <c r="A3" s="5">
        <v>45411.0</v>
      </c>
      <c r="B3" s="6" t="s">
        <v>15</v>
      </c>
      <c r="C3" s="7">
        <v>250.0</v>
      </c>
      <c r="D3" s="8" t="s">
        <v>14</v>
      </c>
      <c r="E3" s="6">
        <v>1.0</v>
      </c>
      <c r="F3" s="8">
        <f t="shared" si="1"/>
        <v>250</v>
      </c>
      <c r="G3" s="9" t="str">
        <f>IF(LEN(B3)&gt;0,vlookup(B3,'📊 รายงานสินค้าคงเหลือ'!A:G,6,false)*E3,)</f>
        <v>#VALUE!</v>
      </c>
      <c r="H3" s="9" t="str">
        <f t="shared" si="2"/>
        <v>#VALUE!</v>
      </c>
      <c r="I3" s="10" t="str">
        <f t="shared" si="3"/>
        <v>#VALUE!</v>
      </c>
      <c r="J3" s="11" t="str">
        <f t="shared" si="4"/>
        <v>2024-4</v>
      </c>
      <c r="K3" s="11" t="str">
        <f>IFERROR(IF(A3&lt;&gt;"",VLOOKUP(B3,'📦 ชื่อสินค้า'!A:F,6,false),""),)</f>
        <v>รุ่นหยัก</v>
      </c>
      <c r="L3" s="12">
        <f t="shared" si="5"/>
        <v>45411</v>
      </c>
      <c r="M3" s="13"/>
    </row>
    <row r="4">
      <c r="A4" s="5">
        <v>45426.0</v>
      </c>
      <c r="B4" s="6" t="s">
        <v>16</v>
      </c>
      <c r="C4" s="7">
        <v>150.0</v>
      </c>
      <c r="D4" s="8" t="s">
        <v>14</v>
      </c>
      <c r="E4" s="6">
        <v>20.0</v>
      </c>
      <c r="F4" s="8">
        <f t="shared" si="1"/>
        <v>3000</v>
      </c>
      <c r="G4" s="9">
        <f>IF(LEN(B4)&gt;0,vlookup(B4,'📊 รายงานสินค้าคงเหลือ'!A:G,6,false)*E4,)</f>
        <v>1600</v>
      </c>
      <c r="H4" s="9">
        <f t="shared" si="2"/>
        <v>1400</v>
      </c>
      <c r="I4" s="10">
        <f t="shared" si="3"/>
        <v>0.4666666667</v>
      </c>
      <c r="J4" s="11" t="str">
        <f t="shared" si="4"/>
        <v>2024-5</v>
      </c>
      <c r="K4" s="11" t="str">
        <f>IFERROR(IF(A4&lt;&gt;"",VLOOKUP(B4,'📦 ชื่อสินค้า'!A:F,6,false),""),)</f>
        <v>รุ่นสีอ่อน</v>
      </c>
      <c r="L4" s="12">
        <f t="shared" si="5"/>
        <v>45426</v>
      </c>
      <c r="M4" s="13"/>
    </row>
    <row r="5">
      <c r="A5" s="5">
        <v>45430.0</v>
      </c>
      <c r="B5" s="6" t="s">
        <v>17</v>
      </c>
      <c r="C5" s="7">
        <v>150.0</v>
      </c>
      <c r="D5" s="8" t="s">
        <v>14</v>
      </c>
      <c r="E5" s="6">
        <v>3.0</v>
      </c>
      <c r="F5" s="8">
        <f t="shared" si="1"/>
        <v>450</v>
      </c>
      <c r="G5" s="9">
        <f>IF(LEN(B5)&gt;0,vlookup(B5,'📊 รายงานสินค้าคงเหลือ'!A:G,6,false)*E5,)</f>
        <v>240</v>
      </c>
      <c r="H5" s="9">
        <f t="shared" si="2"/>
        <v>210</v>
      </c>
      <c r="I5" s="10">
        <f t="shared" si="3"/>
        <v>0.4666666667</v>
      </c>
      <c r="J5" s="11" t="str">
        <f t="shared" si="4"/>
        <v>2024-5</v>
      </c>
      <c r="K5" s="11" t="str">
        <f>IFERROR(IF(A5&lt;&gt;"",VLOOKUP(B5,'📦 ชื่อสินค้า'!A:F,6,false),""),)</f>
        <v>รุ่นสีอ่อน</v>
      </c>
      <c r="L5" s="12">
        <f t="shared" si="5"/>
        <v>45430</v>
      </c>
      <c r="M5" s="13"/>
    </row>
    <row r="6">
      <c r="A6" s="5">
        <v>45430.0</v>
      </c>
      <c r="B6" s="6" t="s">
        <v>13</v>
      </c>
      <c r="C6" s="7">
        <v>150.0</v>
      </c>
      <c r="D6" s="8" t="s">
        <v>14</v>
      </c>
      <c r="E6" s="6">
        <v>3.0</v>
      </c>
      <c r="F6" s="8">
        <f t="shared" si="1"/>
        <v>450</v>
      </c>
      <c r="G6" s="9">
        <f>IF(LEN(B6)&gt;0,vlookup(B6,'📊 รายงานสินค้าคงเหลือ'!A:G,6,false)*E6,)</f>
        <v>240</v>
      </c>
      <c r="H6" s="9">
        <f t="shared" si="2"/>
        <v>210</v>
      </c>
      <c r="I6" s="10">
        <f t="shared" si="3"/>
        <v>0.4666666667</v>
      </c>
      <c r="J6" s="11" t="str">
        <f t="shared" si="4"/>
        <v>2024-5</v>
      </c>
      <c r="K6" s="11" t="str">
        <f>IFERROR(IF(A6&lt;&gt;"",VLOOKUP(B6,'📦 ชื่อสินค้า'!A:F,6,false),""),)</f>
        <v>รุ่นสีอ่อน</v>
      </c>
      <c r="L6" s="12">
        <f t="shared" si="5"/>
        <v>45430</v>
      </c>
      <c r="M6" s="13"/>
    </row>
    <row r="7">
      <c r="A7" s="5">
        <v>45430.0</v>
      </c>
      <c r="B7" s="6" t="s">
        <v>18</v>
      </c>
      <c r="C7" s="7">
        <v>150.0</v>
      </c>
      <c r="D7" s="8" t="s">
        <v>14</v>
      </c>
      <c r="E7" s="6">
        <v>1.0</v>
      </c>
      <c r="F7" s="8">
        <f t="shared" si="1"/>
        <v>150</v>
      </c>
      <c r="G7" s="9" t="str">
        <f>IF(LEN(B7)&gt;0,vlookup(B7,'📊 รายงานสินค้าคงเหลือ'!A:G,6,false)*E7,)</f>
        <v>#VALUE!</v>
      </c>
      <c r="H7" s="9" t="str">
        <f t="shared" si="2"/>
        <v>#VALUE!</v>
      </c>
      <c r="I7" s="10" t="str">
        <f t="shared" si="3"/>
        <v>#VALUE!</v>
      </c>
      <c r="J7" s="11" t="str">
        <f t="shared" si="4"/>
        <v>2024-5</v>
      </c>
      <c r="K7" s="11" t="str">
        <f>IFERROR(IF(A7&lt;&gt;"",VLOOKUP(B7,'📦 ชื่อสินค้า'!A:F,6,false),""),)</f>
        <v>รุ่นสีอ่อน</v>
      </c>
      <c r="L7" s="12">
        <f t="shared" si="5"/>
        <v>45430</v>
      </c>
      <c r="M7" s="13"/>
    </row>
    <row r="8">
      <c r="A8" s="5">
        <v>45430.0</v>
      </c>
      <c r="B8" s="6" t="s">
        <v>19</v>
      </c>
      <c r="C8" s="7">
        <v>150.0</v>
      </c>
      <c r="D8" s="8" t="s">
        <v>14</v>
      </c>
      <c r="E8" s="6">
        <v>2.0</v>
      </c>
      <c r="F8" s="8">
        <f t="shared" si="1"/>
        <v>300</v>
      </c>
      <c r="G8" s="9">
        <f>IF(LEN(B8)&gt;0,vlookup(B8,'📊 รายงานสินค้าคงเหลือ'!A:G,6,false)*E8,)</f>
        <v>160</v>
      </c>
      <c r="H8" s="9">
        <f t="shared" si="2"/>
        <v>140</v>
      </c>
      <c r="I8" s="10">
        <f t="shared" si="3"/>
        <v>0.4666666667</v>
      </c>
      <c r="J8" s="11" t="str">
        <f t="shared" si="4"/>
        <v>2024-5</v>
      </c>
      <c r="K8" s="11" t="str">
        <f>IFERROR(IF(A8&lt;&gt;"",VLOOKUP(B8,'📦 ชื่อสินค้า'!A:F,6,false),""),)</f>
        <v>รุ่นสีอ่อน</v>
      </c>
      <c r="L8" s="12">
        <f t="shared" si="5"/>
        <v>45430</v>
      </c>
      <c r="M8" s="13"/>
    </row>
    <row r="9">
      <c r="A9" s="5">
        <v>45430.0</v>
      </c>
      <c r="B9" s="6" t="s">
        <v>20</v>
      </c>
      <c r="C9" s="7">
        <v>150.0</v>
      </c>
      <c r="D9" s="8" t="s">
        <v>14</v>
      </c>
      <c r="E9" s="6">
        <v>4.0</v>
      </c>
      <c r="F9" s="8">
        <f t="shared" si="1"/>
        <v>600</v>
      </c>
      <c r="G9" s="9" t="str">
        <f>IF(LEN(B9)&gt;0,vlookup(B9,'📊 รายงานสินค้าคงเหลือ'!A:G,6,false)*E9,)</f>
        <v>#VALUE!</v>
      </c>
      <c r="H9" s="9" t="str">
        <f t="shared" si="2"/>
        <v>#VALUE!</v>
      </c>
      <c r="I9" s="10" t="str">
        <f t="shared" si="3"/>
        <v>#VALUE!</v>
      </c>
      <c r="J9" s="11" t="str">
        <f t="shared" si="4"/>
        <v>2024-5</v>
      </c>
      <c r="K9" s="11" t="str">
        <f>IFERROR(IF(A9&lt;&gt;"",VLOOKUP(B9,'📦 ชื่อสินค้า'!A:F,6,false),""),)</f>
        <v>รุ่นสีอ่อน</v>
      </c>
      <c r="L9" s="12">
        <f t="shared" si="5"/>
        <v>45430</v>
      </c>
      <c r="M9" s="13"/>
    </row>
    <row r="10">
      <c r="A10" s="5">
        <v>45430.0</v>
      </c>
      <c r="B10" s="6" t="s">
        <v>21</v>
      </c>
      <c r="C10" s="7">
        <v>150.0</v>
      </c>
      <c r="D10" s="8" t="s">
        <v>14</v>
      </c>
      <c r="E10" s="6">
        <v>20.0</v>
      </c>
      <c r="F10" s="8">
        <f t="shared" si="1"/>
        <v>3000</v>
      </c>
      <c r="G10" s="9">
        <f>IF(LEN(B10)&gt;0,vlookup(B10,'📊 รายงานสินค้าคงเหลือ'!A:G,6,false)*E10,)</f>
        <v>1687.955801</v>
      </c>
      <c r="H10" s="9">
        <f t="shared" si="2"/>
        <v>1312.044199</v>
      </c>
      <c r="I10" s="10">
        <f t="shared" si="3"/>
        <v>0.4373480663</v>
      </c>
      <c r="J10" s="11" t="str">
        <f t="shared" si="4"/>
        <v>2024-5</v>
      </c>
      <c r="K10" s="11" t="str">
        <f>IFERROR(IF(A10&lt;&gt;"",VLOOKUP(B10,'📦 ชื่อสินค้า'!A:F,6,false),""),)</f>
        <v>รุ่นสีอ่อน</v>
      </c>
      <c r="L10" s="12">
        <f t="shared" si="5"/>
        <v>45430</v>
      </c>
      <c r="M10" s="13"/>
    </row>
    <row r="11">
      <c r="A11" s="5">
        <v>45430.0</v>
      </c>
      <c r="B11" s="6" t="s">
        <v>17</v>
      </c>
      <c r="C11" s="7">
        <v>150.0</v>
      </c>
      <c r="D11" s="8" t="s">
        <v>14</v>
      </c>
      <c r="E11" s="6">
        <v>10.0</v>
      </c>
      <c r="F11" s="8">
        <f t="shared" si="1"/>
        <v>1500</v>
      </c>
      <c r="G11" s="9">
        <f>IF(LEN(B11)&gt;0,vlookup(B11,'📊 รายงานสินค้าคงเหลือ'!A:G,6,false)*E11,)</f>
        <v>800</v>
      </c>
      <c r="H11" s="9">
        <f t="shared" si="2"/>
        <v>700</v>
      </c>
      <c r="I11" s="10">
        <f t="shared" si="3"/>
        <v>0.4666666667</v>
      </c>
      <c r="J11" s="11" t="str">
        <f t="shared" si="4"/>
        <v>2024-5</v>
      </c>
      <c r="K11" s="11" t="str">
        <f>IFERROR(IF(A11&lt;&gt;"",VLOOKUP(B11,'📦 ชื่อสินค้า'!A:F,6,false),""),)</f>
        <v>รุ่นสีอ่อน</v>
      </c>
      <c r="L11" s="12">
        <f t="shared" si="5"/>
        <v>45430</v>
      </c>
      <c r="M11" s="13"/>
    </row>
    <row r="12">
      <c r="A12" s="5">
        <v>45430.0</v>
      </c>
      <c r="B12" s="6" t="s">
        <v>22</v>
      </c>
      <c r="C12" s="7">
        <v>150.0</v>
      </c>
      <c r="D12" s="8" t="s">
        <v>14</v>
      </c>
      <c r="E12" s="6">
        <v>10.0</v>
      </c>
      <c r="F12" s="8">
        <f t="shared" si="1"/>
        <v>1500</v>
      </c>
      <c r="G12" s="9" t="str">
        <f>IF(LEN(B12)&gt;0,vlookup(B12,'📊 รายงานสินค้าคงเหลือ'!A:G,6,false)*E12,)</f>
        <v>#VALUE!</v>
      </c>
      <c r="H12" s="9" t="str">
        <f t="shared" si="2"/>
        <v>#VALUE!</v>
      </c>
      <c r="I12" s="10" t="str">
        <f t="shared" si="3"/>
        <v>#VALUE!</v>
      </c>
      <c r="J12" s="11" t="str">
        <f t="shared" si="4"/>
        <v>2024-5</v>
      </c>
      <c r="K12" s="11" t="str">
        <f>IFERROR(IF(A12&lt;&gt;"",VLOOKUP(B12,'📦 ชื่อสินค้า'!A:F,6,false),""),)</f>
        <v>รุ่นสีอ่อน</v>
      </c>
      <c r="L12" s="12">
        <f t="shared" si="5"/>
        <v>45430</v>
      </c>
      <c r="M12" s="13"/>
    </row>
    <row r="13">
      <c r="A13" s="5">
        <v>45430.0</v>
      </c>
      <c r="B13" s="6" t="s">
        <v>13</v>
      </c>
      <c r="C13" s="7">
        <v>150.0</v>
      </c>
      <c r="D13" s="8" t="s">
        <v>14</v>
      </c>
      <c r="E13" s="6">
        <v>10.0</v>
      </c>
      <c r="F13" s="8">
        <f t="shared" si="1"/>
        <v>1500</v>
      </c>
      <c r="G13" s="9">
        <f>IF(LEN(B13)&gt;0,vlookup(B13,'📊 รายงานสินค้าคงเหลือ'!A:G,6,false)*E13,)</f>
        <v>800</v>
      </c>
      <c r="H13" s="9">
        <f t="shared" si="2"/>
        <v>700</v>
      </c>
      <c r="I13" s="10">
        <f t="shared" si="3"/>
        <v>0.4666666667</v>
      </c>
      <c r="J13" s="11" t="str">
        <f t="shared" si="4"/>
        <v>2024-5</v>
      </c>
      <c r="K13" s="11" t="str">
        <f>IFERROR(IF(A13&lt;&gt;"",VLOOKUP(B13,'📦 ชื่อสินค้า'!A:F,6,false),""),)</f>
        <v>รุ่นสีอ่อน</v>
      </c>
      <c r="L13" s="12">
        <f t="shared" si="5"/>
        <v>45430</v>
      </c>
      <c r="M13" s="13"/>
    </row>
    <row r="14">
      <c r="A14" s="5">
        <v>45430.0</v>
      </c>
      <c r="B14" s="6" t="s">
        <v>23</v>
      </c>
      <c r="C14" s="7">
        <v>150.0</v>
      </c>
      <c r="D14" s="8" t="s">
        <v>14</v>
      </c>
      <c r="E14" s="6">
        <v>10.0</v>
      </c>
      <c r="F14" s="8">
        <f t="shared" si="1"/>
        <v>1500</v>
      </c>
      <c r="G14" s="9">
        <f>IF(LEN(B14)&gt;0,vlookup(B14,'📊 รายงานสินค้าคงเหลือ'!A:G,6,false)*E14,)</f>
        <v>800</v>
      </c>
      <c r="H14" s="9">
        <f t="shared" si="2"/>
        <v>700</v>
      </c>
      <c r="I14" s="10">
        <f t="shared" si="3"/>
        <v>0.4666666667</v>
      </c>
      <c r="J14" s="11" t="str">
        <f t="shared" si="4"/>
        <v>2024-5</v>
      </c>
      <c r="K14" s="11" t="str">
        <f>IFERROR(IF(A14&lt;&gt;"",VLOOKUP(B14,'📦 ชื่อสินค้า'!A:F,6,false),""),)</f>
        <v>รุ่นสีอ่อน</v>
      </c>
      <c r="L14" s="12">
        <f t="shared" si="5"/>
        <v>45430</v>
      </c>
      <c r="M14" s="13"/>
    </row>
    <row r="15">
      <c r="A15" s="5">
        <v>45430.0</v>
      </c>
      <c r="B15" s="6" t="s">
        <v>18</v>
      </c>
      <c r="C15" s="7">
        <v>150.0</v>
      </c>
      <c r="D15" s="8" t="s">
        <v>14</v>
      </c>
      <c r="E15" s="6">
        <v>10.0</v>
      </c>
      <c r="F15" s="8">
        <f t="shared" si="1"/>
        <v>1500</v>
      </c>
      <c r="G15" s="9" t="str">
        <f>IF(LEN(B15)&gt;0,vlookup(B15,'📊 รายงานสินค้าคงเหลือ'!A:G,6,false)*E15,)</f>
        <v>#VALUE!</v>
      </c>
      <c r="H15" s="9" t="str">
        <f t="shared" si="2"/>
        <v>#VALUE!</v>
      </c>
      <c r="I15" s="10" t="str">
        <f t="shared" si="3"/>
        <v>#VALUE!</v>
      </c>
      <c r="J15" s="11" t="str">
        <f t="shared" si="4"/>
        <v>2024-5</v>
      </c>
      <c r="K15" s="11" t="str">
        <f>IFERROR(IF(A15&lt;&gt;"",VLOOKUP(B15,'📦 ชื่อสินค้า'!A:F,6,false),""),)</f>
        <v>รุ่นสีอ่อน</v>
      </c>
      <c r="L15" s="12">
        <f t="shared" si="5"/>
        <v>45430</v>
      </c>
      <c r="M15" s="13"/>
    </row>
    <row r="16">
      <c r="A16" s="5">
        <v>45430.0</v>
      </c>
      <c r="B16" s="6" t="s">
        <v>24</v>
      </c>
      <c r="C16" s="7">
        <v>150.0</v>
      </c>
      <c r="D16" s="8" t="s">
        <v>14</v>
      </c>
      <c r="E16" s="6">
        <v>10.0</v>
      </c>
      <c r="F16" s="8">
        <f t="shared" si="1"/>
        <v>1500</v>
      </c>
      <c r="G16" s="9">
        <f>IF(LEN(B16)&gt;0,vlookup(B16,'📊 รายงานสินค้าคงเหลือ'!A:G,6,false)*E16,)</f>
        <v>800</v>
      </c>
      <c r="H16" s="9">
        <f t="shared" si="2"/>
        <v>700</v>
      </c>
      <c r="I16" s="10">
        <f t="shared" si="3"/>
        <v>0.4666666667</v>
      </c>
      <c r="J16" s="11" t="str">
        <f t="shared" si="4"/>
        <v>2024-5</v>
      </c>
      <c r="K16" s="11" t="str">
        <f>IFERROR(IF(A16&lt;&gt;"",VLOOKUP(B16,'📦 ชื่อสินค้า'!A:F,6,false),""),)</f>
        <v>รุ่นสีอ่อน</v>
      </c>
      <c r="L16" s="12">
        <f t="shared" si="5"/>
        <v>45430</v>
      </c>
      <c r="M16" s="13"/>
    </row>
    <row r="17">
      <c r="A17" s="5">
        <v>45430.0</v>
      </c>
      <c r="B17" s="6" t="s">
        <v>20</v>
      </c>
      <c r="C17" s="7">
        <v>150.0</v>
      </c>
      <c r="D17" s="8" t="s">
        <v>14</v>
      </c>
      <c r="E17" s="6">
        <v>10.0</v>
      </c>
      <c r="F17" s="8">
        <f t="shared" si="1"/>
        <v>1500</v>
      </c>
      <c r="G17" s="9" t="str">
        <f>IF(LEN(B17)&gt;0,vlookup(B17,'📊 รายงานสินค้าคงเหลือ'!A:G,6,false)*E17,)</f>
        <v>#VALUE!</v>
      </c>
      <c r="H17" s="9" t="str">
        <f t="shared" si="2"/>
        <v>#VALUE!</v>
      </c>
      <c r="I17" s="10" t="str">
        <f t="shared" si="3"/>
        <v>#VALUE!</v>
      </c>
      <c r="J17" s="11" t="str">
        <f t="shared" si="4"/>
        <v>2024-5</v>
      </c>
      <c r="K17" s="11" t="str">
        <f>IFERROR(IF(A17&lt;&gt;"",VLOOKUP(B17,'📦 ชื่อสินค้า'!A:F,6,false),""),)</f>
        <v>รุ่นสีอ่อน</v>
      </c>
      <c r="L17" s="12">
        <f t="shared" si="5"/>
        <v>45430</v>
      </c>
      <c r="M17" s="13"/>
    </row>
    <row r="18">
      <c r="A18" s="5">
        <v>45430.0</v>
      </c>
      <c r="B18" s="6" t="s">
        <v>25</v>
      </c>
      <c r="C18" s="7">
        <v>150.0</v>
      </c>
      <c r="D18" s="8" t="s">
        <v>14</v>
      </c>
      <c r="E18" s="6">
        <v>10.0</v>
      </c>
      <c r="F18" s="8">
        <f t="shared" si="1"/>
        <v>1500</v>
      </c>
      <c r="G18" s="9" t="str">
        <f>IF(LEN(B18)&gt;0,vlookup(B18,'📊 รายงานสินค้าคงเหลือ'!A:G,6,false)*E18,)</f>
        <v>#VALUE!</v>
      </c>
      <c r="H18" s="9" t="str">
        <f t="shared" si="2"/>
        <v>#VALUE!</v>
      </c>
      <c r="I18" s="10" t="str">
        <f t="shared" si="3"/>
        <v>#VALUE!</v>
      </c>
      <c r="J18" s="11" t="str">
        <f t="shared" si="4"/>
        <v>2024-5</v>
      </c>
      <c r="K18" s="11" t="str">
        <f>IFERROR(IF(A18&lt;&gt;"",VLOOKUP(B18,'📦 ชื่อสินค้า'!A:F,6,false),""),)</f>
        <v>รุ่นสีอ่อน</v>
      </c>
      <c r="L18" s="12">
        <f t="shared" si="5"/>
        <v>45430</v>
      </c>
      <c r="M18" s="13"/>
    </row>
    <row r="19">
      <c r="A19" s="5">
        <v>45430.0</v>
      </c>
      <c r="B19" s="6" t="s">
        <v>16</v>
      </c>
      <c r="C19" s="7">
        <v>150.0</v>
      </c>
      <c r="D19" s="8" t="s">
        <v>14</v>
      </c>
      <c r="E19" s="6">
        <v>20.0</v>
      </c>
      <c r="F19" s="8">
        <f t="shared" si="1"/>
        <v>3000</v>
      </c>
      <c r="G19" s="9">
        <f>IF(LEN(B19)&gt;0,vlookup(B19,'📊 รายงานสินค้าคงเหลือ'!A:G,6,false)*E19,)</f>
        <v>1600</v>
      </c>
      <c r="H19" s="9">
        <f t="shared" si="2"/>
        <v>1400</v>
      </c>
      <c r="I19" s="10">
        <f t="shared" si="3"/>
        <v>0.4666666667</v>
      </c>
      <c r="J19" s="11" t="str">
        <f t="shared" si="4"/>
        <v>2024-5</v>
      </c>
      <c r="K19" s="11" t="str">
        <f>IFERROR(IF(A19&lt;&gt;"",VLOOKUP(B19,'📦 ชื่อสินค้า'!A:F,6,false),""),)</f>
        <v>รุ่นสีอ่อน</v>
      </c>
      <c r="L19" s="12">
        <f t="shared" si="5"/>
        <v>45430</v>
      </c>
      <c r="M19" s="13"/>
    </row>
    <row r="20">
      <c r="A20" s="5">
        <v>45430.0</v>
      </c>
      <c r="B20" s="6" t="s">
        <v>26</v>
      </c>
      <c r="C20" s="7">
        <v>150.0</v>
      </c>
      <c r="D20" s="8" t="s">
        <v>14</v>
      </c>
      <c r="E20" s="6">
        <v>10.0</v>
      </c>
      <c r="F20" s="8">
        <f t="shared" si="1"/>
        <v>1500</v>
      </c>
      <c r="G20" s="9" t="str">
        <f>IF(LEN(B20)&gt;0,vlookup(B20,'📊 รายงานสินค้าคงเหลือ'!A:G,6,false)*E20,)</f>
        <v>#VALUE!</v>
      </c>
      <c r="H20" s="9" t="str">
        <f t="shared" si="2"/>
        <v>#VALUE!</v>
      </c>
      <c r="I20" s="10" t="str">
        <f t="shared" si="3"/>
        <v>#VALUE!</v>
      </c>
      <c r="J20" s="11" t="str">
        <f t="shared" si="4"/>
        <v>2024-5</v>
      </c>
      <c r="K20" s="11" t="str">
        <f>IFERROR(IF(A20&lt;&gt;"",VLOOKUP(B20,'📦 ชื่อสินค้า'!A:F,6,false),""),)</f>
        <v>รุ่นสีอ่อน</v>
      </c>
      <c r="L20" s="12">
        <f t="shared" si="5"/>
        <v>45430</v>
      </c>
      <c r="M20" s="13"/>
    </row>
    <row r="21">
      <c r="A21" s="5"/>
      <c r="B21" s="6"/>
      <c r="C21" s="14"/>
      <c r="D21" s="8" t="s">
        <v>14</v>
      </c>
      <c r="E21" s="6"/>
      <c r="F21" s="8" t="str">
        <f t="shared" si="1"/>
        <v/>
      </c>
      <c r="G21" s="9" t="str">
        <f>IF(LEN(B21)&gt;0,vlookup(B21,'📊 รายงานสินค้าคงเหลือ'!A:G,6,false)*E21,)</f>
        <v/>
      </c>
      <c r="H21" s="9" t="str">
        <f t="shared" si="2"/>
        <v/>
      </c>
      <c r="I21" s="10" t="str">
        <f t="shared" si="3"/>
        <v/>
      </c>
      <c r="J21" s="11" t="str">
        <f t="shared" si="4"/>
        <v/>
      </c>
      <c r="K21" s="11" t="str">
        <f>IFERROR(IF(A21&lt;&gt;"",VLOOKUP(B21,'📦 ชื่อสินค้า'!A:F,6,false),""),)</f>
        <v/>
      </c>
      <c r="L21" s="11" t="str">
        <f t="shared" si="5"/>
        <v/>
      </c>
      <c r="M21" s="13"/>
    </row>
    <row r="22">
      <c r="A22" s="5"/>
      <c r="B22" s="6"/>
      <c r="C22" s="14"/>
      <c r="D22" s="8" t="s">
        <v>14</v>
      </c>
      <c r="E22" s="6"/>
      <c r="F22" s="8" t="str">
        <f t="shared" si="1"/>
        <v/>
      </c>
      <c r="G22" s="9" t="str">
        <f>IF(LEN(B22)&gt;0,vlookup(B22,'📊 รายงานสินค้าคงเหลือ'!A:G,6,false)*E22,)</f>
        <v/>
      </c>
      <c r="H22" s="9" t="str">
        <f t="shared" si="2"/>
        <v/>
      </c>
      <c r="I22" s="10" t="str">
        <f t="shared" si="3"/>
        <v/>
      </c>
      <c r="J22" s="11" t="str">
        <f t="shared" si="4"/>
        <v/>
      </c>
      <c r="K22" s="11" t="str">
        <f>IFERROR(IF(A22&lt;&gt;"",VLOOKUP(B22,'📦 ชื่อสินค้า'!A:F,6,false),""),)</f>
        <v/>
      </c>
      <c r="L22" s="11" t="str">
        <f t="shared" si="5"/>
        <v/>
      </c>
      <c r="M22" s="13"/>
    </row>
    <row r="23">
      <c r="A23" s="5"/>
      <c r="B23" s="6"/>
      <c r="C23" s="14"/>
      <c r="D23" s="8" t="s">
        <v>14</v>
      </c>
      <c r="E23" s="6"/>
      <c r="F23" s="8" t="str">
        <f t="shared" si="1"/>
        <v/>
      </c>
      <c r="G23" s="9" t="str">
        <f>IF(LEN(B23)&gt;0,vlookup(B23,'📊 รายงานสินค้าคงเหลือ'!A:G,6,false)*E23,)</f>
        <v/>
      </c>
      <c r="H23" s="9" t="str">
        <f t="shared" si="2"/>
        <v/>
      </c>
      <c r="I23" s="10" t="str">
        <f t="shared" si="3"/>
        <v/>
      </c>
      <c r="J23" s="11" t="str">
        <f t="shared" si="4"/>
        <v/>
      </c>
      <c r="K23" s="11" t="str">
        <f>IFERROR(IF(A23&lt;&gt;"",VLOOKUP(B23,'📦 ชื่อสินค้า'!A:F,6,false),""),)</f>
        <v/>
      </c>
      <c r="L23" s="11" t="str">
        <f t="shared" si="5"/>
        <v/>
      </c>
      <c r="M23" s="13"/>
    </row>
    <row r="24">
      <c r="A24" s="5"/>
      <c r="B24" s="6"/>
      <c r="C24" s="14"/>
      <c r="D24" s="8" t="s">
        <v>14</v>
      </c>
      <c r="E24" s="6"/>
      <c r="F24" s="8" t="str">
        <f t="shared" si="1"/>
        <v/>
      </c>
      <c r="G24" s="9" t="str">
        <f>IF(LEN(B24)&gt;0,vlookup(B24,'📊 รายงานสินค้าคงเหลือ'!A:G,6,false)*E24,)</f>
        <v/>
      </c>
      <c r="H24" s="9" t="str">
        <f t="shared" si="2"/>
        <v/>
      </c>
      <c r="I24" s="10" t="str">
        <f t="shared" si="3"/>
        <v/>
      </c>
      <c r="J24" s="11" t="str">
        <f t="shared" si="4"/>
        <v/>
      </c>
      <c r="K24" s="11" t="str">
        <f>IFERROR(IF(A24&lt;&gt;"",VLOOKUP(B24,'📦 ชื่อสินค้า'!A:F,6,false),""),)</f>
        <v/>
      </c>
      <c r="L24" s="11" t="str">
        <f t="shared" si="5"/>
        <v/>
      </c>
      <c r="M24" s="13"/>
    </row>
    <row r="25">
      <c r="A25" s="5"/>
      <c r="B25" s="6"/>
      <c r="C25" s="14"/>
      <c r="D25" s="8" t="s">
        <v>14</v>
      </c>
      <c r="E25" s="6"/>
      <c r="F25" s="8" t="str">
        <f t="shared" si="1"/>
        <v/>
      </c>
      <c r="G25" s="9" t="str">
        <f>IF(LEN(B25)&gt;0,vlookup(B25,'📊 รายงานสินค้าคงเหลือ'!A:G,6,false)*E25,)</f>
        <v/>
      </c>
      <c r="H25" s="9" t="str">
        <f t="shared" si="2"/>
        <v/>
      </c>
      <c r="I25" s="10" t="str">
        <f t="shared" si="3"/>
        <v/>
      </c>
      <c r="J25" s="11" t="str">
        <f t="shared" si="4"/>
        <v/>
      </c>
      <c r="K25" s="11" t="str">
        <f>IFERROR(IF(A25&lt;&gt;"",VLOOKUP(B25,'📦 ชื่อสินค้า'!A:F,6,false),""),)</f>
        <v/>
      </c>
      <c r="L25" s="11" t="str">
        <f t="shared" si="5"/>
        <v/>
      </c>
      <c r="M25" s="13"/>
    </row>
    <row r="26">
      <c r="A26" s="5"/>
      <c r="B26" s="6"/>
      <c r="C26" s="14"/>
      <c r="D26" s="8" t="s">
        <v>14</v>
      </c>
      <c r="E26" s="6"/>
      <c r="F26" s="8" t="str">
        <f t="shared" si="1"/>
        <v/>
      </c>
      <c r="G26" s="9" t="str">
        <f>IF(LEN(B26)&gt;0,vlookup(B26,'📊 รายงานสินค้าคงเหลือ'!A:G,6,false)*E26,)</f>
        <v/>
      </c>
      <c r="H26" s="9" t="str">
        <f t="shared" si="2"/>
        <v/>
      </c>
      <c r="I26" s="10" t="str">
        <f t="shared" si="3"/>
        <v/>
      </c>
      <c r="J26" s="11" t="str">
        <f t="shared" si="4"/>
        <v/>
      </c>
      <c r="K26" s="11" t="str">
        <f>IFERROR(IF(A26&lt;&gt;"",VLOOKUP(B26,'📦 ชื่อสินค้า'!A:F,6,false),""),)</f>
        <v/>
      </c>
      <c r="L26" s="11" t="str">
        <f t="shared" si="5"/>
        <v/>
      </c>
      <c r="M26" s="13"/>
    </row>
    <row r="27">
      <c r="A27" s="5"/>
      <c r="B27" s="6"/>
      <c r="C27" s="14"/>
      <c r="D27" s="8" t="s">
        <v>14</v>
      </c>
      <c r="E27" s="6"/>
      <c r="F27" s="8" t="str">
        <f t="shared" si="1"/>
        <v/>
      </c>
      <c r="G27" s="9" t="str">
        <f>IF(LEN(B27)&gt;0,vlookup(B27,'📊 รายงานสินค้าคงเหลือ'!A:G,6,false)*E27,)</f>
        <v/>
      </c>
      <c r="H27" s="9" t="str">
        <f t="shared" si="2"/>
        <v/>
      </c>
      <c r="I27" s="10" t="str">
        <f t="shared" si="3"/>
        <v/>
      </c>
      <c r="J27" s="11" t="str">
        <f t="shared" si="4"/>
        <v/>
      </c>
      <c r="K27" s="11" t="str">
        <f>IFERROR(IF(A27&lt;&gt;"",VLOOKUP(B27,'📦 ชื่อสินค้า'!A:F,6,false),""),)</f>
        <v/>
      </c>
      <c r="L27" s="11" t="str">
        <f t="shared" si="5"/>
        <v/>
      </c>
      <c r="M27" s="13"/>
    </row>
    <row r="28">
      <c r="A28" s="5"/>
      <c r="B28" s="6"/>
      <c r="C28" s="14"/>
      <c r="D28" s="11"/>
      <c r="E28" s="6"/>
      <c r="F28" s="8" t="str">
        <f t="shared" si="1"/>
        <v/>
      </c>
      <c r="G28" s="9" t="str">
        <f>IF(LEN(B28)&gt;0,vlookup(B28,'📊 รายงานสินค้าคงเหลือ'!A:G,6,false)*E28,)</f>
        <v/>
      </c>
      <c r="H28" s="9" t="str">
        <f t="shared" si="2"/>
        <v/>
      </c>
      <c r="I28" s="10" t="str">
        <f t="shared" si="3"/>
        <v/>
      </c>
      <c r="J28" s="11" t="str">
        <f t="shared" si="4"/>
        <v/>
      </c>
      <c r="K28" s="11" t="str">
        <f>IFERROR(IF(A28&lt;&gt;"",VLOOKUP(B28,'📦 ชื่อสินค้า'!A:F,6,false),""),)</f>
        <v/>
      </c>
      <c r="L28" s="11" t="str">
        <f t="shared" si="5"/>
        <v/>
      </c>
      <c r="M28" s="13"/>
    </row>
    <row r="29">
      <c r="A29" s="5"/>
      <c r="B29" s="6"/>
      <c r="C29" s="14"/>
      <c r="D29" s="11"/>
      <c r="E29" s="6"/>
      <c r="F29" s="8" t="str">
        <f t="shared" si="1"/>
        <v/>
      </c>
      <c r="G29" s="9" t="str">
        <f>IF(LEN(B29)&gt;0,vlookup(B29,'📊 รายงานสินค้าคงเหลือ'!A:G,6,false)*E29,)</f>
        <v/>
      </c>
      <c r="H29" s="9" t="str">
        <f t="shared" si="2"/>
        <v/>
      </c>
      <c r="I29" s="10" t="str">
        <f t="shared" si="3"/>
        <v/>
      </c>
      <c r="J29" s="11" t="str">
        <f t="shared" si="4"/>
        <v/>
      </c>
      <c r="K29" s="11" t="str">
        <f>IFERROR(IF(A29&lt;&gt;"",VLOOKUP(B29,'📦 ชื่อสินค้า'!A:F,6,false),""),)</f>
        <v/>
      </c>
      <c r="L29" s="11" t="str">
        <f t="shared" si="5"/>
        <v/>
      </c>
      <c r="M29" s="13"/>
    </row>
    <row r="30">
      <c r="A30" s="5"/>
      <c r="B30" s="6"/>
      <c r="C30" s="14"/>
      <c r="D30" s="11"/>
      <c r="E30" s="6"/>
      <c r="F30" s="8" t="str">
        <f t="shared" si="1"/>
        <v/>
      </c>
      <c r="G30" s="9" t="str">
        <f>IF(LEN(B30)&gt;0,vlookup(B30,'📊 รายงานสินค้าคงเหลือ'!A:G,6,false)*E30,)</f>
        <v/>
      </c>
      <c r="H30" s="9" t="str">
        <f t="shared" si="2"/>
        <v/>
      </c>
      <c r="I30" s="10" t="str">
        <f t="shared" si="3"/>
        <v/>
      </c>
      <c r="J30" s="11" t="str">
        <f t="shared" si="4"/>
        <v/>
      </c>
      <c r="K30" s="11" t="str">
        <f>IFERROR(IF(A30&lt;&gt;"",VLOOKUP(B30,'📦 ชื่อสินค้า'!A:F,6,false),""),)</f>
        <v/>
      </c>
      <c r="L30" s="11" t="str">
        <f t="shared" si="5"/>
        <v/>
      </c>
      <c r="M30" s="13"/>
    </row>
    <row r="31">
      <c r="A31" s="5"/>
      <c r="B31" s="6"/>
      <c r="C31" s="14"/>
      <c r="D31" s="11"/>
      <c r="E31" s="6"/>
      <c r="F31" s="8" t="str">
        <f t="shared" si="1"/>
        <v/>
      </c>
      <c r="G31" s="9" t="str">
        <f>IF(LEN(B31)&gt;0,vlookup(B31,'📊 รายงานสินค้าคงเหลือ'!A:G,6,false)*E31,)</f>
        <v/>
      </c>
      <c r="H31" s="9" t="str">
        <f t="shared" si="2"/>
        <v/>
      </c>
      <c r="I31" s="10" t="str">
        <f t="shared" si="3"/>
        <v/>
      </c>
      <c r="J31" s="11" t="str">
        <f t="shared" si="4"/>
        <v/>
      </c>
      <c r="K31" s="11" t="str">
        <f>IFERROR(IF(A31&lt;&gt;"",VLOOKUP(B31,'📦 ชื่อสินค้า'!A:F,6,false),""),)</f>
        <v/>
      </c>
      <c r="L31" s="11" t="str">
        <f t="shared" si="5"/>
        <v/>
      </c>
      <c r="M31" s="13"/>
    </row>
    <row r="32">
      <c r="A32" s="5"/>
      <c r="B32" s="6"/>
      <c r="C32" s="14"/>
      <c r="D32" s="11"/>
      <c r="E32" s="6"/>
      <c r="F32" s="8" t="str">
        <f t="shared" si="1"/>
        <v/>
      </c>
      <c r="G32" s="9" t="str">
        <f>IF(LEN(B32)&gt;0,vlookup(B32,'📊 รายงานสินค้าคงเหลือ'!A:G,6,false)*E32,)</f>
        <v/>
      </c>
      <c r="H32" s="9" t="str">
        <f t="shared" si="2"/>
        <v/>
      </c>
      <c r="I32" s="10" t="str">
        <f t="shared" si="3"/>
        <v/>
      </c>
      <c r="J32" s="11" t="str">
        <f t="shared" si="4"/>
        <v/>
      </c>
      <c r="K32" s="11" t="str">
        <f>IFERROR(IF(A32&lt;&gt;"",VLOOKUP(B32,'📦 ชื่อสินค้า'!A:F,6,false),""),)</f>
        <v/>
      </c>
      <c r="L32" s="11" t="str">
        <f t="shared" si="5"/>
        <v/>
      </c>
      <c r="M32" s="13"/>
    </row>
    <row r="33">
      <c r="A33" s="5"/>
      <c r="B33" s="6"/>
      <c r="C33" s="14"/>
      <c r="D33" s="11"/>
      <c r="E33" s="6"/>
      <c r="F33" s="8" t="str">
        <f t="shared" si="1"/>
        <v/>
      </c>
      <c r="G33" s="9" t="str">
        <f>IF(LEN(B33)&gt;0,vlookup(B33,'📊 รายงานสินค้าคงเหลือ'!A:G,6,false)*E33,)</f>
        <v/>
      </c>
      <c r="H33" s="9" t="str">
        <f t="shared" si="2"/>
        <v/>
      </c>
      <c r="I33" s="10" t="str">
        <f t="shared" si="3"/>
        <v/>
      </c>
      <c r="J33" s="11" t="str">
        <f t="shared" si="4"/>
        <v/>
      </c>
      <c r="K33" s="11" t="str">
        <f>IFERROR(IF(A33&lt;&gt;"",VLOOKUP(B33,'📦 ชื่อสินค้า'!A:F,6,false),""),)</f>
        <v/>
      </c>
      <c r="L33" s="11" t="str">
        <f t="shared" si="5"/>
        <v/>
      </c>
      <c r="M33" s="13"/>
    </row>
    <row r="34">
      <c r="A34" s="5"/>
      <c r="B34" s="6"/>
      <c r="C34" s="14"/>
      <c r="D34" s="11"/>
      <c r="E34" s="6"/>
      <c r="F34" s="8" t="str">
        <f t="shared" si="1"/>
        <v/>
      </c>
      <c r="G34" s="9" t="str">
        <f>IF(LEN(B34)&gt;0,vlookup(B34,'📊 รายงานสินค้าคงเหลือ'!A:G,6,false)*E34,)</f>
        <v/>
      </c>
      <c r="H34" s="9" t="str">
        <f t="shared" si="2"/>
        <v/>
      </c>
      <c r="I34" s="10" t="str">
        <f t="shared" si="3"/>
        <v/>
      </c>
      <c r="J34" s="11" t="str">
        <f t="shared" si="4"/>
        <v/>
      </c>
      <c r="K34" s="11" t="str">
        <f>IFERROR(IF(A34&lt;&gt;"",VLOOKUP(B34,'📦 ชื่อสินค้า'!A:F,6,false),""),)</f>
        <v/>
      </c>
      <c r="L34" s="11" t="str">
        <f t="shared" si="5"/>
        <v/>
      </c>
      <c r="M34" s="13"/>
    </row>
    <row r="35">
      <c r="A35" s="5"/>
      <c r="B35" s="6"/>
      <c r="C35" s="14" t="str">
        <f>iferror(vlookup(B35,'📦 ชื่อสินค้า'!A:C,3,false),)</f>
        <v/>
      </c>
      <c r="D35" s="11" t="str">
        <f>iferror(vlookup(B35,'📦 ชื่อสินค้า'!A:D,4,false),"")</f>
        <v/>
      </c>
      <c r="E35" s="6"/>
      <c r="F35" s="8" t="str">
        <f t="shared" si="1"/>
        <v/>
      </c>
      <c r="G35" s="9" t="str">
        <f>IF(LEN(B35)&gt;0,vlookup(B35,'📊 รายงานสินค้าคงเหลือ'!A:G,6,false)*E35,)</f>
        <v/>
      </c>
      <c r="H35" s="9" t="str">
        <f t="shared" si="2"/>
        <v/>
      </c>
      <c r="I35" s="10" t="str">
        <f t="shared" si="3"/>
        <v/>
      </c>
      <c r="J35" s="11" t="str">
        <f t="shared" si="4"/>
        <v/>
      </c>
      <c r="K35" s="11" t="str">
        <f>IFERROR(IF(A35&lt;&gt;"",VLOOKUP(B35,'📦 ชื่อสินค้า'!A:F,6,false),""),)</f>
        <v/>
      </c>
      <c r="L35" s="11" t="str">
        <f t="shared" si="5"/>
        <v/>
      </c>
      <c r="M35" s="13"/>
    </row>
    <row r="36">
      <c r="A36" s="5"/>
      <c r="B36" s="6"/>
      <c r="C36" s="14" t="str">
        <f>iferror(vlookup(B36,'📦 ชื่อสินค้า'!A:C,3,false),)</f>
        <v/>
      </c>
      <c r="D36" s="11" t="str">
        <f>iferror(vlookup(B36,'📦 ชื่อสินค้า'!A:D,4,false),"")</f>
        <v/>
      </c>
      <c r="E36" s="6"/>
      <c r="F36" s="8" t="str">
        <f t="shared" si="1"/>
        <v/>
      </c>
      <c r="G36" s="9" t="str">
        <f>IF(LEN(B36)&gt;0,vlookup(B36,'📊 รายงานสินค้าคงเหลือ'!A:G,6,false)*E36,)</f>
        <v/>
      </c>
      <c r="H36" s="9" t="str">
        <f t="shared" si="2"/>
        <v/>
      </c>
      <c r="I36" s="10" t="str">
        <f t="shared" si="3"/>
        <v/>
      </c>
      <c r="J36" s="11" t="str">
        <f t="shared" si="4"/>
        <v/>
      </c>
      <c r="K36" s="11" t="str">
        <f>IFERROR(IF(A36&lt;&gt;"",VLOOKUP(B36,'📦 ชื่อสินค้า'!A:F,6,false),""),)</f>
        <v/>
      </c>
      <c r="L36" s="11" t="str">
        <f t="shared" si="5"/>
        <v/>
      </c>
      <c r="M36" s="13"/>
    </row>
    <row r="37">
      <c r="A37" s="5"/>
      <c r="B37" s="6"/>
      <c r="C37" s="14" t="str">
        <f>iferror(vlookup(B37,'📦 ชื่อสินค้า'!A:C,3,false),)</f>
        <v/>
      </c>
      <c r="D37" s="11" t="str">
        <f>iferror(vlookup(B37,'📦 ชื่อสินค้า'!A:D,4,false),"")</f>
        <v/>
      </c>
      <c r="E37" s="6"/>
      <c r="F37" s="8" t="str">
        <f t="shared" si="1"/>
        <v/>
      </c>
      <c r="G37" s="9" t="str">
        <f>IF(LEN(B37)&gt;0,vlookup(B37,'📊 รายงานสินค้าคงเหลือ'!A:G,6,false)*E37,)</f>
        <v/>
      </c>
      <c r="H37" s="9" t="str">
        <f t="shared" si="2"/>
        <v/>
      </c>
      <c r="I37" s="10" t="str">
        <f t="shared" si="3"/>
        <v/>
      </c>
      <c r="J37" s="11" t="str">
        <f t="shared" si="4"/>
        <v/>
      </c>
      <c r="K37" s="11" t="str">
        <f>IFERROR(IF(A37&lt;&gt;"",VLOOKUP(B37,'📦 ชื่อสินค้า'!A:F,6,false),""),)</f>
        <v/>
      </c>
      <c r="L37" s="11" t="str">
        <f t="shared" si="5"/>
        <v/>
      </c>
      <c r="M37" s="13"/>
    </row>
    <row r="38">
      <c r="A38" s="5"/>
      <c r="B38" s="6"/>
      <c r="C38" s="14" t="str">
        <f>iferror(vlookup(B38,'📦 ชื่อสินค้า'!A:C,3,false),)</f>
        <v/>
      </c>
      <c r="D38" s="11" t="str">
        <f>iferror(vlookup(B38,'📦 ชื่อสินค้า'!A:D,4,false),"")</f>
        <v/>
      </c>
      <c r="E38" s="6"/>
      <c r="F38" s="8" t="str">
        <f t="shared" si="1"/>
        <v/>
      </c>
      <c r="G38" s="9" t="str">
        <f>IF(LEN(B38)&gt;0,vlookup(B38,'📊 รายงานสินค้าคงเหลือ'!A:G,6,false)*E38,)</f>
        <v/>
      </c>
      <c r="H38" s="9" t="str">
        <f t="shared" si="2"/>
        <v/>
      </c>
      <c r="I38" s="10" t="str">
        <f t="shared" si="3"/>
        <v/>
      </c>
      <c r="J38" s="11" t="str">
        <f t="shared" si="4"/>
        <v/>
      </c>
      <c r="K38" s="11" t="str">
        <f>IFERROR(IF(A38&lt;&gt;"",VLOOKUP(B38,'📦 ชื่อสินค้า'!A:F,6,false),""),)</f>
        <v/>
      </c>
      <c r="L38" s="11" t="str">
        <f t="shared" si="5"/>
        <v/>
      </c>
      <c r="M38" s="13"/>
    </row>
    <row r="39">
      <c r="A39" s="5"/>
      <c r="B39" s="6"/>
      <c r="C39" s="14" t="str">
        <f>iferror(vlookup(B39,'📦 ชื่อสินค้า'!A:C,3,false),)</f>
        <v/>
      </c>
      <c r="D39" s="11" t="str">
        <f>iferror(vlookup(B39,'📦 ชื่อสินค้า'!A:D,4,false),"")</f>
        <v/>
      </c>
      <c r="E39" s="6"/>
      <c r="F39" s="8" t="str">
        <f t="shared" si="1"/>
        <v/>
      </c>
      <c r="G39" s="9" t="str">
        <f>IF(LEN(B39)&gt;0,vlookup(B39,'📊 รายงานสินค้าคงเหลือ'!A:G,6,false)*E39,)</f>
        <v/>
      </c>
      <c r="H39" s="9" t="str">
        <f t="shared" si="2"/>
        <v/>
      </c>
      <c r="I39" s="10" t="str">
        <f t="shared" si="3"/>
        <v/>
      </c>
      <c r="J39" s="11" t="str">
        <f t="shared" si="4"/>
        <v/>
      </c>
      <c r="K39" s="11" t="str">
        <f>IFERROR(IF(A39&lt;&gt;"",VLOOKUP(B39,'📦 ชื่อสินค้า'!A:F,6,false),""),)</f>
        <v/>
      </c>
      <c r="L39" s="11" t="str">
        <f t="shared" si="5"/>
        <v/>
      </c>
      <c r="M39" s="13"/>
    </row>
    <row r="40">
      <c r="A40" s="5"/>
      <c r="B40" s="6"/>
      <c r="C40" s="14" t="str">
        <f>iferror(vlookup(B40,'📦 ชื่อสินค้า'!A:C,3,false),)</f>
        <v/>
      </c>
      <c r="D40" s="11" t="str">
        <f>iferror(vlookup(B40,'📦 ชื่อสินค้า'!A:D,4,false),"")</f>
        <v/>
      </c>
      <c r="E40" s="6"/>
      <c r="F40" s="8" t="str">
        <f t="shared" si="1"/>
        <v/>
      </c>
      <c r="G40" s="9" t="str">
        <f>IF(LEN(B40)&gt;0,vlookup(B40,'📊 รายงานสินค้าคงเหลือ'!A:G,6,false)*E40,)</f>
        <v/>
      </c>
      <c r="H40" s="9" t="str">
        <f t="shared" si="2"/>
        <v/>
      </c>
      <c r="I40" s="10" t="str">
        <f t="shared" si="3"/>
        <v/>
      </c>
      <c r="J40" s="11" t="str">
        <f t="shared" si="4"/>
        <v/>
      </c>
      <c r="K40" s="11" t="str">
        <f>IFERROR(IF(A40&lt;&gt;"",VLOOKUP(B40,'📦 ชื่อสินค้า'!A:F,6,false),""),)</f>
        <v/>
      </c>
      <c r="L40" s="11" t="str">
        <f t="shared" si="5"/>
        <v/>
      </c>
      <c r="M40" s="13"/>
    </row>
    <row r="41">
      <c r="A41" s="5"/>
      <c r="B41" s="6"/>
      <c r="C41" s="14" t="str">
        <f>iferror(vlookup(B41,'📦 ชื่อสินค้า'!A:C,3,false),)</f>
        <v/>
      </c>
      <c r="D41" s="11" t="str">
        <f>iferror(vlookup(B41,'📦 ชื่อสินค้า'!A:D,4,false),"")</f>
        <v/>
      </c>
      <c r="E41" s="6"/>
      <c r="F41" s="8" t="str">
        <f t="shared" si="1"/>
        <v/>
      </c>
      <c r="G41" s="9" t="str">
        <f>IF(LEN(B41)&gt;0,vlookup(B41,'📊 รายงานสินค้าคงเหลือ'!A:G,6,false)*E41,)</f>
        <v/>
      </c>
      <c r="H41" s="9" t="str">
        <f t="shared" si="2"/>
        <v/>
      </c>
      <c r="I41" s="10" t="str">
        <f t="shared" si="3"/>
        <v/>
      </c>
      <c r="J41" s="11" t="str">
        <f t="shared" si="4"/>
        <v/>
      </c>
      <c r="K41" s="11" t="str">
        <f>IFERROR(IF(A41&lt;&gt;"",VLOOKUP(B41,'📦 ชื่อสินค้า'!A:F,6,false),""),)</f>
        <v/>
      </c>
      <c r="L41" s="11" t="str">
        <f t="shared" si="5"/>
        <v/>
      </c>
      <c r="M41" s="13"/>
    </row>
    <row r="42">
      <c r="A42" s="5"/>
      <c r="B42" s="6"/>
      <c r="C42" s="14" t="str">
        <f>iferror(vlookup(B42,'📦 ชื่อสินค้า'!A:C,3,false),)</f>
        <v/>
      </c>
      <c r="D42" s="11" t="str">
        <f>iferror(vlookup(B42,'📦 ชื่อสินค้า'!A:D,4,false),"")</f>
        <v/>
      </c>
      <c r="E42" s="6"/>
      <c r="F42" s="8" t="str">
        <f t="shared" si="1"/>
        <v/>
      </c>
      <c r="G42" s="9" t="str">
        <f>IF(LEN(B42)&gt;0,vlookup(B42,'📊 รายงานสินค้าคงเหลือ'!A:G,6,false)*E42,)</f>
        <v/>
      </c>
      <c r="H42" s="9" t="str">
        <f t="shared" si="2"/>
        <v/>
      </c>
      <c r="I42" s="10" t="str">
        <f t="shared" si="3"/>
        <v/>
      </c>
      <c r="J42" s="11" t="str">
        <f t="shared" si="4"/>
        <v/>
      </c>
      <c r="K42" s="11" t="str">
        <f>IFERROR(IF(A42&lt;&gt;"",VLOOKUP(B42,'📦 ชื่อสินค้า'!A:F,6,false),""),)</f>
        <v/>
      </c>
      <c r="L42" s="11" t="str">
        <f t="shared" si="5"/>
        <v/>
      </c>
      <c r="M42" s="13"/>
    </row>
    <row r="43">
      <c r="A43" s="5"/>
      <c r="B43" s="6"/>
      <c r="C43" s="14" t="str">
        <f>iferror(vlookup(B43,'📦 ชื่อสินค้า'!A:C,3,false),)</f>
        <v/>
      </c>
      <c r="D43" s="11" t="str">
        <f>iferror(vlookup(B43,'📦 ชื่อสินค้า'!A:D,4,false),"")</f>
        <v/>
      </c>
      <c r="E43" s="6"/>
      <c r="F43" s="8" t="str">
        <f t="shared" si="1"/>
        <v/>
      </c>
      <c r="G43" s="9" t="str">
        <f>IF(LEN(B43)&gt;0,vlookup(B43,'📊 รายงานสินค้าคงเหลือ'!A:G,6,false)*E43,)</f>
        <v/>
      </c>
      <c r="H43" s="9" t="str">
        <f t="shared" si="2"/>
        <v/>
      </c>
      <c r="I43" s="10" t="str">
        <f t="shared" si="3"/>
        <v/>
      </c>
      <c r="J43" s="11" t="str">
        <f t="shared" si="4"/>
        <v/>
      </c>
      <c r="K43" s="11" t="str">
        <f>IFERROR(IF(A43&lt;&gt;"",VLOOKUP(B43,'📦 ชื่อสินค้า'!A:F,6,false),""),)</f>
        <v/>
      </c>
      <c r="L43" s="11" t="str">
        <f t="shared" si="5"/>
        <v/>
      </c>
      <c r="M43" s="13"/>
    </row>
    <row r="44">
      <c r="A44" s="5"/>
      <c r="B44" s="6"/>
      <c r="C44" s="14" t="str">
        <f>iferror(vlookup(B44,'📦 ชื่อสินค้า'!A:C,3,false),)</f>
        <v/>
      </c>
      <c r="D44" s="11" t="str">
        <f>iferror(vlookup(B44,'📦 ชื่อสินค้า'!A:D,4,false),"")</f>
        <v/>
      </c>
      <c r="E44" s="6"/>
      <c r="F44" s="8" t="str">
        <f t="shared" si="1"/>
        <v/>
      </c>
      <c r="G44" s="9" t="str">
        <f>IF(LEN(B44)&gt;0,vlookup(B44,'📊 รายงานสินค้าคงเหลือ'!A:G,6,false)*E44,)</f>
        <v/>
      </c>
      <c r="H44" s="9" t="str">
        <f t="shared" si="2"/>
        <v/>
      </c>
      <c r="I44" s="10" t="str">
        <f t="shared" si="3"/>
        <v/>
      </c>
      <c r="J44" s="11" t="str">
        <f t="shared" si="4"/>
        <v/>
      </c>
      <c r="K44" s="11" t="str">
        <f>IFERROR(IF(A44&lt;&gt;"",VLOOKUP(B44,'📦 ชื่อสินค้า'!A:F,6,false),""),)</f>
        <v/>
      </c>
      <c r="L44" s="11" t="str">
        <f t="shared" si="5"/>
        <v/>
      </c>
      <c r="M44" s="13"/>
    </row>
    <row r="45">
      <c r="A45" s="5"/>
      <c r="B45" s="6"/>
      <c r="C45" s="14" t="str">
        <f>iferror(vlookup(B45,'📦 ชื่อสินค้า'!A:C,3,false),)</f>
        <v/>
      </c>
      <c r="D45" s="11" t="str">
        <f>iferror(vlookup(B45,'📦 ชื่อสินค้า'!A:D,4,false),"")</f>
        <v/>
      </c>
      <c r="E45" s="6"/>
      <c r="F45" s="8" t="str">
        <f t="shared" si="1"/>
        <v/>
      </c>
      <c r="G45" s="9" t="str">
        <f>IF(LEN(B45)&gt;0,vlookup(B45,'📊 รายงานสินค้าคงเหลือ'!A:G,6,false)*E45,)</f>
        <v/>
      </c>
      <c r="H45" s="9" t="str">
        <f t="shared" si="2"/>
        <v/>
      </c>
      <c r="I45" s="10" t="str">
        <f t="shared" si="3"/>
        <v/>
      </c>
      <c r="J45" s="11" t="str">
        <f t="shared" si="4"/>
        <v/>
      </c>
      <c r="K45" s="11" t="str">
        <f>IFERROR(IF(A45&lt;&gt;"",VLOOKUP(B45,'📦 ชื่อสินค้า'!A:F,6,false),""),)</f>
        <v/>
      </c>
      <c r="L45" s="11" t="str">
        <f t="shared" si="5"/>
        <v/>
      </c>
      <c r="M45" s="13"/>
    </row>
    <row r="46">
      <c r="A46" s="5"/>
      <c r="B46" s="6"/>
      <c r="C46" s="14" t="str">
        <f>iferror(vlookup(B46,'📦 ชื่อสินค้า'!A:C,3,false),)</f>
        <v/>
      </c>
      <c r="D46" s="11" t="str">
        <f>iferror(vlookup(B46,'📦 ชื่อสินค้า'!A:D,4,false),"")</f>
        <v/>
      </c>
      <c r="E46" s="6"/>
      <c r="F46" s="8" t="str">
        <f t="shared" si="1"/>
        <v/>
      </c>
      <c r="G46" s="9" t="str">
        <f>IF(LEN(B46)&gt;0,vlookup(B46,'📊 รายงานสินค้าคงเหลือ'!A:G,6,false)*E46,)</f>
        <v/>
      </c>
      <c r="H46" s="9" t="str">
        <f t="shared" si="2"/>
        <v/>
      </c>
      <c r="I46" s="10" t="str">
        <f t="shared" si="3"/>
        <v/>
      </c>
      <c r="J46" s="11" t="str">
        <f t="shared" si="4"/>
        <v/>
      </c>
      <c r="K46" s="11" t="str">
        <f>IFERROR(IF(A46&lt;&gt;"",VLOOKUP(B46,'📦 ชื่อสินค้า'!A:F,6,false),""),)</f>
        <v/>
      </c>
      <c r="L46" s="11" t="str">
        <f t="shared" si="5"/>
        <v/>
      </c>
      <c r="M46" s="13"/>
    </row>
    <row r="47">
      <c r="A47" s="5"/>
      <c r="B47" s="6"/>
      <c r="C47" s="14" t="str">
        <f>iferror(vlookup(B47,'📦 ชื่อสินค้า'!A:C,3,false),)</f>
        <v/>
      </c>
      <c r="D47" s="11" t="str">
        <f>iferror(vlookup(B47,'📦 ชื่อสินค้า'!A:D,4,false),"")</f>
        <v/>
      </c>
      <c r="E47" s="6"/>
      <c r="F47" s="8" t="str">
        <f t="shared" si="1"/>
        <v/>
      </c>
      <c r="G47" s="9" t="str">
        <f>IF(LEN(B47)&gt;0,vlookup(B47,'📊 รายงานสินค้าคงเหลือ'!A:G,6,false)*E47,)</f>
        <v/>
      </c>
      <c r="H47" s="9" t="str">
        <f t="shared" si="2"/>
        <v/>
      </c>
      <c r="I47" s="10" t="str">
        <f t="shared" si="3"/>
        <v/>
      </c>
      <c r="J47" s="11" t="str">
        <f t="shared" si="4"/>
        <v/>
      </c>
      <c r="K47" s="11" t="str">
        <f>IFERROR(IF(A47&lt;&gt;"",VLOOKUP(B47,'📦 ชื่อสินค้า'!A:F,6,false),""),)</f>
        <v/>
      </c>
      <c r="L47" s="11" t="str">
        <f t="shared" si="5"/>
        <v/>
      </c>
      <c r="M47" s="13"/>
    </row>
    <row r="48">
      <c r="A48" s="5"/>
      <c r="B48" s="6"/>
      <c r="C48" s="14" t="str">
        <f>iferror(vlookup(B48,'📦 ชื่อสินค้า'!A:C,3,false),)</f>
        <v/>
      </c>
      <c r="D48" s="11" t="str">
        <f>iferror(vlookup(B48,'📦 ชื่อสินค้า'!A:D,4,false),"")</f>
        <v/>
      </c>
      <c r="E48" s="6"/>
      <c r="F48" s="8" t="str">
        <f t="shared" si="1"/>
        <v/>
      </c>
      <c r="G48" s="9" t="str">
        <f>IF(LEN(B48)&gt;0,vlookup(B48,'📊 รายงานสินค้าคงเหลือ'!A:G,6,false)*E48,)</f>
        <v/>
      </c>
      <c r="H48" s="9" t="str">
        <f t="shared" si="2"/>
        <v/>
      </c>
      <c r="I48" s="10" t="str">
        <f t="shared" si="3"/>
        <v/>
      </c>
      <c r="J48" s="11" t="str">
        <f t="shared" si="4"/>
        <v/>
      </c>
      <c r="K48" s="11" t="str">
        <f>IFERROR(IF(A48&lt;&gt;"",VLOOKUP(B48,'📦 ชื่อสินค้า'!A:F,6,false),""),)</f>
        <v/>
      </c>
      <c r="L48" s="11" t="str">
        <f t="shared" si="5"/>
        <v/>
      </c>
      <c r="M48" s="13"/>
    </row>
    <row r="49">
      <c r="A49" s="5"/>
      <c r="B49" s="6"/>
      <c r="C49" s="14" t="str">
        <f>iferror(vlookup(B49,'📦 ชื่อสินค้า'!A:C,3,false),)</f>
        <v/>
      </c>
      <c r="D49" s="11" t="str">
        <f>iferror(vlookup(B49,'📦 ชื่อสินค้า'!A:D,4,false),"")</f>
        <v/>
      </c>
      <c r="E49" s="6"/>
      <c r="F49" s="8" t="str">
        <f t="shared" si="1"/>
        <v/>
      </c>
      <c r="G49" s="9" t="str">
        <f>IF(LEN(B49)&gt;0,vlookup(B49,'📊 รายงานสินค้าคงเหลือ'!A:G,6,false)*E49,)</f>
        <v/>
      </c>
      <c r="H49" s="9" t="str">
        <f t="shared" si="2"/>
        <v/>
      </c>
      <c r="I49" s="10" t="str">
        <f t="shared" si="3"/>
        <v/>
      </c>
      <c r="J49" s="11" t="str">
        <f t="shared" si="4"/>
        <v/>
      </c>
      <c r="K49" s="11" t="str">
        <f>IFERROR(IF(A49&lt;&gt;"",VLOOKUP(B49,'📦 ชื่อสินค้า'!A:F,6,false),""),)</f>
        <v/>
      </c>
      <c r="L49" s="11" t="str">
        <f t="shared" si="5"/>
        <v/>
      </c>
      <c r="M49" s="13"/>
    </row>
    <row r="50">
      <c r="A50" s="5"/>
      <c r="B50" s="6"/>
      <c r="C50" s="14" t="str">
        <f>iferror(vlookup(B50,'📦 ชื่อสินค้า'!A:C,3,false),)</f>
        <v/>
      </c>
      <c r="D50" s="11" t="str">
        <f>iferror(vlookup(B50,'📦 ชื่อสินค้า'!A:D,4,false),"")</f>
        <v/>
      </c>
      <c r="E50" s="6"/>
      <c r="F50" s="8" t="str">
        <f t="shared" si="1"/>
        <v/>
      </c>
      <c r="G50" s="9" t="str">
        <f>IF(LEN(B50)&gt;0,vlookup(B50,'📊 รายงานสินค้าคงเหลือ'!A:G,6,false)*E50,)</f>
        <v/>
      </c>
      <c r="H50" s="9" t="str">
        <f t="shared" si="2"/>
        <v/>
      </c>
      <c r="I50" s="10" t="str">
        <f t="shared" si="3"/>
        <v/>
      </c>
      <c r="J50" s="11" t="str">
        <f t="shared" si="4"/>
        <v/>
      </c>
      <c r="K50" s="11" t="str">
        <f>IFERROR(IF(A50&lt;&gt;"",VLOOKUP(B50,'📦 ชื่อสินค้า'!A:F,6,false),""),)</f>
        <v/>
      </c>
      <c r="L50" s="11" t="str">
        <f t="shared" si="5"/>
        <v/>
      </c>
      <c r="M50" s="13"/>
    </row>
    <row r="51">
      <c r="A51" s="5"/>
      <c r="B51" s="6"/>
      <c r="C51" s="14" t="str">
        <f>iferror(vlookup(B51,'📦 ชื่อสินค้า'!A:C,3,false),)</f>
        <v/>
      </c>
      <c r="D51" s="11" t="str">
        <f>iferror(vlookup(B51,'📦 ชื่อสินค้า'!A:D,4,false),"")</f>
        <v/>
      </c>
      <c r="E51" s="6"/>
      <c r="F51" s="8" t="str">
        <f t="shared" si="1"/>
        <v/>
      </c>
      <c r="G51" s="9" t="str">
        <f>IF(LEN(B51)&gt;0,vlookup(B51,'📊 รายงานสินค้าคงเหลือ'!A:G,6,false)*E51,)</f>
        <v/>
      </c>
      <c r="H51" s="9" t="str">
        <f t="shared" si="2"/>
        <v/>
      </c>
      <c r="I51" s="10" t="str">
        <f t="shared" si="3"/>
        <v/>
      </c>
      <c r="J51" s="11" t="str">
        <f t="shared" si="4"/>
        <v/>
      </c>
      <c r="K51" s="11" t="str">
        <f>IFERROR(IF(A51&lt;&gt;"",VLOOKUP(B51,'📦 ชื่อสินค้า'!A:F,6,false),""),)</f>
        <v/>
      </c>
      <c r="L51" s="11" t="str">
        <f t="shared" si="5"/>
        <v/>
      </c>
      <c r="M51" s="13"/>
    </row>
    <row r="52">
      <c r="A52" s="5"/>
      <c r="B52" s="6"/>
      <c r="C52" s="14" t="str">
        <f>iferror(vlookup(B52,'📦 ชื่อสินค้า'!A:C,3,false),)</f>
        <v/>
      </c>
      <c r="D52" s="11" t="str">
        <f>iferror(vlookup(B52,'📦 ชื่อสินค้า'!A:D,4,false),"")</f>
        <v/>
      </c>
      <c r="E52" s="6"/>
      <c r="F52" s="8" t="str">
        <f t="shared" si="1"/>
        <v/>
      </c>
      <c r="G52" s="9" t="str">
        <f>IF(LEN(B52)&gt;0,vlookup(B52,'📊 รายงานสินค้าคงเหลือ'!A:G,6,false)*E52,)</f>
        <v/>
      </c>
      <c r="H52" s="9" t="str">
        <f t="shared" si="2"/>
        <v/>
      </c>
      <c r="I52" s="10" t="str">
        <f t="shared" si="3"/>
        <v/>
      </c>
      <c r="J52" s="11" t="str">
        <f t="shared" si="4"/>
        <v/>
      </c>
      <c r="K52" s="11" t="str">
        <f>IFERROR(IF(A52&lt;&gt;"",VLOOKUP(B52,'📦 ชื่อสินค้า'!A:F,6,false),""),)</f>
        <v/>
      </c>
      <c r="L52" s="11" t="str">
        <f t="shared" si="5"/>
        <v/>
      </c>
      <c r="M52" s="13"/>
    </row>
    <row r="53">
      <c r="A53" s="5"/>
      <c r="B53" s="6"/>
      <c r="C53" s="14" t="str">
        <f>iferror(vlookup(B53,'📦 ชื่อสินค้า'!A:C,3,false),)</f>
        <v/>
      </c>
      <c r="D53" s="11" t="str">
        <f>iferror(vlookup(B53,'📦 ชื่อสินค้า'!A:D,4,false),"")</f>
        <v/>
      </c>
      <c r="E53" s="6"/>
      <c r="F53" s="8" t="str">
        <f t="shared" si="1"/>
        <v/>
      </c>
      <c r="G53" s="9" t="str">
        <f>IF(LEN(B53)&gt;0,vlookup(B53,'📊 รายงานสินค้าคงเหลือ'!A:G,6,false)*E53,)</f>
        <v/>
      </c>
      <c r="H53" s="9" t="str">
        <f t="shared" si="2"/>
        <v/>
      </c>
      <c r="I53" s="10" t="str">
        <f t="shared" si="3"/>
        <v/>
      </c>
      <c r="J53" s="11" t="str">
        <f t="shared" si="4"/>
        <v/>
      </c>
      <c r="K53" s="11" t="str">
        <f>IFERROR(IF(A53&lt;&gt;"",VLOOKUP(B53,'📦 ชื่อสินค้า'!A:F,6,false),""),)</f>
        <v/>
      </c>
      <c r="L53" s="11" t="str">
        <f t="shared" si="5"/>
        <v/>
      </c>
      <c r="M53" s="13"/>
    </row>
    <row r="54">
      <c r="A54" s="5"/>
      <c r="B54" s="6"/>
      <c r="C54" s="14" t="str">
        <f>iferror(vlookup(B54,'📦 ชื่อสินค้า'!A:C,3,false),)</f>
        <v/>
      </c>
      <c r="D54" s="11" t="str">
        <f>iferror(vlookup(B54,'📦 ชื่อสินค้า'!A:D,4,false),"")</f>
        <v/>
      </c>
      <c r="E54" s="6"/>
      <c r="F54" s="8" t="str">
        <f t="shared" si="1"/>
        <v/>
      </c>
      <c r="G54" s="9" t="str">
        <f>IF(LEN(B54)&gt;0,vlookup(B54,'📊 รายงานสินค้าคงเหลือ'!A:G,6,false)*E54,)</f>
        <v/>
      </c>
      <c r="H54" s="9" t="str">
        <f t="shared" si="2"/>
        <v/>
      </c>
      <c r="I54" s="10" t="str">
        <f t="shared" si="3"/>
        <v/>
      </c>
      <c r="J54" s="11" t="str">
        <f t="shared" si="4"/>
        <v/>
      </c>
      <c r="K54" s="11" t="str">
        <f>IFERROR(IF(A54&lt;&gt;"",VLOOKUP(B54,'📦 ชื่อสินค้า'!A:F,6,false),""),)</f>
        <v/>
      </c>
      <c r="L54" s="11" t="str">
        <f t="shared" si="5"/>
        <v/>
      </c>
      <c r="M54" s="13"/>
    </row>
    <row r="55">
      <c r="A55" s="5"/>
      <c r="B55" s="6"/>
      <c r="C55" s="14" t="str">
        <f>iferror(vlookup(B55,'📦 ชื่อสินค้า'!A:C,3,false),)</f>
        <v/>
      </c>
      <c r="D55" s="11" t="str">
        <f>iferror(vlookup(B55,'📦 ชื่อสินค้า'!A:D,4,false),"")</f>
        <v/>
      </c>
      <c r="E55" s="6"/>
      <c r="F55" s="8" t="str">
        <f t="shared" si="1"/>
        <v/>
      </c>
      <c r="G55" s="9" t="str">
        <f>IF(LEN(B55)&gt;0,vlookup(B55,'📊 รายงานสินค้าคงเหลือ'!A:G,6,false)*E55,)</f>
        <v/>
      </c>
      <c r="H55" s="9" t="str">
        <f t="shared" si="2"/>
        <v/>
      </c>
      <c r="I55" s="10" t="str">
        <f t="shared" si="3"/>
        <v/>
      </c>
      <c r="J55" s="11" t="str">
        <f t="shared" si="4"/>
        <v/>
      </c>
      <c r="K55" s="11" t="str">
        <f>IFERROR(IF(A55&lt;&gt;"",VLOOKUP(B55,'📦 ชื่อสินค้า'!A:F,6,false),""),)</f>
        <v/>
      </c>
      <c r="L55" s="11" t="str">
        <f t="shared" si="5"/>
        <v/>
      </c>
      <c r="M55" s="13"/>
    </row>
    <row r="56">
      <c r="A56" s="15"/>
      <c r="B56" s="6"/>
      <c r="C56" s="14" t="str">
        <f>iferror(vlookup(B56,'📦 ชื่อสินค้า'!A:C,3,false),)</f>
        <v/>
      </c>
      <c r="D56" s="11" t="str">
        <f>iferror(vlookup(B56,'📦 ชื่อสินค้า'!A:D,4,false),"")</f>
        <v/>
      </c>
      <c r="E56" s="16"/>
      <c r="F56" s="8" t="str">
        <f t="shared" si="1"/>
        <v/>
      </c>
      <c r="G56" s="9" t="str">
        <f>IF(LEN(B56)&gt;0,vlookup(B56,'📊 รายงานสินค้าคงเหลือ'!A:G,6,false)*E56,)</f>
        <v/>
      </c>
      <c r="H56" s="9" t="str">
        <f t="shared" si="2"/>
        <v/>
      </c>
      <c r="I56" s="10" t="str">
        <f t="shared" si="3"/>
        <v/>
      </c>
      <c r="J56" s="11" t="str">
        <f t="shared" si="4"/>
        <v/>
      </c>
      <c r="K56" s="11" t="str">
        <f>IFERROR(IF(A56&lt;&gt;"",VLOOKUP(B56,'📦 ชื่อสินค้า'!A:F,6,false),""),)</f>
        <v/>
      </c>
      <c r="L56" s="11" t="str">
        <f t="shared" si="5"/>
        <v/>
      </c>
      <c r="M56" s="13"/>
    </row>
    <row r="57">
      <c r="A57" s="15"/>
      <c r="B57" s="6"/>
      <c r="C57" s="14" t="str">
        <f>iferror(vlookup(B57,'📦 ชื่อสินค้า'!A:C,3,false),)</f>
        <v/>
      </c>
      <c r="D57" s="11" t="str">
        <f>iferror(vlookup(B57,'📦 ชื่อสินค้า'!A:D,4,false),"")</f>
        <v/>
      </c>
      <c r="E57" s="16"/>
      <c r="F57" s="8" t="str">
        <f t="shared" si="1"/>
        <v/>
      </c>
      <c r="G57" s="9" t="str">
        <f>IF(LEN(B57)&gt;0,vlookup(B57,'📊 รายงานสินค้าคงเหลือ'!A:G,6,false)*E57,)</f>
        <v/>
      </c>
      <c r="H57" s="9" t="str">
        <f t="shared" si="2"/>
        <v/>
      </c>
      <c r="I57" s="10" t="str">
        <f t="shared" si="3"/>
        <v/>
      </c>
      <c r="J57" s="11" t="str">
        <f t="shared" si="4"/>
        <v/>
      </c>
      <c r="K57" s="11" t="str">
        <f>IFERROR(IF(A57&lt;&gt;"",VLOOKUP(B57,'📦 ชื่อสินค้า'!A:F,6,false),""),)</f>
        <v/>
      </c>
      <c r="L57" s="11" t="str">
        <f t="shared" si="5"/>
        <v/>
      </c>
      <c r="M57" s="13"/>
    </row>
    <row r="58">
      <c r="A58" s="15"/>
      <c r="B58" s="6"/>
      <c r="C58" s="14" t="str">
        <f>iferror(vlookup(B58,'📦 ชื่อสินค้า'!A:C,3,false),)</f>
        <v/>
      </c>
      <c r="D58" s="11" t="str">
        <f>iferror(vlookup(B58,'📦 ชื่อสินค้า'!A:D,4,false),"")</f>
        <v/>
      </c>
      <c r="E58" s="16"/>
      <c r="F58" s="8" t="str">
        <f t="shared" si="1"/>
        <v/>
      </c>
      <c r="G58" s="9" t="str">
        <f>IF(LEN(B58)&gt;0,vlookup(B58,'📊 รายงานสินค้าคงเหลือ'!A:G,6,false)*E58,)</f>
        <v/>
      </c>
      <c r="H58" s="9" t="str">
        <f t="shared" si="2"/>
        <v/>
      </c>
      <c r="I58" s="10" t="str">
        <f t="shared" si="3"/>
        <v/>
      </c>
      <c r="J58" s="11" t="str">
        <f t="shared" si="4"/>
        <v/>
      </c>
      <c r="K58" s="11" t="str">
        <f>IFERROR(IF(A58&lt;&gt;"",VLOOKUP(B58,'📦 ชื่อสินค้า'!A:F,6,false),""),)</f>
        <v/>
      </c>
      <c r="L58" s="11" t="str">
        <f t="shared" si="5"/>
        <v/>
      </c>
      <c r="M58" s="13"/>
    </row>
    <row r="59">
      <c r="A59" s="15"/>
      <c r="B59" s="6"/>
      <c r="C59" s="14" t="str">
        <f>iferror(vlookup(B59,'📦 ชื่อสินค้า'!A:C,3,false),)</f>
        <v/>
      </c>
      <c r="D59" s="11" t="str">
        <f>iferror(vlookup(B59,'📦 ชื่อสินค้า'!A:D,4,false),"")</f>
        <v/>
      </c>
      <c r="E59" s="16"/>
      <c r="F59" s="8" t="str">
        <f t="shared" si="1"/>
        <v/>
      </c>
      <c r="G59" s="9" t="str">
        <f>IF(LEN(B59)&gt;0,vlookup(B59,'📊 รายงานสินค้าคงเหลือ'!A:G,6,false)*E59,)</f>
        <v/>
      </c>
      <c r="H59" s="9" t="str">
        <f t="shared" si="2"/>
        <v/>
      </c>
      <c r="I59" s="10" t="str">
        <f t="shared" si="3"/>
        <v/>
      </c>
      <c r="J59" s="11" t="str">
        <f t="shared" si="4"/>
        <v/>
      </c>
      <c r="K59" s="11" t="str">
        <f>IFERROR(IF(A59&lt;&gt;"",VLOOKUP(B59,'📦 ชื่อสินค้า'!A:F,6,false),""),)</f>
        <v/>
      </c>
      <c r="L59" s="11" t="str">
        <f t="shared" si="5"/>
        <v/>
      </c>
      <c r="M59" s="13"/>
    </row>
    <row r="60">
      <c r="A60" s="15"/>
      <c r="B60" s="6"/>
      <c r="C60" s="14" t="str">
        <f>iferror(vlookup(B60,'📦 ชื่อสินค้า'!A:C,3,false),)</f>
        <v/>
      </c>
      <c r="D60" s="11" t="str">
        <f>iferror(vlookup(B60,'📦 ชื่อสินค้า'!A:D,4,false),"")</f>
        <v/>
      </c>
      <c r="E60" s="16"/>
      <c r="F60" s="8" t="str">
        <f t="shared" si="1"/>
        <v/>
      </c>
      <c r="G60" s="9" t="str">
        <f>IF(LEN(B60)&gt;0,vlookup(B60,'📊 รายงานสินค้าคงเหลือ'!A:G,6,false)*E60,)</f>
        <v/>
      </c>
      <c r="H60" s="9" t="str">
        <f t="shared" si="2"/>
        <v/>
      </c>
      <c r="I60" s="10" t="str">
        <f t="shared" si="3"/>
        <v/>
      </c>
      <c r="J60" s="11" t="str">
        <f t="shared" si="4"/>
        <v/>
      </c>
      <c r="K60" s="11" t="str">
        <f>IFERROR(IF(A60&lt;&gt;"",VLOOKUP(B60,'📦 ชื่อสินค้า'!A:F,6,false),""),)</f>
        <v/>
      </c>
      <c r="L60" s="11" t="str">
        <f t="shared" si="5"/>
        <v/>
      </c>
      <c r="M60" s="13"/>
    </row>
    <row r="61">
      <c r="A61" s="15"/>
      <c r="B61" s="6"/>
      <c r="C61" s="14" t="str">
        <f>iferror(vlookup(B61,'📦 ชื่อสินค้า'!A:C,3,false),)</f>
        <v/>
      </c>
      <c r="D61" s="11" t="str">
        <f>iferror(vlookup(B61,'📦 ชื่อสินค้า'!A:D,4,false),"")</f>
        <v/>
      </c>
      <c r="E61" s="16"/>
      <c r="F61" s="8" t="str">
        <f t="shared" si="1"/>
        <v/>
      </c>
      <c r="G61" s="9" t="str">
        <f>IF(LEN(B61)&gt;0,vlookup(B61,'📊 รายงานสินค้าคงเหลือ'!A:G,6,false)*E61,)</f>
        <v/>
      </c>
      <c r="H61" s="9" t="str">
        <f t="shared" si="2"/>
        <v/>
      </c>
      <c r="I61" s="10" t="str">
        <f t="shared" si="3"/>
        <v/>
      </c>
      <c r="J61" s="11" t="str">
        <f t="shared" si="4"/>
        <v/>
      </c>
      <c r="K61" s="11" t="str">
        <f>IFERROR(IF(A61&lt;&gt;"",VLOOKUP(B61,'📦 ชื่อสินค้า'!A:F,6,false),""),)</f>
        <v/>
      </c>
      <c r="L61" s="11" t="str">
        <f t="shared" si="5"/>
        <v/>
      </c>
      <c r="M61" s="13"/>
    </row>
    <row r="62">
      <c r="A62" s="15"/>
      <c r="B62" s="6"/>
      <c r="C62" s="14" t="str">
        <f>iferror(vlookup(B62,'📦 ชื่อสินค้า'!A:C,3,false),)</f>
        <v/>
      </c>
      <c r="D62" s="11" t="str">
        <f>iferror(vlookup(B62,'📦 ชื่อสินค้า'!A:D,4,false),"")</f>
        <v/>
      </c>
      <c r="E62" s="16"/>
      <c r="F62" s="8" t="str">
        <f t="shared" si="1"/>
        <v/>
      </c>
      <c r="G62" s="9" t="str">
        <f>IF(LEN(B62)&gt;0,vlookup(B62,'📊 รายงานสินค้าคงเหลือ'!A:G,6,false)*E62,)</f>
        <v/>
      </c>
      <c r="H62" s="9" t="str">
        <f t="shared" si="2"/>
        <v/>
      </c>
      <c r="I62" s="10" t="str">
        <f t="shared" si="3"/>
        <v/>
      </c>
      <c r="J62" s="11" t="str">
        <f t="shared" si="4"/>
        <v/>
      </c>
      <c r="K62" s="11" t="str">
        <f>IFERROR(IF(A62&lt;&gt;"",VLOOKUP(B62,'📦 ชื่อสินค้า'!A:F,6,false),""),)</f>
        <v/>
      </c>
      <c r="L62" s="11" t="str">
        <f t="shared" si="5"/>
        <v/>
      </c>
      <c r="M62" s="13"/>
    </row>
    <row r="63">
      <c r="A63" s="15"/>
      <c r="B63" s="6"/>
      <c r="C63" s="14" t="str">
        <f>iferror(vlookup(B63,'📦 ชื่อสินค้า'!A:C,3,false),)</f>
        <v/>
      </c>
      <c r="D63" s="11" t="str">
        <f>iferror(vlookup(B63,'📦 ชื่อสินค้า'!A:D,4,false),"")</f>
        <v/>
      </c>
      <c r="E63" s="16"/>
      <c r="F63" s="8" t="str">
        <f t="shared" si="1"/>
        <v/>
      </c>
      <c r="G63" s="9" t="str">
        <f>IF(LEN(B63)&gt;0,vlookup(B63,'📊 รายงานสินค้าคงเหลือ'!A:G,6,false)*E63,)</f>
        <v/>
      </c>
      <c r="H63" s="9" t="str">
        <f t="shared" si="2"/>
        <v/>
      </c>
      <c r="I63" s="10" t="str">
        <f t="shared" si="3"/>
        <v/>
      </c>
      <c r="J63" s="11" t="str">
        <f t="shared" si="4"/>
        <v/>
      </c>
      <c r="K63" s="11" t="str">
        <f>IFERROR(IF(A63&lt;&gt;"",VLOOKUP(B63,'📦 ชื่อสินค้า'!A:F,6,false),""),)</f>
        <v/>
      </c>
      <c r="L63" s="11" t="str">
        <f t="shared" si="5"/>
        <v/>
      </c>
      <c r="M63" s="13"/>
    </row>
    <row r="64">
      <c r="A64" s="15"/>
      <c r="B64" s="6"/>
      <c r="C64" s="14" t="str">
        <f>iferror(vlookup(B64,'📦 ชื่อสินค้า'!A:C,3,false),)</f>
        <v/>
      </c>
      <c r="D64" s="11" t="str">
        <f>iferror(vlookup(B64,'📦 ชื่อสินค้า'!A:D,4,false),"")</f>
        <v/>
      </c>
      <c r="E64" s="16"/>
      <c r="F64" s="8" t="str">
        <f t="shared" si="1"/>
        <v/>
      </c>
      <c r="G64" s="9" t="str">
        <f>IF(LEN(B64)&gt;0,vlookup(B64,'📊 รายงานสินค้าคงเหลือ'!A:G,6,false)*E64,)</f>
        <v/>
      </c>
      <c r="H64" s="9" t="str">
        <f t="shared" si="2"/>
        <v/>
      </c>
      <c r="I64" s="10" t="str">
        <f t="shared" si="3"/>
        <v/>
      </c>
      <c r="J64" s="11" t="str">
        <f t="shared" si="4"/>
        <v/>
      </c>
      <c r="K64" s="11" t="str">
        <f>IFERROR(IF(A64&lt;&gt;"",VLOOKUP(B64,'📦 ชื่อสินค้า'!A:F,6,false),""),)</f>
        <v/>
      </c>
      <c r="L64" s="11" t="str">
        <f t="shared" si="5"/>
        <v/>
      </c>
      <c r="M64" s="13"/>
    </row>
    <row r="65">
      <c r="A65" s="15"/>
      <c r="B65" s="6"/>
      <c r="C65" s="14" t="str">
        <f>iferror(vlookup(B65,'📦 ชื่อสินค้า'!A:C,3,false),)</f>
        <v/>
      </c>
      <c r="D65" s="11" t="str">
        <f>iferror(vlookup(B65,'📦 ชื่อสินค้า'!A:D,4,false),"")</f>
        <v/>
      </c>
      <c r="E65" s="16"/>
      <c r="F65" s="8" t="str">
        <f t="shared" si="1"/>
        <v/>
      </c>
      <c r="G65" s="9" t="str">
        <f>IF(LEN(B65)&gt;0,vlookup(B65,'📊 รายงานสินค้าคงเหลือ'!A:G,6,false)*E65,)</f>
        <v/>
      </c>
      <c r="H65" s="9" t="str">
        <f t="shared" si="2"/>
        <v/>
      </c>
      <c r="I65" s="10" t="str">
        <f t="shared" si="3"/>
        <v/>
      </c>
      <c r="J65" s="11" t="str">
        <f t="shared" si="4"/>
        <v/>
      </c>
      <c r="K65" s="11" t="str">
        <f>IFERROR(IF(A65&lt;&gt;"",VLOOKUP(B65,'📦 ชื่อสินค้า'!A:F,6,false),""),)</f>
        <v/>
      </c>
      <c r="L65" s="11" t="str">
        <f t="shared" si="5"/>
        <v/>
      </c>
      <c r="M65" s="13"/>
    </row>
    <row r="66">
      <c r="A66" s="15"/>
      <c r="B66" s="6"/>
      <c r="C66" s="14" t="str">
        <f>iferror(vlookup(B66,'📦 ชื่อสินค้า'!A:C,3,false),)</f>
        <v/>
      </c>
      <c r="D66" s="11" t="str">
        <f>iferror(vlookup(B66,'📦 ชื่อสินค้า'!A:D,4,false),"")</f>
        <v/>
      </c>
      <c r="E66" s="16"/>
      <c r="F66" s="8" t="str">
        <f t="shared" si="1"/>
        <v/>
      </c>
      <c r="G66" s="9" t="str">
        <f>IF(LEN(B66)&gt;0,vlookup(B66,'📊 รายงานสินค้าคงเหลือ'!A:G,6,false)*E66,)</f>
        <v/>
      </c>
      <c r="H66" s="9" t="str">
        <f t="shared" si="2"/>
        <v/>
      </c>
      <c r="I66" s="10" t="str">
        <f t="shared" si="3"/>
        <v/>
      </c>
      <c r="J66" s="11" t="str">
        <f t="shared" si="4"/>
        <v/>
      </c>
      <c r="K66" s="11" t="str">
        <f>IFERROR(IF(A66&lt;&gt;"",VLOOKUP(B66,'📦 ชื่อสินค้า'!A:F,6,false),""),)</f>
        <v/>
      </c>
      <c r="L66" s="11" t="str">
        <f t="shared" si="5"/>
        <v/>
      </c>
      <c r="M66" s="13"/>
    </row>
    <row r="67">
      <c r="A67" s="15"/>
      <c r="B67" s="6"/>
      <c r="C67" s="14" t="str">
        <f>iferror(vlookup(B67,'📦 ชื่อสินค้า'!A:C,3,false),)</f>
        <v/>
      </c>
      <c r="D67" s="11" t="str">
        <f>iferror(vlookup(B67,'📦 ชื่อสินค้า'!A:D,4,false),"")</f>
        <v/>
      </c>
      <c r="E67" s="16"/>
      <c r="F67" s="8" t="str">
        <f t="shared" si="1"/>
        <v/>
      </c>
      <c r="G67" s="9" t="str">
        <f>IF(LEN(B67)&gt;0,vlookup(B67,'📊 รายงานสินค้าคงเหลือ'!A:G,6,false)*E67,)</f>
        <v/>
      </c>
      <c r="H67" s="9" t="str">
        <f t="shared" si="2"/>
        <v/>
      </c>
      <c r="I67" s="10" t="str">
        <f t="shared" si="3"/>
        <v/>
      </c>
      <c r="J67" s="11" t="str">
        <f t="shared" si="4"/>
        <v/>
      </c>
      <c r="K67" s="11" t="str">
        <f>IFERROR(IF(A67&lt;&gt;"",VLOOKUP(B67,'📦 ชื่อสินค้า'!A:F,6,false),""),)</f>
        <v/>
      </c>
      <c r="L67" s="11" t="str">
        <f t="shared" si="5"/>
        <v/>
      </c>
      <c r="M67" s="13"/>
    </row>
    <row r="68">
      <c r="A68" s="15"/>
      <c r="B68" s="6"/>
      <c r="C68" s="14" t="str">
        <f>iferror(vlookup(B68,'📦 ชื่อสินค้า'!A:C,3,false),)</f>
        <v/>
      </c>
      <c r="D68" s="11" t="str">
        <f>iferror(vlookup(B68,'📦 ชื่อสินค้า'!A:D,4,false),"")</f>
        <v/>
      </c>
      <c r="E68" s="16"/>
      <c r="F68" s="8" t="str">
        <f t="shared" si="1"/>
        <v/>
      </c>
      <c r="G68" s="9" t="str">
        <f>IF(LEN(B68)&gt;0,vlookup(B68,'📊 รายงานสินค้าคงเหลือ'!A:G,6,false)*E68,)</f>
        <v/>
      </c>
      <c r="H68" s="9" t="str">
        <f t="shared" si="2"/>
        <v/>
      </c>
      <c r="I68" s="10" t="str">
        <f t="shared" si="3"/>
        <v/>
      </c>
      <c r="J68" s="11" t="str">
        <f t="shared" si="4"/>
        <v/>
      </c>
      <c r="K68" s="11" t="str">
        <f>IFERROR(IF(A68&lt;&gt;"",VLOOKUP(B68,'📦 ชื่อสินค้า'!A:F,6,false),""),)</f>
        <v/>
      </c>
      <c r="L68" s="11" t="str">
        <f t="shared" si="5"/>
        <v/>
      </c>
      <c r="M68" s="13"/>
    </row>
    <row r="69">
      <c r="A69" s="15"/>
      <c r="B69" s="6"/>
      <c r="C69" s="14" t="str">
        <f>iferror(vlookup(B69,'📦 ชื่อสินค้า'!A:C,3,false),)</f>
        <v/>
      </c>
      <c r="D69" s="11" t="str">
        <f>iferror(vlookup(B69,'📦 ชื่อสินค้า'!A:D,4,false),"")</f>
        <v/>
      </c>
      <c r="E69" s="16"/>
      <c r="F69" s="8" t="str">
        <f t="shared" si="1"/>
        <v/>
      </c>
      <c r="G69" s="9" t="str">
        <f>IF(LEN(B69)&gt;0,vlookup(B69,'📊 รายงานสินค้าคงเหลือ'!A:G,6,false)*E69,)</f>
        <v/>
      </c>
      <c r="H69" s="9" t="str">
        <f t="shared" si="2"/>
        <v/>
      </c>
      <c r="I69" s="10" t="str">
        <f t="shared" si="3"/>
        <v/>
      </c>
      <c r="J69" s="11" t="str">
        <f t="shared" si="4"/>
        <v/>
      </c>
      <c r="K69" s="11" t="str">
        <f>IFERROR(IF(A69&lt;&gt;"",VLOOKUP(B69,'📦 ชื่อสินค้า'!A:F,6,false),""),)</f>
        <v/>
      </c>
      <c r="L69" s="11" t="str">
        <f t="shared" si="5"/>
        <v/>
      </c>
      <c r="M69" s="13"/>
    </row>
    <row r="70">
      <c r="A70" s="15"/>
      <c r="B70" s="6"/>
      <c r="C70" s="14" t="str">
        <f>iferror(vlookup(B70,'📦 ชื่อสินค้า'!A:C,3,false),)</f>
        <v/>
      </c>
      <c r="D70" s="11" t="str">
        <f>iferror(vlookup(B70,'📦 ชื่อสินค้า'!A:D,4,false),"")</f>
        <v/>
      </c>
      <c r="E70" s="16"/>
      <c r="F70" s="8" t="str">
        <f t="shared" si="1"/>
        <v/>
      </c>
      <c r="G70" s="9" t="str">
        <f>IF(LEN(B70)&gt;0,vlookup(B70,'📊 รายงานสินค้าคงเหลือ'!A:G,6,false)*E70,)</f>
        <v/>
      </c>
      <c r="H70" s="9" t="str">
        <f t="shared" si="2"/>
        <v/>
      </c>
      <c r="I70" s="10" t="str">
        <f t="shared" si="3"/>
        <v/>
      </c>
      <c r="J70" s="11" t="str">
        <f t="shared" si="4"/>
        <v/>
      </c>
      <c r="K70" s="11" t="str">
        <f>IFERROR(IF(A70&lt;&gt;"",VLOOKUP(B70,'📦 ชื่อสินค้า'!A:F,6,false),""),)</f>
        <v/>
      </c>
      <c r="L70" s="11" t="str">
        <f t="shared" si="5"/>
        <v/>
      </c>
      <c r="M70" s="13"/>
    </row>
    <row r="71">
      <c r="A71" s="15"/>
      <c r="B71" s="6"/>
      <c r="C71" s="14" t="str">
        <f>iferror(vlookup(B71,'📦 ชื่อสินค้า'!A:C,3,false),)</f>
        <v/>
      </c>
      <c r="D71" s="11" t="str">
        <f>iferror(vlookup(B71,'📦 ชื่อสินค้า'!A:D,4,false),"")</f>
        <v/>
      </c>
      <c r="E71" s="16"/>
      <c r="F71" s="8" t="str">
        <f t="shared" si="1"/>
        <v/>
      </c>
      <c r="G71" s="9" t="str">
        <f>IF(LEN(B71)&gt;0,vlookup(B71,'📊 รายงานสินค้าคงเหลือ'!A:G,6,false)*E71,)</f>
        <v/>
      </c>
      <c r="H71" s="9" t="str">
        <f t="shared" si="2"/>
        <v/>
      </c>
      <c r="I71" s="10" t="str">
        <f t="shared" si="3"/>
        <v/>
      </c>
      <c r="J71" s="11" t="str">
        <f t="shared" si="4"/>
        <v/>
      </c>
      <c r="K71" s="11" t="str">
        <f>IFERROR(IF(A71&lt;&gt;"",VLOOKUP(B71,'📦 ชื่อสินค้า'!A:F,6,false),""),)</f>
        <v/>
      </c>
      <c r="L71" s="11" t="str">
        <f t="shared" si="5"/>
        <v/>
      </c>
      <c r="M71" s="13"/>
    </row>
    <row r="72">
      <c r="A72" s="15"/>
      <c r="B72" s="6"/>
      <c r="C72" s="14" t="str">
        <f>iferror(vlookup(B72,'📦 ชื่อสินค้า'!A:C,3,false),)</f>
        <v/>
      </c>
      <c r="D72" s="11" t="str">
        <f>iferror(vlookup(B72,'📦 ชื่อสินค้า'!A:D,4,false),"")</f>
        <v/>
      </c>
      <c r="E72" s="16"/>
      <c r="F72" s="8" t="str">
        <f t="shared" si="1"/>
        <v/>
      </c>
      <c r="G72" s="9" t="str">
        <f>IF(LEN(B72)&gt;0,vlookup(B72,'📊 รายงานสินค้าคงเหลือ'!A:G,6,false)*E72,)</f>
        <v/>
      </c>
      <c r="H72" s="9" t="str">
        <f t="shared" si="2"/>
        <v/>
      </c>
      <c r="I72" s="10" t="str">
        <f t="shared" si="3"/>
        <v/>
      </c>
      <c r="J72" s="11" t="str">
        <f t="shared" si="4"/>
        <v/>
      </c>
      <c r="K72" s="11" t="str">
        <f>IFERROR(IF(A72&lt;&gt;"",VLOOKUP(B72,'📦 ชื่อสินค้า'!A:F,6,false),""),)</f>
        <v/>
      </c>
      <c r="L72" s="11" t="str">
        <f t="shared" si="5"/>
        <v/>
      </c>
      <c r="M72" s="13"/>
    </row>
    <row r="73">
      <c r="A73" s="15"/>
      <c r="B73" s="6"/>
      <c r="C73" s="14" t="str">
        <f>iferror(vlookup(B73,'📦 ชื่อสินค้า'!A:C,3,false),)</f>
        <v/>
      </c>
      <c r="D73" s="11" t="str">
        <f>iferror(vlookup(B73,'📦 ชื่อสินค้า'!A:D,4,false),"")</f>
        <v/>
      </c>
      <c r="E73" s="16"/>
      <c r="F73" s="8" t="str">
        <f t="shared" si="1"/>
        <v/>
      </c>
      <c r="G73" s="9" t="str">
        <f>IF(LEN(B73)&gt;0,vlookup(B73,'📊 รายงานสินค้าคงเหลือ'!A:G,6,false)*E73,)</f>
        <v/>
      </c>
      <c r="H73" s="9" t="str">
        <f t="shared" si="2"/>
        <v/>
      </c>
      <c r="I73" s="10" t="str">
        <f t="shared" si="3"/>
        <v/>
      </c>
      <c r="J73" s="11" t="str">
        <f t="shared" si="4"/>
        <v/>
      </c>
      <c r="K73" s="11" t="str">
        <f>IFERROR(IF(A73&lt;&gt;"",VLOOKUP(B73,'📦 ชื่อสินค้า'!A:F,6,false),""),)</f>
        <v/>
      </c>
      <c r="L73" s="11" t="str">
        <f t="shared" si="5"/>
        <v/>
      </c>
      <c r="M73" s="13"/>
    </row>
    <row r="74">
      <c r="A74" s="15"/>
      <c r="B74" s="6"/>
      <c r="C74" s="14" t="str">
        <f>iferror(vlookup(B74,'📦 ชื่อสินค้า'!A:C,3,false),)</f>
        <v/>
      </c>
      <c r="D74" s="11" t="str">
        <f>iferror(vlookup(B74,'📦 ชื่อสินค้า'!A:D,4,false),"")</f>
        <v/>
      </c>
      <c r="E74" s="16"/>
      <c r="F74" s="8" t="str">
        <f t="shared" si="1"/>
        <v/>
      </c>
      <c r="G74" s="9" t="str">
        <f>IF(LEN(B74)&gt;0,vlookup(B74,'📊 รายงานสินค้าคงเหลือ'!A:G,6,false)*E74,)</f>
        <v/>
      </c>
      <c r="H74" s="9" t="str">
        <f t="shared" si="2"/>
        <v/>
      </c>
      <c r="I74" s="10" t="str">
        <f t="shared" si="3"/>
        <v/>
      </c>
      <c r="J74" s="11" t="str">
        <f t="shared" si="4"/>
        <v/>
      </c>
      <c r="K74" s="11" t="str">
        <f>IFERROR(IF(A74&lt;&gt;"",VLOOKUP(B74,'📦 ชื่อสินค้า'!A:F,6,false),""),)</f>
        <v/>
      </c>
      <c r="L74" s="11" t="str">
        <f t="shared" si="5"/>
        <v/>
      </c>
      <c r="M74" s="13"/>
    </row>
    <row r="75">
      <c r="A75" s="15"/>
      <c r="B75" s="6"/>
      <c r="C75" s="14" t="str">
        <f>iferror(vlookup(B75,'📦 ชื่อสินค้า'!A:C,3,false),)</f>
        <v/>
      </c>
      <c r="D75" s="11" t="str">
        <f>iferror(vlookup(B75,'📦 ชื่อสินค้า'!A:D,4,false),"")</f>
        <v/>
      </c>
      <c r="E75" s="16"/>
      <c r="F75" s="8" t="str">
        <f t="shared" si="1"/>
        <v/>
      </c>
      <c r="G75" s="9" t="str">
        <f>IF(LEN(B75)&gt;0,vlookup(B75,'📊 รายงานสินค้าคงเหลือ'!A:G,6,false)*E75,)</f>
        <v/>
      </c>
      <c r="H75" s="9" t="str">
        <f t="shared" si="2"/>
        <v/>
      </c>
      <c r="I75" s="10" t="str">
        <f t="shared" si="3"/>
        <v/>
      </c>
      <c r="J75" s="11" t="str">
        <f t="shared" si="4"/>
        <v/>
      </c>
      <c r="K75" s="11" t="str">
        <f>IFERROR(IF(A75&lt;&gt;"",VLOOKUP(B75,'📦 ชื่อสินค้า'!A:F,6,false),""),)</f>
        <v/>
      </c>
      <c r="L75" s="11" t="str">
        <f t="shared" si="5"/>
        <v/>
      </c>
      <c r="M75" s="13"/>
    </row>
    <row r="76">
      <c r="A76" s="15"/>
      <c r="B76" s="6"/>
      <c r="C76" s="14" t="str">
        <f>iferror(vlookup(B76,'📦 ชื่อสินค้า'!A:C,3,false),)</f>
        <v/>
      </c>
      <c r="D76" s="11" t="str">
        <f>iferror(vlookup(B76,'📦 ชื่อสินค้า'!A:D,4,false),"")</f>
        <v/>
      </c>
      <c r="E76" s="16"/>
      <c r="F76" s="8" t="str">
        <f t="shared" si="1"/>
        <v/>
      </c>
      <c r="G76" s="9" t="str">
        <f>IF(LEN(B76)&gt;0,vlookup(B76,'📊 รายงานสินค้าคงเหลือ'!A:G,6,false)*E76,)</f>
        <v/>
      </c>
      <c r="H76" s="9" t="str">
        <f t="shared" si="2"/>
        <v/>
      </c>
      <c r="I76" s="10" t="str">
        <f t="shared" si="3"/>
        <v/>
      </c>
      <c r="J76" s="11" t="str">
        <f t="shared" si="4"/>
        <v/>
      </c>
      <c r="K76" s="11" t="str">
        <f>IFERROR(IF(A76&lt;&gt;"",VLOOKUP(B76,'📦 ชื่อสินค้า'!A:F,6,false),""),)</f>
        <v/>
      </c>
      <c r="L76" s="11" t="str">
        <f t="shared" si="5"/>
        <v/>
      </c>
      <c r="M76" s="13"/>
    </row>
    <row r="77">
      <c r="A77" s="15"/>
      <c r="B77" s="6"/>
      <c r="C77" s="14" t="str">
        <f>iferror(vlookup(B77,'📦 ชื่อสินค้า'!A:C,3,false),)</f>
        <v/>
      </c>
      <c r="D77" s="11" t="str">
        <f>iferror(vlookup(B77,'📦 ชื่อสินค้า'!A:D,4,false),"")</f>
        <v/>
      </c>
      <c r="E77" s="16"/>
      <c r="F77" s="8" t="str">
        <f t="shared" si="1"/>
        <v/>
      </c>
      <c r="G77" s="9" t="str">
        <f>IF(LEN(B77)&gt;0,vlookup(B77,'📊 รายงานสินค้าคงเหลือ'!A:G,6,false)*E77,)</f>
        <v/>
      </c>
      <c r="H77" s="9" t="str">
        <f t="shared" si="2"/>
        <v/>
      </c>
      <c r="I77" s="10" t="str">
        <f t="shared" si="3"/>
        <v/>
      </c>
      <c r="J77" s="11" t="str">
        <f t="shared" si="4"/>
        <v/>
      </c>
      <c r="K77" s="11" t="str">
        <f>IFERROR(IF(A77&lt;&gt;"",VLOOKUP(B77,'📦 ชื่อสินค้า'!A:F,6,false),""),)</f>
        <v/>
      </c>
      <c r="L77" s="11" t="str">
        <f t="shared" si="5"/>
        <v/>
      </c>
      <c r="M77" s="13"/>
    </row>
    <row r="78">
      <c r="A78" s="15"/>
      <c r="B78" s="6"/>
      <c r="C78" s="14" t="str">
        <f>iferror(vlookup(B78,'📦 ชื่อสินค้า'!A:C,3,false),)</f>
        <v/>
      </c>
      <c r="D78" s="11" t="str">
        <f>iferror(vlookup(B78,'📦 ชื่อสินค้า'!A:D,4,false),"")</f>
        <v/>
      </c>
      <c r="E78" s="16"/>
      <c r="F78" s="8" t="str">
        <f t="shared" si="1"/>
        <v/>
      </c>
      <c r="G78" s="9" t="str">
        <f>IF(LEN(B78)&gt;0,vlookup(B78,'📊 รายงานสินค้าคงเหลือ'!A:G,6,false)*E78,)</f>
        <v/>
      </c>
      <c r="H78" s="9" t="str">
        <f t="shared" si="2"/>
        <v/>
      </c>
      <c r="I78" s="10" t="str">
        <f t="shared" si="3"/>
        <v/>
      </c>
      <c r="J78" s="11" t="str">
        <f t="shared" si="4"/>
        <v/>
      </c>
      <c r="K78" s="11" t="str">
        <f>IFERROR(IF(A78&lt;&gt;"",VLOOKUP(B78,'📦 ชื่อสินค้า'!A:F,6,false),""),)</f>
        <v/>
      </c>
      <c r="L78" s="11" t="str">
        <f t="shared" si="5"/>
        <v/>
      </c>
      <c r="M78" s="13"/>
    </row>
    <row r="79">
      <c r="A79" s="15"/>
      <c r="B79" s="6"/>
      <c r="C79" s="14" t="str">
        <f>iferror(vlookup(B79,'📦 ชื่อสินค้า'!A:C,3,false),)</f>
        <v/>
      </c>
      <c r="D79" s="11" t="str">
        <f>iferror(vlookup(B79,'📦 ชื่อสินค้า'!A:D,4,false),"")</f>
        <v/>
      </c>
      <c r="E79" s="16"/>
      <c r="F79" s="8" t="str">
        <f t="shared" si="1"/>
        <v/>
      </c>
      <c r="G79" s="9" t="str">
        <f>IF(LEN(B79)&gt;0,vlookup(B79,'📊 รายงานสินค้าคงเหลือ'!A:G,6,false)*E79,)</f>
        <v/>
      </c>
      <c r="H79" s="9" t="str">
        <f t="shared" si="2"/>
        <v/>
      </c>
      <c r="I79" s="10" t="str">
        <f t="shared" si="3"/>
        <v/>
      </c>
      <c r="J79" s="11" t="str">
        <f t="shared" si="4"/>
        <v/>
      </c>
      <c r="K79" s="11" t="str">
        <f>IFERROR(IF(A79&lt;&gt;"",VLOOKUP(B79,'📦 ชื่อสินค้า'!A:F,6,false),""),)</f>
        <v/>
      </c>
      <c r="L79" s="11" t="str">
        <f t="shared" si="5"/>
        <v/>
      </c>
      <c r="M79" s="13"/>
    </row>
    <row r="80">
      <c r="A80" s="15"/>
      <c r="B80" s="6"/>
      <c r="C80" s="14" t="str">
        <f>iferror(vlookup(B80,'📦 ชื่อสินค้า'!A:C,3,false),)</f>
        <v/>
      </c>
      <c r="D80" s="11" t="str">
        <f>iferror(vlookup(B80,'📦 ชื่อสินค้า'!A:D,4,false),"")</f>
        <v/>
      </c>
      <c r="E80" s="16"/>
      <c r="F80" s="8" t="str">
        <f t="shared" si="1"/>
        <v/>
      </c>
      <c r="G80" s="9" t="str">
        <f>IF(LEN(B80)&gt;0,vlookup(B80,'📊 รายงานสินค้าคงเหลือ'!A:G,6,false)*E80,)</f>
        <v/>
      </c>
      <c r="H80" s="9" t="str">
        <f t="shared" si="2"/>
        <v/>
      </c>
      <c r="I80" s="10" t="str">
        <f t="shared" si="3"/>
        <v/>
      </c>
      <c r="J80" s="11" t="str">
        <f t="shared" si="4"/>
        <v/>
      </c>
      <c r="K80" s="11" t="str">
        <f>IFERROR(IF(A80&lt;&gt;"",VLOOKUP(B80,'📦 ชื่อสินค้า'!A:F,6,false),""),)</f>
        <v/>
      </c>
      <c r="L80" s="11" t="str">
        <f t="shared" si="5"/>
        <v/>
      </c>
      <c r="M80" s="13"/>
    </row>
    <row r="81">
      <c r="A81" s="15"/>
      <c r="B81" s="6"/>
      <c r="C81" s="14" t="str">
        <f>iferror(vlookup(B81,'📦 ชื่อสินค้า'!A:C,3,false),)</f>
        <v/>
      </c>
      <c r="D81" s="11" t="str">
        <f>iferror(vlookup(B81,'📦 ชื่อสินค้า'!A:D,4,false),"")</f>
        <v/>
      </c>
      <c r="E81" s="16"/>
      <c r="F81" s="8" t="str">
        <f t="shared" si="1"/>
        <v/>
      </c>
      <c r="G81" s="9" t="str">
        <f>IF(LEN(B81)&gt;0,vlookup(B81,'📊 รายงานสินค้าคงเหลือ'!A:G,6,false)*E81,)</f>
        <v/>
      </c>
      <c r="H81" s="9" t="str">
        <f t="shared" si="2"/>
        <v/>
      </c>
      <c r="I81" s="10" t="str">
        <f t="shared" si="3"/>
        <v/>
      </c>
      <c r="J81" s="11" t="str">
        <f t="shared" si="4"/>
        <v/>
      </c>
      <c r="K81" s="11" t="str">
        <f>IFERROR(IF(A81&lt;&gt;"",VLOOKUP(B81,'📦 ชื่อสินค้า'!A:F,6,false),""),)</f>
        <v/>
      </c>
      <c r="L81" s="11" t="str">
        <f t="shared" si="5"/>
        <v/>
      </c>
      <c r="M81" s="13"/>
    </row>
    <row r="82">
      <c r="A82" s="15"/>
      <c r="B82" s="6"/>
      <c r="C82" s="14" t="str">
        <f>iferror(vlookup(B82,'📦 ชื่อสินค้า'!A:C,3,false),)</f>
        <v/>
      </c>
      <c r="D82" s="11" t="str">
        <f>iferror(vlookup(B82,'📦 ชื่อสินค้า'!A:D,4,false),"")</f>
        <v/>
      </c>
      <c r="E82" s="16"/>
      <c r="F82" s="8" t="str">
        <f t="shared" si="1"/>
        <v/>
      </c>
      <c r="G82" s="9" t="str">
        <f>IF(LEN(B82)&gt;0,vlookup(B82,'📊 รายงานสินค้าคงเหลือ'!A:G,6,false)*E82,)</f>
        <v/>
      </c>
      <c r="H82" s="9" t="str">
        <f t="shared" si="2"/>
        <v/>
      </c>
      <c r="I82" s="10" t="str">
        <f t="shared" si="3"/>
        <v/>
      </c>
      <c r="J82" s="11" t="str">
        <f t="shared" si="4"/>
        <v/>
      </c>
      <c r="K82" s="11" t="str">
        <f>IFERROR(IF(A82&lt;&gt;"",VLOOKUP(B82,'📦 ชื่อสินค้า'!A:F,6,false),""),)</f>
        <v/>
      </c>
      <c r="L82" s="11" t="str">
        <f t="shared" si="5"/>
        <v/>
      </c>
      <c r="M82" s="13"/>
    </row>
    <row r="83">
      <c r="A83" s="15"/>
      <c r="B83" s="6"/>
      <c r="C83" s="14" t="str">
        <f>iferror(vlookup(B83,'📦 ชื่อสินค้า'!A:C,3,false),)</f>
        <v/>
      </c>
      <c r="D83" s="11" t="str">
        <f>iferror(vlookup(B83,'📦 ชื่อสินค้า'!A:D,4,false),"")</f>
        <v/>
      </c>
      <c r="E83" s="16"/>
      <c r="F83" s="8" t="str">
        <f t="shared" si="1"/>
        <v/>
      </c>
      <c r="G83" s="9" t="str">
        <f>IF(LEN(B83)&gt;0,vlookup(B83,'📊 รายงานสินค้าคงเหลือ'!A:G,6,false)*E83,)</f>
        <v/>
      </c>
      <c r="H83" s="9" t="str">
        <f t="shared" si="2"/>
        <v/>
      </c>
      <c r="I83" s="10" t="str">
        <f t="shared" si="3"/>
        <v/>
      </c>
      <c r="J83" s="11" t="str">
        <f t="shared" si="4"/>
        <v/>
      </c>
      <c r="K83" s="11" t="str">
        <f>IFERROR(IF(A83&lt;&gt;"",VLOOKUP(B83,'📦 ชื่อสินค้า'!A:F,6,false),""),)</f>
        <v/>
      </c>
      <c r="L83" s="11" t="str">
        <f t="shared" si="5"/>
        <v/>
      </c>
      <c r="M83" s="13"/>
    </row>
    <row r="84">
      <c r="A84" s="15"/>
      <c r="B84" s="6"/>
      <c r="C84" s="14" t="str">
        <f>iferror(vlookup(B84,'📦 ชื่อสินค้า'!A:C,3,false),)</f>
        <v/>
      </c>
      <c r="D84" s="11" t="str">
        <f>iferror(vlookup(B84,'📦 ชื่อสินค้า'!A:D,4,false),"")</f>
        <v/>
      </c>
      <c r="E84" s="16"/>
      <c r="F84" s="8" t="str">
        <f t="shared" si="1"/>
        <v/>
      </c>
      <c r="G84" s="9" t="str">
        <f>IF(LEN(B84)&gt;0,vlookup(B84,'📊 รายงานสินค้าคงเหลือ'!A:G,6,false)*E84,)</f>
        <v/>
      </c>
      <c r="H84" s="9" t="str">
        <f t="shared" si="2"/>
        <v/>
      </c>
      <c r="I84" s="10" t="str">
        <f t="shared" si="3"/>
        <v/>
      </c>
      <c r="J84" s="11" t="str">
        <f t="shared" si="4"/>
        <v/>
      </c>
      <c r="K84" s="11" t="str">
        <f>IFERROR(IF(A84&lt;&gt;"",VLOOKUP(B84,'📦 ชื่อสินค้า'!A:F,6,false),""),)</f>
        <v/>
      </c>
      <c r="L84" s="11" t="str">
        <f t="shared" si="5"/>
        <v/>
      </c>
      <c r="M84" s="13"/>
    </row>
    <row r="85">
      <c r="A85" s="15"/>
      <c r="B85" s="6"/>
      <c r="C85" s="14" t="str">
        <f>iferror(vlookup(B85,'📦 ชื่อสินค้า'!A:C,3,false),)</f>
        <v/>
      </c>
      <c r="D85" s="11" t="str">
        <f>iferror(vlookup(B85,'📦 ชื่อสินค้า'!A:D,4,false),"")</f>
        <v/>
      </c>
      <c r="E85" s="16"/>
      <c r="F85" s="8" t="str">
        <f t="shared" si="1"/>
        <v/>
      </c>
      <c r="G85" s="9" t="str">
        <f>IF(LEN(B85)&gt;0,vlookup(B85,'📊 รายงานสินค้าคงเหลือ'!A:G,6,false)*E85,)</f>
        <v/>
      </c>
      <c r="H85" s="9" t="str">
        <f t="shared" si="2"/>
        <v/>
      </c>
      <c r="I85" s="10" t="str">
        <f t="shared" si="3"/>
        <v/>
      </c>
      <c r="J85" s="11" t="str">
        <f t="shared" si="4"/>
        <v/>
      </c>
      <c r="K85" s="11" t="str">
        <f>IFERROR(IF(A85&lt;&gt;"",VLOOKUP(B85,'📦 ชื่อสินค้า'!A:F,6,false),""),)</f>
        <v/>
      </c>
      <c r="L85" s="11" t="str">
        <f t="shared" si="5"/>
        <v/>
      </c>
      <c r="M85" s="13"/>
    </row>
    <row r="86">
      <c r="A86" s="15"/>
      <c r="B86" s="6"/>
      <c r="C86" s="14" t="str">
        <f>iferror(vlookup(B86,'📦 ชื่อสินค้า'!A:C,3,false),)</f>
        <v/>
      </c>
      <c r="D86" s="11" t="str">
        <f>iferror(vlookup(B86,'📦 ชื่อสินค้า'!A:D,4,false),"")</f>
        <v/>
      </c>
      <c r="E86" s="16"/>
      <c r="F86" s="8" t="str">
        <f t="shared" si="1"/>
        <v/>
      </c>
      <c r="G86" s="9" t="str">
        <f>IF(LEN(B86)&gt;0,vlookup(B86,'📊 รายงานสินค้าคงเหลือ'!A:G,6,false)*E86,)</f>
        <v/>
      </c>
      <c r="H86" s="9" t="str">
        <f t="shared" si="2"/>
        <v/>
      </c>
      <c r="I86" s="10" t="str">
        <f t="shared" si="3"/>
        <v/>
      </c>
      <c r="J86" s="11" t="str">
        <f t="shared" si="4"/>
        <v/>
      </c>
      <c r="K86" s="11" t="str">
        <f>IFERROR(IF(A86&lt;&gt;"",VLOOKUP(B86,'📦 ชื่อสินค้า'!A:F,6,false),""),)</f>
        <v/>
      </c>
      <c r="L86" s="11" t="str">
        <f t="shared" si="5"/>
        <v/>
      </c>
      <c r="M86" s="13"/>
    </row>
    <row r="87">
      <c r="A87" s="15"/>
      <c r="B87" s="6"/>
      <c r="C87" s="14" t="str">
        <f>iferror(vlookup(B87,'📦 ชื่อสินค้า'!A:C,3,false),)</f>
        <v/>
      </c>
      <c r="D87" s="11" t="str">
        <f>iferror(vlookup(B87,'📦 ชื่อสินค้า'!A:D,4,false),"")</f>
        <v/>
      </c>
      <c r="E87" s="16"/>
      <c r="F87" s="8" t="str">
        <f t="shared" si="1"/>
        <v/>
      </c>
      <c r="G87" s="9" t="str">
        <f>IF(LEN(B87)&gt;0,vlookup(B87,'📊 รายงานสินค้าคงเหลือ'!A:G,6,false)*E87,)</f>
        <v/>
      </c>
      <c r="H87" s="9" t="str">
        <f t="shared" si="2"/>
        <v/>
      </c>
      <c r="I87" s="10" t="str">
        <f t="shared" si="3"/>
        <v/>
      </c>
      <c r="J87" s="11" t="str">
        <f t="shared" si="4"/>
        <v/>
      </c>
      <c r="K87" s="11" t="str">
        <f>IFERROR(IF(A87&lt;&gt;"",VLOOKUP(B87,'📦 ชื่อสินค้า'!A:F,6,false),""),)</f>
        <v/>
      </c>
      <c r="L87" s="11" t="str">
        <f t="shared" si="5"/>
        <v/>
      </c>
      <c r="M87" s="13"/>
    </row>
    <row r="88">
      <c r="A88" s="15"/>
      <c r="B88" s="6"/>
      <c r="C88" s="14" t="str">
        <f>iferror(vlookup(B88,'📦 ชื่อสินค้า'!A:C,3,false),)</f>
        <v/>
      </c>
      <c r="D88" s="11" t="str">
        <f>iferror(vlookup(B88,'📦 ชื่อสินค้า'!A:D,4,false),"")</f>
        <v/>
      </c>
      <c r="E88" s="16"/>
      <c r="F88" s="8" t="str">
        <f t="shared" si="1"/>
        <v/>
      </c>
      <c r="G88" s="9" t="str">
        <f>IF(LEN(B88)&gt;0,vlookup(B88,'📊 รายงานสินค้าคงเหลือ'!A:G,6,false)*E88,)</f>
        <v/>
      </c>
      <c r="H88" s="9" t="str">
        <f t="shared" si="2"/>
        <v/>
      </c>
      <c r="I88" s="10" t="str">
        <f t="shared" si="3"/>
        <v/>
      </c>
      <c r="J88" s="11" t="str">
        <f t="shared" si="4"/>
        <v/>
      </c>
      <c r="K88" s="11" t="str">
        <f>IFERROR(IF(A88&lt;&gt;"",VLOOKUP(B88,'📦 ชื่อสินค้า'!A:F,6,false),""),)</f>
        <v/>
      </c>
      <c r="L88" s="11" t="str">
        <f t="shared" si="5"/>
        <v/>
      </c>
      <c r="M88" s="13"/>
    </row>
    <row r="89">
      <c r="A89" s="15"/>
      <c r="B89" s="6"/>
      <c r="C89" s="14" t="str">
        <f>iferror(vlookup(B89,'📦 ชื่อสินค้า'!A:C,3,false),)</f>
        <v/>
      </c>
      <c r="D89" s="11" t="str">
        <f>iferror(vlookup(B89,'📦 ชื่อสินค้า'!A:D,4,false),"")</f>
        <v/>
      </c>
      <c r="E89" s="16"/>
      <c r="F89" s="8" t="str">
        <f t="shared" si="1"/>
        <v/>
      </c>
      <c r="G89" s="9" t="str">
        <f>IF(LEN(B89)&gt;0,vlookup(B89,'📊 รายงานสินค้าคงเหลือ'!A:G,6,false)*E89,)</f>
        <v/>
      </c>
      <c r="H89" s="9" t="str">
        <f t="shared" si="2"/>
        <v/>
      </c>
      <c r="I89" s="10" t="str">
        <f t="shared" si="3"/>
        <v/>
      </c>
      <c r="J89" s="11" t="str">
        <f t="shared" si="4"/>
        <v/>
      </c>
      <c r="K89" s="11" t="str">
        <f>IFERROR(IF(A89&lt;&gt;"",VLOOKUP(B89,'📦 ชื่อสินค้า'!A:F,6,false),""),)</f>
        <v/>
      </c>
      <c r="L89" s="11" t="str">
        <f t="shared" si="5"/>
        <v/>
      </c>
      <c r="M89" s="13"/>
    </row>
    <row r="90">
      <c r="A90" s="15"/>
      <c r="B90" s="6"/>
      <c r="C90" s="14" t="str">
        <f>iferror(vlookup(B90,'📦 ชื่อสินค้า'!A:C,3,false),)</f>
        <v/>
      </c>
      <c r="D90" s="11" t="str">
        <f>iferror(vlookup(B90,'📦 ชื่อสินค้า'!A:D,4,false),"")</f>
        <v/>
      </c>
      <c r="E90" s="16"/>
      <c r="F90" s="8" t="str">
        <f t="shared" si="1"/>
        <v/>
      </c>
      <c r="G90" s="9" t="str">
        <f>IF(LEN(B90)&gt;0,vlookup(B90,'📊 รายงานสินค้าคงเหลือ'!A:G,6,false)*E90,)</f>
        <v/>
      </c>
      <c r="H90" s="9" t="str">
        <f t="shared" si="2"/>
        <v/>
      </c>
      <c r="I90" s="10" t="str">
        <f t="shared" si="3"/>
        <v/>
      </c>
      <c r="J90" s="11" t="str">
        <f t="shared" si="4"/>
        <v/>
      </c>
      <c r="K90" s="11" t="str">
        <f>IFERROR(IF(A90&lt;&gt;"",VLOOKUP(B90,'📦 ชื่อสินค้า'!A:F,6,false),""),)</f>
        <v/>
      </c>
      <c r="L90" s="11" t="str">
        <f t="shared" si="5"/>
        <v/>
      </c>
      <c r="M90" s="13"/>
    </row>
    <row r="91">
      <c r="A91" s="15"/>
      <c r="B91" s="6"/>
      <c r="C91" s="14" t="str">
        <f>iferror(vlookup(B91,'📦 ชื่อสินค้า'!A:C,3,false),)</f>
        <v/>
      </c>
      <c r="D91" s="11" t="str">
        <f>iferror(vlookup(B91,'📦 ชื่อสินค้า'!A:D,4,false),"")</f>
        <v/>
      </c>
      <c r="E91" s="16"/>
      <c r="F91" s="8" t="str">
        <f t="shared" si="1"/>
        <v/>
      </c>
      <c r="G91" s="9" t="str">
        <f>IF(LEN(B91)&gt;0,vlookup(B91,'📊 รายงานสินค้าคงเหลือ'!A:G,6,false)*E91,)</f>
        <v/>
      </c>
      <c r="H91" s="9" t="str">
        <f t="shared" si="2"/>
        <v/>
      </c>
      <c r="I91" s="10" t="str">
        <f t="shared" si="3"/>
        <v/>
      </c>
      <c r="J91" s="11" t="str">
        <f t="shared" si="4"/>
        <v/>
      </c>
      <c r="K91" s="11" t="str">
        <f>IFERROR(IF(A91&lt;&gt;"",VLOOKUP(B91,'📦 ชื่อสินค้า'!A:F,6,false),""),)</f>
        <v/>
      </c>
      <c r="L91" s="11" t="str">
        <f t="shared" si="5"/>
        <v/>
      </c>
      <c r="M91" s="13"/>
    </row>
    <row r="92">
      <c r="A92" s="15"/>
      <c r="B92" s="6"/>
      <c r="C92" s="14" t="str">
        <f>iferror(vlookup(B92,'📦 ชื่อสินค้า'!A:C,3,false),)</f>
        <v/>
      </c>
      <c r="D92" s="11" t="str">
        <f>iferror(vlookup(B92,'📦 ชื่อสินค้า'!A:D,4,false),"")</f>
        <v/>
      </c>
      <c r="E92" s="16"/>
      <c r="F92" s="8" t="str">
        <f t="shared" si="1"/>
        <v/>
      </c>
      <c r="G92" s="9" t="str">
        <f>IF(LEN(B92)&gt;0,vlookup(B92,'📊 รายงานสินค้าคงเหลือ'!A:G,6,false)*E92,)</f>
        <v/>
      </c>
      <c r="H92" s="9" t="str">
        <f t="shared" si="2"/>
        <v/>
      </c>
      <c r="I92" s="10" t="str">
        <f t="shared" si="3"/>
        <v/>
      </c>
      <c r="J92" s="11" t="str">
        <f t="shared" si="4"/>
        <v/>
      </c>
      <c r="K92" s="11" t="str">
        <f>IFERROR(IF(A92&lt;&gt;"",VLOOKUP(B92,'📦 ชื่อสินค้า'!A:F,6,false),""),)</f>
        <v/>
      </c>
      <c r="L92" s="11" t="str">
        <f t="shared" si="5"/>
        <v/>
      </c>
      <c r="M92" s="13"/>
    </row>
    <row r="93">
      <c r="A93" s="15"/>
      <c r="B93" s="6"/>
      <c r="C93" s="14" t="str">
        <f>iferror(vlookup(B93,'📦 ชื่อสินค้า'!A:C,3,false),)</f>
        <v/>
      </c>
      <c r="D93" s="11" t="str">
        <f>iferror(vlookup(B93,'📦 ชื่อสินค้า'!A:D,4,false),"")</f>
        <v/>
      </c>
      <c r="E93" s="16"/>
      <c r="F93" s="8" t="str">
        <f t="shared" si="1"/>
        <v/>
      </c>
      <c r="G93" s="9" t="str">
        <f>IF(LEN(B93)&gt;0,vlookup(B93,'📊 รายงานสินค้าคงเหลือ'!A:G,6,false)*E93,)</f>
        <v/>
      </c>
      <c r="H93" s="9" t="str">
        <f t="shared" si="2"/>
        <v/>
      </c>
      <c r="I93" s="10" t="str">
        <f t="shared" si="3"/>
        <v/>
      </c>
      <c r="J93" s="11" t="str">
        <f t="shared" si="4"/>
        <v/>
      </c>
      <c r="K93" s="11" t="str">
        <f>IFERROR(IF(A93&lt;&gt;"",VLOOKUP(B93,'📦 ชื่อสินค้า'!A:F,6,false),""),)</f>
        <v/>
      </c>
      <c r="L93" s="11" t="str">
        <f t="shared" si="5"/>
        <v/>
      </c>
      <c r="M93" s="13"/>
    </row>
    <row r="94">
      <c r="A94" s="15"/>
      <c r="B94" s="6"/>
      <c r="C94" s="14" t="str">
        <f>iferror(vlookup(B94,'📦 ชื่อสินค้า'!A:C,3,false),)</f>
        <v/>
      </c>
      <c r="D94" s="11" t="str">
        <f>iferror(vlookup(B94,'📦 ชื่อสินค้า'!A:D,4,false),"")</f>
        <v/>
      </c>
      <c r="E94" s="16"/>
      <c r="F94" s="8" t="str">
        <f t="shared" si="1"/>
        <v/>
      </c>
      <c r="G94" s="9" t="str">
        <f>IF(LEN(B94)&gt;0,vlookup(B94,'📊 รายงานสินค้าคงเหลือ'!A:G,6,false)*E94,)</f>
        <v/>
      </c>
      <c r="H94" s="9" t="str">
        <f t="shared" si="2"/>
        <v/>
      </c>
      <c r="I94" s="10" t="str">
        <f t="shared" si="3"/>
        <v/>
      </c>
      <c r="J94" s="11" t="str">
        <f t="shared" si="4"/>
        <v/>
      </c>
      <c r="K94" s="11" t="str">
        <f>IFERROR(IF(A94&lt;&gt;"",VLOOKUP(B94,'📦 ชื่อสินค้า'!A:F,6,false),""),)</f>
        <v/>
      </c>
      <c r="L94" s="11" t="str">
        <f t="shared" si="5"/>
        <v/>
      </c>
      <c r="M94" s="13"/>
    </row>
    <row r="95">
      <c r="A95" s="15"/>
      <c r="B95" s="6"/>
      <c r="C95" s="14" t="str">
        <f>iferror(vlookup(B95,'📦 ชื่อสินค้า'!A:C,3,false),)</f>
        <v/>
      </c>
      <c r="D95" s="11" t="str">
        <f>iferror(vlookup(B95,'📦 ชื่อสินค้า'!A:D,4,false),"")</f>
        <v/>
      </c>
      <c r="E95" s="16"/>
      <c r="F95" s="8" t="str">
        <f t="shared" si="1"/>
        <v/>
      </c>
      <c r="G95" s="9" t="str">
        <f>IF(LEN(B95)&gt;0,vlookup(B95,'📊 รายงานสินค้าคงเหลือ'!A:G,6,false)*E95,)</f>
        <v/>
      </c>
      <c r="H95" s="9" t="str">
        <f t="shared" si="2"/>
        <v/>
      </c>
      <c r="I95" s="10" t="str">
        <f t="shared" si="3"/>
        <v/>
      </c>
      <c r="J95" s="11" t="str">
        <f t="shared" si="4"/>
        <v/>
      </c>
      <c r="K95" s="11" t="str">
        <f>IFERROR(IF(A95&lt;&gt;"",VLOOKUP(B95,'📦 ชื่อสินค้า'!A:F,6,false),""),)</f>
        <v/>
      </c>
      <c r="L95" s="11" t="str">
        <f t="shared" si="5"/>
        <v/>
      </c>
      <c r="M95" s="13"/>
    </row>
    <row r="96">
      <c r="A96" s="15"/>
      <c r="B96" s="6"/>
      <c r="C96" s="14" t="str">
        <f>iferror(vlookup(B96,'📦 ชื่อสินค้า'!A:C,3,false),)</f>
        <v/>
      </c>
      <c r="D96" s="11" t="str">
        <f>iferror(vlookup(B96,'📦 ชื่อสินค้า'!A:D,4,false),"")</f>
        <v/>
      </c>
      <c r="E96" s="16"/>
      <c r="F96" s="8" t="str">
        <f t="shared" si="1"/>
        <v/>
      </c>
      <c r="G96" s="9" t="str">
        <f>IF(LEN(B96)&gt;0,vlookup(B96,'📊 รายงานสินค้าคงเหลือ'!A:G,6,false)*E96,)</f>
        <v/>
      </c>
      <c r="H96" s="9" t="str">
        <f t="shared" si="2"/>
        <v/>
      </c>
      <c r="I96" s="10" t="str">
        <f t="shared" si="3"/>
        <v/>
      </c>
      <c r="J96" s="11" t="str">
        <f t="shared" si="4"/>
        <v/>
      </c>
      <c r="K96" s="11" t="str">
        <f>IFERROR(IF(A96&lt;&gt;"",VLOOKUP(B96,'📦 ชื่อสินค้า'!A:F,6,false),""),)</f>
        <v/>
      </c>
      <c r="L96" s="11" t="str">
        <f t="shared" si="5"/>
        <v/>
      </c>
      <c r="M96" s="13"/>
    </row>
    <row r="97">
      <c r="A97" s="15"/>
      <c r="B97" s="6"/>
      <c r="C97" s="14" t="str">
        <f>iferror(vlookup(B97,'📦 ชื่อสินค้า'!A:C,3,false),)</f>
        <v/>
      </c>
      <c r="D97" s="11" t="str">
        <f>iferror(vlookup(B97,'📦 ชื่อสินค้า'!A:D,4,false),"")</f>
        <v/>
      </c>
      <c r="E97" s="16"/>
      <c r="F97" s="8" t="str">
        <f t="shared" si="1"/>
        <v/>
      </c>
      <c r="G97" s="9" t="str">
        <f>IF(LEN(B97)&gt;0,vlookup(B97,'📊 รายงานสินค้าคงเหลือ'!A:G,6,false)*E97,)</f>
        <v/>
      </c>
      <c r="H97" s="9" t="str">
        <f t="shared" si="2"/>
        <v/>
      </c>
      <c r="I97" s="10" t="str">
        <f t="shared" si="3"/>
        <v/>
      </c>
      <c r="J97" s="11" t="str">
        <f t="shared" si="4"/>
        <v/>
      </c>
      <c r="K97" s="11" t="str">
        <f>IFERROR(IF(A97&lt;&gt;"",VLOOKUP(B97,'📦 ชื่อสินค้า'!A:F,6,false),""),)</f>
        <v/>
      </c>
      <c r="L97" s="11" t="str">
        <f t="shared" si="5"/>
        <v/>
      </c>
      <c r="M97" s="13"/>
    </row>
    <row r="98">
      <c r="A98" s="15"/>
      <c r="B98" s="6"/>
      <c r="C98" s="14" t="str">
        <f>iferror(vlookup(B98,'📦 ชื่อสินค้า'!A:C,3,false),)</f>
        <v/>
      </c>
      <c r="D98" s="11" t="str">
        <f>iferror(vlookup(B98,'📦 ชื่อสินค้า'!A:D,4,false),"")</f>
        <v/>
      </c>
      <c r="E98" s="16"/>
      <c r="F98" s="8" t="str">
        <f t="shared" si="1"/>
        <v/>
      </c>
      <c r="G98" s="9" t="str">
        <f>IF(LEN(B98)&gt;0,vlookup(B98,'📊 รายงานสินค้าคงเหลือ'!A:G,6,false)*E98,)</f>
        <v/>
      </c>
      <c r="H98" s="9" t="str">
        <f t="shared" si="2"/>
        <v/>
      </c>
      <c r="I98" s="10" t="str">
        <f t="shared" si="3"/>
        <v/>
      </c>
      <c r="J98" s="11" t="str">
        <f t="shared" si="4"/>
        <v/>
      </c>
      <c r="K98" s="11" t="str">
        <f>IFERROR(IF(A98&lt;&gt;"",VLOOKUP(B98,'📦 ชื่อสินค้า'!A:F,6,false),""),)</f>
        <v/>
      </c>
      <c r="L98" s="11" t="str">
        <f t="shared" si="5"/>
        <v/>
      </c>
      <c r="M98" s="13"/>
    </row>
    <row r="99">
      <c r="A99" s="15"/>
      <c r="B99" s="6"/>
      <c r="C99" s="14" t="str">
        <f>iferror(vlookup(B99,'📦 ชื่อสินค้า'!A:C,3,false),)</f>
        <v/>
      </c>
      <c r="D99" s="11" t="str">
        <f>iferror(vlookup(B99,'📦 ชื่อสินค้า'!A:D,4,false),"")</f>
        <v/>
      </c>
      <c r="E99" s="16"/>
      <c r="F99" s="8" t="str">
        <f t="shared" si="1"/>
        <v/>
      </c>
      <c r="G99" s="9" t="str">
        <f>IF(LEN(B99)&gt;0,vlookup(B99,'📊 รายงานสินค้าคงเหลือ'!A:G,6,false)*E99,)</f>
        <v/>
      </c>
      <c r="H99" s="9" t="str">
        <f t="shared" si="2"/>
        <v/>
      </c>
      <c r="I99" s="10" t="str">
        <f t="shared" si="3"/>
        <v/>
      </c>
      <c r="J99" s="11" t="str">
        <f t="shared" si="4"/>
        <v/>
      </c>
      <c r="K99" s="11" t="str">
        <f>IFERROR(IF(A99&lt;&gt;"",VLOOKUP(B99,'📦 ชื่อสินค้า'!A:F,6,false),""),)</f>
        <v/>
      </c>
      <c r="L99" s="11" t="str">
        <f t="shared" si="5"/>
        <v/>
      </c>
      <c r="M99" s="13"/>
    </row>
    <row r="100">
      <c r="A100" s="15"/>
      <c r="B100" s="6"/>
      <c r="C100" s="14" t="str">
        <f>iferror(vlookup(B100,'📦 ชื่อสินค้า'!A:C,3,false),)</f>
        <v/>
      </c>
      <c r="D100" s="11" t="str">
        <f>iferror(vlookup(B100,'📦 ชื่อสินค้า'!A:D,4,false),"")</f>
        <v/>
      </c>
      <c r="E100" s="16"/>
      <c r="F100" s="8" t="str">
        <f t="shared" si="1"/>
        <v/>
      </c>
      <c r="G100" s="9" t="str">
        <f>IF(LEN(B100)&gt;0,vlookup(B100,'📊 รายงานสินค้าคงเหลือ'!A:G,6,false)*E100,)</f>
        <v/>
      </c>
      <c r="H100" s="9" t="str">
        <f t="shared" si="2"/>
        <v/>
      </c>
      <c r="I100" s="10" t="str">
        <f t="shared" si="3"/>
        <v/>
      </c>
      <c r="J100" s="11" t="str">
        <f t="shared" si="4"/>
        <v/>
      </c>
      <c r="K100" s="11" t="str">
        <f>IFERROR(IF(A100&lt;&gt;"",VLOOKUP(B100,'📦 ชื่อสินค้า'!A:F,6,false),""),)</f>
        <v/>
      </c>
      <c r="L100" s="11" t="str">
        <f t="shared" si="5"/>
        <v/>
      </c>
      <c r="M100" s="13"/>
    </row>
    <row r="101">
      <c r="A101" s="15"/>
      <c r="B101" s="6"/>
      <c r="C101" s="14" t="str">
        <f>iferror(vlookup(B101,'📦 ชื่อสินค้า'!A:C,3,false),)</f>
        <v/>
      </c>
      <c r="D101" s="11" t="str">
        <f>iferror(vlookup(B101,'📦 ชื่อสินค้า'!A:D,4,false),"")</f>
        <v/>
      </c>
      <c r="E101" s="16"/>
      <c r="F101" s="8" t="str">
        <f t="shared" si="1"/>
        <v/>
      </c>
      <c r="G101" s="9" t="str">
        <f>IF(LEN(B101)&gt;0,vlookup(B101,'📊 รายงานสินค้าคงเหลือ'!A:G,6,false)*E101,)</f>
        <v/>
      </c>
      <c r="H101" s="9" t="str">
        <f t="shared" si="2"/>
        <v/>
      </c>
      <c r="I101" s="10" t="str">
        <f t="shared" si="3"/>
        <v/>
      </c>
      <c r="J101" s="11" t="str">
        <f t="shared" si="4"/>
        <v/>
      </c>
      <c r="K101" s="11" t="str">
        <f>IFERROR(IF(A101&lt;&gt;"",VLOOKUP(B101,'📦 ชื่อสินค้า'!A:F,6,false),""),)</f>
        <v/>
      </c>
      <c r="L101" s="11" t="str">
        <f t="shared" si="5"/>
        <v/>
      </c>
      <c r="M101" s="13"/>
    </row>
    <row r="102">
      <c r="A102" s="15"/>
      <c r="B102" s="6"/>
      <c r="C102" s="14" t="str">
        <f>iferror(vlookup(B102,'📦 ชื่อสินค้า'!A:C,3,false),)</f>
        <v/>
      </c>
      <c r="D102" s="11" t="str">
        <f>iferror(vlookup(B102,'📦 ชื่อสินค้า'!A:D,4,false),"")</f>
        <v/>
      </c>
      <c r="E102" s="16"/>
      <c r="F102" s="8" t="str">
        <f t="shared" si="1"/>
        <v/>
      </c>
      <c r="G102" s="9" t="str">
        <f>IF(LEN(B102)&gt;0,vlookup(B102,'📊 รายงานสินค้าคงเหลือ'!A:G,6,false)*E102,)</f>
        <v/>
      </c>
      <c r="H102" s="9" t="str">
        <f t="shared" si="2"/>
        <v/>
      </c>
      <c r="I102" s="10" t="str">
        <f t="shared" si="3"/>
        <v/>
      </c>
      <c r="J102" s="11" t="str">
        <f t="shared" si="4"/>
        <v/>
      </c>
      <c r="K102" s="11" t="str">
        <f>IFERROR(IF(A102&lt;&gt;"",VLOOKUP(B102,'📦 ชื่อสินค้า'!A:F,6,false),""),)</f>
        <v/>
      </c>
      <c r="L102" s="11" t="str">
        <f t="shared" si="5"/>
        <v/>
      </c>
      <c r="M102" s="13"/>
    </row>
    <row r="103">
      <c r="A103" s="15"/>
      <c r="B103" s="6"/>
      <c r="C103" s="14" t="str">
        <f>iferror(vlookup(B103,'📦 ชื่อสินค้า'!A:C,3,false),)</f>
        <v/>
      </c>
      <c r="D103" s="11" t="str">
        <f>iferror(vlookup(B103,'📦 ชื่อสินค้า'!A:D,4,false),"")</f>
        <v/>
      </c>
      <c r="E103" s="16"/>
      <c r="F103" s="8" t="str">
        <f t="shared" si="1"/>
        <v/>
      </c>
      <c r="G103" s="9" t="str">
        <f>IF(LEN(B103)&gt;0,vlookup(B103,'📊 รายงานสินค้าคงเหลือ'!A:G,6,false)*E103,)</f>
        <v/>
      </c>
      <c r="H103" s="9" t="str">
        <f t="shared" si="2"/>
        <v/>
      </c>
      <c r="I103" s="10" t="str">
        <f t="shared" si="3"/>
        <v/>
      </c>
      <c r="J103" s="11" t="str">
        <f t="shared" si="4"/>
        <v/>
      </c>
      <c r="K103" s="11" t="str">
        <f>IFERROR(IF(A103&lt;&gt;"",VLOOKUP(B103,'📦 ชื่อสินค้า'!A:F,6,false),""),)</f>
        <v/>
      </c>
      <c r="L103" s="11" t="str">
        <f t="shared" si="5"/>
        <v/>
      </c>
      <c r="M103" s="13"/>
    </row>
    <row r="104">
      <c r="A104" s="15"/>
      <c r="B104" s="6"/>
      <c r="C104" s="14" t="str">
        <f>iferror(vlookup(B104,'📦 ชื่อสินค้า'!A:C,3,false),)</f>
        <v/>
      </c>
      <c r="D104" s="11" t="str">
        <f>iferror(vlookup(B104,'📦 ชื่อสินค้า'!A:D,4,false),"")</f>
        <v/>
      </c>
      <c r="E104" s="16"/>
      <c r="F104" s="8" t="str">
        <f t="shared" si="1"/>
        <v/>
      </c>
      <c r="G104" s="9" t="str">
        <f>IF(LEN(B104)&gt;0,vlookup(B104,'📊 รายงานสินค้าคงเหลือ'!A:G,6,false)*E104,)</f>
        <v/>
      </c>
      <c r="H104" s="9" t="str">
        <f t="shared" si="2"/>
        <v/>
      </c>
      <c r="I104" s="10" t="str">
        <f t="shared" si="3"/>
        <v/>
      </c>
      <c r="J104" s="11" t="str">
        <f t="shared" si="4"/>
        <v/>
      </c>
      <c r="K104" s="11" t="str">
        <f>IFERROR(IF(A104&lt;&gt;"",VLOOKUP(B104,'📦 ชื่อสินค้า'!A:F,6,false),""),)</f>
        <v/>
      </c>
      <c r="L104" s="11" t="str">
        <f t="shared" si="5"/>
        <v/>
      </c>
      <c r="M104" s="13"/>
    </row>
    <row r="105">
      <c r="A105" s="15"/>
      <c r="B105" s="6"/>
      <c r="C105" s="14" t="str">
        <f>iferror(vlookup(B105,'📦 ชื่อสินค้า'!A:C,3,false),)</f>
        <v/>
      </c>
      <c r="D105" s="11" t="str">
        <f>iferror(vlookup(B105,'📦 ชื่อสินค้า'!A:D,4,false),"")</f>
        <v/>
      </c>
      <c r="E105" s="16"/>
      <c r="F105" s="8" t="str">
        <f t="shared" si="1"/>
        <v/>
      </c>
      <c r="G105" s="9" t="str">
        <f>IF(LEN(B105)&gt;0,vlookup(B105,'📊 รายงานสินค้าคงเหลือ'!A:G,6,false)*E105,)</f>
        <v/>
      </c>
      <c r="H105" s="9" t="str">
        <f t="shared" si="2"/>
        <v/>
      </c>
      <c r="I105" s="10" t="str">
        <f t="shared" si="3"/>
        <v/>
      </c>
      <c r="J105" s="11" t="str">
        <f t="shared" si="4"/>
        <v/>
      </c>
      <c r="K105" s="11" t="str">
        <f>IFERROR(IF(A105&lt;&gt;"",VLOOKUP(B105,'📦 ชื่อสินค้า'!A:F,6,false),""),)</f>
        <v/>
      </c>
      <c r="L105" s="11" t="str">
        <f t="shared" si="5"/>
        <v/>
      </c>
      <c r="M105" s="13"/>
    </row>
    <row r="106">
      <c r="A106" s="15"/>
      <c r="B106" s="6"/>
      <c r="C106" s="14" t="str">
        <f>iferror(vlookup(B106,'📦 ชื่อสินค้า'!A:C,3,false),)</f>
        <v/>
      </c>
      <c r="D106" s="11" t="str">
        <f>iferror(vlookup(B106,'📦 ชื่อสินค้า'!A:D,4,false),"")</f>
        <v/>
      </c>
      <c r="E106" s="16"/>
      <c r="F106" s="8" t="str">
        <f t="shared" si="1"/>
        <v/>
      </c>
      <c r="G106" s="9" t="str">
        <f>IF(LEN(B106)&gt;0,vlookup(B106,'📊 รายงานสินค้าคงเหลือ'!A:G,6,false)*E106,)</f>
        <v/>
      </c>
      <c r="H106" s="9" t="str">
        <f t="shared" si="2"/>
        <v/>
      </c>
      <c r="I106" s="10" t="str">
        <f t="shared" si="3"/>
        <v/>
      </c>
      <c r="J106" s="11" t="str">
        <f t="shared" si="4"/>
        <v/>
      </c>
      <c r="K106" s="11" t="str">
        <f>IFERROR(IF(A106&lt;&gt;"",VLOOKUP(B106,'📦 ชื่อสินค้า'!A:F,6,false),""),)</f>
        <v/>
      </c>
      <c r="L106" s="11" t="str">
        <f t="shared" si="5"/>
        <v/>
      </c>
      <c r="M106" s="13"/>
    </row>
    <row r="107">
      <c r="A107" s="15"/>
      <c r="B107" s="6"/>
      <c r="C107" s="14" t="str">
        <f>iferror(vlookup(B107,'📦 ชื่อสินค้า'!A:C,3,false),)</f>
        <v/>
      </c>
      <c r="D107" s="11" t="str">
        <f>iferror(vlookup(B107,'📦 ชื่อสินค้า'!A:D,4,false),"")</f>
        <v/>
      </c>
      <c r="E107" s="16"/>
      <c r="F107" s="8" t="str">
        <f t="shared" si="1"/>
        <v/>
      </c>
      <c r="G107" s="9" t="str">
        <f>IF(LEN(B107)&gt;0,vlookup(B107,'📊 รายงานสินค้าคงเหลือ'!A:G,6,false)*E107,)</f>
        <v/>
      </c>
      <c r="H107" s="9" t="str">
        <f t="shared" si="2"/>
        <v/>
      </c>
      <c r="I107" s="10" t="str">
        <f t="shared" si="3"/>
        <v/>
      </c>
      <c r="J107" s="11" t="str">
        <f t="shared" si="4"/>
        <v/>
      </c>
      <c r="K107" s="11" t="str">
        <f>IFERROR(IF(A107&lt;&gt;"",VLOOKUP(B107,'📦 ชื่อสินค้า'!A:F,6,false),""),)</f>
        <v/>
      </c>
      <c r="L107" s="11" t="str">
        <f t="shared" si="5"/>
        <v/>
      </c>
      <c r="M107" s="13"/>
    </row>
    <row r="108">
      <c r="A108" s="15"/>
      <c r="B108" s="6"/>
      <c r="C108" s="14" t="str">
        <f>iferror(vlookup(B108,'📦 ชื่อสินค้า'!A:C,3,false),)</f>
        <v/>
      </c>
      <c r="D108" s="11" t="str">
        <f>iferror(vlookup(B108,'📦 ชื่อสินค้า'!A:D,4,false),"")</f>
        <v/>
      </c>
      <c r="E108" s="16"/>
      <c r="F108" s="8" t="str">
        <f t="shared" si="1"/>
        <v/>
      </c>
      <c r="G108" s="9" t="str">
        <f>IF(LEN(B108)&gt;0,vlookup(B108,'📊 รายงานสินค้าคงเหลือ'!A:G,6,false)*E108,)</f>
        <v/>
      </c>
      <c r="H108" s="9" t="str">
        <f t="shared" si="2"/>
        <v/>
      </c>
      <c r="I108" s="10" t="str">
        <f t="shared" si="3"/>
        <v/>
      </c>
      <c r="J108" s="11" t="str">
        <f t="shared" si="4"/>
        <v/>
      </c>
      <c r="K108" s="11" t="str">
        <f>IFERROR(IF(A108&lt;&gt;"",VLOOKUP(B108,'📦 ชื่อสินค้า'!A:F,6,false),""),)</f>
        <v/>
      </c>
      <c r="L108" s="11" t="str">
        <f t="shared" si="5"/>
        <v/>
      </c>
      <c r="M108" s="13"/>
    </row>
    <row r="109">
      <c r="A109" s="15"/>
      <c r="B109" s="6"/>
      <c r="C109" s="14" t="str">
        <f>iferror(vlookup(B109,'📦 ชื่อสินค้า'!A:C,3,false),)</f>
        <v/>
      </c>
      <c r="D109" s="11" t="str">
        <f>iferror(vlookup(B109,'📦 ชื่อสินค้า'!A:D,4,false),"")</f>
        <v/>
      </c>
      <c r="E109" s="16"/>
      <c r="F109" s="8" t="str">
        <f t="shared" si="1"/>
        <v/>
      </c>
      <c r="G109" s="9" t="str">
        <f>IF(LEN(B109)&gt;0,vlookup(B109,'📊 รายงานสินค้าคงเหลือ'!A:G,6,false)*E109,)</f>
        <v/>
      </c>
      <c r="H109" s="9" t="str">
        <f t="shared" si="2"/>
        <v/>
      </c>
      <c r="I109" s="10" t="str">
        <f t="shared" si="3"/>
        <v/>
      </c>
      <c r="J109" s="11" t="str">
        <f t="shared" si="4"/>
        <v/>
      </c>
      <c r="K109" s="11" t="str">
        <f>IFERROR(IF(A109&lt;&gt;"",VLOOKUP(B109,'📦 ชื่อสินค้า'!A:F,6,false),""),)</f>
        <v/>
      </c>
      <c r="L109" s="11" t="str">
        <f t="shared" si="5"/>
        <v/>
      </c>
      <c r="M109" s="13"/>
    </row>
    <row r="110">
      <c r="A110" s="15"/>
      <c r="B110" s="6"/>
      <c r="C110" s="14" t="str">
        <f>iferror(vlookup(B110,'📦 ชื่อสินค้า'!A:C,3,false),)</f>
        <v/>
      </c>
      <c r="D110" s="11" t="str">
        <f>iferror(vlookup(B110,'📦 ชื่อสินค้า'!A:D,4,false),"")</f>
        <v/>
      </c>
      <c r="E110" s="16"/>
      <c r="F110" s="8" t="str">
        <f t="shared" si="1"/>
        <v/>
      </c>
      <c r="G110" s="9" t="str">
        <f>IF(LEN(B110)&gt;0,vlookup(B110,'📊 รายงานสินค้าคงเหลือ'!A:G,6,false)*E110,)</f>
        <v/>
      </c>
      <c r="H110" s="9" t="str">
        <f t="shared" si="2"/>
        <v/>
      </c>
      <c r="I110" s="10" t="str">
        <f t="shared" si="3"/>
        <v/>
      </c>
      <c r="J110" s="11" t="str">
        <f t="shared" si="4"/>
        <v/>
      </c>
      <c r="K110" s="11" t="str">
        <f>IFERROR(IF(A110&lt;&gt;"",VLOOKUP(B110,'📦 ชื่อสินค้า'!A:F,6,false),""),)</f>
        <v/>
      </c>
      <c r="L110" s="11" t="str">
        <f t="shared" si="5"/>
        <v/>
      </c>
      <c r="M110" s="13"/>
    </row>
    <row r="111">
      <c r="A111" s="15"/>
      <c r="B111" s="6"/>
      <c r="C111" s="14" t="str">
        <f>iferror(vlookup(B111,'📦 ชื่อสินค้า'!A:C,3,false),)</f>
        <v/>
      </c>
      <c r="D111" s="11" t="str">
        <f>iferror(vlookup(B111,'📦 ชื่อสินค้า'!A:D,4,false),"")</f>
        <v/>
      </c>
      <c r="E111" s="16"/>
      <c r="F111" s="8" t="str">
        <f t="shared" si="1"/>
        <v/>
      </c>
      <c r="G111" s="9" t="str">
        <f>IF(LEN(B111)&gt;0,vlookup(B111,'📊 รายงานสินค้าคงเหลือ'!A:G,6,false)*E111,)</f>
        <v/>
      </c>
      <c r="H111" s="9" t="str">
        <f t="shared" si="2"/>
        <v/>
      </c>
      <c r="I111" s="10" t="str">
        <f t="shared" si="3"/>
        <v/>
      </c>
      <c r="J111" s="11" t="str">
        <f t="shared" si="4"/>
        <v/>
      </c>
      <c r="K111" s="11" t="str">
        <f>IFERROR(IF(A111&lt;&gt;"",VLOOKUP(B111,'📦 ชื่อสินค้า'!A:F,6,false),""),)</f>
        <v/>
      </c>
      <c r="L111" s="11" t="str">
        <f t="shared" si="5"/>
        <v/>
      </c>
      <c r="M111" s="13"/>
    </row>
    <row r="112">
      <c r="A112" s="15"/>
      <c r="B112" s="6"/>
      <c r="C112" s="14" t="str">
        <f>iferror(vlookup(B112,'📦 ชื่อสินค้า'!A:C,3,false),)</f>
        <v/>
      </c>
      <c r="D112" s="11" t="str">
        <f>iferror(vlookup(B112,'📦 ชื่อสินค้า'!A:D,4,false),"")</f>
        <v/>
      </c>
      <c r="E112" s="16"/>
      <c r="F112" s="8" t="str">
        <f t="shared" si="1"/>
        <v/>
      </c>
      <c r="G112" s="9" t="str">
        <f>IF(LEN(B112)&gt;0,vlookup(B112,'📊 รายงานสินค้าคงเหลือ'!A:G,6,false)*E112,)</f>
        <v/>
      </c>
      <c r="H112" s="9" t="str">
        <f t="shared" si="2"/>
        <v/>
      </c>
      <c r="I112" s="10" t="str">
        <f t="shared" si="3"/>
        <v/>
      </c>
      <c r="J112" s="11" t="str">
        <f t="shared" si="4"/>
        <v/>
      </c>
      <c r="K112" s="11" t="str">
        <f>IFERROR(IF(A112&lt;&gt;"",VLOOKUP(B112,'📦 ชื่อสินค้า'!A:F,6,false),""),)</f>
        <v/>
      </c>
      <c r="L112" s="11" t="str">
        <f t="shared" si="5"/>
        <v/>
      </c>
      <c r="M112" s="13"/>
    </row>
    <row r="113">
      <c r="A113" s="15"/>
      <c r="B113" s="6"/>
      <c r="C113" s="14" t="str">
        <f>iferror(vlookup(B113,'📦 ชื่อสินค้า'!A:C,3,false),)</f>
        <v/>
      </c>
      <c r="D113" s="11" t="str">
        <f>iferror(vlookup(B113,'📦 ชื่อสินค้า'!A:D,4,false),"")</f>
        <v/>
      </c>
      <c r="E113" s="16"/>
      <c r="F113" s="8" t="str">
        <f t="shared" si="1"/>
        <v/>
      </c>
      <c r="G113" s="9" t="str">
        <f>IF(LEN(B113)&gt;0,vlookup(B113,'📊 รายงานสินค้าคงเหลือ'!A:G,6,false)*E113,)</f>
        <v/>
      </c>
      <c r="H113" s="9" t="str">
        <f t="shared" si="2"/>
        <v/>
      </c>
      <c r="I113" s="10" t="str">
        <f t="shared" si="3"/>
        <v/>
      </c>
      <c r="J113" s="11" t="str">
        <f t="shared" si="4"/>
        <v/>
      </c>
      <c r="K113" s="11" t="str">
        <f>IFERROR(IF(A113&lt;&gt;"",VLOOKUP(B113,'📦 ชื่อสินค้า'!A:F,6,false),""),)</f>
        <v/>
      </c>
      <c r="L113" s="11" t="str">
        <f t="shared" si="5"/>
        <v/>
      </c>
      <c r="M113" s="13"/>
    </row>
    <row r="114">
      <c r="A114" s="15"/>
      <c r="B114" s="6"/>
      <c r="C114" s="14" t="str">
        <f>iferror(vlookup(B114,'📦 ชื่อสินค้า'!A:C,3,false),)</f>
        <v/>
      </c>
      <c r="D114" s="11" t="str">
        <f>iferror(vlookup(B114,'📦 ชื่อสินค้า'!A:D,4,false),"")</f>
        <v/>
      </c>
      <c r="E114" s="16"/>
      <c r="F114" s="8" t="str">
        <f t="shared" si="1"/>
        <v/>
      </c>
      <c r="G114" s="9" t="str">
        <f>IF(LEN(B114)&gt;0,vlookup(B114,'📊 รายงานสินค้าคงเหลือ'!A:G,6,false)*E114,)</f>
        <v/>
      </c>
      <c r="H114" s="9" t="str">
        <f t="shared" si="2"/>
        <v/>
      </c>
      <c r="I114" s="10" t="str">
        <f t="shared" si="3"/>
        <v/>
      </c>
      <c r="J114" s="11" t="str">
        <f t="shared" si="4"/>
        <v/>
      </c>
      <c r="K114" s="11" t="str">
        <f>IFERROR(IF(A114&lt;&gt;"",VLOOKUP(B114,'📦 ชื่อสินค้า'!A:F,6,false),""),)</f>
        <v/>
      </c>
      <c r="L114" s="11" t="str">
        <f t="shared" si="5"/>
        <v/>
      </c>
      <c r="M114" s="13"/>
    </row>
    <row r="115">
      <c r="A115" s="15"/>
      <c r="B115" s="6"/>
      <c r="C115" s="14" t="str">
        <f>iferror(vlookup(B115,'📦 ชื่อสินค้า'!A:C,3,false),)</f>
        <v/>
      </c>
      <c r="D115" s="11" t="str">
        <f>iferror(vlookup(B115,'📦 ชื่อสินค้า'!A:D,4,false),"")</f>
        <v/>
      </c>
      <c r="E115" s="16"/>
      <c r="F115" s="8" t="str">
        <f t="shared" si="1"/>
        <v/>
      </c>
      <c r="G115" s="9" t="str">
        <f>IF(LEN(B115)&gt;0,vlookup(B115,'📊 รายงานสินค้าคงเหลือ'!A:G,6,false)*E115,)</f>
        <v/>
      </c>
      <c r="H115" s="9" t="str">
        <f t="shared" si="2"/>
        <v/>
      </c>
      <c r="I115" s="10" t="str">
        <f t="shared" si="3"/>
        <v/>
      </c>
      <c r="J115" s="11" t="str">
        <f t="shared" si="4"/>
        <v/>
      </c>
      <c r="K115" s="11" t="str">
        <f>IFERROR(IF(A115&lt;&gt;"",VLOOKUP(B115,'📦 ชื่อสินค้า'!A:F,6,false),""),)</f>
        <v/>
      </c>
      <c r="L115" s="11" t="str">
        <f t="shared" si="5"/>
        <v/>
      </c>
      <c r="M115" s="13"/>
    </row>
    <row r="116">
      <c r="A116" s="15"/>
      <c r="B116" s="6"/>
      <c r="C116" s="14" t="str">
        <f>iferror(vlookup(B116,'📦 ชื่อสินค้า'!A:C,3,false),)</f>
        <v/>
      </c>
      <c r="D116" s="11" t="str">
        <f>iferror(vlookup(B116,'📦 ชื่อสินค้า'!A:D,4,false),"")</f>
        <v/>
      </c>
      <c r="E116" s="16"/>
      <c r="F116" s="8" t="str">
        <f t="shared" si="1"/>
        <v/>
      </c>
      <c r="G116" s="9" t="str">
        <f>IF(LEN(B116)&gt;0,vlookup(B116,'📊 รายงานสินค้าคงเหลือ'!A:G,6,false)*E116,)</f>
        <v/>
      </c>
      <c r="H116" s="9" t="str">
        <f t="shared" si="2"/>
        <v/>
      </c>
      <c r="I116" s="10" t="str">
        <f t="shared" si="3"/>
        <v/>
      </c>
      <c r="J116" s="11" t="str">
        <f t="shared" si="4"/>
        <v/>
      </c>
      <c r="K116" s="11" t="str">
        <f>IFERROR(IF(A116&lt;&gt;"",VLOOKUP(B116,'📦 ชื่อสินค้า'!A:F,6,false),""),)</f>
        <v/>
      </c>
      <c r="L116" s="11" t="str">
        <f t="shared" si="5"/>
        <v/>
      </c>
      <c r="M116" s="13"/>
    </row>
    <row r="117">
      <c r="A117" s="15"/>
      <c r="B117" s="6"/>
      <c r="C117" s="14" t="str">
        <f>iferror(vlookup(B117,'📦 ชื่อสินค้า'!A:C,3,false),)</f>
        <v/>
      </c>
      <c r="D117" s="11" t="str">
        <f>iferror(vlookup(B117,'📦 ชื่อสินค้า'!A:D,4,false),"")</f>
        <v/>
      </c>
      <c r="E117" s="16"/>
      <c r="F117" s="8" t="str">
        <f t="shared" si="1"/>
        <v/>
      </c>
      <c r="G117" s="9" t="str">
        <f>IF(LEN(B117)&gt;0,vlookup(B117,'📊 รายงานสินค้าคงเหลือ'!A:G,6,false)*E117,)</f>
        <v/>
      </c>
      <c r="H117" s="9" t="str">
        <f t="shared" si="2"/>
        <v/>
      </c>
      <c r="I117" s="10" t="str">
        <f t="shared" si="3"/>
        <v/>
      </c>
      <c r="J117" s="11" t="str">
        <f t="shared" si="4"/>
        <v/>
      </c>
      <c r="K117" s="11" t="str">
        <f>IFERROR(IF(A117&lt;&gt;"",VLOOKUP(B117,'📦 ชื่อสินค้า'!A:F,6,false),""),)</f>
        <v/>
      </c>
      <c r="L117" s="11" t="str">
        <f t="shared" si="5"/>
        <v/>
      </c>
      <c r="M117" s="13"/>
    </row>
    <row r="118">
      <c r="A118" s="15"/>
      <c r="B118" s="6"/>
      <c r="C118" s="14" t="str">
        <f>iferror(vlookup(B118,'📦 ชื่อสินค้า'!A:C,3,false),)</f>
        <v/>
      </c>
      <c r="D118" s="11" t="str">
        <f>iferror(vlookup(B118,'📦 ชื่อสินค้า'!A:D,4,false),"")</f>
        <v/>
      </c>
      <c r="E118" s="16"/>
      <c r="F118" s="8" t="str">
        <f t="shared" si="1"/>
        <v/>
      </c>
      <c r="G118" s="9" t="str">
        <f>IF(LEN(B118)&gt;0,vlookup(B118,'📊 รายงานสินค้าคงเหลือ'!A:G,6,false)*E118,)</f>
        <v/>
      </c>
      <c r="H118" s="9" t="str">
        <f t="shared" si="2"/>
        <v/>
      </c>
      <c r="I118" s="10" t="str">
        <f t="shared" si="3"/>
        <v/>
      </c>
      <c r="J118" s="11" t="str">
        <f t="shared" si="4"/>
        <v/>
      </c>
      <c r="K118" s="11" t="str">
        <f>IFERROR(IF(A118&lt;&gt;"",VLOOKUP(B118,'📦 ชื่อสินค้า'!A:F,6,false),""),)</f>
        <v/>
      </c>
      <c r="L118" s="11" t="str">
        <f t="shared" si="5"/>
        <v/>
      </c>
      <c r="M118" s="13"/>
    </row>
    <row r="119">
      <c r="A119" s="15"/>
      <c r="B119" s="6"/>
      <c r="C119" s="14" t="str">
        <f>iferror(vlookup(B119,'📦 ชื่อสินค้า'!A:C,3,false),)</f>
        <v/>
      </c>
      <c r="D119" s="11" t="str">
        <f>iferror(vlookup(B119,'📦 ชื่อสินค้า'!A:D,4,false),"")</f>
        <v/>
      </c>
      <c r="E119" s="16"/>
      <c r="F119" s="8" t="str">
        <f t="shared" si="1"/>
        <v/>
      </c>
      <c r="G119" s="9" t="str">
        <f>IF(LEN(B119)&gt;0,vlookup(B119,'📊 รายงานสินค้าคงเหลือ'!A:G,6,false)*E119,)</f>
        <v/>
      </c>
      <c r="H119" s="9" t="str">
        <f t="shared" si="2"/>
        <v/>
      </c>
      <c r="I119" s="10" t="str">
        <f t="shared" si="3"/>
        <v/>
      </c>
      <c r="J119" s="11" t="str">
        <f t="shared" si="4"/>
        <v/>
      </c>
      <c r="K119" s="11" t="str">
        <f>IFERROR(IF(A119&lt;&gt;"",VLOOKUP(B119,'📦 ชื่อสินค้า'!A:F,6,false),""),)</f>
        <v/>
      </c>
      <c r="L119" s="11" t="str">
        <f t="shared" si="5"/>
        <v/>
      </c>
      <c r="M119" s="13"/>
    </row>
    <row r="120">
      <c r="A120" s="15"/>
      <c r="B120" s="6"/>
      <c r="C120" s="14" t="str">
        <f>iferror(vlookup(B120,'📦 ชื่อสินค้า'!A:C,3,false),)</f>
        <v/>
      </c>
      <c r="D120" s="11" t="str">
        <f>iferror(vlookup(B120,'📦 ชื่อสินค้า'!A:D,4,false),"")</f>
        <v/>
      </c>
      <c r="E120" s="16"/>
      <c r="F120" s="8" t="str">
        <f t="shared" si="1"/>
        <v/>
      </c>
      <c r="G120" s="9" t="str">
        <f>IF(LEN(B120)&gt;0,vlookup(B120,'📊 รายงานสินค้าคงเหลือ'!A:G,6,false)*E120,)</f>
        <v/>
      </c>
      <c r="H120" s="9" t="str">
        <f t="shared" si="2"/>
        <v/>
      </c>
      <c r="I120" s="10" t="str">
        <f t="shared" si="3"/>
        <v/>
      </c>
      <c r="J120" s="11" t="str">
        <f t="shared" si="4"/>
        <v/>
      </c>
      <c r="K120" s="11" t="str">
        <f>IFERROR(IF(A120&lt;&gt;"",VLOOKUP(B120,'📦 ชื่อสินค้า'!A:F,6,false),""),)</f>
        <v/>
      </c>
      <c r="L120" s="11" t="str">
        <f t="shared" si="5"/>
        <v/>
      </c>
      <c r="M120" s="13"/>
    </row>
    <row r="121">
      <c r="A121" s="15"/>
      <c r="B121" s="6"/>
      <c r="C121" s="14" t="str">
        <f>iferror(vlookup(B121,'📦 ชื่อสินค้า'!A:C,3,false),)</f>
        <v/>
      </c>
      <c r="D121" s="11" t="str">
        <f>iferror(vlookup(B121,'📦 ชื่อสินค้า'!A:D,4,false),"")</f>
        <v/>
      </c>
      <c r="E121" s="16"/>
      <c r="F121" s="8" t="str">
        <f t="shared" si="1"/>
        <v/>
      </c>
      <c r="G121" s="9" t="str">
        <f>IF(LEN(B121)&gt;0,vlookup(B121,'📊 รายงานสินค้าคงเหลือ'!A:G,6,false)*E121,)</f>
        <v/>
      </c>
      <c r="H121" s="9" t="str">
        <f t="shared" si="2"/>
        <v/>
      </c>
      <c r="I121" s="10" t="str">
        <f t="shared" si="3"/>
        <v/>
      </c>
      <c r="J121" s="11" t="str">
        <f t="shared" si="4"/>
        <v/>
      </c>
      <c r="K121" s="11" t="str">
        <f>IFERROR(IF(A121&lt;&gt;"",VLOOKUP(B121,'📦 ชื่อสินค้า'!A:F,6,false),""),)</f>
        <v/>
      </c>
      <c r="L121" s="11" t="str">
        <f t="shared" si="5"/>
        <v/>
      </c>
      <c r="M121" s="13"/>
    </row>
    <row r="122">
      <c r="A122" s="15"/>
      <c r="B122" s="6"/>
      <c r="C122" s="14" t="str">
        <f>iferror(vlookup(B122,'📦 ชื่อสินค้า'!A:C,3,false),)</f>
        <v/>
      </c>
      <c r="D122" s="11" t="str">
        <f>iferror(vlookup(B122,'📦 ชื่อสินค้า'!A:D,4,false),"")</f>
        <v/>
      </c>
      <c r="E122" s="16"/>
      <c r="F122" s="8" t="str">
        <f t="shared" si="1"/>
        <v/>
      </c>
      <c r="G122" s="9" t="str">
        <f>IF(LEN(B122)&gt;0,vlookup(B122,'📊 รายงานสินค้าคงเหลือ'!A:G,6,false)*E122,)</f>
        <v/>
      </c>
      <c r="H122" s="9" t="str">
        <f t="shared" si="2"/>
        <v/>
      </c>
      <c r="I122" s="10" t="str">
        <f t="shared" si="3"/>
        <v/>
      </c>
      <c r="J122" s="11" t="str">
        <f t="shared" si="4"/>
        <v/>
      </c>
      <c r="K122" s="11" t="str">
        <f>IFERROR(IF(A122&lt;&gt;"",VLOOKUP(B122,'📦 ชื่อสินค้า'!A:F,6,false),""),)</f>
        <v/>
      </c>
      <c r="L122" s="11" t="str">
        <f t="shared" si="5"/>
        <v/>
      </c>
      <c r="M122" s="13"/>
    </row>
    <row r="123">
      <c r="A123" s="15"/>
      <c r="B123" s="6"/>
      <c r="C123" s="14" t="str">
        <f>iferror(vlookup(B123,'📦 ชื่อสินค้า'!A:C,3,false),)</f>
        <v/>
      </c>
      <c r="D123" s="11" t="str">
        <f>iferror(vlookup(B123,'📦 ชื่อสินค้า'!A:D,4,false),"")</f>
        <v/>
      </c>
      <c r="E123" s="16"/>
      <c r="F123" s="8" t="str">
        <f t="shared" si="1"/>
        <v/>
      </c>
      <c r="G123" s="9" t="str">
        <f>IF(LEN(B123)&gt;0,vlookup(B123,'📊 รายงานสินค้าคงเหลือ'!A:G,6,false)*E123,)</f>
        <v/>
      </c>
      <c r="H123" s="9" t="str">
        <f t="shared" si="2"/>
        <v/>
      </c>
      <c r="I123" s="10" t="str">
        <f t="shared" si="3"/>
        <v/>
      </c>
      <c r="J123" s="11" t="str">
        <f t="shared" si="4"/>
        <v/>
      </c>
      <c r="K123" s="11" t="str">
        <f>IFERROR(IF(A123&lt;&gt;"",VLOOKUP(B123,'📦 ชื่อสินค้า'!A:F,6,false),""),)</f>
        <v/>
      </c>
      <c r="L123" s="11" t="str">
        <f t="shared" si="5"/>
        <v/>
      </c>
      <c r="M123" s="13"/>
    </row>
    <row r="124">
      <c r="A124" s="15"/>
      <c r="B124" s="6"/>
      <c r="C124" s="14" t="str">
        <f>iferror(vlookup(B124,'📦 ชื่อสินค้า'!A:C,3,false),)</f>
        <v/>
      </c>
      <c r="D124" s="11" t="str">
        <f>iferror(vlookup(B124,'📦 ชื่อสินค้า'!A:D,4,false),"")</f>
        <v/>
      </c>
      <c r="E124" s="16"/>
      <c r="F124" s="8" t="str">
        <f t="shared" si="1"/>
        <v/>
      </c>
      <c r="G124" s="9" t="str">
        <f>IF(LEN(B124)&gt;0,vlookup(B124,'📊 รายงานสินค้าคงเหลือ'!A:G,6,false)*E124,)</f>
        <v/>
      </c>
      <c r="H124" s="9" t="str">
        <f t="shared" si="2"/>
        <v/>
      </c>
      <c r="I124" s="10" t="str">
        <f t="shared" si="3"/>
        <v/>
      </c>
      <c r="J124" s="11" t="str">
        <f t="shared" si="4"/>
        <v/>
      </c>
      <c r="K124" s="11" t="str">
        <f>IFERROR(IF(A124&lt;&gt;"",VLOOKUP(B124,'📦 ชื่อสินค้า'!A:F,6,false),""),)</f>
        <v/>
      </c>
      <c r="L124" s="11" t="str">
        <f t="shared" si="5"/>
        <v/>
      </c>
      <c r="M124" s="13"/>
    </row>
    <row r="125">
      <c r="A125" s="15"/>
      <c r="B125" s="6"/>
      <c r="C125" s="14" t="str">
        <f>iferror(vlookup(B125,'📦 ชื่อสินค้า'!A:C,3,false),)</f>
        <v/>
      </c>
      <c r="D125" s="11" t="str">
        <f>iferror(vlookup(B125,'📦 ชื่อสินค้า'!A:D,4,false),"")</f>
        <v/>
      </c>
      <c r="E125" s="16"/>
      <c r="F125" s="8" t="str">
        <f t="shared" si="1"/>
        <v/>
      </c>
      <c r="G125" s="9" t="str">
        <f>IF(LEN(B125)&gt;0,vlookup(B125,'📊 รายงานสินค้าคงเหลือ'!A:G,6,false)*E125,)</f>
        <v/>
      </c>
      <c r="H125" s="9" t="str">
        <f t="shared" si="2"/>
        <v/>
      </c>
      <c r="I125" s="10" t="str">
        <f t="shared" si="3"/>
        <v/>
      </c>
      <c r="J125" s="11" t="str">
        <f t="shared" si="4"/>
        <v/>
      </c>
      <c r="K125" s="11" t="str">
        <f>IFERROR(IF(A125&lt;&gt;"",VLOOKUP(B125,'📦 ชื่อสินค้า'!A:F,6,false),""),)</f>
        <v/>
      </c>
      <c r="L125" s="11" t="str">
        <f t="shared" si="5"/>
        <v/>
      </c>
      <c r="M125" s="13"/>
    </row>
    <row r="126">
      <c r="A126" s="15"/>
      <c r="B126" s="6"/>
      <c r="C126" s="14" t="str">
        <f>iferror(vlookup(B126,'📦 ชื่อสินค้า'!A:C,3,false),)</f>
        <v/>
      </c>
      <c r="D126" s="11" t="str">
        <f>iferror(vlookup(B126,'📦 ชื่อสินค้า'!A:D,4,false),"")</f>
        <v/>
      </c>
      <c r="E126" s="16"/>
      <c r="F126" s="8" t="str">
        <f t="shared" si="1"/>
        <v/>
      </c>
      <c r="G126" s="9" t="str">
        <f>IF(LEN(B126)&gt;0,vlookup(B126,'📊 รายงานสินค้าคงเหลือ'!A:G,6,false)*E126,)</f>
        <v/>
      </c>
      <c r="H126" s="9" t="str">
        <f t="shared" si="2"/>
        <v/>
      </c>
      <c r="I126" s="10" t="str">
        <f t="shared" si="3"/>
        <v/>
      </c>
      <c r="J126" s="11" t="str">
        <f t="shared" si="4"/>
        <v/>
      </c>
      <c r="K126" s="11" t="str">
        <f>IFERROR(IF(A126&lt;&gt;"",VLOOKUP(B126,'📦 ชื่อสินค้า'!A:F,6,false),""),)</f>
        <v/>
      </c>
      <c r="L126" s="11" t="str">
        <f t="shared" si="5"/>
        <v/>
      </c>
      <c r="M126" s="13"/>
    </row>
    <row r="127">
      <c r="A127" s="15"/>
      <c r="B127" s="6"/>
      <c r="C127" s="14" t="str">
        <f>iferror(vlookup(B127,'📦 ชื่อสินค้า'!A:C,3,false),)</f>
        <v/>
      </c>
      <c r="D127" s="11" t="str">
        <f>iferror(vlookup(B127,'📦 ชื่อสินค้า'!A:D,4,false),"")</f>
        <v/>
      </c>
      <c r="E127" s="16"/>
      <c r="F127" s="8" t="str">
        <f t="shared" si="1"/>
        <v/>
      </c>
      <c r="G127" s="9" t="str">
        <f>IF(LEN(B127)&gt;0,vlookup(B127,'📊 รายงานสินค้าคงเหลือ'!A:G,6,false)*E127,)</f>
        <v/>
      </c>
      <c r="H127" s="9" t="str">
        <f t="shared" si="2"/>
        <v/>
      </c>
      <c r="I127" s="10" t="str">
        <f t="shared" si="3"/>
        <v/>
      </c>
      <c r="J127" s="11" t="str">
        <f t="shared" si="4"/>
        <v/>
      </c>
      <c r="K127" s="11" t="str">
        <f>IFERROR(IF(A127&lt;&gt;"",VLOOKUP(B127,'📦 ชื่อสินค้า'!A:F,6,false),""),)</f>
        <v/>
      </c>
      <c r="L127" s="11" t="str">
        <f t="shared" si="5"/>
        <v/>
      </c>
      <c r="M127" s="13"/>
    </row>
    <row r="128">
      <c r="A128" s="15"/>
      <c r="B128" s="6"/>
      <c r="C128" s="14" t="str">
        <f>iferror(vlookup(B128,'📦 ชื่อสินค้า'!A:C,3,false),)</f>
        <v/>
      </c>
      <c r="D128" s="11" t="str">
        <f>iferror(vlookup(B128,'📦 ชื่อสินค้า'!A:D,4,false),"")</f>
        <v/>
      </c>
      <c r="E128" s="16"/>
      <c r="F128" s="8" t="str">
        <f t="shared" si="1"/>
        <v/>
      </c>
      <c r="G128" s="9" t="str">
        <f>IF(LEN(B128)&gt;0,vlookup(B128,'📊 รายงานสินค้าคงเหลือ'!A:G,6,false)*E128,)</f>
        <v/>
      </c>
      <c r="H128" s="9" t="str">
        <f t="shared" si="2"/>
        <v/>
      </c>
      <c r="I128" s="10" t="str">
        <f t="shared" si="3"/>
        <v/>
      </c>
      <c r="J128" s="11" t="str">
        <f t="shared" si="4"/>
        <v/>
      </c>
      <c r="K128" s="11" t="str">
        <f>IFERROR(IF(A128&lt;&gt;"",VLOOKUP(B128,'📦 ชื่อสินค้า'!A:F,6,false),""),)</f>
        <v/>
      </c>
      <c r="L128" s="11" t="str">
        <f t="shared" si="5"/>
        <v/>
      </c>
      <c r="M128" s="13"/>
    </row>
    <row r="129">
      <c r="A129" s="15"/>
      <c r="B129" s="6"/>
      <c r="C129" s="14" t="str">
        <f>iferror(vlookup(B129,'📦 ชื่อสินค้า'!A:C,3,false),)</f>
        <v/>
      </c>
      <c r="D129" s="11" t="str">
        <f>iferror(vlookup(B129,'📦 ชื่อสินค้า'!A:D,4,false),"")</f>
        <v/>
      </c>
      <c r="E129" s="16"/>
      <c r="F129" s="8" t="str">
        <f t="shared" si="1"/>
        <v/>
      </c>
      <c r="G129" s="9" t="str">
        <f>IF(LEN(B129)&gt;0,vlookup(B129,'📊 รายงานสินค้าคงเหลือ'!A:G,6,false)*E129,)</f>
        <v/>
      </c>
      <c r="H129" s="9" t="str">
        <f t="shared" si="2"/>
        <v/>
      </c>
      <c r="I129" s="10" t="str">
        <f t="shared" si="3"/>
        <v/>
      </c>
      <c r="J129" s="11" t="str">
        <f t="shared" si="4"/>
        <v/>
      </c>
      <c r="K129" s="11" t="str">
        <f>IFERROR(IF(A129&lt;&gt;"",VLOOKUP(B129,'📦 ชื่อสินค้า'!A:F,6,false),""),)</f>
        <v/>
      </c>
      <c r="L129" s="11" t="str">
        <f t="shared" si="5"/>
        <v/>
      </c>
      <c r="M129" s="13"/>
    </row>
    <row r="130">
      <c r="A130" s="15"/>
      <c r="B130" s="6"/>
      <c r="C130" s="14" t="str">
        <f>iferror(vlookup(B130,'📦 ชื่อสินค้า'!A:C,3,false),)</f>
        <v/>
      </c>
      <c r="D130" s="11" t="str">
        <f>iferror(vlookup(B130,'📦 ชื่อสินค้า'!A:D,4,false),"")</f>
        <v/>
      </c>
      <c r="E130" s="16"/>
      <c r="F130" s="8" t="str">
        <f t="shared" si="1"/>
        <v/>
      </c>
      <c r="G130" s="9" t="str">
        <f>IF(LEN(B130)&gt;0,vlookup(B130,'📊 รายงานสินค้าคงเหลือ'!A:G,6,false)*E130,)</f>
        <v/>
      </c>
      <c r="H130" s="9" t="str">
        <f t="shared" si="2"/>
        <v/>
      </c>
      <c r="I130" s="10" t="str">
        <f t="shared" si="3"/>
        <v/>
      </c>
      <c r="J130" s="11" t="str">
        <f t="shared" si="4"/>
        <v/>
      </c>
      <c r="K130" s="11" t="str">
        <f>IFERROR(IF(A130&lt;&gt;"",VLOOKUP(B130,'📦 ชื่อสินค้า'!A:F,6,false),""),)</f>
        <v/>
      </c>
      <c r="L130" s="11" t="str">
        <f t="shared" si="5"/>
        <v/>
      </c>
      <c r="M130" s="13"/>
    </row>
    <row r="131">
      <c r="A131" s="15"/>
      <c r="B131" s="6"/>
      <c r="C131" s="14" t="str">
        <f>iferror(vlookup(B131,'📦 ชื่อสินค้า'!A:C,3,false),)</f>
        <v/>
      </c>
      <c r="D131" s="11" t="str">
        <f>iferror(vlookup(B131,'📦 ชื่อสินค้า'!A:D,4,false),"")</f>
        <v/>
      </c>
      <c r="E131" s="16"/>
      <c r="F131" s="8" t="str">
        <f t="shared" si="1"/>
        <v/>
      </c>
      <c r="G131" s="9" t="str">
        <f>IF(LEN(B131)&gt;0,vlookup(B131,'📊 รายงานสินค้าคงเหลือ'!A:G,6,false)*E131,)</f>
        <v/>
      </c>
      <c r="H131" s="9" t="str">
        <f t="shared" si="2"/>
        <v/>
      </c>
      <c r="I131" s="10" t="str">
        <f t="shared" si="3"/>
        <v/>
      </c>
      <c r="J131" s="11" t="str">
        <f t="shared" si="4"/>
        <v/>
      </c>
      <c r="K131" s="11" t="str">
        <f>IFERROR(IF(A131&lt;&gt;"",VLOOKUP(B131,'📦 ชื่อสินค้า'!A:F,6,false),""),)</f>
        <v/>
      </c>
      <c r="L131" s="11" t="str">
        <f t="shared" si="5"/>
        <v/>
      </c>
      <c r="M131" s="13"/>
    </row>
    <row r="132">
      <c r="A132" s="15"/>
      <c r="B132" s="6"/>
      <c r="C132" s="14" t="str">
        <f>iferror(vlookup(B132,'📦 ชื่อสินค้า'!A:C,3,false),)</f>
        <v/>
      </c>
      <c r="D132" s="11" t="str">
        <f>iferror(vlookup(B132,'📦 ชื่อสินค้า'!A:D,4,false),"")</f>
        <v/>
      </c>
      <c r="E132" s="16"/>
      <c r="F132" s="8" t="str">
        <f t="shared" si="1"/>
        <v/>
      </c>
      <c r="G132" s="9" t="str">
        <f>IF(LEN(B132)&gt;0,vlookup(B132,'📊 รายงานสินค้าคงเหลือ'!A:G,6,false)*E132,)</f>
        <v/>
      </c>
      <c r="H132" s="9" t="str">
        <f t="shared" si="2"/>
        <v/>
      </c>
      <c r="I132" s="10" t="str">
        <f t="shared" si="3"/>
        <v/>
      </c>
      <c r="J132" s="11" t="str">
        <f t="shared" si="4"/>
        <v/>
      </c>
      <c r="K132" s="11" t="str">
        <f>IFERROR(IF(A132&lt;&gt;"",VLOOKUP(B132,'📦 ชื่อสินค้า'!A:F,6,false),""),)</f>
        <v/>
      </c>
      <c r="L132" s="11" t="str">
        <f t="shared" si="5"/>
        <v/>
      </c>
      <c r="M132" s="13"/>
    </row>
    <row r="133">
      <c r="A133" s="15"/>
      <c r="B133" s="6"/>
      <c r="C133" s="14" t="str">
        <f>iferror(vlookup(B133,'📦 ชื่อสินค้า'!A:C,3,false),)</f>
        <v/>
      </c>
      <c r="D133" s="11" t="str">
        <f>iferror(vlookup(B133,'📦 ชื่อสินค้า'!A:D,4,false),"")</f>
        <v/>
      </c>
      <c r="E133" s="16"/>
      <c r="F133" s="8" t="str">
        <f t="shared" si="1"/>
        <v/>
      </c>
      <c r="G133" s="9" t="str">
        <f>IF(LEN(B133)&gt;0,vlookup(B133,'📊 รายงานสินค้าคงเหลือ'!A:G,6,false)*E133,)</f>
        <v/>
      </c>
      <c r="H133" s="9" t="str">
        <f t="shared" si="2"/>
        <v/>
      </c>
      <c r="I133" s="10" t="str">
        <f t="shared" si="3"/>
        <v/>
      </c>
      <c r="J133" s="11" t="str">
        <f t="shared" si="4"/>
        <v/>
      </c>
      <c r="K133" s="11" t="str">
        <f>IFERROR(IF(A133&lt;&gt;"",VLOOKUP(B133,'📦 ชื่อสินค้า'!A:F,6,false),""),)</f>
        <v/>
      </c>
      <c r="L133" s="11" t="str">
        <f t="shared" si="5"/>
        <v/>
      </c>
      <c r="M133" s="13"/>
    </row>
    <row r="134">
      <c r="A134" s="15"/>
      <c r="B134" s="6"/>
      <c r="C134" s="14" t="str">
        <f>iferror(vlookup(B134,'📦 ชื่อสินค้า'!A:C,3,false),)</f>
        <v/>
      </c>
      <c r="D134" s="11" t="str">
        <f>iferror(vlookup(B134,'📦 ชื่อสินค้า'!A:D,4,false),"")</f>
        <v/>
      </c>
      <c r="E134" s="16"/>
      <c r="F134" s="8" t="str">
        <f t="shared" si="1"/>
        <v/>
      </c>
      <c r="G134" s="9" t="str">
        <f>IF(LEN(B134)&gt;0,vlookup(B134,'📊 รายงานสินค้าคงเหลือ'!A:G,6,false)*E134,)</f>
        <v/>
      </c>
      <c r="H134" s="9" t="str">
        <f t="shared" si="2"/>
        <v/>
      </c>
      <c r="I134" s="10" t="str">
        <f t="shared" si="3"/>
        <v/>
      </c>
      <c r="J134" s="11" t="str">
        <f t="shared" si="4"/>
        <v/>
      </c>
      <c r="K134" s="11" t="str">
        <f>IFERROR(IF(A134&lt;&gt;"",VLOOKUP(B134,'📦 ชื่อสินค้า'!A:F,6,false),""),)</f>
        <v/>
      </c>
      <c r="L134" s="11" t="str">
        <f t="shared" si="5"/>
        <v/>
      </c>
      <c r="M134" s="13"/>
    </row>
    <row r="135">
      <c r="A135" s="15"/>
      <c r="B135" s="6"/>
      <c r="C135" s="14" t="str">
        <f>iferror(vlookup(B135,'📦 ชื่อสินค้า'!A:C,3,false),)</f>
        <v/>
      </c>
      <c r="D135" s="11" t="str">
        <f>iferror(vlookup(B135,'📦 ชื่อสินค้า'!A:D,4,false),"")</f>
        <v/>
      </c>
      <c r="E135" s="16"/>
      <c r="F135" s="8" t="str">
        <f t="shared" si="1"/>
        <v/>
      </c>
      <c r="G135" s="9" t="str">
        <f>IF(LEN(B135)&gt;0,vlookup(B135,'📊 รายงานสินค้าคงเหลือ'!A:G,6,false)*E135,)</f>
        <v/>
      </c>
      <c r="H135" s="9" t="str">
        <f t="shared" si="2"/>
        <v/>
      </c>
      <c r="I135" s="10" t="str">
        <f t="shared" si="3"/>
        <v/>
      </c>
      <c r="J135" s="11" t="str">
        <f t="shared" si="4"/>
        <v/>
      </c>
      <c r="K135" s="11" t="str">
        <f>IFERROR(IF(A135&lt;&gt;"",VLOOKUP(B135,'📦 ชื่อสินค้า'!A:F,6,false),""),)</f>
        <v/>
      </c>
      <c r="L135" s="11" t="str">
        <f t="shared" si="5"/>
        <v/>
      </c>
      <c r="M135" s="13"/>
    </row>
    <row r="136">
      <c r="A136" s="15"/>
      <c r="B136" s="6"/>
      <c r="C136" s="14" t="str">
        <f>iferror(vlookup(B136,'📦 ชื่อสินค้า'!A:C,3,false),)</f>
        <v/>
      </c>
      <c r="D136" s="11" t="str">
        <f>iferror(vlookup(B136,'📦 ชื่อสินค้า'!A:D,4,false),"")</f>
        <v/>
      </c>
      <c r="E136" s="16"/>
      <c r="F136" s="8" t="str">
        <f t="shared" si="1"/>
        <v/>
      </c>
      <c r="G136" s="9" t="str">
        <f>IF(LEN(B136)&gt;0,vlookup(B136,'📊 รายงานสินค้าคงเหลือ'!A:G,6,false)*E136,)</f>
        <v/>
      </c>
      <c r="H136" s="9" t="str">
        <f t="shared" si="2"/>
        <v/>
      </c>
      <c r="I136" s="10" t="str">
        <f t="shared" si="3"/>
        <v/>
      </c>
      <c r="J136" s="11" t="str">
        <f t="shared" si="4"/>
        <v/>
      </c>
      <c r="K136" s="11" t="str">
        <f>IFERROR(IF(A136&lt;&gt;"",VLOOKUP(B136,'📦 ชื่อสินค้า'!A:F,6,false),""),)</f>
        <v/>
      </c>
      <c r="L136" s="11" t="str">
        <f t="shared" si="5"/>
        <v/>
      </c>
      <c r="M136" s="13"/>
    </row>
    <row r="137">
      <c r="A137" s="15"/>
      <c r="B137" s="6"/>
      <c r="C137" s="14" t="str">
        <f>iferror(vlookup(B137,'📦 ชื่อสินค้า'!A:C,3,false),)</f>
        <v/>
      </c>
      <c r="D137" s="11" t="str">
        <f>iferror(vlookup(B137,'📦 ชื่อสินค้า'!A:D,4,false),"")</f>
        <v/>
      </c>
      <c r="E137" s="16"/>
      <c r="F137" s="8" t="str">
        <f t="shared" si="1"/>
        <v/>
      </c>
      <c r="G137" s="9" t="str">
        <f>IF(LEN(B137)&gt;0,vlookup(B137,'📊 รายงานสินค้าคงเหลือ'!A:G,6,false)*E137,)</f>
        <v/>
      </c>
      <c r="H137" s="9" t="str">
        <f t="shared" si="2"/>
        <v/>
      </c>
      <c r="I137" s="10" t="str">
        <f t="shared" si="3"/>
        <v/>
      </c>
      <c r="J137" s="11" t="str">
        <f t="shared" si="4"/>
        <v/>
      </c>
      <c r="K137" s="11" t="str">
        <f>IFERROR(IF(A137&lt;&gt;"",VLOOKUP(B137,'📦 ชื่อสินค้า'!A:F,6,false),""),)</f>
        <v/>
      </c>
      <c r="L137" s="11" t="str">
        <f t="shared" si="5"/>
        <v/>
      </c>
      <c r="M137" s="13"/>
    </row>
    <row r="138">
      <c r="A138" s="15"/>
      <c r="B138" s="6"/>
      <c r="C138" s="14" t="str">
        <f>iferror(vlookup(B138,'📦 ชื่อสินค้า'!A:C,3,false),)</f>
        <v/>
      </c>
      <c r="D138" s="11" t="str">
        <f>iferror(vlookup(B138,'📦 ชื่อสินค้า'!A:D,4,false),"")</f>
        <v/>
      </c>
      <c r="E138" s="16"/>
      <c r="F138" s="8" t="str">
        <f t="shared" si="1"/>
        <v/>
      </c>
      <c r="G138" s="9" t="str">
        <f>IF(LEN(B138)&gt;0,vlookup(B138,'📊 รายงานสินค้าคงเหลือ'!A:G,6,false)*E138,)</f>
        <v/>
      </c>
      <c r="H138" s="9" t="str">
        <f t="shared" si="2"/>
        <v/>
      </c>
      <c r="I138" s="10" t="str">
        <f t="shared" si="3"/>
        <v/>
      </c>
      <c r="J138" s="11" t="str">
        <f t="shared" si="4"/>
        <v/>
      </c>
      <c r="K138" s="11" t="str">
        <f>IFERROR(IF(A138&lt;&gt;"",VLOOKUP(B138,'📦 ชื่อสินค้า'!A:F,6,false),""),)</f>
        <v/>
      </c>
      <c r="L138" s="11" t="str">
        <f t="shared" si="5"/>
        <v/>
      </c>
      <c r="M138" s="13"/>
    </row>
    <row r="139">
      <c r="A139" s="15"/>
      <c r="B139" s="6"/>
      <c r="C139" s="14" t="str">
        <f>iferror(vlookup(B139,'📦 ชื่อสินค้า'!A:C,3,false),)</f>
        <v/>
      </c>
      <c r="D139" s="11" t="str">
        <f>iferror(vlookup(B139,'📦 ชื่อสินค้า'!A:D,4,false),"")</f>
        <v/>
      </c>
      <c r="E139" s="16"/>
      <c r="F139" s="8" t="str">
        <f t="shared" si="1"/>
        <v/>
      </c>
      <c r="G139" s="9" t="str">
        <f>IF(LEN(B139)&gt;0,vlookup(B139,'📊 รายงานสินค้าคงเหลือ'!A:G,6,false)*E139,)</f>
        <v/>
      </c>
      <c r="H139" s="9" t="str">
        <f t="shared" si="2"/>
        <v/>
      </c>
      <c r="I139" s="10" t="str">
        <f t="shared" si="3"/>
        <v/>
      </c>
      <c r="J139" s="11" t="str">
        <f t="shared" si="4"/>
        <v/>
      </c>
      <c r="K139" s="11" t="str">
        <f>IFERROR(IF(A139&lt;&gt;"",VLOOKUP(B139,'📦 ชื่อสินค้า'!A:F,6,false),""),)</f>
        <v/>
      </c>
      <c r="L139" s="11" t="str">
        <f t="shared" si="5"/>
        <v/>
      </c>
      <c r="M139" s="13"/>
    </row>
    <row r="140">
      <c r="A140" s="15"/>
      <c r="B140" s="6"/>
      <c r="C140" s="14" t="str">
        <f>iferror(vlookup(B140,'📦 ชื่อสินค้า'!A:C,3,false),)</f>
        <v/>
      </c>
      <c r="D140" s="11" t="str">
        <f>iferror(vlookup(B140,'📦 ชื่อสินค้า'!A:D,4,false),"")</f>
        <v/>
      </c>
      <c r="E140" s="16"/>
      <c r="F140" s="8" t="str">
        <f t="shared" si="1"/>
        <v/>
      </c>
      <c r="G140" s="9" t="str">
        <f>IF(LEN(B140)&gt;0,vlookup(B140,'📊 รายงานสินค้าคงเหลือ'!A:G,6,false)*E140,)</f>
        <v/>
      </c>
      <c r="H140" s="9" t="str">
        <f t="shared" si="2"/>
        <v/>
      </c>
      <c r="I140" s="10" t="str">
        <f t="shared" si="3"/>
        <v/>
      </c>
      <c r="J140" s="11" t="str">
        <f t="shared" si="4"/>
        <v/>
      </c>
      <c r="K140" s="11" t="str">
        <f>IFERROR(IF(A140&lt;&gt;"",VLOOKUP(B140,'📦 ชื่อสินค้า'!A:F,6,false),""),)</f>
        <v/>
      </c>
      <c r="L140" s="11" t="str">
        <f t="shared" si="5"/>
        <v/>
      </c>
      <c r="M140" s="13"/>
    </row>
    <row r="141">
      <c r="A141" s="15"/>
      <c r="B141" s="6"/>
      <c r="C141" s="14" t="str">
        <f>iferror(vlookup(B141,'📦 ชื่อสินค้า'!A:C,3,false),)</f>
        <v/>
      </c>
      <c r="D141" s="11" t="str">
        <f>iferror(vlookup(B141,'📦 ชื่อสินค้า'!A:D,4,false),"")</f>
        <v/>
      </c>
      <c r="E141" s="16"/>
      <c r="F141" s="8" t="str">
        <f t="shared" si="1"/>
        <v/>
      </c>
      <c r="G141" s="9" t="str">
        <f>IF(LEN(B141)&gt;0,vlookup(B141,'📊 รายงานสินค้าคงเหลือ'!A:G,6,false)*E141,)</f>
        <v/>
      </c>
      <c r="H141" s="9" t="str">
        <f t="shared" si="2"/>
        <v/>
      </c>
      <c r="I141" s="10" t="str">
        <f t="shared" si="3"/>
        <v/>
      </c>
      <c r="J141" s="11" t="str">
        <f t="shared" si="4"/>
        <v/>
      </c>
      <c r="K141" s="11" t="str">
        <f>IFERROR(IF(A141&lt;&gt;"",VLOOKUP(B141,'📦 ชื่อสินค้า'!A:F,6,false),""),)</f>
        <v/>
      </c>
      <c r="L141" s="11" t="str">
        <f t="shared" si="5"/>
        <v/>
      </c>
      <c r="M141" s="13"/>
    </row>
    <row r="142">
      <c r="A142" s="15"/>
      <c r="B142" s="6"/>
      <c r="C142" s="14" t="str">
        <f>iferror(vlookup(B142,'📦 ชื่อสินค้า'!A:C,3,false),)</f>
        <v/>
      </c>
      <c r="D142" s="11" t="str">
        <f>iferror(vlookup(B142,'📦 ชื่อสินค้า'!A:D,4,false),"")</f>
        <v/>
      </c>
      <c r="E142" s="16"/>
      <c r="F142" s="8" t="str">
        <f t="shared" si="1"/>
        <v/>
      </c>
      <c r="G142" s="9" t="str">
        <f>IF(LEN(B142)&gt;0,vlookup(B142,'📊 รายงานสินค้าคงเหลือ'!A:G,6,false)*E142,)</f>
        <v/>
      </c>
      <c r="H142" s="9" t="str">
        <f t="shared" si="2"/>
        <v/>
      </c>
      <c r="I142" s="10" t="str">
        <f t="shared" si="3"/>
        <v/>
      </c>
      <c r="J142" s="11" t="str">
        <f t="shared" si="4"/>
        <v/>
      </c>
      <c r="K142" s="11" t="str">
        <f>IFERROR(IF(A142&lt;&gt;"",VLOOKUP(B142,'📦 ชื่อสินค้า'!A:F,6,false),""),)</f>
        <v/>
      </c>
      <c r="L142" s="11" t="str">
        <f t="shared" si="5"/>
        <v/>
      </c>
      <c r="M142" s="13"/>
    </row>
    <row r="143">
      <c r="A143" s="15"/>
      <c r="B143" s="6"/>
      <c r="C143" s="14" t="str">
        <f>iferror(vlookup(B143,'📦 ชื่อสินค้า'!A:C,3,false),)</f>
        <v/>
      </c>
      <c r="D143" s="11" t="str">
        <f>iferror(vlookup(B143,'📦 ชื่อสินค้า'!A:D,4,false),"")</f>
        <v/>
      </c>
      <c r="E143" s="16"/>
      <c r="F143" s="8" t="str">
        <f t="shared" si="1"/>
        <v/>
      </c>
      <c r="G143" s="9" t="str">
        <f>IF(LEN(B143)&gt;0,vlookup(B143,'📊 รายงานสินค้าคงเหลือ'!A:G,6,false)*E143,)</f>
        <v/>
      </c>
      <c r="H143" s="9" t="str">
        <f t="shared" si="2"/>
        <v/>
      </c>
      <c r="I143" s="10" t="str">
        <f t="shared" si="3"/>
        <v/>
      </c>
      <c r="J143" s="11" t="str">
        <f t="shared" si="4"/>
        <v/>
      </c>
      <c r="K143" s="11" t="str">
        <f>IFERROR(IF(A143&lt;&gt;"",VLOOKUP(B143,'📦 ชื่อสินค้า'!A:F,6,false),""),)</f>
        <v/>
      </c>
      <c r="L143" s="11" t="str">
        <f t="shared" si="5"/>
        <v/>
      </c>
      <c r="M143" s="13"/>
    </row>
    <row r="144">
      <c r="A144" s="15"/>
      <c r="B144" s="6"/>
      <c r="C144" s="14" t="str">
        <f>iferror(vlookup(B144,'📦 ชื่อสินค้า'!A:C,3,false),)</f>
        <v/>
      </c>
      <c r="D144" s="11" t="str">
        <f>iferror(vlookup(B144,'📦 ชื่อสินค้า'!A:D,4,false),"")</f>
        <v/>
      </c>
      <c r="E144" s="16"/>
      <c r="F144" s="8" t="str">
        <f t="shared" si="1"/>
        <v/>
      </c>
      <c r="G144" s="9" t="str">
        <f>IF(LEN(B144)&gt;0,vlookup(B144,'📊 รายงานสินค้าคงเหลือ'!A:G,6,false)*E144,)</f>
        <v/>
      </c>
      <c r="H144" s="9" t="str">
        <f t="shared" si="2"/>
        <v/>
      </c>
      <c r="I144" s="10" t="str">
        <f t="shared" si="3"/>
        <v/>
      </c>
      <c r="J144" s="11" t="str">
        <f t="shared" si="4"/>
        <v/>
      </c>
      <c r="K144" s="11" t="str">
        <f>IFERROR(IF(A144&lt;&gt;"",VLOOKUP(B144,'📦 ชื่อสินค้า'!A:F,6,false),""),)</f>
        <v/>
      </c>
      <c r="L144" s="11" t="str">
        <f t="shared" si="5"/>
        <v/>
      </c>
      <c r="M144" s="13"/>
    </row>
    <row r="145">
      <c r="A145" s="15"/>
      <c r="B145" s="6"/>
      <c r="C145" s="14" t="str">
        <f>iferror(vlookup(B145,'📦 ชื่อสินค้า'!A:C,3,false),)</f>
        <v/>
      </c>
      <c r="D145" s="11" t="str">
        <f>iferror(vlookup(B145,'📦 ชื่อสินค้า'!A:D,4,false),"")</f>
        <v/>
      </c>
      <c r="E145" s="16"/>
      <c r="F145" s="8" t="str">
        <f t="shared" si="1"/>
        <v/>
      </c>
      <c r="G145" s="9" t="str">
        <f>IF(LEN(B145)&gt;0,vlookup(B145,'📊 รายงานสินค้าคงเหลือ'!A:G,6,false)*E145,)</f>
        <v/>
      </c>
      <c r="H145" s="9" t="str">
        <f t="shared" si="2"/>
        <v/>
      </c>
      <c r="I145" s="10" t="str">
        <f t="shared" si="3"/>
        <v/>
      </c>
      <c r="J145" s="11" t="str">
        <f t="shared" si="4"/>
        <v/>
      </c>
      <c r="K145" s="11" t="str">
        <f>IFERROR(IF(A145&lt;&gt;"",VLOOKUP(B145,'📦 ชื่อสินค้า'!A:F,6,false),""),)</f>
        <v/>
      </c>
      <c r="L145" s="11" t="str">
        <f t="shared" si="5"/>
        <v/>
      </c>
      <c r="M145" s="13"/>
    </row>
    <row r="146">
      <c r="A146" s="15"/>
      <c r="B146" s="6"/>
      <c r="C146" s="14" t="str">
        <f>iferror(vlookup(B146,'📦 ชื่อสินค้า'!A:C,3,false),)</f>
        <v/>
      </c>
      <c r="D146" s="11" t="str">
        <f>iferror(vlookup(B146,'📦 ชื่อสินค้า'!A:D,4,false),"")</f>
        <v/>
      </c>
      <c r="E146" s="16"/>
      <c r="F146" s="8" t="str">
        <f t="shared" si="1"/>
        <v/>
      </c>
      <c r="G146" s="9" t="str">
        <f>IF(LEN(B146)&gt;0,vlookup(B146,'📊 รายงานสินค้าคงเหลือ'!A:G,6,false)*E146,)</f>
        <v/>
      </c>
      <c r="H146" s="9" t="str">
        <f t="shared" si="2"/>
        <v/>
      </c>
      <c r="I146" s="10" t="str">
        <f t="shared" si="3"/>
        <v/>
      </c>
      <c r="J146" s="11" t="str">
        <f t="shared" si="4"/>
        <v/>
      </c>
      <c r="K146" s="11" t="str">
        <f>IFERROR(IF(A146&lt;&gt;"",VLOOKUP(B146,'📦 ชื่อสินค้า'!A:F,6,false),""),)</f>
        <v/>
      </c>
      <c r="L146" s="11" t="str">
        <f t="shared" si="5"/>
        <v/>
      </c>
      <c r="M146" s="13"/>
    </row>
    <row r="147">
      <c r="A147" s="15"/>
      <c r="B147" s="6"/>
      <c r="C147" s="14" t="str">
        <f>iferror(vlookup(B147,'📦 ชื่อสินค้า'!A:C,3,false),)</f>
        <v/>
      </c>
      <c r="D147" s="11" t="str">
        <f>iferror(vlookup(B147,'📦 ชื่อสินค้า'!A:D,4,false),"")</f>
        <v/>
      </c>
      <c r="E147" s="16"/>
      <c r="F147" s="8" t="str">
        <f t="shared" si="1"/>
        <v/>
      </c>
      <c r="G147" s="9" t="str">
        <f>IF(LEN(B147)&gt;0,vlookup(B147,'📊 รายงานสินค้าคงเหลือ'!A:G,6,false)*E147,)</f>
        <v/>
      </c>
      <c r="H147" s="9" t="str">
        <f t="shared" si="2"/>
        <v/>
      </c>
      <c r="I147" s="10" t="str">
        <f t="shared" si="3"/>
        <v/>
      </c>
      <c r="J147" s="11" t="str">
        <f t="shared" si="4"/>
        <v/>
      </c>
      <c r="K147" s="11" t="str">
        <f>IFERROR(IF(A147&lt;&gt;"",VLOOKUP(B147,'📦 ชื่อสินค้า'!A:F,6,false),""),)</f>
        <v/>
      </c>
      <c r="L147" s="11" t="str">
        <f t="shared" si="5"/>
        <v/>
      </c>
      <c r="M147" s="13"/>
    </row>
    <row r="148">
      <c r="A148" s="15"/>
      <c r="B148" s="6"/>
      <c r="C148" s="14" t="str">
        <f>iferror(vlookup(B148,'📦 ชื่อสินค้า'!A:C,3,false),)</f>
        <v/>
      </c>
      <c r="D148" s="11" t="str">
        <f>iferror(vlookup(B148,'📦 ชื่อสินค้า'!A:D,4,false),"")</f>
        <v/>
      </c>
      <c r="E148" s="16"/>
      <c r="F148" s="8" t="str">
        <f t="shared" si="1"/>
        <v/>
      </c>
      <c r="G148" s="9" t="str">
        <f>IF(LEN(B148)&gt;0,vlookup(B148,'📊 รายงานสินค้าคงเหลือ'!A:G,6,false)*E148,)</f>
        <v/>
      </c>
      <c r="H148" s="9" t="str">
        <f t="shared" si="2"/>
        <v/>
      </c>
      <c r="I148" s="10" t="str">
        <f t="shared" si="3"/>
        <v/>
      </c>
      <c r="J148" s="11" t="str">
        <f t="shared" si="4"/>
        <v/>
      </c>
      <c r="K148" s="11" t="str">
        <f>IFERROR(IF(A148&lt;&gt;"",VLOOKUP(B148,'📦 ชื่อสินค้า'!A:F,6,false),""),)</f>
        <v/>
      </c>
      <c r="L148" s="11" t="str">
        <f t="shared" si="5"/>
        <v/>
      </c>
      <c r="M148" s="13"/>
    </row>
    <row r="149">
      <c r="A149" s="15"/>
      <c r="B149" s="6"/>
      <c r="C149" s="14" t="str">
        <f>iferror(vlookup(B149,'📦 ชื่อสินค้า'!A:C,3,false),)</f>
        <v/>
      </c>
      <c r="D149" s="11" t="str">
        <f>iferror(vlookup(B149,'📦 ชื่อสินค้า'!A:D,4,false),"")</f>
        <v/>
      </c>
      <c r="E149" s="16"/>
      <c r="F149" s="8" t="str">
        <f t="shared" si="1"/>
        <v/>
      </c>
      <c r="G149" s="9" t="str">
        <f>IF(LEN(B149)&gt;0,vlookup(B149,'📊 รายงานสินค้าคงเหลือ'!A:G,6,false)*E149,)</f>
        <v/>
      </c>
      <c r="H149" s="9" t="str">
        <f t="shared" si="2"/>
        <v/>
      </c>
      <c r="I149" s="10" t="str">
        <f t="shared" si="3"/>
        <v/>
      </c>
      <c r="J149" s="11" t="str">
        <f t="shared" si="4"/>
        <v/>
      </c>
      <c r="K149" s="11" t="str">
        <f>IFERROR(IF(A149&lt;&gt;"",VLOOKUP(B149,'📦 ชื่อสินค้า'!A:F,6,false),""),)</f>
        <v/>
      </c>
      <c r="L149" s="11" t="str">
        <f t="shared" si="5"/>
        <v/>
      </c>
      <c r="M149" s="13"/>
    </row>
    <row r="150">
      <c r="A150" s="15"/>
      <c r="B150" s="6"/>
      <c r="C150" s="14" t="str">
        <f>iferror(vlookup(B150,'📦 ชื่อสินค้า'!A:C,3,false),)</f>
        <v/>
      </c>
      <c r="D150" s="11" t="str">
        <f>iferror(vlookup(B150,'📦 ชื่อสินค้า'!A:D,4,false),"")</f>
        <v/>
      </c>
      <c r="E150" s="16"/>
      <c r="F150" s="8" t="str">
        <f t="shared" si="1"/>
        <v/>
      </c>
      <c r="G150" s="9" t="str">
        <f>IF(LEN(B150)&gt;0,vlookup(B150,'📊 รายงานสินค้าคงเหลือ'!A:G,6,false)*E150,)</f>
        <v/>
      </c>
      <c r="H150" s="9" t="str">
        <f t="shared" si="2"/>
        <v/>
      </c>
      <c r="I150" s="10" t="str">
        <f t="shared" si="3"/>
        <v/>
      </c>
      <c r="J150" s="11" t="str">
        <f t="shared" si="4"/>
        <v/>
      </c>
      <c r="K150" s="11" t="str">
        <f>IFERROR(IF(A150&lt;&gt;"",VLOOKUP(B150,'📦 ชื่อสินค้า'!A:F,6,false),""),)</f>
        <v/>
      </c>
      <c r="L150" s="11" t="str">
        <f t="shared" si="5"/>
        <v/>
      </c>
      <c r="M150" s="13"/>
    </row>
    <row r="151">
      <c r="A151" s="15"/>
      <c r="B151" s="6"/>
      <c r="C151" s="14" t="str">
        <f>iferror(vlookup(B151,'📦 ชื่อสินค้า'!A:C,3,false),)</f>
        <v/>
      </c>
      <c r="D151" s="11" t="str">
        <f>iferror(vlookup(B151,'📦 ชื่อสินค้า'!A:D,4,false),"")</f>
        <v/>
      </c>
      <c r="E151" s="16"/>
      <c r="F151" s="8" t="str">
        <f t="shared" si="1"/>
        <v/>
      </c>
      <c r="G151" s="9" t="str">
        <f>IF(LEN(B151)&gt;0,vlookup(B151,'📊 รายงานสินค้าคงเหลือ'!A:G,6,false)*E151,)</f>
        <v/>
      </c>
      <c r="H151" s="9" t="str">
        <f t="shared" si="2"/>
        <v/>
      </c>
      <c r="I151" s="10" t="str">
        <f t="shared" si="3"/>
        <v/>
      </c>
      <c r="J151" s="11" t="str">
        <f t="shared" si="4"/>
        <v/>
      </c>
      <c r="K151" s="11" t="str">
        <f>IFERROR(IF(A151&lt;&gt;"",VLOOKUP(B151,'📦 ชื่อสินค้า'!A:F,6,false),""),)</f>
        <v/>
      </c>
      <c r="L151" s="11" t="str">
        <f t="shared" si="5"/>
        <v/>
      </c>
      <c r="M151" s="13"/>
    </row>
    <row r="152">
      <c r="A152" s="15"/>
      <c r="B152" s="6"/>
      <c r="C152" s="14" t="str">
        <f>iferror(vlookup(B152,'📦 ชื่อสินค้า'!A:C,3,false),)</f>
        <v/>
      </c>
      <c r="D152" s="11" t="str">
        <f>iferror(vlookup(B152,'📦 ชื่อสินค้า'!A:D,4,false),"")</f>
        <v/>
      </c>
      <c r="E152" s="16"/>
      <c r="F152" s="8" t="str">
        <f t="shared" si="1"/>
        <v/>
      </c>
      <c r="G152" s="9" t="str">
        <f>IF(LEN(B152)&gt;0,vlookup(B152,'📊 รายงานสินค้าคงเหลือ'!A:G,6,false)*E152,)</f>
        <v/>
      </c>
      <c r="H152" s="9" t="str">
        <f t="shared" si="2"/>
        <v/>
      </c>
      <c r="I152" s="10" t="str">
        <f t="shared" si="3"/>
        <v/>
      </c>
      <c r="J152" s="11" t="str">
        <f t="shared" si="4"/>
        <v/>
      </c>
      <c r="K152" s="11" t="str">
        <f>IFERROR(IF(A152&lt;&gt;"",VLOOKUP(B152,'📦 ชื่อสินค้า'!A:F,6,false),""),)</f>
        <v/>
      </c>
      <c r="L152" s="11" t="str">
        <f t="shared" si="5"/>
        <v/>
      </c>
      <c r="M152" s="13"/>
    </row>
    <row r="153">
      <c r="A153" s="15"/>
      <c r="B153" s="6"/>
      <c r="C153" s="14" t="str">
        <f>iferror(vlookup(B153,'📦 ชื่อสินค้า'!A:C,3,false),)</f>
        <v/>
      </c>
      <c r="D153" s="11" t="str">
        <f>iferror(vlookup(B153,'📦 ชื่อสินค้า'!A:D,4,false),"")</f>
        <v/>
      </c>
      <c r="E153" s="16"/>
      <c r="F153" s="8" t="str">
        <f t="shared" si="1"/>
        <v/>
      </c>
      <c r="G153" s="9" t="str">
        <f>IF(LEN(B153)&gt;0,vlookup(B153,'📊 รายงานสินค้าคงเหลือ'!A:G,6,false)*E153,)</f>
        <v/>
      </c>
      <c r="H153" s="9" t="str">
        <f t="shared" si="2"/>
        <v/>
      </c>
      <c r="I153" s="10" t="str">
        <f t="shared" si="3"/>
        <v/>
      </c>
      <c r="J153" s="11" t="str">
        <f t="shared" si="4"/>
        <v/>
      </c>
      <c r="K153" s="11" t="str">
        <f>IFERROR(IF(A153&lt;&gt;"",VLOOKUP(B153,'📦 ชื่อสินค้า'!A:F,6,false),""),)</f>
        <v/>
      </c>
      <c r="L153" s="11" t="str">
        <f t="shared" si="5"/>
        <v/>
      </c>
      <c r="M153" s="13"/>
    </row>
    <row r="154">
      <c r="A154" s="15"/>
      <c r="B154" s="6"/>
      <c r="C154" s="14" t="str">
        <f>iferror(vlookup(B154,'📦 ชื่อสินค้า'!A:C,3,false),)</f>
        <v/>
      </c>
      <c r="D154" s="11" t="str">
        <f>iferror(vlookup(B154,'📦 ชื่อสินค้า'!A:D,4,false),"")</f>
        <v/>
      </c>
      <c r="E154" s="16"/>
      <c r="F154" s="8" t="str">
        <f t="shared" si="1"/>
        <v/>
      </c>
      <c r="G154" s="9" t="str">
        <f>IF(LEN(B154)&gt;0,vlookup(B154,'📊 รายงานสินค้าคงเหลือ'!A:G,6,false)*E154,)</f>
        <v/>
      </c>
      <c r="H154" s="9" t="str">
        <f t="shared" si="2"/>
        <v/>
      </c>
      <c r="I154" s="10" t="str">
        <f t="shared" si="3"/>
        <v/>
      </c>
      <c r="J154" s="11" t="str">
        <f t="shared" si="4"/>
        <v/>
      </c>
      <c r="K154" s="11" t="str">
        <f>IFERROR(IF(A154&lt;&gt;"",VLOOKUP(B154,'📦 ชื่อสินค้า'!A:F,6,false),""),)</f>
        <v/>
      </c>
      <c r="L154" s="11" t="str">
        <f t="shared" si="5"/>
        <v/>
      </c>
      <c r="M154" s="13"/>
    </row>
    <row r="155">
      <c r="A155" s="15"/>
      <c r="B155" s="6"/>
      <c r="C155" s="14" t="str">
        <f>iferror(vlookup(B155,'📦 ชื่อสินค้า'!A:C,3,false),)</f>
        <v/>
      </c>
      <c r="D155" s="11" t="str">
        <f>iferror(vlookup(B155,'📦 ชื่อสินค้า'!A:D,4,false),"")</f>
        <v/>
      </c>
      <c r="E155" s="16"/>
      <c r="F155" s="8" t="str">
        <f t="shared" si="1"/>
        <v/>
      </c>
      <c r="G155" s="9" t="str">
        <f>IF(LEN(B155)&gt;0,vlookup(B155,'📊 รายงานสินค้าคงเหลือ'!A:G,6,false)*E155,)</f>
        <v/>
      </c>
      <c r="H155" s="9" t="str">
        <f t="shared" si="2"/>
        <v/>
      </c>
      <c r="I155" s="10" t="str">
        <f t="shared" si="3"/>
        <v/>
      </c>
      <c r="J155" s="11" t="str">
        <f t="shared" si="4"/>
        <v/>
      </c>
      <c r="K155" s="11" t="str">
        <f>IFERROR(IF(A155&lt;&gt;"",VLOOKUP(B155,'📦 ชื่อสินค้า'!A:F,6,false),""),)</f>
        <v/>
      </c>
      <c r="L155" s="11" t="str">
        <f t="shared" si="5"/>
        <v/>
      </c>
      <c r="M155" s="13"/>
    </row>
    <row r="156">
      <c r="A156" s="15"/>
      <c r="B156" s="6"/>
      <c r="C156" s="14" t="str">
        <f>iferror(vlookup(B156,'📦 ชื่อสินค้า'!A:C,3,false),)</f>
        <v/>
      </c>
      <c r="D156" s="11" t="str">
        <f>iferror(vlookup(B156,'📦 ชื่อสินค้า'!A:D,4,false),"")</f>
        <v/>
      </c>
      <c r="E156" s="16"/>
      <c r="F156" s="8" t="str">
        <f t="shared" si="1"/>
        <v/>
      </c>
      <c r="G156" s="9" t="str">
        <f>IF(LEN(B156)&gt;0,vlookup(B156,'📊 รายงานสินค้าคงเหลือ'!A:G,6,false)*E156,)</f>
        <v/>
      </c>
      <c r="H156" s="9" t="str">
        <f t="shared" si="2"/>
        <v/>
      </c>
      <c r="I156" s="10" t="str">
        <f t="shared" si="3"/>
        <v/>
      </c>
      <c r="J156" s="11" t="str">
        <f t="shared" si="4"/>
        <v/>
      </c>
      <c r="K156" s="11" t="str">
        <f>IFERROR(IF(A156&lt;&gt;"",VLOOKUP(B156,'📦 ชื่อสินค้า'!A:F,6,false),""),)</f>
        <v/>
      </c>
      <c r="L156" s="11" t="str">
        <f t="shared" si="5"/>
        <v/>
      </c>
      <c r="M156" s="13"/>
    </row>
    <row r="157">
      <c r="A157" s="15"/>
      <c r="B157" s="6"/>
      <c r="C157" s="14" t="str">
        <f>iferror(vlookup(B157,'📦 ชื่อสินค้า'!A:C,3,false),)</f>
        <v/>
      </c>
      <c r="D157" s="11" t="str">
        <f>iferror(vlookup(B157,'📦 ชื่อสินค้า'!A:D,4,false),"")</f>
        <v/>
      </c>
      <c r="E157" s="16"/>
      <c r="F157" s="8" t="str">
        <f t="shared" si="1"/>
        <v/>
      </c>
      <c r="G157" s="9" t="str">
        <f>IF(LEN(B157)&gt;0,vlookup(B157,'📊 รายงานสินค้าคงเหลือ'!A:G,6,false)*E157,)</f>
        <v/>
      </c>
      <c r="H157" s="9" t="str">
        <f t="shared" si="2"/>
        <v/>
      </c>
      <c r="I157" s="10" t="str">
        <f t="shared" si="3"/>
        <v/>
      </c>
      <c r="J157" s="11" t="str">
        <f t="shared" si="4"/>
        <v/>
      </c>
      <c r="K157" s="11" t="str">
        <f>IFERROR(IF(A157&lt;&gt;"",VLOOKUP(B157,'📦 ชื่อสินค้า'!A:F,6,false),""),)</f>
        <v/>
      </c>
      <c r="L157" s="11" t="str">
        <f t="shared" si="5"/>
        <v/>
      </c>
      <c r="M157" s="13"/>
    </row>
    <row r="158">
      <c r="A158" s="15"/>
      <c r="B158" s="6"/>
      <c r="C158" s="14" t="str">
        <f>iferror(vlookup(B158,'📦 ชื่อสินค้า'!A:C,3,false),)</f>
        <v/>
      </c>
      <c r="D158" s="11" t="str">
        <f>iferror(vlookup(B158,'📦 ชื่อสินค้า'!A:D,4,false),"")</f>
        <v/>
      </c>
      <c r="E158" s="16"/>
      <c r="F158" s="8" t="str">
        <f t="shared" si="1"/>
        <v/>
      </c>
      <c r="G158" s="9" t="str">
        <f>IF(LEN(B158)&gt;0,vlookup(B158,'📊 รายงานสินค้าคงเหลือ'!A:G,6,false)*E158,)</f>
        <v/>
      </c>
      <c r="H158" s="9" t="str">
        <f t="shared" si="2"/>
        <v/>
      </c>
      <c r="I158" s="10" t="str">
        <f t="shared" si="3"/>
        <v/>
      </c>
      <c r="J158" s="11" t="str">
        <f t="shared" si="4"/>
        <v/>
      </c>
      <c r="K158" s="11" t="str">
        <f>IFERROR(IF(A158&lt;&gt;"",VLOOKUP(B158,'📦 ชื่อสินค้า'!A:F,6,false),""),)</f>
        <v/>
      </c>
      <c r="L158" s="11" t="str">
        <f t="shared" si="5"/>
        <v/>
      </c>
      <c r="M158" s="13"/>
    </row>
    <row r="159">
      <c r="A159" s="15"/>
      <c r="B159" s="6"/>
      <c r="C159" s="14" t="str">
        <f>iferror(vlookup(B159,'📦 ชื่อสินค้า'!A:C,3,false),)</f>
        <v/>
      </c>
      <c r="D159" s="11" t="str">
        <f>iferror(vlookup(B159,'📦 ชื่อสินค้า'!A:D,4,false),"")</f>
        <v/>
      </c>
      <c r="E159" s="16"/>
      <c r="F159" s="8" t="str">
        <f t="shared" si="1"/>
        <v/>
      </c>
      <c r="G159" s="9" t="str">
        <f>IF(LEN(B159)&gt;0,vlookup(B159,'📊 รายงานสินค้าคงเหลือ'!A:G,6,false)*E159,)</f>
        <v/>
      </c>
      <c r="H159" s="9" t="str">
        <f t="shared" si="2"/>
        <v/>
      </c>
      <c r="I159" s="10" t="str">
        <f t="shared" si="3"/>
        <v/>
      </c>
      <c r="J159" s="11" t="str">
        <f t="shared" si="4"/>
        <v/>
      </c>
      <c r="K159" s="11" t="str">
        <f>IFERROR(IF(A159&lt;&gt;"",VLOOKUP(B159,'📦 ชื่อสินค้า'!A:F,6,false),""),)</f>
        <v/>
      </c>
      <c r="L159" s="11" t="str">
        <f t="shared" si="5"/>
        <v/>
      </c>
      <c r="M159" s="13"/>
    </row>
    <row r="160">
      <c r="A160" s="15"/>
      <c r="B160" s="6"/>
      <c r="C160" s="14" t="str">
        <f>iferror(vlookup(B160,'📦 ชื่อสินค้า'!A:C,3,false),)</f>
        <v/>
      </c>
      <c r="D160" s="11" t="str">
        <f>iferror(vlookup(B160,'📦 ชื่อสินค้า'!A:D,4,false),"")</f>
        <v/>
      </c>
      <c r="E160" s="16"/>
      <c r="F160" s="8" t="str">
        <f t="shared" si="1"/>
        <v/>
      </c>
      <c r="G160" s="9" t="str">
        <f>IF(LEN(B160)&gt;0,vlookup(B160,'📊 รายงานสินค้าคงเหลือ'!A:G,6,false)*E160,)</f>
        <v/>
      </c>
      <c r="H160" s="9" t="str">
        <f t="shared" si="2"/>
        <v/>
      </c>
      <c r="I160" s="10" t="str">
        <f t="shared" si="3"/>
        <v/>
      </c>
      <c r="J160" s="11" t="str">
        <f t="shared" si="4"/>
        <v/>
      </c>
      <c r="K160" s="11" t="str">
        <f>IFERROR(IF(A160&lt;&gt;"",VLOOKUP(B160,'📦 ชื่อสินค้า'!A:F,6,false),""),)</f>
        <v/>
      </c>
      <c r="L160" s="11" t="str">
        <f t="shared" si="5"/>
        <v/>
      </c>
      <c r="M160" s="13"/>
    </row>
    <row r="161">
      <c r="A161" s="15"/>
      <c r="B161" s="6"/>
      <c r="C161" s="14" t="str">
        <f>iferror(vlookup(B161,'📦 ชื่อสินค้า'!A:C,3,false),)</f>
        <v/>
      </c>
      <c r="D161" s="11" t="str">
        <f>iferror(vlookup(B161,'📦 ชื่อสินค้า'!A:D,4,false),"")</f>
        <v/>
      </c>
      <c r="E161" s="16"/>
      <c r="F161" s="8" t="str">
        <f t="shared" si="1"/>
        <v/>
      </c>
      <c r="G161" s="9" t="str">
        <f>IF(LEN(B161)&gt;0,vlookup(B161,'📊 รายงานสินค้าคงเหลือ'!A:G,6,false)*E161,)</f>
        <v/>
      </c>
      <c r="H161" s="9" t="str">
        <f t="shared" si="2"/>
        <v/>
      </c>
      <c r="I161" s="10" t="str">
        <f t="shared" si="3"/>
        <v/>
      </c>
      <c r="J161" s="11" t="str">
        <f t="shared" si="4"/>
        <v/>
      </c>
      <c r="K161" s="11" t="str">
        <f>IFERROR(IF(A161&lt;&gt;"",VLOOKUP(B161,'📦 ชื่อสินค้า'!A:F,6,false),""),)</f>
        <v/>
      </c>
      <c r="L161" s="11" t="str">
        <f t="shared" si="5"/>
        <v/>
      </c>
      <c r="M161" s="13"/>
    </row>
    <row r="162">
      <c r="A162" s="15"/>
      <c r="B162" s="6"/>
      <c r="C162" s="14" t="str">
        <f>iferror(vlookup(B162,'📦 ชื่อสินค้า'!A:C,3,false),)</f>
        <v/>
      </c>
      <c r="D162" s="11" t="str">
        <f>iferror(vlookup(B162,'📦 ชื่อสินค้า'!A:D,4,false),"")</f>
        <v/>
      </c>
      <c r="E162" s="16"/>
      <c r="F162" s="8" t="str">
        <f t="shared" si="1"/>
        <v/>
      </c>
      <c r="G162" s="9" t="str">
        <f>IF(LEN(B162)&gt;0,vlookup(B162,'📊 รายงานสินค้าคงเหลือ'!A:G,6,false)*E162,)</f>
        <v/>
      </c>
      <c r="H162" s="9" t="str">
        <f t="shared" si="2"/>
        <v/>
      </c>
      <c r="I162" s="10" t="str">
        <f t="shared" si="3"/>
        <v/>
      </c>
      <c r="J162" s="11" t="str">
        <f t="shared" si="4"/>
        <v/>
      </c>
      <c r="K162" s="11" t="str">
        <f>IFERROR(IF(A162&lt;&gt;"",VLOOKUP(B162,'📦 ชื่อสินค้า'!A:F,6,false),""),)</f>
        <v/>
      </c>
      <c r="L162" s="11" t="str">
        <f t="shared" si="5"/>
        <v/>
      </c>
      <c r="M162" s="13"/>
    </row>
    <row r="163">
      <c r="A163" s="15"/>
      <c r="B163" s="6"/>
      <c r="C163" s="14" t="str">
        <f>iferror(vlookup(B163,'📦 ชื่อสินค้า'!A:C,3,false),)</f>
        <v/>
      </c>
      <c r="D163" s="11" t="str">
        <f>iferror(vlookup(B163,'📦 ชื่อสินค้า'!A:D,4,false),"")</f>
        <v/>
      </c>
      <c r="E163" s="16"/>
      <c r="F163" s="8" t="str">
        <f t="shared" si="1"/>
        <v/>
      </c>
      <c r="G163" s="9" t="str">
        <f>IF(LEN(B163)&gt;0,vlookup(B163,'📊 รายงานสินค้าคงเหลือ'!A:G,6,false)*E163,)</f>
        <v/>
      </c>
      <c r="H163" s="9" t="str">
        <f t="shared" si="2"/>
        <v/>
      </c>
      <c r="I163" s="10" t="str">
        <f t="shared" si="3"/>
        <v/>
      </c>
      <c r="J163" s="11" t="str">
        <f t="shared" si="4"/>
        <v/>
      </c>
      <c r="K163" s="11" t="str">
        <f>IFERROR(IF(A163&lt;&gt;"",VLOOKUP(B163,'📦 ชื่อสินค้า'!A:F,6,false),""),)</f>
        <v/>
      </c>
      <c r="L163" s="11" t="str">
        <f t="shared" si="5"/>
        <v/>
      </c>
      <c r="M163" s="13"/>
    </row>
    <row r="164">
      <c r="A164" s="15"/>
      <c r="B164" s="6"/>
      <c r="C164" s="14" t="str">
        <f>iferror(vlookup(B164,'📦 ชื่อสินค้า'!A:C,3,false),)</f>
        <v/>
      </c>
      <c r="D164" s="11" t="str">
        <f>iferror(vlookup(B164,'📦 ชื่อสินค้า'!A:D,4,false),"")</f>
        <v/>
      </c>
      <c r="E164" s="16"/>
      <c r="F164" s="8" t="str">
        <f t="shared" si="1"/>
        <v/>
      </c>
      <c r="G164" s="9" t="str">
        <f>IF(LEN(B164)&gt;0,vlookup(B164,'📊 รายงานสินค้าคงเหลือ'!A:G,6,false)*E164,)</f>
        <v/>
      </c>
      <c r="H164" s="9" t="str">
        <f t="shared" si="2"/>
        <v/>
      </c>
      <c r="I164" s="10" t="str">
        <f t="shared" si="3"/>
        <v/>
      </c>
      <c r="J164" s="11" t="str">
        <f t="shared" si="4"/>
        <v/>
      </c>
      <c r="K164" s="11" t="str">
        <f>IFERROR(IF(A164&lt;&gt;"",VLOOKUP(B164,'📦 ชื่อสินค้า'!A:F,6,false),""),)</f>
        <v/>
      </c>
      <c r="L164" s="11" t="str">
        <f t="shared" si="5"/>
        <v/>
      </c>
      <c r="M164" s="13"/>
    </row>
    <row r="165">
      <c r="A165" s="15"/>
      <c r="B165" s="6"/>
      <c r="C165" s="14" t="str">
        <f>iferror(vlookup(B165,'📦 ชื่อสินค้า'!A:C,3,false),)</f>
        <v/>
      </c>
      <c r="D165" s="11" t="str">
        <f>iferror(vlookup(B165,'📦 ชื่อสินค้า'!A:D,4,false),"")</f>
        <v/>
      </c>
      <c r="E165" s="16"/>
      <c r="F165" s="8" t="str">
        <f t="shared" si="1"/>
        <v/>
      </c>
      <c r="G165" s="9" t="str">
        <f>IF(LEN(B165)&gt;0,vlookup(B165,'📊 รายงานสินค้าคงเหลือ'!A:G,6,false)*E165,)</f>
        <v/>
      </c>
      <c r="H165" s="9" t="str">
        <f t="shared" si="2"/>
        <v/>
      </c>
      <c r="I165" s="10" t="str">
        <f t="shared" si="3"/>
        <v/>
      </c>
      <c r="J165" s="11" t="str">
        <f t="shared" si="4"/>
        <v/>
      </c>
      <c r="K165" s="11" t="str">
        <f>IFERROR(IF(A165&lt;&gt;"",VLOOKUP(B165,'📦 ชื่อสินค้า'!A:F,6,false),""),)</f>
        <v/>
      </c>
      <c r="L165" s="11" t="str">
        <f t="shared" si="5"/>
        <v/>
      </c>
      <c r="M165" s="13"/>
    </row>
    <row r="166">
      <c r="A166" s="15"/>
      <c r="B166" s="6"/>
      <c r="C166" s="14" t="str">
        <f>iferror(vlookup(B166,'📦 ชื่อสินค้า'!A:C,3,false),)</f>
        <v/>
      </c>
      <c r="D166" s="11" t="str">
        <f>iferror(vlookup(B166,'📦 ชื่อสินค้า'!A:D,4,false),"")</f>
        <v/>
      </c>
      <c r="E166" s="16"/>
      <c r="F166" s="8" t="str">
        <f t="shared" si="1"/>
        <v/>
      </c>
      <c r="G166" s="9" t="str">
        <f>IF(LEN(B166)&gt;0,vlookup(B166,'📊 รายงานสินค้าคงเหลือ'!A:G,6,false)*E166,)</f>
        <v/>
      </c>
      <c r="H166" s="9" t="str">
        <f t="shared" si="2"/>
        <v/>
      </c>
      <c r="I166" s="10" t="str">
        <f t="shared" si="3"/>
        <v/>
      </c>
      <c r="J166" s="11" t="str">
        <f t="shared" si="4"/>
        <v/>
      </c>
      <c r="K166" s="11" t="str">
        <f>IFERROR(IF(A166&lt;&gt;"",VLOOKUP(B166,'📦 ชื่อสินค้า'!A:F,6,false),""),)</f>
        <v/>
      </c>
      <c r="L166" s="11" t="str">
        <f t="shared" si="5"/>
        <v/>
      </c>
      <c r="M166" s="13"/>
    </row>
    <row r="167">
      <c r="A167" s="15"/>
      <c r="B167" s="6"/>
      <c r="C167" s="14" t="str">
        <f>iferror(vlookup(B167,'📦 ชื่อสินค้า'!A:C,3,false),)</f>
        <v/>
      </c>
      <c r="D167" s="11" t="str">
        <f>iferror(vlookup(B167,'📦 ชื่อสินค้า'!A:D,4,false),"")</f>
        <v/>
      </c>
      <c r="E167" s="16"/>
      <c r="F167" s="8" t="str">
        <f t="shared" si="1"/>
        <v/>
      </c>
      <c r="G167" s="9" t="str">
        <f>IF(LEN(B167)&gt;0,vlookup(B167,'📊 รายงานสินค้าคงเหลือ'!A:G,6,false)*E167,)</f>
        <v/>
      </c>
      <c r="H167" s="9" t="str">
        <f t="shared" si="2"/>
        <v/>
      </c>
      <c r="I167" s="10" t="str">
        <f t="shared" si="3"/>
        <v/>
      </c>
      <c r="J167" s="11" t="str">
        <f t="shared" si="4"/>
        <v/>
      </c>
      <c r="K167" s="11" t="str">
        <f>IFERROR(IF(A167&lt;&gt;"",VLOOKUP(B167,'📦 ชื่อสินค้า'!A:F,6,false),""),)</f>
        <v/>
      </c>
      <c r="L167" s="11" t="str">
        <f t="shared" si="5"/>
        <v/>
      </c>
      <c r="M167" s="13"/>
    </row>
    <row r="168">
      <c r="A168" s="15"/>
      <c r="B168" s="6"/>
      <c r="C168" s="14" t="str">
        <f>iferror(vlookup(B168,'📦 ชื่อสินค้า'!A:C,3,false),)</f>
        <v/>
      </c>
      <c r="D168" s="11" t="str">
        <f>iferror(vlookup(B168,'📦 ชื่อสินค้า'!A:D,4,false),"")</f>
        <v/>
      </c>
      <c r="E168" s="16"/>
      <c r="F168" s="8" t="str">
        <f t="shared" si="1"/>
        <v/>
      </c>
      <c r="G168" s="9" t="str">
        <f>IF(LEN(B168)&gt;0,vlookup(B168,'📊 รายงานสินค้าคงเหลือ'!A:G,6,false)*E168,)</f>
        <v/>
      </c>
      <c r="H168" s="9" t="str">
        <f t="shared" si="2"/>
        <v/>
      </c>
      <c r="I168" s="10" t="str">
        <f t="shared" si="3"/>
        <v/>
      </c>
      <c r="J168" s="11" t="str">
        <f t="shared" si="4"/>
        <v/>
      </c>
      <c r="K168" s="11" t="str">
        <f>IFERROR(IF(A168&lt;&gt;"",VLOOKUP(B168,'📦 ชื่อสินค้า'!A:F,6,false),""),)</f>
        <v/>
      </c>
      <c r="L168" s="11" t="str">
        <f t="shared" si="5"/>
        <v/>
      </c>
      <c r="M168" s="13"/>
    </row>
    <row r="169">
      <c r="A169" s="15"/>
      <c r="B169" s="6"/>
      <c r="C169" s="14" t="str">
        <f>iferror(vlookup(B169,'📦 ชื่อสินค้า'!A:C,3,false),)</f>
        <v/>
      </c>
      <c r="D169" s="11" t="str">
        <f>iferror(vlookup(B169,'📦 ชื่อสินค้า'!A:D,4,false),"")</f>
        <v/>
      </c>
      <c r="E169" s="16"/>
      <c r="F169" s="8" t="str">
        <f t="shared" si="1"/>
        <v/>
      </c>
      <c r="G169" s="9" t="str">
        <f>IF(LEN(B169)&gt;0,vlookup(B169,'📊 รายงานสินค้าคงเหลือ'!A:G,6,false)*E169,)</f>
        <v/>
      </c>
      <c r="H169" s="9" t="str">
        <f t="shared" si="2"/>
        <v/>
      </c>
      <c r="I169" s="10" t="str">
        <f t="shared" si="3"/>
        <v/>
      </c>
      <c r="J169" s="11" t="str">
        <f t="shared" si="4"/>
        <v/>
      </c>
      <c r="K169" s="11" t="str">
        <f>IFERROR(IF(A169&lt;&gt;"",VLOOKUP(B169,'📦 ชื่อสินค้า'!A:F,6,false),""),)</f>
        <v/>
      </c>
      <c r="L169" s="11" t="str">
        <f t="shared" si="5"/>
        <v/>
      </c>
      <c r="M169" s="13"/>
    </row>
    <row r="170">
      <c r="A170" s="15"/>
      <c r="B170" s="6"/>
      <c r="C170" s="14" t="str">
        <f>iferror(vlookup(B170,'📦 ชื่อสินค้า'!A:C,3,false),)</f>
        <v/>
      </c>
      <c r="D170" s="11" t="str">
        <f>iferror(vlookup(B170,'📦 ชื่อสินค้า'!A:D,4,false),"")</f>
        <v/>
      </c>
      <c r="E170" s="16"/>
      <c r="F170" s="8" t="str">
        <f t="shared" si="1"/>
        <v/>
      </c>
      <c r="G170" s="9" t="str">
        <f>IF(LEN(B170)&gt;0,vlookup(B170,'📊 รายงานสินค้าคงเหลือ'!A:G,6,false)*E170,)</f>
        <v/>
      </c>
      <c r="H170" s="9" t="str">
        <f t="shared" si="2"/>
        <v/>
      </c>
      <c r="I170" s="10" t="str">
        <f t="shared" si="3"/>
        <v/>
      </c>
      <c r="J170" s="11" t="str">
        <f t="shared" si="4"/>
        <v/>
      </c>
      <c r="K170" s="11" t="str">
        <f>IFERROR(IF(A170&lt;&gt;"",VLOOKUP(B170,'📦 ชื่อสินค้า'!A:F,6,false),""),)</f>
        <v/>
      </c>
      <c r="L170" s="11" t="str">
        <f t="shared" si="5"/>
        <v/>
      </c>
      <c r="M170" s="13"/>
    </row>
    <row r="171">
      <c r="A171" s="15"/>
      <c r="B171" s="6"/>
      <c r="C171" s="14" t="str">
        <f>iferror(vlookup(B171,'📦 ชื่อสินค้า'!A:C,3,false),)</f>
        <v/>
      </c>
      <c r="D171" s="11" t="str">
        <f>iferror(vlookup(B171,'📦 ชื่อสินค้า'!A:D,4,false),"")</f>
        <v/>
      </c>
      <c r="E171" s="16"/>
      <c r="F171" s="8" t="str">
        <f t="shared" si="1"/>
        <v/>
      </c>
      <c r="G171" s="9" t="str">
        <f>IF(LEN(B171)&gt;0,vlookup(B171,'📊 รายงานสินค้าคงเหลือ'!A:G,6,false)*E171,)</f>
        <v/>
      </c>
      <c r="H171" s="9" t="str">
        <f t="shared" si="2"/>
        <v/>
      </c>
      <c r="I171" s="10" t="str">
        <f t="shared" si="3"/>
        <v/>
      </c>
      <c r="J171" s="11" t="str">
        <f t="shared" si="4"/>
        <v/>
      </c>
      <c r="K171" s="11" t="str">
        <f>IFERROR(IF(A171&lt;&gt;"",VLOOKUP(B171,'📦 ชื่อสินค้า'!A:F,6,false),""),)</f>
        <v/>
      </c>
      <c r="L171" s="11" t="str">
        <f t="shared" si="5"/>
        <v/>
      </c>
      <c r="M171" s="13"/>
    </row>
    <row r="172">
      <c r="A172" s="15"/>
      <c r="B172" s="6"/>
      <c r="C172" s="14" t="str">
        <f>iferror(vlookup(B172,'📦 ชื่อสินค้า'!A:C,3,false),)</f>
        <v/>
      </c>
      <c r="D172" s="11" t="str">
        <f>iferror(vlookup(B172,'📦 ชื่อสินค้า'!A:D,4,false),"")</f>
        <v/>
      </c>
      <c r="E172" s="16"/>
      <c r="F172" s="8" t="str">
        <f t="shared" si="1"/>
        <v/>
      </c>
      <c r="G172" s="9" t="str">
        <f>IF(LEN(B172)&gt;0,vlookup(B172,'📊 รายงานสินค้าคงเหลือ'!A:G,6,false)*E172,)</f>
        <v/>
      </c>
      <c r="H172" s="9" t="str">
        <f t="shared" si="2"/>
        <v/>
      </c>
      <c r="I172" s="10" t="str">
        <f t="shared" si="3"/>
        <v/>
      </c>
      <c r="J172" s="11" t="str">
        <f t="shared" si="4"/>
        <v/>
      </c>
      <c r="K172" s="11" t="str">
        <f>IFERROR(IF(A172&lt;&gt;"",VLOOKUP(B172,'📦 ชื่อสินค้า'!A:F,6,false),""),)</f>
        <v/>
      </c>
      <c r="L172" s="11" t="str">
        <f t="shared" si="5"/>
        <v/>
      </c>
      <c r="M172" s="13"/>
    </row>
    <row r="173">
      <c r="A173" s="15"/>
      <c r="B173" s="6"/>
      <c r="C173" s="14" t="str">
        <f>iferror(vlookup(B173,'📦 ชื่อสินค้า'!A:C,3,false),)</f>
        <v/>
      </c>
      <c r="D173" s="11" t="str">
        <f>iferror(vlookup(B173,'📦 ชื่อสินค้า'!A:D,4,false),"")</f>
        <v/>
      </c>
      <c r="E173" s="16"/>
      <c r="F173" s="8" t="str">
        <f t="shared" si="1"/>
        <v/>
      </c>
      <c r="G173" s="9" t="str">
        <f>IF(LEN(B173)&gt;0,vlookup(B173,'📊 รายงานสินค้าคงเหลือ'!A:G,6,false)*E173,)</f>
        <v/>
      </c>
      <c r="H173" s="9" t="str">
        <f t="shared" si="2"/>
        <v/>
      </c>
      <c r="I173" s="10" t="str">
        <f t="shared" si="3"/>
        <v/>
      </c>
      <c r="J173" s="11" t="str">
        <f t="shared" si="4"/>
        <v/>
      </c>
      <c r="K173" s="11" t="str">
        <f>IFERROR(IF(A173&lt;&gt;"",VLOOKUP(B173,'📦 ชื่อสินค้า'!A:F,6,false),""),)</f>
        <v/>
      </c>
      <c r="L173" s="11" t="str">
        <f t="shared" si="5"/>
        <v/>
      </c>
      <c r="M173" s="13"/>
    </row>
    <row r="174">
      <c r="A174" s="15"/>
      <c r="B174" s="6"/>
      <c r="C174" s="14" t="str">
        <f>iferror(vlookup(B174,'📦 ชื่อสินค้า'!A:C,3,false),)</f>
        <v/>
      </c>
      <c r="D174" s="11" t="str">
        <f>iferror(vlookup(B174,'📦 ชื่อสินค้า'!A:D,4,false),"")</f>
        <v/>
      </c>
      <c r="E174" s="16"/>
      <c r="F174" s="8" t="str">
        <f t="shared" si="1"/>
        <v/>
      </c>
      <c r="G174" s="9" t="str">
        <f>IF(LEN(B174)&gt;0,vlookup(B174,'📊 รายงานสินค้าคงเหลือ'!A:G,6,false)*E174,)</f>
        <v/>
      </c>
      <c r="H174" s="9" t="str">
        <f t="shared" si="2"/>
        <v/>
      </c>
      <c r="I174" s="10" t="str">
        <f t="shared" si="3"/>
        <v/>
      </c>
      <c r="J174" s="11" t="str">
        <f t="shared" si="4"/>
        <v/>
      </c>
      <c r="K174" s="11" t="str">
        <f>IFERROR(IF(A174&lt;&gt;"",VLOOKUP(B174,'📦 ชื่อสินค้า'!A:F,6,false),""),)</f>
        <v/>
      </c>
      <c r="L174" s="11" t="str">
        <f t="shared" si="5"/>
        <v/>
      </c>
      <c r="M174" s="13"/>
    </row>
    <row r="175">
      <c r="A175" s="15"/>
      <c r="B175" s="6"/>
      <c r="C175" s="14" t="str">
        <f>iferror(vlookup(B175,'📦 ชื่อสินค้า'!A:C,3,false),)</f>
        <v/>
      </c>
      <c r="D175" s="11" t="str">
        <f>iferror(vlookup(B175,'📦 ชื่อสินค้า'!A:D,4,false),"")</f>
        <v/>
      </c>
      <c r="E175" s="16"/>
      <c r="F175" s="8" t="str">
        <f t="shared" si="1"/>
        <v/>
      </c>
      <c r="G175" s="9" t="str">
        <f>IF(LEN(B175)&gt;0,vlookup(B175,'📊 รายงานสินค้าคงเหลือ'!A:G,6,false)*E175,)</f>
        <v/>
      </c>
      <c r="H175" s="9" t="str">
        <f t="shared" si="2"/>
        <v/>
      </c>
      <c r="I175" s="10" t="str">
        <f t="shared" si="3"/>
        <v/>
      </c>
      <c r="J175" s="11" t="str">
        <f t="shared" si="4"/>
        <v/>
      </c>
      <c r="K175" s="11" t="str">
        <f>IFERROR(IF(A175&lt;&gt;"",VLOOKUP(B175,'📦 ชื่อสินค้า'!A:F,6,false),""),)</f>
        <v/>
      </c>
      <c r="L175" s="11" t="str">
        <f t="shared" si="5"/>
        <v/>
      </c>
      <c r="M175" s="13"/>
    </row>
    <row r="176">
      <c r="A176" s="15"/>
      <c r="B176" s="6"/>
      <c r="C176" s="14" t="str">
        <f>iferror(vlookup(B176,'📦 ชื่อสินค้า'!A:C,3,false),)</f>
        <v/>
      </c>
      <c r="D176" s="11" t="str">
        <f>iferror(vlookup(B176,'📦 ชื่อสินค้า'!A:D,4,false),"")</f>
        <v/>
      </c>
      <c r="E176" s="16"/>
      <c r="F176" s="8" t="str">
        <f t="shared" si="1"/>
        <v/>
      </c>
      <c r="G176" s="9" t="str">
        <f>IF(LEN(B176)&gt;0,vlookup(B176,'📊 รายงานสินค้าคงเหลือ'!A:G,6,false)*E176,)</f>
        <v/>
      </c>
      <c r="H176" s="9" t="str">
        <f t="shared" si="2"/>
        <v/>
      </c>
      <c r="I176" s="10" t="str">
        <f t="shared" si="3"/>
        <v/>
      </c>
      <c r="J176" s="11" t="str">
        <f t="shared" si="4"/>
        <v/>
      </c>
      <c r="K176" s="11" t="str">
        <f>IFERROR(IF(A176&lt;&gt;"",VLOOKUP(B176,'📦 ชื่อสินค้า'!A:F,6,false),""),)</f>
        <v/>
      </c>
      <c r="L176" s="11" t="str">
        <f t="shared" si="5"/>
        <v/>
      </c>
      <c r="M176" s="13"/>
    </row>
    <row r="177">
      <c r="A177" s="15"/>
      <c r="B177" s="6"/>
      <c r="C177" s="14" t="str">
        <f>iferror(vlookup(B177,'📦 ชื่อสินค้า'!A:C,3,false),)</f>
        <v/>
      </c>
      <c r="D177" s="11" t="str">
        <f>iferror(vlookup(B177,'📦 ชื่อสินค้า'!A:D,4,false),"")</f>
        <v/>
      </c>
      <c r="E177" s="16"/>
      <c r="F177" s="8" t="str">
        <f t="shared" si="1"/>
        <v/>
      </c>
      <c r="G177" s="9" t="str">
        <f>IF(LEN(B177)&gt;0,vlookup(B177,'📊 รายงานสินค้าคงเหลือ'!A:G,6,false)*E177,)</f>
        <v/>
      </c>
      <c r="H177" s="9" t="str">
        <f t="shared" si="2"/>
        <v/>
      </c>
      <c r="I177" s="10" t="str">
        <f t="shared" si="3"/>
        <v/>
      </c>
      <c r="J177" s="11" t="str">
        <f t="shared" si="4"/>
        <v/>
      </c>
      <c r="K177" s="11" t="str">
        <f>IFERROR(IF(A177&lt;&gt;"",VLOOKUP(B177,'📦 ชื่อสินค้า'!A:F,6,false),""),)</f>
        <v/>
      </c>
      <c r="L177" s="11" t="str">
        <f t="shared" si="5"/>
        <v/>
      </c>
      <c r="M177" s="13"/>
    </row>
    <row r="178">
      <c r="A178" s="15"/>
      <c r="B178" s="6"/>
      <c r="C178" s="14" t="str">
        <f>iferror(vlookup(B178,'📦 ชื่อสินค้า'!A:C,3,false),)</f>
        <v/>
      </c>
      <c r="D178" s="11" t="str">
        <f>iferror(vlookup(B178,'📦 ชื่อสินค้า'!A:D,4,false),"")</f>
        <v/>
      </c>
      <c r="E178" s="16"/>
      <c r="F178" s="8" t="str">
        <f t="shared" si="1"/>
        <v/>
      </c>
      <c r="G178" s="9" t="str">
        <f>IF(LEN(B178)&gt;0,vlookup(B178,'📊 รายงานสินค้าคงเหลือ'!A:G,6,false)*E178,)</f>
        <v/>
      </c>
      <c r="H178" s="9" t="str">
        <f t="shared" si="2"/>
        <v/>
      </c>
      <c r="I178" s="10" t="str">
        <f t="shared" si="3"/>
        <v/>
      </c>
      <c r="J178" s="11" t="str">
        <f t="shared" si="4"/>
        <v/>
      </c>
      <c r="K178" s="11" t="str">
        <f>IFERROR(IF(A178&lt;&gt;"",VLOOKUP(B178,'📦 ชื่อสินค้า'!A:F,6,false),""),)</f>
        <v/>
      </c>
      <c r="L178" s="11" t="str">
        <f t="shared" si="5"/>
        <v/>
      </c>
      <c r="M178" s="13"/>
    </row>
    <row r="179">
      <c r="A179" s="15"/>
      <c r="B179" s="6"/>
      <c r="C179" s="14" t="str">
        <f>iferror(vlookup(B179,'📦 ชื่อสินค้า'!A:C,3,false),)</f>
        <v/>
      </c>
      <c r="D179" s="11" t="str">
        <f>iferror(vlookup(B179,'📦 ชื่อสินค้า'!A:D,4,false),"")</f>
        <v/>
      </c>
      <c r="E179" s="16"/>
      <c r="F179" s="8" t="str">
        <f t="shared" si="1"/>
        <v/>
      </c>
      <c r="G179" s="9" t="str">
        <f>IF(LEN(B179)&gt;0,vlookup(B179,'📊 รายงานสินค้าคงเหลือ'!A:G,6,false)*E179,)</f>
        <v/>
      </c>
      <c r="H179" s="9" t="str">
        <f t="shared" si="2"/>
        <v/>
      </c>
      <c r="I179" s="10" t="str">
        <f t="shared" si="3"/>
        <v/>
      </c>
      <c r="J179" s="11" t="str">
        <f t="shared" si="4"/>
        <v/>
      </c>
      <c r="K179" s="11" t="str">
        <f>IFERROR(IF(A179&lt;&gt;"",VLOOKUP(B179,'📦 ชื่อสินค้า'!A:F,6,false),""),)</f>
        <v/>
      </c>
      <c r="L179" s="11" t="str">
        <f t="shared" si="5"/>
        <v/>
      </c>
      <c r="M179" s="13"/>
    </row>
    <row r="180">
      <c r="A180" s="15"/>
      <c r="B180" s="6"/>
      <c r="C180" s="14" t="str">
        <f>iferror(vlookup(B180,'📦 ชื่อสินค้า'!A:C,3,false),)</f>
        <v/>
      </c>
      <c r="D180" s="11" t="str">
        <f>iferror(vlookup(B180,'📦 ชื่อสินค้า'!A:D,4,false),"")</f>
        <v/>
      </c>
      <c r="E180" s="16"/>
      <c r="F180" s="8" t="str">
        <f t="shared" si="1"/>
        <v/>
      </c>
      <c r="G180" s="9" t="str">
        <f>IF(LEN(B180)&gt;0,vlookup(B180,'📊 รายงานสินค้าคงเหลือ'!A:G,6,false)*E180,)</f>
        <v/>
      </c>
      <c r="H180" s="9" t="str">
        <f t="shared" si="2"/>
        <v/>
      </c>
      <c r="I180" s="10" t="str">
        <f t="shared" si="3"/>
        <v/>
      </c>
      <c r="J180" s="11" t="str">
        <f t="shared" si="4"/>
        <v/>
      </c>
      <c r="K180" s="11" t="str">
        <f>IFERROR(IF(A180&lt;&gt;"",VLOOKUP(B180,'📦 ชื่อสินค้า'!A:F,6,false),""),)</f>
        <v/>
      </c>
      <c r="L180" s="11" t="str">
        <f t="shared" si="5"/>
        <v/>
      </c>
      <c r="M180" s="13"/>
    </row>
    <row r="181">
      <c r="A181" s="15"/>
      <c r="B181" s="6"/>
      <c r="C181" s="14" t="str">
        <f>iferror(vlookup(B181,'📦 ชื่อสินค้า'!A:C,3,false),)</f>
        <v/>
      </c>
      <c r="D181" s="11" t="str">
        <f>iferror(vlookup(B181,'📦 ชื่อสินค้า'!A:D,4,false),"")</f>
        <v/>
      </c>
      <c r="E181" s="16"/>
      <c r="F181" s="8" t="str">
        <f t="shared" si="1"/>
        <v/>
      </c>
      <c r="G181" s="9" t="str">
        <f>IF(LEN(B181)&gt;0,vlookup(B181,'📊 รายงานสินค้าคงเหลือ'!A:G,6,false)*E181,)</f>
        <v/>
      </c>
      <c r="H181" s="9" t="str">
        <f t="shared" si="2"/>
        <v/>
      </c>
      <c r="I181" s="10" t="str">
        <f t="shared" si="3"/>
        <v/>
      </c>
      <c r="J181" s="11" t="str">
        <f t="shared" si="4"/>
        <v/>
      </c>
      <c r="K181" s="11" t="str">
        <f>IFERROR(IF(A181&lt;&gt;"",VLOOKUP(B181,'📦 ชื่อสินค้า'!A:F,6,false),""),)</f>
        <v/>
      </c>
      <c r="L181" s="11" t="str">
        <f t="shared" si="5"/>
        <v/>
      </c>
      <c r="M181" s="13"/>
    </row>
    <row r="182">
      <c r="A182" s="15"/>
      <c r="B182" s="6"/>
      <c r="C182" s="14" t="str">
        <f>iferror(vlookup(B182,'📦 ชื่อสินค้า'!A:C,3,false),)</f>
        <v/>
      </c>
      <c r="D182" s="11" t="str">
        <f>iferror(vlookup(B182,'📦 ชื่อสินค้า'!A:D,4,false),"")</f>
        <v/>
      </c>
      <c r="E182" s="16"/>
      <c r="F182" s="8" t="str">
        <f t="shared" si="1"/>
        <v/>
      </c>
      <c r="G182" s="9" t="str">
        <f>IF(LEN(B182)&gt;0,vlookup(B182,'📊 รายงานสินค้าคงเหลือ'!A:G,6,false)*E182,)</f>
        <v/>
      </c>
      <c r="H182" s="9" t="str">
        <f t="shared" si="2"/>
        <v/>
      </c>
      <c r="I182" s="10" t="str">
        <f t="shared" si="3"/>
        <v/>
      </c>
      <c r="J182" s="11" t="str">
        <f t="shared" si="4"/>
        <v/>
      </c>
      <c r="K182" s="11" t="str">
        <f>IFERROR(IF(A182&lt;&gt;"",VLOOKUP(B182,'📦 ชื่อสินค้า'!A:F,6,false),""),)</f>
        <v/>
      </c>
      <c r="L182" s="11" t="str">
        <f t="shared" si="5"/>
        <v/>
      </c>
      <c r="M182" s="13"/>
    </row>
    <row r="183">
      <c r="A183" s="15"/>
      <c r="B183" s="6"/>
      <c r="C183" s="14" t="str">
        <f>iferror(vlookup(B183,'📦 ชื่อสินค้า'!A:C,3,false),)</f>
        <v/>
      </c>
      <c r="D183" s="11" t="str">
        <f>iferror(vlookup(B183,'📦 ชื่อสินค้า'!A:D,4,false),"")</f>
        <v/>
      </c>
      <c r="E183" s="16"/>
      <c r="F183" s="8" t="str">
        <f t="shared" si="1"/>
        <v/>
      </c>
      <c r="G183" s="9" t="str">
        <f>IF(LEN(B183)&gt;0,vlookup(B183,'📊 รายงานสินค้าคงเหลือ'!A:G,6,false)*E183,)</f>
        <v/>
      </c>
      <c r="H183" s="9" t="str">
        <f t="shared" si="2"/>
        <v/>
      </c>
      <c r="I183" s="10" t="str">
        <f t="shared" si="3"/>
        <v/>
      </c>
      <c r="J183" s="11" t="str">
        <f t="shared" si="4"/>
        <v/>
      </c>
      <c r="K183" s="11" t="str">
        <f>IFERROR(IF(A183&lt;&gt;"",VLOOKUP(B183,'📦 ชื่อสินค้า'!A:F,6,false),""),)</f>
        <v/>
      </c>
      <c r="L183" s="11" t="str">
        <f t="shared" si="5"/>
        <v/>
      </c>
      <c r="M183" s="13"/>
    </row>
    <row r="184">
      <c r="A184" s="15"/>
      <c r="B184" s="6"/>
      <c r="C184" s="14" t="str">
        <f>iferror(vlookup(B184,'📦 ชื่อสินค้า'!A:C,3,false),)</f>
        <v/>
      </c>
      <c r="D184" s="11" t="str">
        <f>iferror(vlookup(B184,'📦 ชื่อสินค้า'!A:D,4,false),"")</f>
        <v/>
      </c>
      <c r="E184" s="16"/>
      <c r="F184" s="8" t="str">
        <f t="shared" si="1"/>
        <v/>
      </c>
      <c r="G184" s="9" t="str">
        <f>IF(LEN(B184)&gt;0,vlookup(B184,'📊 รายงานสินค้าคงเหลือ'!A:G,6,false)*E184,)</f>
        <v/>
      </c>
      <c r="H184" s="9" t="str">
        <f t="shared" si="2"/>
        <v/>
      </c>
      <c r="I184" s="10" t="str">
        <f t="shared" si="3"/>
        <v/>
      </c>
      <c r="J184" s="11" t="str">
        <f t="shared" si="4"/>
        <v/>
      </c>
      <c r="K184" s="11" t="str">
        <f>IFERROR(IF(A184&lt;&gt;"",VLOOKUP(B184,'📦 ชื่อสินค้า'!A:F,6,false),""),)</f>
        <v/>
      </c>
      <c r="L184" s="11" t="str">
        <f t="shared" si="5"/>
        <v/>
      </c>
      <c r="M184" s="13"/>
    </row>
    <row r="185">
      <c r="A185" s="15"/>
      <c r="B185" s="6"/>
      <c r="C185" s="14" t="str">
        <f>iferror(vlookup(B185,'📦 ชื่อสินค้า'!A:C,3,false),)</f>
        <v/>
      </c>
      <c r="D185" s="11" t="str">
        <f>iferror(vlookup(B185,'📦 ชื่อสินค้า'!A:D,4,false),"")</f>
        <v/>
      </c>
      <c r="E185" s="16"/>
      <c r="F185" s="8" t="str">
        <f t="shared" si="1"/>
        <v/>
      </c>
      <c r="G185" s="9" t="str">
        <f>IF(LEN(B185)&gt;0,vlookup(B185,'📊 รายงานสินค้าคงเหลือ'!A:G,6,false)*E185,)</f>
        <v/>
      </c>
      <c r="H185" s="9" t="str">
        <f t="shared" si="2"/>
        <v/>
      </c>
      <c r="I185" s="10" t="str">
        <f t="shared" si="3"/>
        <v/>
      </c>
      <c r="J185" s="11" t="str">
        <f t="shared" si="4"/>
        <v/>
      </c>
      <c r="K185" s="11" t="str">
        <f>IFERROR(IF(A185&lt;&gt;"",VLOOKUP(B185,'📦 ชื่อสินค้า'!A:F,6,false),""),)</f>
        <v/>
      </c>
      <c r="L185" s="11" t="str">
        <f t="shared" si="5"/>
        <v/>
      </c>
      <c r="M185" s="13"/>
    </row>
    <row r="186">
      <c r="A186" s="15"/>
      <c r="B186" s="6"/>
      <c r="C186" s="14" t="str">
        <f>iferror(vlookup(B186,'📦 ชื่อสินค้า'!A:C,3,false),)</f>
        <v/>
      </c>
      <c r="D186" s="11" t="str">
        <f>iferror(vlookup(B186,'📦 ชื่อสินค้า'!A:D,4,false),"")</f>
        <v/>
      </c>
      <c r="E186" s="16"/>
      <c r="F186" s="8" t="str">
        <f t="shared" si="1"/>
        <v/>
      </c>
      <c r="G186" s="9" t="str">
        <f>IF(LEN(B186)&gt;0,vlookup(B186,'📊 รายงานสินค้าคงเหลือ'!A:G,6,false)*E186,)</f>
        <v/>
      </c>
      <c r="H186" s="9" t="str">
        <f t="shared" si="2"/>
        <v/>
      </c>
      <c r="I186" s="10" t="str">
        <f t="shared" si="3"/>
        <v/>
      </c>
      <c r="J186" s="11" t="str">
        <f t="shared" si="4"/>
        <v/>
      </c>
      <c r="K186" s="11" t="str">
        <f>IFERROR(IF(A186&lt;&gt;"",VLOOKUP(B186,'📦 ชื่อสินค้า'!A:F,6,false),""),)</f>
        <v/>
      </c>
      <c r="L186" s="11" t="str">
        <f t="shared" si="5"/>
        <v/>
      </c>
      <c r="M186" s="13"/>
    </row>
    <row r="187">
      <c r="A187" s="15"/>
      <c r="B187" s="6"/>
      <c r="C187" s="14" t="str">
        <f>iferror(vlookup(B187,'📦 ชื่อสินค้า'!A:C,3,false),)</f>
        <v/>
      </c>
      <c r="D187" s="11" t="str">
        <f>iferror(vlookup(B187,'📦 ชื่อสินค้า'!A:D,4,false),"")</f>
        <v/>
      </c>
      <c r="E187" s="16"/>
      <c r="F187" s="8" t="str">
        <f t="shared" si="1"/>
        <v/>
      </c>
      <c r="G187" s="9" t="str">
        <f>IF(LEN(B187)&gt;0,vlookup(B187,'📊 รายงานสินค้าคงเหลือ'!A:G,6,false)*E187,)</f>
        <v/>
      </c>
      <c r="H187" s="9" t="str">
        <f t="shared" si="2"/>
        <v/>
      </c>
      <c r="I187" s="10" t="str">
        <f t="shared" si="3"/>
        <v/>
      </c>
      <c r="J187" s="11" t="str">
        <f t="shared" si="4"/>
        <v/>
      </c>
      <c r="K187" s="11" t="str">
        <f>IFERROR(IF(A187&lt;&gt;"",VLOOKUP(B187,'📦 ชื่อสินค้า'!A:F,6,false),""),)</f>
        <v/>
      </c>
      <c r="L187" s="11" t="str">
        <f t="shared" si="5"/>
        <v/>
      </c>
      <c r="M187" s="13"/>
    </row>
    <row r="188">
      <c r="A188" s="15"/>
      <c r="B188" s="6"/>
      <c r="C188" s="14" t="str">
        <f>iferror(vlookup(B188,'📦 ชื่อสินค้า'!A:C,3,false),)</f>
        <v/>
      </c>
      <c r="D188" s="11" t="str">
        <f>iferror(vlookup(B188,'📦 ชื่อสินค้า'!A:D,4,false),"")</f>
        <v/>
      </c>
      <c r="E188" s="16"/>
      <c r="F188" s="8" t="str">
        <f t="shared" si="1"/>
        <v/>
      </c>
      <c r="G188" s="9" t="str">
        <f>IF(LEN(B188)&gt;0,vlookup(B188,'📊 รายงานสินค้าคงเหลือ'!A:G,6,false)*E188,)</f>
        <v/>
      </c>
      <c r="H188" s="9" t="str">
        <f t="shared" si="2"/>
        <v/>
      </c>
      <c r="I188" s="10" t="str">
        <f t="shared" si="3"/>
        <v/>
      </c>
      <c r="J188" s="11" t="str">
        <f t="shared" si="4"/>
        <v/>
      </c>
      <c r="K188" s="11" t="str">
        <f>IFERROR(IF(A188&lt;&gt;"",VLOOKUP(B188,'📦 ชื่อสินค้า'!A:F,6,false),""),)</f>
        <v/>
      </c>
      <c r="L188" s="11" t="str">
        <f t="shared" si="5"/>
        <v/>
      </c>
      <c r="M188" s="13"/>
    </row>
    <row r="189">
      <c r="A189" s="15"/>
      <c r="B189" s="6"/>
      <c r="C189" s="14" t="str">
        <f>iferror(vlookup(B189,'📦 ชื่อสินค้า'!A:C,3,false),)</f>
        <v/>
      </c>
      <c r="D189" s="11" t="str">
        <f>iferror(vlookup(B189,'📦 ชื่อสินค้า'!A:D,4,false),"")</f>
        <v/>
      </c>
      <c r="E189" s="16"/>
      <c r="F189" s="8" t="str">
        <f t="shared" si="1"/>
        <v/>
      </c>
      <c r="G189" s="9" t="str">
        <f>IF(LEN(B189)&gt;0,vlookup(B189,'📊 รายงานสินค้าคงเหลือ'!A:G,6,false)*E189,)</f>
        <v/>
      </c>
      <c r="H189" s="9" t="str">
        <f t="shared" si="2"/>
        <v/>
      </c>
      <c r="I189" s="10" t="str">
        <f t="shared" si="3"/>
        <v/>
      </c>
      <c r="J189" s="11" t="str">
        <f t="shared" si="4"/>
        <v/>
      </c>
      <c r="K189" s="11" t="str">
        <f>IFERROR(IF(A189&lt;&gt;"",VLOOKUP(B189,'📦 ชื่อสินค้า'!A:F,6,false),""),)</f>
        <v/>
      </c>
      <c r="L189" s="11" t="str">
        <f t="shared" si="5"/>
        <v/>
      </c>
      <c r="M189" s="13"/>
    </row>
    <row r="190">
      <c r="A190" s="15"/>
      <c r="B190" s="6"/>
      <c r="C190" s="14" t="str">
        <f>iferror(vlookup(B190,'📦 ชื่อสินค้า'!A:C,3,false),)</f>
        <v/>
      </c>
      <c r="D190" s="11" t="str">
        <f>iferror(vlookup(B190,'📦 ชื่อสินค้า'!A:D,4,false),"")</f>
        <v/>
      </c>
      <c r="E190" s="16"/>
      <c r="F190" s="8" t="str">
        <f t="shared" si="1"/>
        <v/>
      </c>
      <c r="G190" s="9" t="str">
        <f>IF(LEN(B190)&gt;0,vlookup(B190,'📊 รายงานสินค้าคงเหลือ'!A:G,6,false)*E190,)</f>
        <v/>
      </c>
      <c r="H190" s="9" t="str">
        <f t="shared" si="2"/>
        <v/>
      </c>
      <c r="I190" s="10" t="str">
        <f t="shared" si="3"/>
        <v/>
      </c>
      <c r="J190" s="11" t="str">
        <f t="shared" si="4"/>
        <v/>
      </c>
      <c r="K190" s="11" t="str">
        <f>IFERROR(IF(A190&lt;&gt;"",VLOOKUP(B190,'📦 ชื่อสินค้า'!A:F,6,false),""),)</f>
        <v/>
      </c>
      <c r="L190" s="11" t="str">
        <f t="shared" si="5"/>
        <v/>
      </c>
      <c r="M190" s="13"/>
    </row>
    <row r="191">
      <c r="A191" s="15"/>
      <c r="B191" s="6"/>
      <c r="C191" s="14" t="str">
        <f>iferror(vlookup(B191,'📦 ชื่อสินค้า'!A:C,3,false),)</f>
        <v/>
      </c>
      <c r="D191" s="11" t="str">
        <f>iferror(vlookup(B191,'📦 ชื่อสินค้า'!A:D,4,false),"")</f>
        <v/>
      </c>
      <c r="E191" s="16"/>
      <c r="F191" s="8" t="str">
        <f t="shared" si="1"/>
        <v/>
      </c>
      <c r="G191" s="9" t="str">
        <f>IF(LEN(B191)&gt;0,vlookup(B191,'📊 รายงานสินค้าคงเหลือ'!A:G,6,false)*E191,)</f>
        <v/>
      </c>
      <c r="H191" s="9" t="str">
        <f t="shared" si="2"/>
        <v/>
      </c>
      <c r="I191" s="10" t="str">
        <f t="shared" si="3"/>
        <v/>
      </c>
      <c r="J191" s="11" t="str">
        <f t="shared" si="4"/>
        <v/>
      </c>
      <c r="K191" s="11" t="str">
        <f>IFERROR(IF(A191&lt;&gt;"",VLOOKUP(B191,'📦 ชื่อสินค้า'!A:F,6,false),""),)</f>
        <v/>
      </c>
      <c r="L191" s="11" t="str">
        <f t="shared" si="5"/>
        <v/>
      </c>
      <c r="M191" s="13"/>
    </row>
    <row r="192">
      <c r="A192" s="15"/>
      <c r="B192" s="6"/>
      <c r="C192" s="14" t="str">
        <f>iferror(vlookup(B192,'📦 ชื่อสินค้า'!A:C,3,false),)</f>
        <v/>
      </c>
      <c r="D192" s="11" t="str">
        <f>iferror(vlookup(B192,'📦 ชื่อสินค้า'!A:D,4,false),"")</f>
        <v/>
      </c>
      <c r="E192" s="16"/>
      <c r="F192" s="8" t="str">
        <f t="shared" si="1"/>
        <v/>
      </c>
      <c r="G192" s="9" t="str">
        <f>IF(LEN(B192)&gt;0,vlookup(B192,'📊 รายงานสินค้าคงเหลือ'!A:G,6,false)*E192,)</f>
        <v/>
      </c>
      <c r="H192" s="9" t="str">
        <f t="shared" si="2"/>
        <v/>
      </c>
      <c r="I192" s="10" t="str">
        <f t="shared" si="3"/>
        <v/>
      </c>
      <c r="J192" s="11" t="str">
        <f t="shared" si="4"/>
        <v/>
      </c>
      <c r="K192" s="11" t="str">
        <f>IFERROR(IF(A192&lt;&gt;"",VLOOKUP(B192,'📦 ชื่อสินค้า'!A:F,6,false),""),)</f>
        <v/>
      </c>
      <c r="L192" s="11" t="str">
        <f t="shared" si="5"/>
        <v/>
      </c>
      <c r="M192" s="13"/>
    </row>
    <row r="193">
      <c r="A193" s="15"/>
      <c r="B193" s="6"/>
      <c r="C193" s="14" t="str">
        <f>iferror(vlookup(B193,'📦 ชื่อสินค้า'!A:C,3,false),)</f>
        <v/>
      </c>
      <c r="D193" s="11" t="str">
        <f>iferror(vlookup(B193,'📦 ชื่อสินค้า'!A:D,4,false),"")</f>
        <v/>
      </c>
      <c r="E193" s="16"/>
      <c r="F193" s="8" t="str">
        <f t="shared" si="1"/>
        <v/>
      </c>
      <c r="G193" s="9" t="str">
        <f>IF(LEN(B193)&gt;0,vlookup(B193,'📊 รายงานสินค้าคงเหลือ'!A:G,6,false)*E193,)</f>
        <v/>
      </c>
      <c r="H193" s="9" t="str">
        <f t="shared" si="2"/>
        <v/>
      </c>
      <c r="I193" s="10" t="str">
        <f t="shared" si="3"/>
        <v/>
      </c>
      <c r="J193" s="11" t="str">
        <f t="shared" si="4"/>
        <v/>
      </c>
      <c r="K193" s="11" t="str">
        <f>IFERROR(IF(A193&lt;&gt;"",VLOOKUP(B193,'📦 ชื่อสินค้า'!A:F,6,false),""),)</f>
        <v/>
      </c>
      <c r="L193" s="11" t="str">
        <f t="shared" si="5"/>
        <v/>
      </c>
      <c r="M193" s="13"/>
    </row>
    <row r="194">
      <c r="A194" s="15"/>
      <c r="B194" s="6"/>
      <c r="C194" s="14" t="str">
        <f>iferror(vlookup(B194,'📦 ชื่อสินค้า'!A:C,3,false),)</f>
        <v/>
      </c>
      <c r="D194" s="11" t="str">
        <f>iferror(vlookup(B194,'📦 ชื่อสินค้า'!A:D,4,false),"")</f>
        <v/>
      </c>
      <c r="E194" s="16"/>
      <c r="F194" s="8" t="str">
        <f t="shared" si="1"/>
        <v/>
      </c>
      <c r="G194" s="9" t="str">
        <f>IF(LEN(B194)&gt;0,vlookup(B194,'📊 รายงานสินค้าคงเหลือ'!A:G,6,false)*E194,)</f>
        <v/>
      </c>
      <c r="H194" s="9" t="str">
        <f t="shared" si="2"/>
        <v/>
      </c>
      <c r="I194" s="10" t="str">
        <f t="shared" si="3"/>
        <v/>
      </c>
      <c r="J194" s="11" t="str">
        <f t="shared" si="4"/>
        <v/>
      </c>
      <c r="K194" s="11" t="str">
        <f>IFERROR(IF(A194&lt;&gt;"",VLOOKUP(B194,'📦 ชื่อสินค้า'!A:F,6,false),""),)</f>
        <v/>
      </c>
      <c r="L194" s="11" t="str">
        <f t="shared" si="5"/>
        <v/>
      </c>
      <c r="M194" s="13"/>
    </row>
    <row r="195">
      <c r="A195" s="15"/>
      <c r="B195" s="6"/>
      <c r="C195" s="14" t="str">
        <f>iferror(vlookup(B195,'📦 ชื่อสินค้า'!A:C,3,false),)</f>
        <v/>
      </c>
      <c r="D195" s="11" t="str">
        <f>iferror(vlookup(B195,'📦 ชื่อสินค้า'!A:D,4,false),"")</f>
        <v/>
      </c>
      <c r="E195" s="16"/>
      <c r="F195" s="8" t="str">
        <f t="shared" si="1"/>
        <v/>
      </c>
      <c r="G195" s="9" t="str">
        <f>IF(LEN(B195)&gt;0,vlookup(B195,'📊 รายงานสินค้าคงเหลือ'!A:G,6,false)*E195,)</f>
        <v/>
      </c>
      <c r="H195" s="9" t="str">
        <f t="shared" si="2"/>
        <v/>
      </c>
      <c r="I195" s="10" t="str">
        <f t="shared" si="3"/>
        <v/>
      </c>
      <c r="J195" s="11" t="str">
        <f t="shared" si="4"/>
        <v/>
      </c>
      <c r="K195" s="11" t="str">
        <f>IFERROR(IF(A195&lt;&gt;"",VLOOKUP(B195,'📦 ชื่อสินค้า'!A:F,6,false),""),)</f>
        <v/>
      </c>
      <c r="L195" s="11" t="str">
        <f t="shared" si="5"/>
        <v/>
      </c>
      <c r="M195" s="13"/>
    </row>
    <row r="196">
      <c r="A196" s="15"/>
      <c r="B196" s="6"/>
      <c r="C196" s="14" t="str">
        <f>iferror(vlookup(B196,'📦 ชื่อสินค้า'!A:C,3,false),)</f>
        <v/>
      </c>
      <c r="D196" s="11" t="str">
        <f>iferror(vlookup(B196,'📦 ชื่อสินค้า'!A:D,4,false),"")</f>
        <v/>
      </c>
      <c r="E196" s="16"/>
      <c r="F196" s="8" t="str">
        <f t="shared" si="1"/>
        <v/>
      </c>
      <c r="G196" s="9" t="str">
        <f>IF(LEN(B196)&gt;0,vlookup(B196,'📊 รายงานสินค้าคงเหลือ'!A:G,6,false)*E196,)</f>
        <v/>
      </c>
      <c r="H196" s="9" t="str">
        <f t="shared" si="2"/>
        <v/>
      </c>
      <c r="I196" s="10" t="str">
        <f t="shared" si="3"/>
        <v/>
      </c>
      <c r="J196" s="11" t="str">
        <f t="shared" si="4"/>
        <v/>
      </c>
      <c r="K196" s="11" t="str">
        <f>IFERROR(IF(A196&lt;&gt;"",VLOOKUP(B196,'📦 ชื่อสินค้า'!A:F,6,false),""),)</f>
        <v/>
      </c>
      <c r="L196" s="11" t="str">
        <f t="shared" si="5"/>
        <v/>
      </c>
      <c r="M196" s="13"/>
    </row>
    <row r="197">
      <c r="A197" s="15"/>
      <c r="B197" s="6"/>
      <c r="C197" s="14" t="str">
        <f>iferror(vlookup(B197,'📦 ชื่อสินค้า'!A:C,3,false),)</f>
        <v/>
      </c>
      <c r="D197" s="11" t="str">
        <f>iferror(vlookup(B197,'📦 ชื่อสินค้า'!A:D,4,false),"")</f>
        <v/>
      </c>
      <c r="E197" s="16"/>
      <c r="F197" s="8" t="str">
        <f t="shared" si="1"/>
        <v/>
      </c>
      <c r="G197" s="9" t="str">
        <f>IF(LEN(B197)&gt;0,vlookup(B197,'📊 รายงานสินค้าคงเหลือ'!A:G,6,false)*E197,)</f>
        <v/>
      </c>
      <c r="H197" s="9" t="str">
        <f t="shared" si="2"/>
        <v/>
      </c>
      <c r="I197" s="10" t="str">
        <f t="shared" si="3"/>
        <v/>
      </c>
      <c r="J197" s="11" t="str">
        <f t="shared" si="4"/>
        <v/>
      </c>
      <c r="K197" s="11" t="str">
        <f>IFERROR(IF(A197&lt;&gt;"",VLOOKUP(B197,'📦 ชื่อสินค้า'!A:F,6,false),""),)</f>
        <v/>
      </c>
      <c r="L197" s="11" t="str">
        <f t="shared" si="5"/>
        <v/>
      </c>
      <c r="M197" s="13"/>
    </row>
    <row r="198">
      <c r="A198" s="15"/>
      <c r="B198" s="6"/>
      <c r="C198" s="14" t="str">
        <f>iferror(vlookup(B198,'📦 ชื่อสินค้า'!A:C,3,false),)</f>
        <v/>
      </c>
      <c r="D198" s="11" t="str">
        <f>iferror(vlookup(B198,'📦 ชื่อสินค้า'!A:D,4,false),"")</f>
        <v/>
      </c>
      <c r="E198" s="16"/>
      <c r="F198" s="8" t="str">
        <f t="shared" si="1"/>
        <v/>
      </c>
      <c r="G198" s="9" t="str">
        <f>IF(LEN(B198)&gt;0,vlookup(B198,'📊 รายงานสินค้าคงเหลือ'!A:G,6,false)*E198,)</f>
        <v/>
      </c>
      <c r="H198" s="9" t="str">
        <f t="shared" si="2"/>
        <v/>
      </c>
      <c r="I198" s="10" t="str">
        <f t="shared" si="3"/>
        <v/>
      </c>
      <c r="J198" s="11" t="str">
        <f t="shared" si="4"/>
        <v/>
      </c>
      <c r="K198" s="11" t="str">
        <f>IFERROR(IF(A198&lt;&gt;"",VLOOKUP(B198,'📦 ชื่อสินค้า'!A:F,6,false),""),)</f>
        <v/>
      </c>
      <c r="L198" s="11" t="str">
        <f t="shared" si="5"/>
        <v/>
      </c>
      <c r="M198" s="13"/>
    </row>
    <row r="199">
      <c r="A199" s="15"/>
      <c r="B199" s="6"/>
      <c r="C199" s="14" t="str">
        <f>iferror(vlookup(B199,'📦 ชื่อสินค้า'!A:C,3,false),)</f>
        <v/>
      </c>
      <c r="D199" s="11" t="str">
        <f>iferror(vlookup(B199,'📦 ชื่อสินค้า'!A:D,4,false),"")</f>
        <v/>
      </c>
      <c r="E199" s="16"/>
      <c r="F199" s="8" t="str">
        <f t="shared" si="1"/>
        <v/>
      </c>
      <c r="G199" s="9" t="str">
        <f>IF(LEN(B199)&gt;0,vlookup(B199,'📊 รายงานสินค้าคงเหลือ'!A:G,6,false)*E199,)</f>
        <v/>
      </c>
      <c r="H199" s="9" t="str">
        <f t="shared" si="2"/>
        <v/>
      </c>
      <c r="I199" s="10" t="str">
        <f t="shared" si="3"/>
        <v/>
      </c>
      <c r="J199" s="11" t="str">
        <f t="shared" si="4"/>
        <v/>
      </c>
      <c r="K199" s="11" t="str">
        <f>IFERROR(IF(A199&lt;&gt;"",VLOOKUP(B199,'📦 ชื่อสินค้า'!A:F,6,false),""),)</f>
        <v/>
      </c>
      <c r="L199" s="11" t="str">
        <f t="shared" si="5"/>
        <v/>
      </c>
      <c r="M199" s="13"/>
    </row>
    <row r="200">
      <c r="A200" s="15"/>
      <c r="B200" s="6"/>
      <c r="C200" s="14" t="str">
        <f>iferror(vlookup(B200,'📦 ชื่อสินค้า'!A:C,3,false),)</f>
        <v/>
      </c>
      <c r="D200" s="11" t="str">
        <f>iferror(vlookup(B200,'📦 ชื่อสินค้า'!A:D,4,false),"")</f>
        <v/>
      </c>
      <c r="E200" s="16"/>
      <c r="F200" s="8" t="str">
        <f t="shared" si="1"/>
        <v/>
      </c>
      <c r="G200" s="9" t="str">
        <f>IF(LEN(B200)&gt;0,vlookup(B200,'📊 รายงานสินค้าคงเหลือ'!A:G,6,false)*E200,)</f>
        <v/>
      </c>
      <c r="H200" s="9" t="str">
        <f t="shared" si="2"/>
        <v/>
      </c>
      <c r="I200" s="10" t="str">
        <f t="shared" si="3"/>
        <v/>
      </c>
      <c r="J200" s="11" t="str">
        <f t="shared" si="4"/>
        <v/>
      </c>
      <c r="K200" s="11" t="str">
        <f>IFERROR(IF(A200&lt;&gt;"",VLOOKUP(B200,'📦 ชื่อสินค้า'!A:F,6,false),""),)</f>
        <v/>
      </c>
      <c r="L200" s="11" t="str">
        <f t="shared" si="5"/>
        <v/>
      </c>
      <c r="M200" s="13"/>
    </row>
    <row r="201">
      <c r="A201" s="15"/>
      <c r="B201" s="6"/>
      <c r="C201" s="14" t="str">
        <f>iferror(vlookup(B201,'📦 ชื่อสินค้า'!A:C,3,false),)</f>
        <v/>
      </c>
      <c r="D201" s="11" t="str">
        <f>iferror(vlookup(B201,'📦 ชื่อสินค้า'!A:D,4,false),"")</f>
        <v/>
      </c>
      <c r="E201" s="16"/>
      <c r="F201" s="8" t="str">
        <f t="shared" si="1"/>
        <v/>
      </c>
      <c r="G201" s="9" t="str">
        <f>IF(LEN(B201)&gt;0,vlookup(B201,'📊 รายงานสินค้าคงเหลือ'!A:G,6,false)*E201,)</f>
        <v/>
      </c>
      <c r="H201" s="9" t="str">
        <f t="shared" si="2"/>
        <v/>
      </c>
      <c r="I201" s="10" t="str">
        <f t="shared" si="3"/>
        <v/>
      </c>
      <c r="J201" s="11" t="str">
        <f t="shared" si="4"/>
        <v/>
      </c>
      <c r="K201" s="11" t="str">
        <f>IFERROR(IF(A201&lt;&gt;"",VLOOKUP(B201,'📦 ชื่อสินค้า'!A:F,6,false),""),)</f>
        <v/>
      </c>
      <c r="L201" s="11" t="str">
        <f t="shared" si="5"/>
        <v/>
      </c>
      <c r="M201" s="13"/>
    </row>
    <row r="202">
      <c r="A202" s="15"/>
      <c r="B202" s="6"/>
      <c r="C202" s="14" t="str">
        <f>iferror(vlookup(B202,'📦 ชื่อสินค้า'!A:C,3,false),)</f>
        <v/>
      </c>
      <c r="D202" s="11" t="str">
        <f>iferror(vlookup(B202,'📦 ชื่อสินค้า'!A:D,4,false),"")</f>
        <v/>
      </c>
      <c r="E202" s="16"/>
      <c r="F202" s="8" t="str">
        <f t="shared" si="1"/>
        <v/>
      </c>
      <c r="G202" s="9" t="str">
        <f>IF(LEN(B202)&gt;0,vlookup(B202,'📊 รายงานสินค้าคงเหลือ'!A:G,6,false)*E202,)</f>
        <v/>
      </c>
      <c r="H202" s="9" t="str">
        <f t="shared" si="2"/>
        <v/>
      </c>
      <c r="I202" s="10" t="str">
        <f t="shared" si="3"/>
        <v/>
      </c>
      <c r="J202" s="11" t="str">
        <f t="shared" si="4"/>
        <v/>
      </c>
      <c r="K202" s="11" t="str">
        <f>IFERROR(IF(A202&lt;&gt;"",VLOOKUP(B202,'📦 ชื่อสินค้า'!A:F,6,false),""),)</f>
        <v/>
      </c>
      <c r="L202" s="11" t="str">
        <f t="shared" si="5"/>
        <v/>
      </c>
      <c r="M202" s="13"/>
    </row>
    <row r="203">
      <c r="A203" s="15"/>
      <c r="B203" s="6"/>
      <c r="C203" s="14" t="str">
        <f>iferror(vlookup(B203,'📦 ชื่อสินค้า'!A:C,3,false),)</f>
        <v/>
      </c>
      <c r="D203" s="11" t="str">
        <f>iferror(vlookup(B203,'📦 ชื่อสินค้า'!A:D,4,false),"")</f>
        <v/>
      </c>
      <c r="E203" s="16"/>
      <c r="F203" s="8" t="str">
        <f t="shared" si="1"/>
        <v/>
      </c>
      <c r="G203" s="9" t="str">
        <f>IF(LEN(B203)&gt;0,vlookup(B203,'📊 รายงานสินค้าคงเหลือ'!A:G,6,false)*E203,)</f>
        <v/>
      </c>
      <c r="H203" s="9" t="str">
        <f t="shared" si="2"/>
        <v/>
      </c>
      <c r="I203" s="10" t="str">
        <f t="shared" si="3"/>
        <v/>
      </c>
      <c r="J203" s="11" t="str">
        <f t="shared" si="4"/>
        <v/>
      </c>
      <c r="K203" s="11" t="str">
        <f>IFERROR(IF(A203&lt;&gt;"",VLOOKUP(B203,'📦 ชื่อสินค้า'!A:F,6,false),""),)</f>
        <v/>
      </c>
      <c r="L203" s="11" t="str">
        <f t="shared" si="5"/>
        <v/>
      </c>
      <c r="M203" s="13"/>
    </row>
    <row r="204">
      <c r="A204" s="15"/>
      <c r="B204" s="6"/>
      <c r="C204" s="14" t="str">
        <f>iferror(vlookup(B204,'📦 ชื่อสินค้า'!A:C,3,false),)</f>
        <v/>
      </c>
      <c r="D204" s="11" t="str">
        <f>iferror(vlookup(B204,'📦 ชื่อสินค้า'!A:D,4,false),"")</f>
        <v/>
      </c>
      <c r="E204" s="16"/>
      <c r="F204" s="8" t="str">
        <f t="shared" si="1"/>
        <v/>
      </c>
      <c r="G204" s="9" t="str">
        <f>IF(LEN(B204)&gt;0,vlookup(B204,'📊 รายงานสินค้าคงเหลือ'!A:G,6,false)*E204,)</f>
        <v/>
      </c>
      <c r="H204" s="9" t="str">
        <f t="shared" si="2"/>
        <v/>
      </c>
      <c r="I204" s="10" t="str">
        <f t="shared" si="3"/>
        <v/>
      </c>
      <c r="J204" s="11" t="str">
        <f t="shared" si="4"/>
        <v/>
      </c>
      <c r="K204" s="11" t="str">
        <f>IFERROR(IF(A204&lt;&gt;"",VLOOKUP(B204,'📦 ชื่อสินค้า'!A:F,6,false),""),)</f>
        <v/>
      </c>
      <c r="L204" s="11" t="str">
        <f t="shared" si="5"/>
        <v/>
      </c>
      <c r="M204" s="13"/>
    </row>
    <row r="205">
      <c r="A205" s="15"/>
      <c r="B205" s="6"/>
      <c r="C205" s="14" t="str">
        <f>iferror(vlookup(B205,'📦 ชื่อสินค้า'!A:C,3,false),)</f>
        <v/>
      </c>
      <c r="D205" s="11" t="str">
        <f>iferror(vlookup(B205,'📦 ชื่อสินค้า'!A:D,4,false),"")</f>
        <v/>
      </c>
      <c r="E205" s="16"/>
      <c r="F205" s="8" t="str">
        <f t="shared" si="1"/>
        <v/>
      </c>
      <c r="G205" s="9" t="str">
        <f>IF(LEN(B205)&gt;0,vlookup(B205,'📊 รายงานสินค้าคงเหลือ'!A:G,6,false)*E205,)</f>
        <v/>
      </c>
      <c r="H205" s="9" t="str">
        <f t="shared" si="2"/>
        <v/>
      </c>
      <c r="I205" s="10" t="str">
        <f t="shared" si="3"/>
        <v/>
      </c>
      <c r="J205" s="11" t="str">
        <f t="shared" si="4"/>
        <v/>
      </c>
      <c r="K205" s="11" t="str">
        <f>IFERROR(IF(A205&lt;&gt;"",VLOOKUP(B205,'📦 ชื่อสินค้า'!A:F,6,false),""),)</f>
        <v/>
      </c>
      <c r="L205" s="11" t="str">
        <f t="shared" si="5"/>
        <v/>
      </c>
      <c r="M205" s="13"/>
    </row>
    <row r="206">
      <c r="A206" s="15"/>
      <c r="B206" s="6"/>
      <c r="C206" s="14" t="str">
        <f>iferror(vlookup(B206,'📦 ชื่อสินค้า'!A:C,3,false),)</f>
        <v/>
      </c>
      <c r="D206" s="11" t="str">
        <f>iferror(vlookup(B206,'📦 ชื่อสินค้า'!A:D,4,false),"")</f>
        <v/>
      </c>
      <c r="E206" s="16"/>
      <c r="F206" s="8" t="str">
        <f t="shared" si="1"/>
        <v/>
      </c>
      <c r="G206" s="9" t="str">
        <f>IF(LEN(B206)&gt;0,vlookup(B206,'📊 รายงานสินค้าคงเหลือ'!A:G,6,false)*E206,)</f>
        <v/>
      </c>
      <c r="H206" s="9" t="str">
        <f t="shared" si="2"/>
        <v/>
      </c>
      <c r="I206" s="10" t="str">
        <f t="shared" si="3"/>
        <v/>
      </c>
      <c r="J206" s="11" t="str">
        <f t="shared" si="4"/>
        <v/>
      </c>
      <c r="K206" s="11" t="str">
        <f>IFERROR(IF(A206&lt;&gt;"",VLOOKUP(B206,'📦 ชื่อสินค้า'!A:F,6,false),""),)</f>
        <v/>
      </c>
      <c r="L206" s="11" t="str">
        <f t="shared" si="5"/>
        <v/>
      </c>
      <c r="M206" s="13"/>
    </row>
    <row r="207">
      <c r="A207" s="15"/>
      <c r="B207" s="6"/>
      <c r="C207" s="14" t="str">
        <f>iferror(vlookup(B207,'📦 ชื่อสินค้า'!A:C,3,false),)</f>
        <v/>
      </c>
      <c r="D207" s="11" t="str">
        <f>iferror(vlookup(B207,'📦 ชื่อสินค้า'!A:D,4,false),"")</f>
        <v/>
      </c>
      <c r="E207" s="16"/>
      <c r="F207" s="8" t="str">
        <f t="shared" si="1"/>
        <v/>
      </c>
      <c r="G207" s="9" t="str">
        <f>IF(LEN(B207)&gt;0,vlookup(B207,'📊 รายงานสินค้าคงเหลือ'!A:G,6,false)*E207,)</f>
        <v/>
      </c>
      <c r="H207" s="9" t="str">
        <f t="shared" si="2"/>
        <v/>
      </c>
      <c r="I207" s="10" t="str">
        <f t="shared" si="3"/>
        <v/>
      </c>
      <c r="J207" s="11" t="str">
        <f t="shared" si="4"/>
        <v/>
      </c>
      <c r="K207" s="11" t="str">
        <f>IFERROR(IF(A207&lt;&gt;"",VLOOKUP(B207,'📦 ชื่อสินค้า'!A:F,6,false),""),)</f>
        <v/>
      </c>
      <c r="L207" s="11" t="str">
        <f t="shared" si="5"/>
        <v/>
      </c>
      <c r="M207" s="13"/>
    </row>
    <row r="208">
      <c r="A208" s="15"/>
      <c r="B208" s="6"/>
      <c r="C208" s="14" t="str">
        <f>iferror(vlookup(B208,'📦 ชื่อสินค้า'!A:C,3,false),)</f>
        <v/>
      </c>
      <c r="D208" s="11" t="str">
        <f>iferror(vlookup(B208,'📦 ชื่อสินค้า'!A:D,4,false),"")</f>
        <v/>
      </c>
      <c r="E208" s="16"/>
      <c r="F208" s="8" t="str">
        <f t="shared" si="1"/>
        <v/>
      </c>
      <c r="G208" s="9" t="str">
        <f>IF(LEN(B208)&gt;0,vlookup(B208,'📊 รายงานสินค้าคงเหลือ'!A:G,6,false)*E208,)</f>
        <v/>
      </c>
      <c r="H208" s="9" t="str">
        <f t="shared" si="2"/>
        <v/>
      </c>
      <c r="I208" s="10" t="str">
        <f t="shared" si="3"/>
        <v/>
      </c>
      <c r="J208" s="11" t="str">
        <f t="shared" si="4"/>
        <v/>
      </c>
      <c r="K208" s="11" t="str">
        <f>IFERROR(IF(A208&lt;&gt;"",VLOOKUP(B208,'📦 ชื่อสินค้า'!A:F,6,false),""),)</f>
        <v/>
      </c>
      <c r="L208" s="11" t="str">
        <f t="shared" si="5"/>
        <v/>
      </c>
      <c r="M208" s="13"/>
    </row>
    <row r="209">
      <c r="A209" s="15"/>
      <c r="B209" s="6"/>
      <c r="C209" s="14" t="str">
        <f>iferror(vlookup(B209,'📦 ชื่อสินค้า'!A:C,3,false),)</f>
        <v/>
      </c>
      <c r="D209" s="11" t="str">
        <f>iferror(vlookup(B209,'📦 ชื่อสินค้า'!A:D,4,false),"")</f>
        <v/>
      </c>
      <c r="E209" s="16"/>
      <c r="F209" s="8" t="str">
        <f t="shared" si="1"/>
        <v/>
      </c>
      <c r="G209" s="9" t="str">
        <f>IF(LEN(B209)&gt;0,vlookup(B209,'📊 รายงานสินค้าคงเหลือ'!A:G,6,false)*E209,)</f>
        <v/>
      </c>
      <c r="H209" s="9" t="str">
        <f t="shared" si="2"/>
        <v/>
      </c>
      <c r="I209" s="10" t="str">
        <f t="shared" si="3"/>
        <v/>
      </c>
      <c r="J209" s="11" t="str">
        <f t="shared" si="4"/>
        <v/>
      </c>
      <c r="K209" s="11" t="str">
        <f>IFERROR(IF(A209&lt;&gt;"",VLOOKUP(B209,'📦 ชื่อสินค้า'!A:F,6,false),""),)</f>
        <v/>
      </c>
      <c r="L209" s="11" t="str">
        <f t="shared" si="5"/>
        <v/>
      </c>
      <c r="M209" s="13"/>
    </row>
    <row r="210">
      <c r="A210" s="15"/>
      <c r="B210" s="6"/>
      <c r="C210" s="14" t="str">
        <f>iferror(vlookup(B210,'📦 ชื่อสินค้า'!A:C,3,false),)</f>
        <v/>
      </c>
      <c r="D210" s="11" t="str">
        <f>iferror(vlookup(B210,'📦 ชื่อสินค้า'!A:D,4,false),"")</f>
        <v/>
      </c>
      <c r="E210" s="16"/>
      <c r="F210" s="8" t="str">
        <f t="shared" si="1"/>
        <v/>
      </c>
      <c r="G210" s="9" t="str">
        <f>IF(LEN(B210)&gt;0,vlookup(B210,'📊 รายงานสินค้าคงเหลือ'!A:G,6,false)*E210,)</f>
        <v/>
      </c>
      <c r="H210" s="9" t="str">
        <f t="shared" si="2"/>
        <v/>
      </c>
      <c r="I210" s="10" t="str">
        <f t="shared" si="3"/>
        <v/>
      </c>
      <c r="J210" s="11" t="str">
        <f t="shared" si="4"/>
        <v/>
      </c>
      <c r="K210" s="11" t="str">
        <f>IFERROR(IF(A210&lt;&gt;"",VLOOKUP(B210,'📦 ชื่อสินค้า'!A:F,6,false),""),)</f>
        <v/>
      </c>
      <c r="L210" s="11" t="str">
        <f t="shared" si="5"/>
        <v/>
      </c>
      <c r="M210" s="13"/>
    </row>
    <row r="211">
      <c r="A211" s="15"/>
      <c r="B211" s="6"/>
      <c r="C211" s="14" t="str">
        <f>iferror(vlookup(B211,'📦 ชื่อสินค้า'!A:C,3,false),)</f>
        <v/>
      </c>
      <c r="D211" s="11" t="str">
        <f>iferror(vlookup(B211,'📦 ชื่อสินค้า'!A:D,4,false),"")</f>
        <v/>
      </c>
      <c r="E211" s="16"/>
      <c r="F211" s="8" t="str">
        <f t="shared" si="1"/>
        <v/>
      </c>
      <c r="G211" s="9" t="str">
        <f>IF(LEN(B211)&gt;0,vlookup(B211,'📊 รายงานสินค้าคงเหลือ'!A:G,6,false)*E211,)</f>
        <v/>
      </c>
      <c r="H211" s="9" t="str">
        <f t="shared" si="2"/>
        <v/>
      </c>
      <c r="I211" s="10" t="str">
        <f t="shared" si="3"/>
        <v/>
      </c>
      <c r="J211" s="11" t="str">
        <f t="shared" si="4"/>
        <v/>
      </c>
      <c r="K211" s="11" t="str">
        <f>IFERROR(IF(A211&lt;&gt;"",VLOOKUP(B211,'📦 ชื่อสินค้า'!A:F,6,false),""),)</f>
        <v/>
      </c>
      <c r="L211" s="11" t="str">
        <f t="shared" si="5"/>
        <v/>
      </c>
      <c r="M211" s="13"/>
    </row>
    <row r="212">
      <c r="A212" s="15"/>
      <c r="B212" s="6"/>
      <c r="C212" s="14" t="str">
        <f>iferror(vlookup(B212,'📦 ชื่อสินค้า'!A:C,3,false),)</f>
        <v/>
      </c>
      <c r="D212" s="11" t="str">
        <f>iferror(vlookup(B212,'📦 ชื่อสินค้า'!A:D,4,false),"")</f>
        <v/>
      </c>
      <c r="E212" s="16"/>
      <c r="F212" s="8" t="str">
        <f t="shared" si="1"/>
        <v/>
      </c>
      <c r="G212" s="9" t="str">
        <f>IF(LEN(B212)&gt;0,vlookup(B212,'📊 รายงานสินค้าคงเหลือ'!A:G,6,false)*E212,)</f>
        <v/>
      </c>
      <c r="H212" s="9" t="str">
        <f t="shared" si="2"/>
        <v/>
      </c>
      <c r="I212" s="10" t="str">
        <f t="shared" si="3"/>
        <v/>
      </c>
      <c r="J212" s="11" t="str">
        <f t="shared" si="4"/>
        <v/>
      </c>
      <c r="K212" s="11" t="str">
        <f>IFERROR(IF(A212&lt;&gt;"",VLOOKUP(B212,'📦 ชื่อสินค้า'!A:F,6,false),""),)</f>
        <v/>
      </c>
      <c r="L212" s="11" t="str">
        <f t="shared" si="5"/>
        <v/>
      </c>
      <c r="M212" s="13"/>
    </row>
    <row r="213">
      <c r="A213" s="15"/>
      <c r="B213" s="6"/>
      <c r="C213" s="14" t="str">
        <f>iferror(vlookup(B213,'📦 ชื่อสินค้า'!A:C,3,false),)</f>
        <v/>
      </c>
      <c r="D213" s="11" t="str">
        <f>iferror(vlookup(B213,'📦 ชื่อสินค้า'!A:D,4,false),"")</f>
        <v/>
      </c>
      <c r="E213" s="16"/>
      <c r="F213" s="8" t="str">
        <f t="shared" si="1"/>
        <v/>
      </c>
      <c r="G213" s="9" t="str">
        <f>IF(LEN(B213)&gt;0,vlookup(B213,'📊 รายงานสินค้าคงเหลือ'!A:G,6,false)*E213,)</f>
        <v/>
      </c>
      <c r="H213" s="9" t="str">
        <f t="shared" si="2"/>
        <v/>
      </c>
      <c r="I213" s="10" t="str">
        <f t="shared" si="3"/>
        <v/>
      </c>
      <c r="J213" s="11" t="str">
        <f t="shared" si="4"/>
        <v/>
      </c>
      <c r="K213" s="11" t="str">
        <f>IFERROR(IF(A213&lt;&gt;"",VLOOKUP(B213,'📦 ชื่อสินค้า'!A:F,6,false),""),)</f>
        <v/>
      </c>
      <c r="L213" s="11" t="str">
        <f t="shared" si="5"/>
        <v/>
      </c>
      <c r="M213" s="13"/>
    </row>
    <row r="214">
      <c r="A214" s="15"/>
      <c r="B214" s="6"/>
      <c r="C214" s="14" t="str">
        <f>iferror(vlookup(B214,'📦 ชื่อสินค้า'!A:C,3,false),)</f>
        <v/>
      </c>
      <c r="D214" s="11" t="str">
        <f>iferror(vlookup(B214,'📦 ชื่อสินค้า'!A:D,4,false),"")</f>
        <v/>
      </c>
      <c r="E214" s="16"/>
      <c r="F214" s="8" t="str">
        <f t="shared" si="1"/>
        <v/>
      </c>
      <c r="G214" s="9" t="str">
        <f>IF(LEN(B214)&gt;0,vlookup(B214,'📊 รายงานสินค้าคงเหลือ'!A:G,6,false)*E214,)</f>
        <v/>
      </c>
      <c r="H214" s="9" t="str">
        <f t="shared" si="2"/>
        <v/>
      </c>
      <c r="I214" s="10" t="str">
        <f t="shared" si="3"/>
        <v/>
      </c>
      <c r="J214" s="11" t="str">
        <f t="shared" si="4"/>
        <v/>
      </c>
      <c r="K214" s="11" t="str">
        <f>IFERROR(IF(A214&lt;&gt;"",VLOOKUP(B214,'📦 ชื่อสินค้า'!A:F,6,false),""),)</f>
        <v/>
      </c>
      <c r="L214" s="11" t="str">
        <f t="shared" si="5"/>
        <v/>
      </c>
      <c r="M214" s="13"/>
    </row>
    <row r="215">
      <c r="A215" s="15"/>
      <c r="B215" s="6"/>
      <c r="C215" s="14" t="str">
        <f>iferror(vlookup(B215,'📦 ชื่อสินค้า'!A:C,3,false),)</f>
        <v/>
      </c>
      <c r="D215" s="11" t="str">
        <f>iferror(vlookup(B215,'📦 ชื่อสินค้า'!A:D,4,false),"")</f>
        <v/>
      </c>
      <c r="E215" s="16"/>
      <c r="F215" s="8" t="str">
        <f t="shared" si="1"/>
        <v/>
      </c>
      <c r="G215" s="9" t="str">
        <f>IF(LEN(B215)&gt;0,vlookup(B215,'📊 รายงานสินค้าคงเหลือ'!A:G,6,false)*E215,)</f>
        <v/>
      </c>
      <c r="H215" s="9" t="str">
        <f t="shared" si="2"/>
        <v/>
      </c>
      <c r="I215" s="10" t="str">
        <f t="shared" si="3"/>
        <v/>
      </c>
      <c r="J215" s="11" t="str">
        <f t="shared" si="4"/>
        <v/>
      </c>
      <c r="K215" s="11" t="str">
        <f>IFERROR(IF(A215&lt;&gt;"",VLOOKUP(B215,'📦 ชื่อสินค้า'!A:F,6,false),""),)</f>
        <v/>
      </c>
      <c r="L215" s="11" t="str">
        <f t="shared" si="5"/>
        <v/>
      </c>
      <c r="M215" s="13"/>
    </row>
    <row r="216">
      <c r="A216" s="15"/>
      <c r="B216" s="6"/>
      <c r="C216" s="14" t="str">
        <f>iferror(vlookup(B216,'📦 ชื่อสินค้า'!A:C,3,false),)</f>
        <v/>
      </c>
      <c r="D216" s="11" t="str">
        <f>iferror(vlookup(B216,'📦 ชื่อสินค้า'!A:D,4,false),"")</f>
        <v/>
      </c>
      <c r="E216" s="16"/>
      <c r="F216" s="8" t="str">
        <f t="shared" si="1"/>
        <v/>
      </c>
      <c r="G216" s="9" t="str">
        <f>IF(LEN(B216)&gt;0,vlookup(B216,'📊 รายงานสินค้าคงเหลือ'!A:G,6,false)*E216,)</f>
        <v/>
      </c>
      <c r="H216" s="9" t="str">
        <f t="shared" si="2"/>
        <v/>
      </c>
      <c r="I216" s="10" t="str">
        <f t="shared" si="3"/>
        <v/>
      </c>
      <c r="J216" s="11" t="str">
        <f t="shared" si="4"/>
        <v/>
      </c>
      <c r="K216" s="11" t="str">
        <f>IFERROR(IF(A216&lt;&gt;"",VLOOKUP(B216,'📦 ชื่อสินค้า'!A:F,6,false),""),)</f>
        <v/>
      </c>
      <c r="L216" s="11" t="str">
        <f t="shared" si="5"/>
        <v/>
      </c>
      <c r="M216" s="13"/>
    </row>
    <row r="217">
      <c r="A217" s="15"/>
      <c r="B217" s="6"/>
      <c r="C217" s="14" t="str">
        <f>iferror(vlookup(B217,'📦 ชื่อสินค้า'!A:C,3,false),)</f>
        <v/>
      </c>
      <c r="D217" s="11" t="str">
        <f>iferror(vlookup(B217,'📦 ชื่อสินค้า'!A:D,4,false),"")</f>
        <v/>
      </c>
      <c r="E217" s="16"/>
      <c r="F217" s="8" t="str">
        <f t="shared" si="1"/>
        <v/>
      </c>
      <c r="G217" s="9" t="str">
        <f>IF(LEN(B217)&gt;0,vlookup(B217,'📊 รายงานสินค้าคงเหลือ'!A:G,6,false)*E217,)</f>
        <v/>
      </c>
      <c r="H217" s="9" t="str">
        <f t="shared" si="2"/>
        <v/>
      </c>
      <c r="I217" s="10" t="str">
        <f t="shared" si="3"/>
        <v/>
      </c>
      <c r="J217" s="11" t="str">
        <f t="shared" si="4"/>
        <v/>
      </c>
      <c r="K217" s="11" t="str">
        <f>IFERROR(IF(A217&lt;&gt;"",VLOOKUP(B217,'📦 ชื่อสินค้า'!A:F,6,false),""),)</f>
        <v/>
      </c>
      <c r="L217" s="11" t="str">
        <f t="shared" si="5"/>
        <v/>
      </c>
      <c r="M217" s="13"/>
    </row>
    <row r="218">
      <c r="A218" s="15"/>
      <c r="B218" s="6"/>
      <c r="C218" s="14" t="str">
        <f>iferror(vlookup(B218,'📦 ชื่อสินค้า'!A:C,3,false),)</f>
        <v/>
      </c>
      <c r="D218" s="11" t="str">
        <f>iferror(vlookup(B218,'📦 ชื่อสินค้า'!A:D,4,false),"")</f>
        <v/>
      </c>
      <c r="E218" s="16"/>
      <c r="F218" s="8" t="str">
        <f t="shared" si="1"/>
        <v/>
      </c>
      <c r="G218" s="9" t="str">
        <f>IF(LEN(B218)&gt;0,vlookup(B218,'📊 รายงานสินค้าคงเหลือ'!A:G,6,false)*E218,)</f>
        <v/>
      </c>
      <c r="H218" s="9" t="str">
        <f t="shared" si="2"/>
        <v/>
      </c>
      <c r="I218" s="10" t="str">
        <f t="shared" si="3"/>
        <v/>
      </c>
      <c r="J218" s="11" t="str">
        <f t="shared" si="4"/>
        <v/>
      </c>
      <c r="K218" s="11" t="str">
        <f>IFERROR(IF(A218&lt;&gt;"",VLOOKUP(B218,'📦 ชื่อสินค้า'!A:F,6,false),""),)</f>
        <v/>
      </c>
      <c r="L218" s="11" t="str">
        <f t="shared" si="5"/>
        <v/>
      </c>
      <c r="M218" s="13"/>
    </row>
    <row r="219">
      <c r="A219" s="15"/>
      <c r="B219" s="6"/>
      <c r="C219" s="14" t="str">
        <f>iferror(vlookup(B219,'📦 ชื่อสินค้า'!A:C,3,false),)</f>
        <v/>
      </c>
      <c r="D219" s="11" t="str">
        <f>iferror(vlookup(B219,'📦 ชื่อสินค้า'!A:D,4,false),"")</f>
        <v/>
      </c>
      <c r="E219" s="16"/>
      <c r="F219" s="8" t="str">
        <f t="shared" si="1"/>
        <v/>
      </c>
      <c r="G219" s="9" t="str">
        <f>IF(LEN(B219)&gt;0,vlookup(B219,'📊 รายงานสินค้าคงเหลือ'!A:G,6,false)*E219,)</f>
        <v/>
      </c>
      <c r="H219" s="9" t="str">
        <f t="shared" si="2"/>
        <v/>
      </c>
      <c r="I219" s="10" t="str">
        <f t="shared" si="3"/>
        <v/>
      </c>
      <c r="J219" s="11" t="str">
        <f t="shared" si="4"/>
        <v/>
      </c>
      <c r="K219" s="11" t="str">
        <f>IFERROR(IF(A219&lt;&gt;"",VLOOKUP(B219,'📦 ชื่อสินค้า'!A:F,6,false),""),)</f>
        <v/>
      </c>
      <c r="L219" s="11" t="str">
        <f t="shared" si="5"/>
        <v/>
      </c>
      <c r="M219" s="13"/>
    </row>
    <row r="220">
      <c r="A220" s="15"/>
      <c r="B220" s="6"/>
      <c r="C220" s="14" t="str">
        <f>iferror(vlookup(B220,'📦 ชื่อสินค้า'!A:C,3,false),)</f>
        <v/>
      </c>
      <c r="D220" s="11" t="str">
        <f>iferror(vlookup(B220,'📦 ชื่อสินค้า'!A:D,4,false),"")</f>
        <v/>
      </c>
      <c r="E220" s="16"/>
      <c r="F220" s="8" t="str">
        <f t="shared" si="1"/>
        <v/>
      </c>
      <c r="G220" s="9" t="str">
        <f>IF(LEN(B220)&gt;0,vlookup(B220,'📊 รายงานสินค้าคงเหลือ'!A:G,6,false)*E220,)</f>
        <v/>
      </c>
      <c r="H220" s="9" t="str">
        <f t="shared" si="2"/>
        <v/>
      </c>
      <c r="I220" s="10" t="str">
        <f t="shared" si="3"/>
        <v/>
      </c>
      <c r="J220" s="11" t="str">
        <f t="shared" si="4"/>
        <v/>
      </c>
      <c r="K220" s="11" t="str">
        <f>IFERROR(IF(A220&lt;&gt;"",VLOOKUP(B220,'📦 ชื่อสินค้า'!A:F,6,false),""),)</f>
        <v/>
      </c>
      <c r="L220" s="11" t="str">
        <f t="shared" si="5"/>
        <v/>
      </c>
      <c r="M220" s="13"/>
    </row>
    <row r="221">
      <c r="A221" s="15"/>
      <c r="B221" s="6"/>
      <c r="C221" s="14" t="str">
        <f>iferror(vlookup(B221,'📦 ชื่อสินค้า'!A:C,3,false),)</f>
        <v/>
      </c>
      <c r="D221" s="11" t="str">
        <f>iferror(vlookup(B221,'📦 ชื่อสินค้า'!A:D,4,false),"")</f>
        <v/>
      </c>
      <c r="E221" s="16"/>
      <c r="F221" s="8" t="str">
        <f t="shared" si="1"/>
        <v/>
      </c>
      <c r="G221" s="9" t="str">
        <f>IF(LEN(B221)&gt;0,vlookup(B221,'📊 รายงานสินค้าคงเหลือ'!A:G,6,false)*E221,)</f>
        <v/>
      </c>
      <c r="H221" s="9" t="str">
        <f t="shared" si="2"/>
        <v/>
      </c>
      <c r="I221" s="10" t="str">
        <f t="shared" si="3"/>
        <v/>
      </c>
      <c r="J221" s="11" t="str">
        <f t="shared" si="4"/>
        <v/>
      </c>
      <c r="K221" s="11" t="str">
        <f>IFERROR(IF(A221&lt;&gt;"",VLOOKUP(B221,'📦 ชื่อสินค้า'!A:F,6,false),""),)</f>
        <v/>
      </c>
      <c r="L221" s="11" t="str">
        <f t="shared" si="5"/>
        <v/>
      </c>
      <c r="M221" s="13"/>
    </row>
    <row r="222">
      <c r="A222" s="15"/>
      <c r="B222" s="6"/>
      <c r="C222" s="14" t="str">
        <f>iferror(vlookup(B222,'📦 ชื่อสินค้า'!A:C,3,false),)</f>
        <v/>
      </c>
      <c r="D222" s="11" t="str">
        <f>iferror(vlookup(B222,'📦 ชื่อสินค้า'!A:D,4,false),"")</f>
        <v/>
      </c>
      <c r="E222" s="16"/>
      <c r="F222" s="8" t="str">
        <f t="shared" si="1"/>
        <v/>
      </c>
      <c r="G222" s="9" t="str">
        <f>IF(LEN(B222)&gt;0,vlookup(B222,'📊 รายงานสินค้าคงเหลือ'!A:G,6,false)*E222,)</f>
        <v/>
      </c>
      <c r="H222" s="9" t="str">
        <f t="shared" si="2"/>
        <v/>
      </c>
      <c r="I222" s="10" t="str">
        <f t="shared" si="3"/>
        <v/>
      </c>
      <c r="J222" s="11" t="str">
        <f t="shared" si="4"/>
        <v/>
      </c>
      <c r="K222" s="11" t="str">
        <f>IFERROR(IF(A222&lt;&gt;"",VLOOKUP(B222,'📦 ชื่อสินค้า'!A:F,6,false),""),)</f>
        <v/>
      </c>
      <c r="L222" s="11" t="str">
        <f t="shared" si="5"/>
        <v/>
      </c>
      <c r="M222" s="13"/>
    </row>
    <row r="223">
      <c r="A223" s="15"/>
      <c r="B223" s="6"/>
      <c r="C223" s="14" t="str">
        <f>iferror(vlookup(B223,'📦 ชื่อสินค้า'!A:C,3,false),)</f>
        <v/>
      </c>
      <c r="D223" s="11" t="str">
        <f>iferror(vlookup(B223,'📦 ชื่อสินค้า'!A:D,4,false),"")</f>
        <v/>
      </c>
      <c r="E223" s="16"/>
      <c r="F223" s="8" t="str">
        <f t="shared" si="1"/>
        <v/>
      </c>
      <c r="G223" s="9" t="str">
        <f>IF(LEN(B223)&gt;0,vlookup(B223,'📊 รายงานสินค้าคงเหลือ'!A:G,6,false)*E223,)</f>
        <v/>
      </c>
      <c r="H223" s="9" t="str">
        <f t="shared" si="2"/>
        <v/>
      </c>
      <c r="I223" s="10" t="str">
        <f t="shared" si="3"/>
        <v/>
      </c>
      <c r="J223" s="11" t="str">
        <f t="shared" si="4"/>
        <v/>
      </c>
      <c r="K223" s="11" t="str">
        <f>IFERROR(IF(A223&lt;&gt;"",VLOOKUP(B223,'📦 ชื่อสินค้า'!A:F,6,false),""),)</f>
        <v/>
      </c>
      <c r="L223" s="11" t="str">
        <f t="shared" si="5"/>
        <v/>
      </c>
      <c r="M223" s="13"/>
    </row>
    <row r="224">
      <c r="A224" s="15"/>
      <c r="B224" s="6"/>
      <c r="C224" s="14" t="str">
        <f>iferror(vlookup(B224,'📦 ชื่อสินค้า'!A:C,3,false),)</f>
        <v/>
      </c>
      <c r="D224" s="11" t="str">
        <f>iferror(vlookup(B224,'📦 ชื่อสินค้า'!A:D,4,false),"")</f>
        <v/>
      </c>
      <c r="E224" s="16"/>
      <c r="F224" s="8" t="str">
        <f t="shared" si="1"/>
        <v/>
      </c>
      <c r="G224" s="9" t="str">
        <f>IF(LEN(B224)&gt;0,vlookup(B224,'📊 รายงานสินค้าคงเหลือ'!A:G,6,false)*E224,)</f>
        <v/>
      </c>
      <c r="H224" s="9" t="str">
        <f t="shared" si="2"/>
        <v/>
      </c>
      <c r="I224" s="10" t="str">
        <f t="shared" si="3"/>
        <v/>
      </c>
      <c r="J224" s="11" t="str">
        <f t="shared" si="4"/>
        <v/>
      </c>
      <c r="K224" s="11" t="str">
        <f>IFERROR(IF(A224&lt;&gt;"",VLOOKUP(B224,'📦 ชื่อสินค้า'!A:F,6,false),""),)</f>
        <v/>
      </c>
      <c r="L224" s="11" t="str">
        <f t="shared" si="5"/>
        <v/>
      </c>
      <c r="M224" s="13"/>
    </row>
    <row r="225">
      <c r="A225" s="15"/>
      <c r="B225" s="6"/>
      <c r="C225" s="14" t="str">
        <f>iferror(vlookup(B225,'📦 ชื่อสินค้า'!A:C,3,false),)</f>
        <v/>
      </c>
      <c r="D225" s="11" t="str">
        <f>iferror(vlookup(B225,'📦 ชื่อสินค้า'!A:D,4,false),"")</f>
        <v/>
      </c>
      <c r="E225" s="16"/>
      <c r="F225" s="8" t="str">
        <f t="shared" si="1"/>
        <v/>
      </c>
      <c r="G225" s="9" t="str">
        <f>IF(LEN(B225)&gt;0,vlookup(B225,'📊 รายงานสินค้าคงเหลือ'!A:G,6,false)*E225,)</f>
        <v/>
      </c>
      <c r="H225" s="9" t="str">
        <f t="shared" si="2"/>
        <v/>
      </c>
      <c r="I225" s="10" t="str">
        <f t="shared" si="3"/>
        <v/>
      </c>
      <c r="J225" s="11" t="str">
        <f t="shared" si="4"/>
        <v/>
      </c>
      <c r="K225" s="11" t="str">
        <f>IFERROR(IF(A225&lt;&gt;"",VLOOKUP(B225,'📦 ชื่อสินค้า'!A:F,6,false),""),)</f>
        <v/>
      </c>
      <c r="L225" s="11" t="str">
        <f t="shared" si="5"/>
        <v/>
      </c>
      <c r="M225" s="13"/>
    </row>
    <row r="226">
      <c r="A226" s="15"/>
      <c r="B226" s="6"/>
      <c r="C226" s="14" t="str">
        <f>iferror(vlookup(B226,'📦 ชื่อสินค้า'!A:C,3,false),)</f>
        <v/>
      </c>
      <c r="D226" s="11" t="str">
        <f>iferror(vlookup(B226,'📦 ชื่อสินค้า'!A:D,4,false),"")</f>
        <v/>
      </c>
      <c r="E226" s="16"/>
      <c r="F226" s="8" t="str">
        <f t="shared" si="1"/>
        <v/>
      </c>
      <c r="G226" s="9" t="str">
        <f>IF(LEN(B226)&gt;0,vlookup(B226,'📊 รายงานสินค้าคงเหลือ'!A:G,6,false)*E226,)</f>
        <v/>
      </c>
      <c r="H226" s="9" t="str">
        <f t="shared" si="2"/>
        <v/>
      </c>
      <c r="I226" s="10" t="str">
        <f t="shared" si="3"/>
        <v/>
      </c>
      <c r="J226" s="11" t="str">
        <f t="shared" si="4"/>
        <v/>
      </c>
      <c r="K226" s="11" t="str">
        <f>IFERROR(IF(A226&lt;&gt;"",VLOOKUP(B226,'📦 ชื่อสินค้า'!A:F,6,false),""),)</f>
        <v/>
      </c>
      <c r="L226" s="11" t="str">
        <f t="shared" si="5"/>
        <v/>
      </c>
      <c r="M226" s="13"/>
    </row>
    <row r="227">
      <c r="A227" s="15"/>
      <c r="B227" s="6"/>
      <c r="C227" s="14" t="str">
        <f>iferror(vlookup(B227,'📦 ชื่อสินค้า'!A:C,3,false),)</f>
        <v/>
      </c>
      <c r="D227" s="11" t="str">
        <f>iferror(vlookup(B227,'📦 ชื่อสินค้า'!A:D,4,false),"")</f>
        <v/>
      </c>
      <c r="E227" s="16"/>
      <c r="F227" s="8" t="str">
        <f t="shared" si="1"/>
        <v/>
      </c>
      <c r="G227" s="9" t="str">
        <f>IF(LEN(B227)&gt;0,vlookup(B227,'📊 รายงานสินค้าคงเหลือ'!A:G,6,false)*E227,)</f>
        <v/>
      </c>
      <c r="H227" s="9" t="str">
        <f t="shared" si="2"/>
        <v/>
      </c>
      <c r="I227" s="10" t="str">
        <f t="shared" si="3"/>
        <v/>
      </c>
      <c r="J227" s="11" t="str">
        <f t="shared" si="4"/>
        <v/>
      </c>
      <c r="K227" s="11" t="str">
        <f>IFERROR(IF(A227&lt;&gt;"",VLOOKUP(B227,'📦 ชื่อสินค้า'!A:F,6,false),""),)</f>
        <v/>
      </c>
      <c r="L227" s="11" t="str">
        <f t="shared" si="5"/>
        <v/>
      </c>
      <c r="M227" s="13"/>
    </row>
    <row r="228">
      <c r="A228" s="15"/>
      <c r="B228" s="6"/>
      <c r="C228" s="14" t="str">
        <f>iferror(vlookup(B228,'📦 ชื่อสินค้า'!A:C,3,false),)</f>
        <v/>
      </c>
      <c r="D228" s="11" t="str">
        <f>iferror(vlookup(B228,'📦 ชื่อสินค้า'!A:D,4,false),"")</f>
        <v/>
      </c>
      <c r="E228" s="16"/>
      <c r="F228" s="8" t="str">
        <f t="shared" si="1"/>
        <v/>
      </c>
      <c r="G228" s="9" t="str">
        <f>IF(LEN(B228)&gt;0,vlookup(B228,'📊 รายงานสินค้าคงเหลือ'!A:G,6,false)*E228,)</f>
        <v/>
      </c>
      <c r="H228" s="9" t="str">
        <f t="shared" si="2"/>
        <v/>
      </c>
      <c r="I228" s="10" t="str">
        <f t="shared" si="3"/>
        <v/>
      </c>
      <c r="J228" s="11" t="str">
        <f t="shared" si="4"/>
        <v/>
      </c>
      <c r="K228" s="11" t="str">
        <f>IFERROR(IF(A228&lt;&gt;"",VLOOKUP(B228,'📦 ชื่อสินค้า'!A:F,6,false),""),)</f>
        <v/>
      </c>
      <c r="L228" s="11" t="str">
        <f t="shared" si="5"/>
        <v/>
      </c>
      <c r="M228" s="13"/>
    </row>
    <row r="229">
      <c r="A229" s="15"/>
      <c r="B229" s="6"/>
      <c r="C229" s="14" t="str">
        <f>iferror(vlookup(B229,'📦 ชื่อสินค้า'!A:C,3,false),)</f>
        <v/>
      </c>
      <c r="D229" s="11" t="str">
        <f>iferror(vlookup(B229,'📦 ชื่อสินค้า'!A:D,4,false),"")</f>
        <v/>
      </c>
      <c r="E229" s="16"/>
      <c r="F229" s="8" t="str">
        <f t="shared" si="1"/>
        <v/>
      </c>
      <c r="G229" s="9" t="str">
        <f>IF(LEN(B229)&gt;0,vlookup(B229,'📊 รายงานสินค้าคงเหลือ'!A:G,6,false)*E229,)</f>
        <v/>
      </c>
      <c r="H229" s="9" t="str">
        <f t="shared" si="2"/>
        <v/>
      </c>
      <c r="I229" s="10" t="str">
        <f t="shared" si="3"/>
        <v/>
      </c>
      <c r="J229" s="11" t="str">
        <f t="shared" si="4"/>
        <v/>
      </c>
      <c r="K229" s="11" t="str">
        <f>IFERROR(IF(A229&lt;&gt;"",VLOOKUP(B229,'📦 ชื่อสินค้า'!A:F,6,false),""),)</f>
        <v/>
      </c>
      <c r="L229" s="11" t="str">
        <f t="shared" si="5"/>
        <v/>
      </c>
      <c r="M229" s="13"/>
    </row>
    <row r="230">
      <c r="A230" s="15"/>
      <c r="B230" s="6"/>
      <c r="C230" s="14" t="str">
        <f>iferror(vlookup(B230,'📦 ชื่อสินค้า'!A:C,3,false),)</f>
        <v/>
      </c>
      <c r="D230" s="11" t="str">
        <f>iferror(vlookup(B230,'📦 ชื่อสินค้า'!A:D,4,false),"")</f>
        <v/>
      </c>
      <c r="E230" s="16"/>
      <c r="F230" s="8" t="str">
        <f t="shared" si="1"/>
        <v/>
      </c>
      <c r="G230" s="9" t="str">
        <f>IF(LEN(B230)&gt;0,vlookup(B230,'📊 รายงานสินค้าคงเหลือ'!A:G,6,false)*E230,)</f>
        <v/>
      </c>
      <c r="H230" s="9" t="str">
        <f t="shared" si="2"/>
        <v/>
      </c>
      <c r="I230" s="10" t="str">
        <f t="shared" si="3"/>
        <v/>
      </c>
      <c r="J230" s="11" t="str">
        <f t="shared" si="4"/>
        <v/>
      </c>
      <c r="K230" s="11" t="str">
        <f>IFERROR(IF(A230&lt;&gt;"",VLOOKUP(B230,'📦 ชื่อสินค้า'!A:F,6,false),""),)</f>
        <v/>
      </c>
      <c r="L230" s="11" t="str">
        <f t="shared" si="5"/>
        <v/>
      </c>
      <c r="M230" s="13"/>
    </row>
    <row r="231">
      <c r="A231" s="15"/>
      <c r="B231" s="6"/>
      <c r="C231" s="14" t="str">
        <f>iferror(vlookup(B231,'📦 ชื่อสินค้า'!A:C,3,false),)</f>
        <v/>
      </c>
      <c r="D231" s="11" t="str">
        <f>iferror(vlookup(B231,'📦 ชื่อสินค้า'!A:D,4,false),"")</f>
        <v/>
      </c>
      <c r="E231" s="16"/>
      <c r="F231" s="8" t="str">
        <f t="shared" si="1"/>
        <v/>
      </c>
      <c r="G231" s="9" t="str">
        <f>IF(LEN(B231)&gt;0,vlookup(B231,'📊 รายงานสินค้าคงเหลือ'!A:G,6,false)*E231,)</f>
        <v/>
      </c>
      <c r="H231" s="9" t="str">
        <f t="shared" si="2"/>
        <v/>
      </c>
      <c r="I231" s="10" t="str">
        <f t="shared" si="3"/>
        <v/>
      </c>
      <c r="J231" s="11" t="str">
        <f t="shared" si="4"/>
        <v/>
      </c>
      <c r="K231" s="11" t="str">
        <f>IFERROR(IF(A231&lt;&gt;"",VLOOKUP(B231,'📦 ชื่อสินค้า'!A:F,6,false),""),)</f>
        <v/>
      </c>
      <c r="L231" s="11" t="str">
        <f t="shared" si="5"/>
        <v/>
      </c>
      <c r="M231" s="13"/>
    </row>
    <row r="232">
      <c r="A232" s="15"/>
      <c r="B232" s="6"/>
      <c r="C232" s="14" t="str">
        <f>iferror(vlookup(B232,'📦 ชื่อสินค้า'!A:C,3,false),)</f>
        <v/>
      </c>
      <c r="D232" s="11" t="str">
        <f>iferror(vlookup(B232,'📦 ชื่อสินค้า'!A:D,4,false),"")</f>
        <v/>
      </c>
      <c r="E232" s="16"/>
      <c r="F232" s="8" t="str">
        <f t="shared" si="1"/>
        <v/>
      </c>
      <c r="G232" s="9" t="str">
        <f>IF(LEN(B232)&gt;0,vlookup(B232,'📊 รายงานสินค้าคงเหลือ'!A:G,6,false)*E232,)</f>
        <v/>
      </c>
      <c r="H232" s="9" t="str">
        <f t="shared" si="2"/>
        <v/>
      </c>
      <c r="I232" s="10" t="str">
        <f t="shared" si="3"/>
        <v/>
      </c>
      <c r="J232" s="11" t="str">
        <f t="shared" si="4"/>
        <v/>
      </c>
      <c r="K232" s="11" t="str">
        <f>IFERROR(IF(A232&lt;&gt;"",VLOOKUP(B232,'📦 ชื่อสินค้า'!A:F,6,false),""),)</f>
        <v/>
      </c>
      <c r="L232" s="11" t="str">
        <f t="shared" si="5"/>
        <v/>
      </c>
      <c r="M232" s="13"/>
    </row>
    <row r="233">
      <c r="A233" s="15"/>
      <c r="B233" s="6"/>
      <c r="C233" s="14" t="str">
        <f>iferror(vlookup(B233,'📦 ชื่อสินค้า'!A:C,3,false),)</f>
        <v/>
      </c>
      <c r="D233" s="11" t="str">
        <f>iferror(vlookup(B233,'📦 ชื่อสินค้า'!A:D,4,false),"")</f>
        <v/>
      </c>
      <c r="E233" s="16"/>
      <c r="F233" s="8" t="str">
        <f t="shared" si="1"/>
        <v/>
      </c>
      <c r="G233" s="9" t="str">
        <f>IF(LEN(B233)&gt;0,vlookup(B233,'📊 รายงานสินค้าคงเหลือ'!A:G,6,false)*E233,)</f>
        <v/>
      </c>
      <c r="H233" s="9" t="str">
        <f t="shared" si="2"/>
        <v/>
      </c>
      <c r="I233" s="10" t="str">
        <f t="shared" si="3"/>
        <v/>
      </c>
      <c r="J233" s="11" t="str">
        <f t="shared" si="4"/>
        <v/>
      </c>
      <c r="K233" s="11" t="str">
        <f>IFERROR(IF(A233&lt;&gt;"",VLOOKUP(B233,'📦 ชื่อสินค้า'!A:F,6,false),""),)</f>
        <v/>
      </c>
      <c r="L233" s="11" t="str">
        <f t="shared" si="5"/>
        <v/>
      </c>
      <c r="M233" s="13"/>
    </row>
    <row r="234">
      <c r="A234" s="15"/>
      <c r="B234" s="6"/>
      <c r="C234" s="14" t="str">
        <f>iferror(vlookup(B234,'📦 ชื่อสินค้า'!A:C,3,false),)</f>
        <v/>
      </c>
      <c r="D234" s="11" t="str">
        <f>iferror(vlookup(B234,'📦 ชื่อสินค้า'!A:D,4,false),"")</f>
        <v/>
      </c>
      <c r="E234" s="16"/>
      <c r="F234" s="8" t="str">
        <f t="shared" si="1"/>
        <v/>
      </c>
      <c r="G234" s="9" t="str">
        <f>IF(LEN(B234)&gt;0,vlookup(B234,'📊 รายงานสินค้าคงเหลือ'!A:G,6,false)*E234,)</f>
        <v/>
      </c>
      <c r="H234" s="9" t="str">
        <f t="shared" si="2"/>
        <v/>
      </c>
      <c r="I234" s="10" t="str">
        <f t="shared" si="3"/>
        <v/>
      </c>
      <c r="J234" s="11" t="str">
        <f t="shared" si="4"/>
        <v/>
      </c>
      <c r="K234" s="11" t="str">
        <f>IFERROR(IF(A234&lt;&gt;"",VLOOKUP(B234,'📦 ชื่อสินค้า'!A:F,6,false),""),)</f>
        <v/>
      </c>
      <c r="L234" s="11" t="str">
        <f t="shared" si="5"/>
        <v/>
      </c>
      <c r="M234" s="13"/>
    </row>
    <row r="235">
      <c r="A235" s="15"/>
      <c r="B235" s="6"/>
      <c r="C235" s="14" t="str">
        <f>iferror(vlookup(B235,'📦 ชื่อสินค้า'!A:C,3,false),)</f>
        <v/>
      </c>
      <c r="D235" s="11" t="str">
        <f>iferror(vlookup(B235,'📦 ชื่อสินค้า'!A:D,4,false),"")</f>
        <v/>
      </c>
      <c r="E235" s="16"/>
      <c r="F235" s="8" t="str">
        <f t="shared" si="1"/>
        <v/>
      </c>
      <c r="G235" s="9" t="str">
        <f>IF(LEN(B235)&gt;0,vlookup(B235,'📊 รายงานสินค้าคงเหลือ'!A:G,6,false)*E235,)</f>
        <v/>
      </c>
      <c r="H235" s="9" t="str">
        <f t="shared" si="2"/>
        <v/>
      </c>
      <c r="I235" s="10" t="str">
        <f t="shared" si="3"/>
        <v/>
      </c>
      <c r="J235" s="11" t="str">
        <f t="shared" si="4"/>
        <v/>
      </c>
      <c r="K235" s="11" t="str">
        <f>IFERROR(IF(A235&lt;&gt;"",VLOOKUP(B235,'📦 ชื่อสินค้า'!A:F,6,false),""),)</f>
        <v/>
      </c>
      <c r="L235" s="11" t="str">
        <f t="shared" si="5"/>
        <v/>
      </c>
      <c r="M235" s="13"/>
    </row>
    <row r="236">
      <c r="A236" s="15"/>
      <c r="B236" s="6"/>
      <c r="C236" s="14" t="str">
        <f>iferror(vlookup(B236,'📦 ชื่อสินค้า'!A:C,3,false),)</f>
        <v/>
      </c>
      <c r="D236" s="11" t="str">
        <f>iferror(vlookup(B236,'📦 ชื่อสินค้า'!A:D,4,false),"")</f>
        <v/>
      </c>
      <c r="E236" s="16"/>
      <c r="F236" s="8" t="str">
        <f t="shared" si="1"/>
        <v/>
      </c>
      <c r="G236" s="9" t="str">
        <f>IF(LEN(B236)&gt;0,vlookup(B236,'📊 รายงานสินค้าคงเหลือ'!A:G,6,false)*E236,)</f>
        <v/>
      </c>
      <c r="H236" s="9" t="str">
        <f t="shared" si="2"/>
        <v/>
      </c>
      <c r="I236" s="10" t="str">
        <f t="shared" si="3"/>
        <v/>
      </c>
      <c r="J236" s="11" t="str">
        <f t="shared" si="4"/>
        <v/>
      </c>
      <c r="K236" s="11" t="str">
        <f>IFERROR(IF(A236&lt;&gt;"",VLOOKUP(B236,'📦 ชื่อสินค้า'!A:F,6,false),""),)</f>
        <v/>
      </c>
      <c r="L236" s="11" t="str">
        <f t="shared" si="5"/>
        <v/>
      </c>
      <c r="M236" s="13"/>
    </row>
    <row r="237">
      <c r="A237" s="15"/>
      <c r="B237" s="6"/>
      <c r="C237" s="14" t="str">
        <f>iferror(vlookup(B237,'📦 ชื่อสินค้า'!A:C,3,false),)</f>
        <v/>
      </c>
      <c r="D237" s="11" t="str">
        <f>iferror(vlookup(B237,'📦 ชื่อสินค้า'!A:D,4,false),"")</f>
        <v/>
      </c>
      <c r="E237" s="16"/>
      <c r="F237" s="8" t="str">
        <f t="shared" si="1"/>
        <v/>
      </c>
      <c r="G237" s="9" t="str">
        <f>IF(LEN(B237)&gt;0,vlookup(B237,'📊 รายงานสินค้าคงเหลือ'!A:G,6,false)*E237,)</f>
        <v/>
      </c>
      <c r="H237" s="9" t="str">
        <f t="shared" si="2"/>
        <v/>
      </c>
      <c r="I237" s="10" t="str">
        <f t="shared" si="3"/>
        <v/>
      </c>
      <c r="J237" s="11" t="str">
        <f t="shared" si="4"/>
        <v/>
      </c>
      <c r="K237" s="11" t="str">
        <f>IFERROR(IF(A237&lt;&gt;"",VLOOKUP(B237,'📦 ชื่อสินค้า'!A:F,6,false),""),)</f>
        <v/>
      </c>
      <c r="L237" s="11" t="str">
        <f t="shared" si="5"/>
        <v/>
      </c>
      <c r="M237" s="13"/>
    </row>
    <row r="238">
      <c r="A238" s="15"/>
      <c r="B238" s="6"/>
      <c r="C238" s="14" t="str">
        <f>iferror(vlookup(B238,'📦 ชื่อสินค้า'!A:C,3,false),)</f>
        <v/>
      </c>
      <c r="D238" s="11" t="str">
        <f>iferror(vlookup(B238,'📦 ชื่อสินค้า'!A:D,4,false),"")</f>
        <v/>
      </c>
      <c r="E238" s="16"/>
      <c r="F238" s="8" t="str">
        <f t="shared" si="1"/>
        <v/>
      </c>
      <c r="G238" s="9" t="str">
        <f>IF(LEN(B238)&gt;0,vlookup(B238,'📊 รายงานสินค้าคงเหลือ'!A:G,6,false)*E238,)</f>
        <v/>
      </c>
      <c r="H238" s="9" t="str">
        <f t="shared" si="2"/>
        <v/>
      </c>
      <c r="I238" s="10" t="str">
        <f t="shared" si="3"/>
        <v/>
      </c>
      <c r="J238" s="11" t="str">
        <f t="shared" si="4"/>
        <v/>
      </c>
      <c r="K238" s="11" t="str">
        <f>IFERROR(IF(A238&lt;&gt;"",VLOOKUP(B238,'📦 ชื่อสินค้า'!A:F,6,false),""),)</f>
        <v/>
      </c>
      <c r="L238" s="11" t="str">
        <f t="shared" si="5"/>
        <v/>
      </c>
      <c r="M238" s="13"/>
    </row>
    <row r="239">
      <c r="A239" s="15"/>
      <c r="B239" s="6"/>
      <c r="C239" s="14" t="str">
        <f>iferror(vlookup(B239,'📦 ชื่อสินค้า'!A:C,3,false),)</f>
        <v/>
      </c>
      <c r="D239" s="11" t="str">
        <f>iferror(vlookup(B239,'📦 ชื่อสินค้า'!A:D,4,false),"")</f>
        <v/>
      </c>
      <c r="E239" s="16"/>
      <c r="F239" s="8" t="str">
        <f t="shared" si="1"/>
        <v/>
      </c>
      <c r="G239" s="9" t="str">
        <f>IF(LEN(B239)&gt;0,vlookup(B239,'📊 รายงานสินค้าคงเหลือ'!A:G,6,false)*E239,)</f>
        <v/>
      </c>
      <c r="H239" s="9" t="str">
        <f t="shared" si="2"/>
        <v/>
      </c>
      <c r="I239" s="10" t="str">
        <f t="shared" si="3"/>
        <v/>
      </c>
      <c r="J239" s="11" t="str">
        <f t="shared" si="4"/>
        <v/>
      </c>
      <c r="K239" s="11" t="str">
        <f>IFERROR(IF(A239&lt;&gt;"",VLOOKUP(B239,'📦 ชื่อสินค้า'!A:F,6,false),""),)</f>
        <v/>
      </c>
      <c r="L239" s="11" t="str">
        <f t="shared" si="5"/>
        <v/>
      </c>
      <c r="M239" s="13"/>
    </row>
    <row r="240">
      <c r="A240" s="15"/>
      <c r="B240" s="6"/>
      <c r="C240" s="14" t="str">
        <f>iferror(vlookup(B240,'📦 ชื่อสินค้า'!A:C,3,false),)</f>
        <v/>
      </c>
      <c r="D240" s="11" t="str">
        <f>iferror(vlookup(B240,'📦 ชื่อสินค้า'!A:D,4,false),"")</f>
        <v/>
      </c>
      <c r="E240" s="16"/>
      <c r="F240" s="8" t="str">
        <f t="shared" si="1"/>
        <v/>
      </c>
      <c r="G240" s="9" t="str">
        <f>IF(LEN(B240)&gt;0,vlookup(B240,'📊 รายงานสินค้าคงเหลือ'!A:G,6,false)*E240,)</f>
        <v/>
      </c>
      <c r="H240" s="9" t="str">
        <f t="shared" si="2"/>
        <v/>
      </c>
      <c r="I240" s="10" t="str">
        <f t="shared" si="3"/>
        <v/>
      </c>
      <c r="J240" s="11" t="str">
        <f t="shared" si="4"/>
        <v/>
      </c>
      <c r="K240" s="11" t="str">
        <f>IFERROR(IF(A240&lt;&gt;"",VLOOKUP(B240,'📦 ชื่อสินค้า'!A:F,6,false),""),)</f>
        <v/>
      </c>
      <c r="L240" s="11" t="str">
        <f t="shared" si="5"/>
        <v/>
      </c>
      <c r="M240" s="13"/>
    </row>
    <row r="241">
      <c r="A241" s="15"/>
      <c r="B241" s="6"/>
      <c r="C241" s="14" t="str">
        <f>iferror(vlookup(B241,'📦 ชื่อสินค้า'!A:C,3,false),)</f>
        <v/>
      </c>
      <c r="D241" s="11" t="str">
        <f>iferror(vlookup(B241,'📦 ชื่อสินค้า'!A:D,4,false),"")</f>
        <v/>
      </c>
      <c r="E241" s="16"/>
      <c r="F241" s="8" t="str">
        <f t="shared" si="1"/>
        <v/>
      </c>
      <c r="G241" s="9" t="str">
        <f>IF(LEN(B241)&gt;0,vlookup(B241,'📊 รายงานสินค้าคงเหลือ'!A:G,6,false)*E241,)</f>
        <v/>
      </c>
      <c r="H241" s="9" t="str">
        <f t="shared" si="2"/>
        <v/>
      </c>
      <c r="I241" s="10" t="str">
        <f t="shared" si="3"/>
        <v/>
      </c>
      <c r="J241" s="11" t="str">
        <f t="shared" si="4"/>
        <v/>
      </c>
      <c r="K241" s="11" t="str">
        <f>IFERROR(IF(A241&lt;&gt;"",VLOOKUP(B241,'📦 ชื่อสินค้า'!A:F,6,false),""),)</f>
        <v/>
      </c>
      <c r="L241" s="11" t="str">
        <f t="shared" si="5"/>
        <v/>
      </c>
      <c r="M241" s="13"/>
    </row>
    <row r="242">
      <c r="A242" s="15"/>
      <c r="B242" s="6"/>
      <c r="C242" s="14" t="str">
        <f>iferror(vlookup(B242,'📦 ชื่อสินค้า'!A:C,3,false),)</f>
        <v/>
      </c>
      <c r="D242" s="11" t="str">
        <f>iferror(vlookup(B242,'📦 ชื่อสินค้า'!A:D,4,false),"")</f>
        <v/>
      </c>
      <c r="E242" s="16"/>
      <c r="F242" s="8" t="str">
        <f t="shared" si="1"/>
        <v/>
      </c>
      <c r="G242" s="9" t="str">
        <f>IF(LEN(B242)&gt;0,vlookup(B242,'📊 รายงานสินค้าคงเหลือ'!A:G,6,false)*E242,)</f>
        <v/>
      </c>
      <c r="H242" s="9" t="str">
        <f t="shared" si="2"/>
        <v/>
      </c>
      <c r="I242" s="10" t="str">
        <f t="shared" si="3"/>
        <v/>
      </c>
      <c r="J242" s="11" t="str">
        <f t="shared" si="4"/>
        <v/>
      </c>
      <c r="K242" s="11" t="str">
        <f>IFERROR(IF(A242&lt;&gt;"",VLOOKUP(B242,'📦 ชื่อสินค้า'!A:F,6,false),""),)</f>
        <v/>
      </c>
      <c r="L242" s="11" t="str">
        <f t="shared" si="5"/>
        <v/>
      </c>
      <c r="M242" s="13"/>
    </row>
    <row r="243">
      <c r="A243" s="15"/>
      <c r="B243" s="6"/>
      <c r="C243" s="14" t="str">
        <f>iferror(vlookup(B243,'📦 ชื่อสินค้า'!A:C,3,false),)</f>
        <v/>
      </c>
      <c r="D243" s="11" t="str">
        <f>iferror(vlookup(B243,'📦 ชื่อสินค้า'!A:D,4,false),"")</f>
        <v/>
      </c>
      <c r="E243" s="16"/>
      <c r="F243" s="8" t="str">
        <f t="shared" si="1"/>
        <v/>
      </c>
      <c r="G243" s="9" t="str">
        <f>IF(LEN(B243)&gt;0,vlookup(B243,'📊 รายงานสินค้าคงเหลือ'!A:G,6,false)*E243,)</f>
        <v/>
      </c>
      <c r="H243" s="9" t="str">
        <f t="shared" si="2"/>
        <v/>
      </c>
      <c r="I243" s="10" t="str">
        <f t="shared" si="3"/>
        <v/>
      </c>
      <c r="J243" s="11" t="str">
        <f t="shared" si="4"/>
        <v/>
      </c>
      <c r="K243" s="11" t="str">
        <f>IFERROR(IF(A243&lt;&gt;"",VLOOKUP(B243,'📦 ชื่อสินค้า'!A:F,6,false),""),)</f>
        <v/>
      </c>
      <c r="L243" s="11" t="str">
        <f t="shared" si="5"/>
        <v/>
      </c>
      <c r="M243" s="13"/>
    </row>
    <row r="244">
      <c r="A244" s="15"/>
      <c r="B244" s="6"/>
      <c r="C244" s="14" t="str">
        <f>iferror(vlookup(B244,'📦 ชื่อสินค้า'!A:C,3,false),)</f>
        <v/>
      </c>
      <c r="D244" s="11" t="str">
        <f>iferror(vlookup(B244,'📦 ชื่อสินค้า'!A:D,4,false),"")</f>
        <v/>
      </c>
      <c r="E244" s="16"/>
      <c r="F244" s="8" t="str">
        <f t="shared" si="1"/>
        <v/>
      </c>
      <c r="G244" s="9" t="str">
        <f>IF(LEN(B244)&gt;0,vlookup(B244,'📊 รายงานสินค้าคงเหลือ'!A:G,6,false)*E244,)</f>
        <v/>
      </c>
      <c r="H244" s="9" t="str">
        <f t="shared" si="2"/>
        <v/>
      </c>
      <c r="I244" s="10" t="str">
        <f t="shared" si="3"/>
        <v/>
      </c>
      <c r="J244" s="11" t="str">
        <f t="shared" si="4"/>
        <v/>
      </c>
      <c r="K244" s="11" t="str">
        <f>IFERROR(IF(A244&lt;&gt;"",VLOOKUP(B244,'📦 ชื่อสินค้า'!A:F,6,false),""),)</f>
        <v/>
      </c>
      <c r="L244" s="11" t="str">
        <f t="shared" si="5"/>
        <v/>
      </c>
      <c r="M244" s="13"/>
    </row>
    <row r="245">
      <c r="A245" s="15"/>
      <c r="B245" s="6"/>
      <c r="C245" s="14" t="str">
        <f>iferror(vlookup(B245,'📦 ชื่อสินค้า'!A:C,3,false),)</f>
        <v/>
      </c>
      <c r="D245" s="11" t="str">
        <f>iferror(vlookup(B245,'📦 ชื่อสินค้า'!A:D,4,false),"")</f>
        <v/>
      </c>
      <c r="E245" s="16"/>
      <c r="F245" s="8" t="str">
        <f t="shared" si="1"/>
        <v/>
      </c>
      <c r="G245" s="9" t="str">
        <f>IF(LEN(B245)&gt;0,vlookup(B245,'📊 รายงานสินค้าคงเหลือ'!A:G,6,false)*E245,)</f>
        <v/>
      </c>
      <c r="H245" s="9" t="str">
        <f t="shared" si="2"/>
        <v/>
      </c>
      <c r="I245" s="10" t="str">
        <f t="shared" si="3"/>
        <v/>
      </c>
      <c r="J245" s="11" t="str">
        <f t="shared" si="4"/>
        <v/>
      </c>
      <c r="K245" s="11" t="str">
        <f>IFERROR(IF(A245&lt;&gt;"",VLOOKUP(B245,'📦 ชื่อสินค้า'!A:F,6,false),""),)</f>
        <v/>
      </c>
      <c r="L245" s="11" t="str">
        <f t="shared" si="5"/>
        <v/>
      </c>
      <c r="M245" s="13"/>
    </row>
    <row r="246">
      <c r="A246" s="15"/>
      <c r="B246" s="6"/>
      <c r="C246" s="14" t="str">
        <f>iferror(vlookup(B246,'📦 ชื่อสินค้า'!A:C,3,false),)</f>
        <v/>
      </c>
      <c r="D246" s="11" t="str">
        <f>iferror(vlookup(B246,'📦 ชื่อสินค้า'!A:D,4,false),"")</f>
        <v/>
      </c>
      <c r="E246" s="16"/>
      <c r="F246" s="8" t="str">
        <f t="shared" si="1"/>
        <v/>
      </c>
      <c r="G246" s="9" t="str">
        <f>IF(LEN(B246)&gt;0,vlookup(B246,'📊 รายงานสินค้าคงเหลือ'!A:G,6,false)*E246,)</f>
        <v/>
      </c>
      <c r="H246" s="9" t="str">
        <f t="shared" si="2"/>
        <v/>
      </c>
      <c r="I246" s="10" t="str">
        <f t="shared" si="3"/>
        <v/>
      </c>
      <c r="J246" s="11" t="str">
        <f t="shared" si="4"/>
        <v/>
      </c>
      <c r="K246" s="11" t="str">
        <f>IFERROR(IF(A246&lt;&gt;"",VLOOKUP(B246,'📦 ชื่อสินค้า'!A:F,6,false),""),)</f>
        <v/>
      </c>
      <c r="L246" s="11" t="str">
        <f t="shared" si="5"/>
        <v/>
      </c>
      <c r="M246" s="13"/>
    </row>
    <row r="247">
      <c r="A247" s="15"/>
      <c r="B247" s="6"/>
      <c r="C247" s="14" t="str">
        <f>iferror(vlookup(B247,'📦 ชื่อสินค้า'!A:C,3,false),)</f>
        <v/>
      </c>
      <c r="D247" s="11" t="str">
        <f>iferror(vlookup(B247,'📦 ชื่อสินค้า'!A:D,4,false),"")</f>
        <v/>
      </c>
      <c r="E247" s="16"/>
      <c r="F247" s="8" t="str">
        <f t="shared" si="1"/>
        <v/>
      </c>
      <c r="G247" s="9" t="str">
        <f>IF(LEN(B247)&gt;0,vlookup(B247,'📊 รายงานสินค้าคงเหลือ'!A:G,6,false)*E247,)</f>
        <v/>
      </c>
      <c r="H247" s="9" t="str">
        <f t="shared" si="2"/>
        <v/>
      </c>
      <c r="I247" s="10" t="str">
        <f t="shared" si="3"/>
        <v/>
      </c>
      <c r="J247" s="11" t="str">
        <f t="shared" si="4"/>
        <v/>
      </c>
      <c r="K247" s="11" t="str">
        <f>IFERROR(IF(A247&lt;&gt;"",VLOOKUP(B247,'📦 ชื่อสินค้า'!A:F,6,false),""),)</f>
        <v/>
      </c>
      <c r="L247" s="11" t="str">
        <f t="shared" si="5"/>
        <v/>
      </c>
      <c r="M247" s="13"/>
    </row>
    <row r="248">
      <c r="A248" s="15"/>
      <c r="B248" s="6"/>
      <c r="C248" s="14" t="str">
        <f>iferror(vlookup(B248,'📦 ชื่อสินค้า'!A:C,3,false),)</f>
        <v/>
      </c>
      <c r="D248" s="11" t="str">
        <f>iferror(vlookup(B248,'📦 ชื่อสินค้า'!A:D,4,false),"")</f>
        <v/>
      </c>
      <c r="E248" s="16"/>
      <c r="F248" s="8" t="str">
        <f t="shared" si="1"/>
        <v/>
      </c>
      <c r="G248" s="9" t="str">
        <f>IF(LEN(B248)&gt;0,vlookup(B248,'📊 รายงานสินค้าคงเหลือ'!A:G,6,false)*E248,)</f>
        <v/>
      </c>
      <c r="H248" s="9" t="str">
        <f t="shared" si="2"/>
        <v/>
      </c>
      <c r="I248" s="10" t="str">
        <f t="shared" si="3"/>
        <v/>
      </c>
      <c r="J248" s="11" t="str">
        <f t="shared" si="4"/>
        <v/>
      </c>
      <c r="K248" s="11" t="str">
        <f>IFERROR(IF(A248&lt;&gt;"",VLOOKUP(B248,'📦 ชื่อสินค้า'!A:F,6,false),""),)</f>
        <v/>
      </c>
      <c r="L248" s="11" t="str">
        <f t="shared" si="5"/>
        <v/>
      </c>
      <c r="M248" s="13"/>
    </row>
    <row r="249">
      <c r="A249" s="15"/>
      <c r="B249" s="6"/>
      <c r="C249" s="14" t="str">
        <f>iferror(vlookup(B249,'📦 ชื่อสินค้า'!A:C,3,false),)</f>
        <v/>
      </c>
      <c r="D249" s="11" t="str">
        <f>iferror(vlookup(B249,'📦 ชื่อสินค้า'!A:D,4,false),"")</f>
        <v/>
      </c>
      <c r="E249" s="16"/>
      <c r="F249" s="8" t="str">
        <f t="shared" si="1"/>
        <v/>
      </c>
      <c r="G249" s="9" t="str">
        <f>IF(LEN(B249)&gt;0,vlookup(B249,'📊 รายงานสินค้าคงเหลือ'!A:G,6,false)*E249,)</f>
        <v/>
      </c>
      <c r="H249" s="9" t="str">
        <f t="shared" si="2"/>
        <v/>
      </c>
      <c r="I249" s="10" t="str">
        <f t="shared" si="3"/>
        <v/>
      </c>
      <c r="J249" s="11" t="str">
        <f t="shared" si="4"/>
        <v/>
      </c>
      <c r="K249" s="11" t="str">
        <f>IFERROR(IF(A249&lt;&gt;"",VLOOKUP(B249,'📦 ชื่อสินค้า'!A:F,6,false),""),)</f>
        <v/>
      </c>
      <c r="L249" s="11" t="str">
        <f t="shared" si="5"/>
        <v/>
      </c>
      <c r="M249" s="13"/>
    </row>
    <row r="250">
      <c r="A250" s="15"/>
      <c r="B250" s="6"/>
      <c r="C250" s="14" t="str">
        <f>iferror(vlookup(B250,'📦 ชื่อสินค้า'!A:C,3,false),)</f>
        <v/>
      </c>
      <c r="D250" s="11" t="str">
        <f>iferror(vlookup(B250,'📦 ชื่อสินค้า'!A:D,4,false),"")</f>
        <v/>
      </c>
      <c r="E250" s="16"/>
      <c r="F250" s="8" t="str">
        <f t="shared" si="1"/>
        <v/>
      </c>
      <c r="G250" s="9" t="str">
        <f>IF(LEN(B250)&gt;0,vlookup(B250,'📊 รายงานสินค้าคงเหลือ'!A:G,6,false)*E250,)</f>
        <v/>
      </c>
      <c r="H250" s="9" t="str">
        <f t="shared" si="2"/>
        <v/>
      </c>
      <c r="I250" s="10" t="str">
        <f t="shared" si="3"/>
        <v/>
      </c>
      <c r="J250" s="11" t="str">
        <f t="shared" si="4"/>
        <v/>
      </c>
      <c r="K250" s="11" t="str">
        <f>IFERROR(IF(A250&lt;&gt;"",VLOOKUP(B250,'📦 ชื่อสินค้า'!A:F,6,false),""),)</f>
        <v/>
      </c>
      <c r="L250" s="11" t="str">
        <f t="shared" si="5"/>
        <v/>
      </c>
      <c r="M250" s="13"/>
    </row>
    <row r="251">
      <c r="A251" s="15"/>
      <c r="B251" s="6"/>
      <c r="C251" s="14" t="str">
        <f>iferror(vlookup(B251,'📦 ชื่อสินค้า'!A:C,3,false),)</f>
        <v/>
      </c>
      <c r="D251" s="11" t="str">
        <f>iferror(vlookup(B251,'📦 ชื่อสินค้า'!A:D,4,false),"")</f>
        <v/>
      </c>
      <c r="E251" s="16"/>
      <c r="F251" s="8" t="str">
        <f t="shared" si="1"/>
        <v/>
      </c>
      <c r="G251" s="9" t="str">
        <f>IF(LEN(B251)&gt;0,vlookup(B251,'📊 รายงานสินค้าคงเหลือ'!A:G,6,false)*E251,)</f>
        <v/>
      </c>
      <c r="H251" s="9" t="str">
        <f t="shared" si="2"/>
        <v/>
      </c>
      <c r="I251" s="10" t="str">
        <f t="shared" si="3"/>
        <v/>
      </c>
      <c r="J251" s="11" t="str">
        <f t="shared" si="4"/>
        <v/>
      </c>
      <c r="K251" s="11" t="str">
        <f>IFERROR(IF(A251&lt;&gt;"",VLOOKUP(B251,'📦 ชื่อสินค้า'!A:F,6,false),""),)</f>
        <v/>
      </c>
      <c r="L251" s="11" t="str">
        <f t="shared" si="5"/>
        <v/>
      </c>
      <c r="M251" s="13"/>
    </row>
    <row r="252">
      <c r="A252" s="15"/>
      <c r="B252" s="6"/>
      <c r="C252" s="14" t="str">
        <f>iferror(vlookup(B252,'📦 ชื่อสินค้า'!A:C,3,false),)</f>
        <v/>
      </c>
      <c r="D252" s="11" t="str">
        <f>iferror(vlookup(B252,'📦 ชื่อสินค้า'!A:D,4,false),"")</f>
        <v/>
      </c>
      <c r="E252" s="16"/>
      <c r="F252" s="8" t="str">
        <f t="shared" si="1"/>
        <v/>
      </c>
      <c r="G252" s="9" t="str">
        <f>IF(LEN(B252)&gt;0,vlookup(B252,'📊 รายงานสินค้าคงเหลือ'!A:G,6,false)*E252,)</f>
        <v/>
      </c>
      <c r="H252" s="9" t="str">
        <f t="shared" si="2"/>
        <v/>
      </c>
      <c r="I252" s="10" t="str">
        <f t="shared" si="3"/>
        <v/>
      </c>
      <c r="J252" s="11" t="str">
        <f t="shared" si="4"/>
        <v/>
      </c>
      <c r="K252" s="11" t="str">
        <f>IFERROR(IF(A252&lt;&gt;"",VLOOKUP(B252,'📦 ชื่อสินค้า'!A:F,6,false),""),)</f>
        <v/>
      </c>
      <c r="L252" s="11" t="str">
        <f t="shared" si="5"/>
        <v/>
      </c>
      <c r="M252" s="13"/>
    </row>
    <row r="253">
      <c r="A253" s="15"/>
      <c r="B253" s="6"/>
      <c r="C253" s="14" t="str">
        <f>iferror(vlookup(B253,'📦 ชื่อสินค้า'!A:C,3,false),)</f>
        <v/>
      </c>
      <c r="D253" s="11" t="str">
        <f>iferror(vlookup(B253,'📦 ชื่อสินค้า'!A:D,4,false),"")</f>
        <v/>
      </c>
      <c r="E253" s="16"/>
      <c r="F253" s="8" t="str">
        <f t="shared" si="1"/>
        <v/>
      </c>
      <c r="G253" s="9" t="str">
        <f>IF(LEN(B253)&gt;0,vlookup(B253,'📊 รายงานสินค้าคงเหลือ'!A:G,6,false)*E253,)</f>
        <v/>
      </c>
      <c r="H253" s="9" t="str">
        <f t="shared" si="2"/>
        <v/>
      </c>
      <c r="I253" s="10" t="str">
        <f t="shared" si="3"/>
        <v/>
      </c>
      <c r="J253" s="11" t="str">
        <f t="shared" si="4"/>
        <v/>
      </c>
      <c r="K253" s="11" t="str">
        <f>IFERROR(IF(A253&lt;&gt;"",VLOOKUP(B253,'📦 ชื่อสินค้า'!A:F,6,false),""),)</f>
        <v/>
      </c>
      <c r="L253" s="11" t="str">
        <f t="shared" si="5"/>
        <v/>
      </c>
      <c r="M253" s="13"/>
    </row>
    <row r="254">
      <c r="A254" s="15"/>
      <c r="B254" s="6"/>
      <c r="C254" s="14" t="str">
        <f>iferror(vlookup(B254,'📦 ชื่อสินค้า'!A:C,3,false),)</f>
        <v/>
      </c>
      <c r="D254" s="11" t="str">
        <f>iferror(vlookup(B254,'📦 ชื่อสินค้า'!A:D,4,false),"")</f>
        <v/>
      </c>
      <c r="E254" s="16"/>
      <c r="F254" s="8" t="str">
        <f t="shared" si="1"/>
        <v/>
      </c>
      <c r="G254" s="9" t="str">
        <f>IF(LEN(B254)&gt;0,vlookup(B254,'📊 รายงานสินค้าคงเหลือ'!A:G,6,false)*E254,)</f>
        <v/>
      </c>
      <c r="H254" s="9" t="str">
        <f t="shared" si="2"/>
        <v/>
      </c>
      <c r="I254" s="10" t="str">
        <f t="shared" si="3"/>
        <v/>
      </c>
      <c r="J254" s="11" t="str">
        <f t="shared" si="4"/>
        <v/>
      </c>
      <c r="K254" s="11" t="str">
        <f>IFERROR(IF(A254&lt;&gt;"",VLOOKUP(B254,'📦 ชื่อสินค้า'!A:F,6,false),""),)</f>
        <v/>
      </c>
      <c r="L254" s="11" t="str">
        <f t="shared" si="5"/>
        <v/>
      </c>
      <c r="M254" s="13"/>
    </row>
    <row r="255">
      <c r="A255" s="15"/>
      <c r="B255" s="6"/>
      <c r="C255" s="14" t="str">
        <f>iferror(vlookup(B255,'📦 ชื่อสินค้า'!A:C,3,false),)</f>
        <v/>
      </c>
      <c r="D255" s="11" t="str">
        <f>iferror(vlookup(B255,'📦 ชื่อสินค้า'!A:D,4,false),"")</f>
        <v/>
      </c>
      <c r="E255" s="16"/>
      <c r="F255" s="8" t="str">
        <f t="shared" si="1"/>
        <v/>
      </c>
      <c r="G255" s="9" t="str">
        <f>IF(LEN(B255)&gt;0,vlookup(B255,'📊 รายงานสินค้าคงเหลือ'!A:G,6,false)*E255,)</f>
        <v/>
      </c>
      <c r="H255" s="9" t="str">
        <f t="shared" si="2"/>
        <v/>
      </c>
      <c r="I255" s="10" t="str">
        <f t="shared" si="3"/>
        <v/>
      </c>
      <c r="J255" s="11" t="str">
        <f t="shared" si="4"/>
        <v/>
      </c>
      <c r="K255" s="11" t="str">
        <f>IFERROR(IF(A255&lt;&gt;"",VLOOKUP(B255,'📦 ชื่อสินค้า'!A:F,6,false),""),)</f>
        <v/>
      </c>
      <c r="L255" s="11" t="str">
        <f t="shared" si="5"/>
        <v/>
      </c>
      <c r="M255" s="13"/>
    </row>
    <row r="256">
      <c r="A256" s="15"/>
      <c r="B256" s="6"/>
      <c r="C256" s="14" t="str">
        <f>iferror(vlookup(B256,'📦 ชื่อสินค้า'!A:C,3,false),)</f>
        <v/>
      </c>
      <c r="D256" s="11" t="str">
        <f>iferror(vlookup(B256,'📦 ชื่อสินค้า'!A:D,4,false),"")</f>
        <v/>
      </c>
      <c r="E256" s="16"/>
      <c r="F256" s="8" t="str">
        <f t="shared" si="1"/>
        <v/>
      </c>
      <c r="G256" s="9" t="str">
        <f>IF(LEN(B256)&gt;0,vlookup(B256,'📊 รายงานสินค้าคงเหลือ'!A:G,6,false)*E256,)</f>
        <v/>
      </c>
      <c r="H256" s="9" t="str">
        <f t="shared" si="2"/>
        <v/>
      </c>
      <c r="I256" s="10" t="str">
        <f t="shared" si="3"/>
        <v/>
      </c>
      <c r="J256" s="11" t="str">
        <f t="shared" si="4"/>
        <v/>
      </c>
      <c r="K256" s="11" t="str">
        <f>IFERROR(IF(A256&lt;&gt;"",VLOOKUP(B256,'📦 ชื่อสินค้า'!A:F,6,false),""),)</f>
        <v/>
      </c>
      <c r="L256" s="11" t="str">
        <f t="shared" si="5"/>
        <v/>
      </c>
      <c r="M256" s="13"/>
    </row>
    <row r="257">
      <c r="A257" s="15"/>
      <c r="B257" s="6"/>
      <c r="C257" s="14" t="str">
        <f>iferror(vlookup(B257,'📦 ชื่อสินค้า'!A:C,3,false),)</f>
        <v/>
      </c>
      <c r="D257" s="11" t="str">
        <f>iferror(vlookup(B257,'📦 ชื่อสินค้า'!A:D,4,false),"")</f>
        <v/>
      </c>
      <c r="E257" s="16"/>
      <c r="F257" s="8" t="str">
        <f t="shared" si="1"/>
        <v/>
      </c>
      <c r="G257" s="9" t="str">
        <f>IF(LEN(B257)&gt;0,vlookup(B257,'📊 รายงานสินค้าคงเหลือ'!A:G,6,false)*E257,)</f>
        <v/>
      </c>
      <c r="H257" s="9" t="str">
        <f t="shared" si="2"/>
        <v/>
      </c>
      <c r="I257" s="10" t="str">
        <f t="shared" si="3"/>
        <v/>
      </c>
      <c r="J257" s="11" t="str">
        <f t="shared" si="4"/>
        <v/>
      </c>
      <c r="K257" s="11" t="str">
        <f>IFERROR(IF(A257&lt;&gt;"",VLOOKUP(B257,'📦 ชื่อสินค้า'!A:F,6,false),""),)</f>
        <v/>
      </c>
      <c r="L257" s="11" t="str">
        <f t="shared" si="5"/>
        <v/>
      </c>
      <c r="M257" s="13"/>
    </row>
    <row r="258">
      <c r="A258" s="15"/>
      <c r="B258" s="6"/>
      <c r="C258" s="14" t="str">
        <f>iferror(vlookup(B258,'📦 ชื่อสินค้า'!A:C,3,false),)</f>
        <v/>
      </c>
      <c r="D258" s="11" t="str">
        <f>iferror(vlookup(B258,'📦 ชื่อสินค้า'!A:D,4,false),"")</f>
        <v/>
      </c>
      <c r="E258" s="16"/>
      <c r="F258" s="8" t="str">
        <f t="shared" si="1"/>
        <v/>
      </c>
      <c r="G258" s="9" t="str">
        <f>IF(LEN(B258)&gt;0,vlookup(B258,'📊 รายงานสินค้าคงเหลือ'!A:G,6,false)*E258,)</f>
        <v/>
      </c>
      <c r="H258" s="9" t="str">
        <f t="shared" si="2"/>
        <v/>
      </c>
      <c r="I258" s="10" t="str">
        <f t="shared" si="3"/>
        <v/>
      </c>
      <c r="J258" s="11" t="str">
        <f t="shared" si="4"/>
        <v/>
      </c>
      <c r="K258" s="11" t="str">
        <f>IFERROR(IF(A258&lt;&gt;"",VLOOKUP(B258,'📦 ชื่อสินค้า'!A:F,6,false),""),)</f>
        <v/>
      </c>
      <c r="L258" s="11" t="str">
        <f t="shared" si="5"/>
        <v/>
      </c>
      <c r="M258" s="13"/>
    </row>
    <row r="259">
      <c r="A259" s="15"/>
      <c r="B259" s="6"/>
      <c r="C259" s="14" t="str">
        <f>iferror(vlookup(B259,'📦 ชื่อสินค้า'!A:C,3,false),)</f>
        <v/>
      </c>
      <c r="D259" s="11" t="str">
        <f>iferror(vlookup(B259,'📦 ชื่อสินค้า'!A:D,4,false),"")</f>
        <v/>
      </c>
      <c r="E259" s="16"/>
      <c r="F259" s="8" t="str">
        <f t="shared" si="1"/>
        <v/>
      </c>
      <c r="G259" s="9" t="str">
        <f>IF(LEN(B259)&gt;0,vlookup(B259,'📊 รายงานสินค้าคงเหลือ'!A:G,6,false)*E259,)</f>
        <v/>
      </c>
      <c r="H259" s="9" t="str">
        <f t="shared" si="2"/>
        <v/>
      </c>
      <c r="I259" s="10" t="str">
        <f t="shared" si="3"/>
        <v/>
      </c>
      <c r="J259" s="11" t="str">
        <f t="shared" si="4"/>
        <v/>
      </c>
      <c r="K259" s="11" t="str">
        <f>IFERROR(IF(A259&lt;&gt;"",VLOOKUP(B259,'📦 ชื่อสินค้า'!A:F,6,false),""),)</f>
        <v/>
      </c>
      <c r="L259" s="11" t="str">
        <f t="shared" si="5"/>
        <v/>
      </c>
      <c r="M259" s="13"/>
    </row>
    <row r="260">
      <c r="A260" s="15"/>
      <c r="B260" s="6"/>
      <c r="C260" s="14" t="str">
        <f>iferror(vlookup(B260,'📦 ชื่อสินค้า'!A:C,3,false),)</f>
        <v/>
      </c>
      <c r="D260" s="11" t="str">
        <f>iferror(vlookup(B260,'📦 ชื่อสินค้า'!A:D,4,false),"")</f>
        <v/>
      </c>
      <c r="E260" s="16"/>
      <c r="F260" s="8" t="str">
        <f t="shared" si="1"/>
        <v/>
      </c>
      <c r="G260" s="9" t="str">
        <f>IF(LEN(B260)&gt;0,vlookup(B260,'📊 รายงานสินค้าคงเหลือ'!A:G,6,false)*E260,)</f>
        <v/>
      </c>
      <c r="H260" s="9" t="str">
        <f t="shared" si="2"/>
        <v/>
      </c>
      <c r="I260" s="10" t="str">
        <f t="shared" si="3"/>
        <v/>
      </c>
      <c r="J260" s="11" t="str">
        <f t="shared" si="4"/>
        <v/>
      </c>
      <c r="K260" s="11" t="str">
        <f>IFERROR(IF(A260&lt;&gt;"",VLOOKUP(B260,'📦 ชื่อสินค้า'!A:F,6,false),""),)</f>
        <v/>
      </c>
      <c r="L260" s="11" t="str">
        <f t="shared" si="5"/>
        <v/>
      </c>
      <c r="M260" s="13"/>
    </row>
    <row r="261">
      <c r="A261" s="15"/>
      <c r="B261" s="6"/>
      <c r="C261" s="14" t="str">
        <f>iferror(vlookup(B261,'📦 ชื่อสินค้า'!A:C,3,false),)</f>
        <v/>
      </c>
      <c r="D261" s="11" t="str">
        <f>iferror(vlookup(B261,'📦 ชื่อสินค้า'!A:D,4,false),"")</f>
        <v/>
      </c>
      <c r="E261" s="16"/>
      <c r="F261" s="8" t="str">
        <f t="shared" si="1"/>
        <v/>
      </c>
      <c r="G261" s="9" t="str">
        <f>IF(LEN(B261)&gt;0,vlookup(B261,'📊 รายงานสินค้าคงเหลือ'!A:G,6,false)*E261,)</f>
        <v/>
      </c>
      <c r="H261" s="9" t="str">
        <f t="shared" si="2"/>
        <v/>
      </c>
      <c r="I261" s="10" t="str">
        <f t="shared" si="3"/>
        <v/>
      </c>
      <c r="J261" s="11" t="str">
        <f t="shared" si="4"/>
        <v/>
      </c>
      <c r="K261" s="11" t="str">
        <f>IFERROR(IF(A261&lt;&gt;"",VLOOKUP(B261,'📦 ชื่อสินค้า'!A:F,6,false),""),)</f>
        <v/>
      </c>
      <c r="L261" s="11" t="str">
        <f t="shared" si="5"/>
        <v/>
      </c>
      <c r="M261" s="13"/>
    </row>
    <row r="262">
      <c r="A262" s="15"/>
      <c r="B262" s="6"/>
      <c r="C262" s="14" t="str">
        <f>iferror(vlookup(B262,'📦 ชื่อสินค้า'!A:C,3,false),)</f>
        <v/>
      </c>
      <c r="D262" s="11" t="str">
        <f>iferror(vlookup(B262,'📦 ชื่อสินค้า'!A:D,4,false),"")</f>
        <v/>
      </c>
      <c r="E262" s="16"/>
      <c r="F262" s="8" t="str">
        <f t="shared" si="1"/>
        <v/>
      </c>
      <c r="G262" s="9" t="str">
        <f>IF(LEN(B262)&gt;0,vlookup(B262,'📊 รายงานสินค้าคงเหลือ'!A:G,6,false)*E262,)</f>
        <v/>
      </c>
      <c r="H262" s="9" t="str">
        <f t="shared" si="2"/>
        <v/>
      </c>
      <c r="I262" s="10" t="str">
        <f t="shared" si="3"/>
        <v/>
      </c>
      <c r="J262" s="11" t="str">
        <f t="shared" si="4"/>
        <v/>
      </c>
      <c r="K262" s="11" t="str">
        <f>IFERROR(IF(A262&lt;&gt;"",VLOOKUP(B262,'📦 ชื่อสินค้า'!A:F,6,false),""),)</f>
        <v/>
      </c>
      <c r="L262" s="11" t="str">
        <f t="shared" si="5"/>
        <v/>
      </c>
      <c r="M262" s="13"/>
    </row>
    <row r="263">
      <c r="A263" s="15"/>
      <c r="B263" s="6"/>
      <c r="C263" s="14" t="str">
        <f>iferror(vlookup(B263,'📦 ชื่อสินค้า'!A:C,3,false),)</f>
        <v/>
      </c>
      <c r="D263" s="11" t="str">
        <f>iferror(vlookup(B263,'📦 ชื่อสินค้า'!A:D,4,false),"")</f>
        <v/>
      </c>
      <c r="E263" s="16"/>
      <c r="F263" s="8" t="str">
        <f t="shared" si="1"/>
        <v/>
      </c>
      <c r="G263" s="9" t="str">
        <f>IF(LEN(B263)&gt;0,vlookup(B263,'📊 รายงานสินค้าคงเหลือ'!A:G,6,false)*E263,)</f>
        <v/>
      </c>
      <c r="H263" s="9" t="str">
        <f t="shared" si="2"/>
        <v/>
      </c>
      <c r="I263" s="10" t="str">
        <f t="shared" si="3"/>
        <v/>
      </c>
      <c r="J263" s="11" t="str">
        <f t="shared" si="4"/>
        <v/>
      </c>
      <c r="K263" s="11" t="str">
        <f>IFERROR(IF(A263&lt;&gt;"",VLOOKUP(B263,'📦 ชื่อสินค้า'!A:F,6,false),""),)</f>
        <v/>
      </c>
      <c r="L263" s="11" t="str">
        <f t="shared" si="5"/>
        <v/>
      </c>
      <c r="M263" s="13"/>
    </row>
    <row r="264">
      <c r="A264" s="15"/>
      <c r="B264" s="6"/>
      <c r="C264" s="14" t="str">
        <f>iferror(vlookup(B264,'📦 ชื่อสินค้า'!A:C,3,false),)</f>
        <v/>
      </c>
      <c r="D264" s="11" t="str">
        <f>iferror(vlookup(B264,'📦 ชื่อสินค้า'!A:D,4,false),"")</f>
        <v/>
      </c>
      <c r="E264" s="16"/>
      <c r="F264" s="8" t="str">
        <f t="shared" si="1"/>
        <v/>
      </c>
      <c r="G264" s="9" t="str">
        <f>IF(LEN(B264)&gt;0,vlookup(B264,'📊 รายงานสินค้าคงเหลือ'!A:G,6,false)*E264,)</f>
        <v/>
      </c>
      <c r="H264" s="9" t="str">
        <f t="shared" si="2"/>
        <v/>
      </c>
      <c r="I264" s="10" t="str">
        <f t="shared" si="3"/>
        <v/>
      </c>
      <c r="J264" s="11" t="str">
        <f t="shared" si="4"/>
        <v/>
      </c>
      <c r="K264" s="11" t="str">
        <f>IFERROR(IF(A264&lt;&gt;"",VLOOKUP(B264,'📦 ชื่อสินค้า'!A:F,6,false),""),)</f>
        <v/>
      </c>
      <c r="L264" s="11" t="str">
        <f t="shared" si="5"/>
        <v/>
      </c>
      <c r="M264" s="13"/>
    </row>
    <row r="265">
      <c r="A265" s="15"/>
      <c r="B265" s="6"/>
      <c r="C265" s="14" t="str">
        <f>iferror(vlookup(B265,'📦 ชื่อสินค้า'!A:C,3,false),)</f>
        <v/>
      </c>
      <c r="D265" s="11" t="str">
        <f>iferror(vlookup(B265,'📦 ชื่อสินค้า'!A:D,4,false),"")</f>
        <v/>
      </c>
      <c r="E265" s="16"/>
      <c r="F265" s="8" t="str">
        <f t="shared" si="1"/>
        <v/>
      </c>
      <c r="G265" s="9" t="str">
        <f>IF(LEN(B265)&gt;0,vlookup(B265,'📊 รายงานสินค้าคงเหลือ'!A:G,6,false)*E265,)</f>
        <v/>
      </c>
      <c r="H265" s="9" t="str">
        <f t="shared" si="2"/>
        <v/>
      </c>
      <c r="I265" s="10" t="str">
        <f t="shared" si="3"/>
        <v/>
      </c>
      <c r="J265" s="11" t="str">
        <f t="shared" si="4"/>
        <v/>
      </c>
      <c r="K265" s="11" t="str">
        <f>IFERROR(IF(A265&lt;&gt;"",VLOOKUP(B265,'📦 ชื่อสินค้า'!A:F,6,false),""),)</f>
        <v/>
      </c>
      <c r="L265" s="11" t="str">
        <f t="shared" si="5"/>
        <v/>
      </c>
      <c r="M265" s="13"/>
    </row>
    <row r="266">
      <c r="A266" s="15"/>
      <c r="B266" s="6"/>
      <c r="C266" s="14" t="str">
        <f>iferror(vlookup(B266,'📦 ชื่อสินค้า'!A:C,3,false),)</f>
        <v/>
      </c>
      <c r="D266" s="11" t="str">
        <f>iferror(vlookup(B266,'📦 ชื่อสินค้า'!A:D,4,false),"")</f>
        <v/>
      </c>
      <c r="E266" s="16"/>
      <c r="F266" s="8" t="str">
        <f t="shared" si="1"/>
        <v/>
      </c>
      <c r="G266" s="9" t="str">
        <f>IF(LEN(B266)&gt;0,vlookup(B266,'📊 รายงานสินค้าคงเหลือ'!A:G,6,false)*E266,)</f>
        <v/>
      </c>
      <c r="H266" s="9" t="str">
        <f t="shared" si="2"/>
        <v/>
      </c>
      <c r="I266" s="10" t="str">
        <f t="shared" si="3"/>
        <v/>
      </c>
      <c r="J266" s="11" t="str">
        <f t="shared" si="4"/>
        <v/>
      </c>
      <c r="K266" s="11" t="str">
        <f>IFERROR(IF(A266&lt;&gt;"",VLOOKUP(B266,'📦 ชื่อสินค้า'!A:F,6,false),""),)</f>
        <v/>
      </c>
      <c r="L266" s="11" t="str">
        <f t="shared" si="5"/>
        <v/>
      </c>
      <c r="M266" s="13"/>
    </row>
    <row r="267">
      <c r="A267" s="15"/>
      <c r="B267" s="6"/>
      <c r="C267" s="14" t="str">
        <f>iferror(vlookup(B267,'📦 ชื่อสินค้า'!A:C,3,false),)</f>
        <v/>
      </c>
      <c r="D267" s="11" t="str">
        <f>iferror(vlookup(B267,'📦 ชื่อสินค้า'!A:D,4,false),"")</f>
        <v/>
      </c>
      <c r="E267" s="16"/>
      <c r="F267" s="8" t="str">
        <f t="shared" si="1"/>
        <v/>
      </c>
      <c r="G267" s="9" t="str">
        <f>IF(LEN(B267)&gt;0,vlookup(B267,'📊 รายงานสินค้าคงเหลือ'!A:G,6,false)*E267,)</f>
        <v/>
      </c>
      <c r="H267" s="9" t="str">
        <f t="shared" si="2"/>
        <v/>
      </c>
      <c r="I267" s="10" t="str">
        <f t="shared" si="3"/>
        <v/>
      </c>
      <c r="J267" s="11" t="str">
        <f t="shared" si="4"/>
        <v/>
      </c>
      <c r="K267" s="11" t="str">
        <f>IFERROR(IF(A267&lt;&gt;"",VLOOKUP(B267,'📦 ชื่อสินค้า'!A:F,6,false),""),)</f>
        <v/>
      </c>
      <c r="L267" s="11" t="str">
        <f t="shared" si="5"/>
        <v/>
      </c>
      <c r="M267" s="13"/>
    </row>
    <row r="268">
      <c r="A268" s="15"/>
      <c r="B268" s="6"/>
      <c r="C268" s="14" t="str">
        <f>iferror(vlookup(B268,'📦 ชื่อสินค้า'!A:C,3,false),)</f>
        <v/>
      </c>
      <c r="D268" s="11" t="str">
        <f>iferror(vlookup(B268,'📦 ชื่อสินค้า'!A:D,4,false),"")</f>
        <v/>
      </c>
      <c r="E268" s="16"/>
      <c r="F268" s="8" t="str">
        <f t="shared" si="1"/>
        <v/>
      </c>
      <c r="G268" s="9" t="str">
        <f>IF(LEN(B268)&gt;0,vlookup(B268,'📊 รายงานสินค้าคงเหลือ'!A:G,6,false)*E268,)</f>
        <v/>
      </c>
      <c r="H268" s="9" t="str">
        <f t="shared" si="2"/>
        <v/>
      </c>
      <c r="I268" s="10" t="str">
        <f t="shared" si="3"/>
        <v/>
      </c>
      <c r="J268" s="11" t="str">
        <f t="shared" si="4"/>
        <v/>
      </c>
      <c r="K268" s="11" t="str">
        <f>IFERROR(IF(A268&lt;&gt;"",VLOOKUP(B268,'📦 ชื่อสินค้า'!A:F,6,false),""),)</f>
        <v/>
      </c>
      <c r="L268" s="11" t="str">
        <f t="shared" si="5"/>
        <v/>
      </c>
      <c r="M268" s="13"/>
    </row>
    <row r="269">
      <c r="A269" s="15"/>
      <c r="B269" s="6"/>
      <c r="C269" s="14" t="str">
        <f>iferror(vlookup(B269,'📦 ชื่อสินค้า'!A:C,3,false),)</f>
        <v/>
      </c>
      <c r="D269" s="11" t="str">
        <f>iferror(vlookup(B269,'📦 ชื่อสินค้า'!A:D,4,false),"")</f>
        <v/>
      </c>
      <c r="E269" s="16"/>
      <c r="F269" s="8" t="str">
        <f t="shared" si="1"/>
        <v/>
      </c>
      <c r="G269" s="9" t="str">
        <f>IF(LEN(B269)&gt;0,vlookup(B269,'📊 รายงานสินค้าคงเหลือ'!A:G,6,false)*E269,)</f>
        <v/>
      </c>
      <c r="H269" s="9" t="str">
        <f t="shared" si="2"/>
        <v/>
      </c>
      <c r="I269" s="10" t="str">
        <f t="shared" si="3"/>
        <v/>
      </c>
      <c r="J269" s="11" t="str">
        <f t="shared" si="4"/>
        <v/>
      </c>
      <c r="K269" s="11" t="str">
        <f>IFERROR(IF(A269&lt;&gt;"",VLOOKUP(B269,'📦 ชื่อสินค้า'!A:F,6,false),""),)</f>
        <v/>
      </c>
      <c r="L269" s="11" t="str">
        <f t="shared" si="5"/>
        <v/>
      </c>
      <c r="M269" s="13"/>
    </row>
    <row r="270">
      <c r="A270" s="15"/>
      <c r="B270" s="6"/>
      <c r="C270" s="14" t="str">
        <f>iferror(vlookup(B270,'📦 ชื่อสินค้า'!A:C,3,false),)</f>
        <v/>
      </c>
      <c r="D270" s="11" t="str">
        <f>iferror(vlookup(B270,'📦 ชื่อสินค้า'!A:D,4,false),"")</f>
        <v/>
      </c>
      <c r="E270" s="16"/>
      <c r="F270" s="8" t="str">
        <f t="shared" si="1"/>
        <v/>
      </c>
      <c r="G270" s="9" t="str">
        <f>IF(LEN(B270)&gt;0,vlookup(B270,'📊 รายงานสินค้าคงเหลือ'!A:G,6,false)*E270,)</f>
        <v/>
      </c>
      <c r="H270" s="9" t="str">
        <f t="shared" si="2"/>
        <v/>
      </c>
      <c r="I270" s="10" t="str">
        <f t="shared" si="3"/>
        <v/>
      </c>
      <c r="J270" s="11" t="str">
        <f t="shared" si="4"/>
        <v/>
      </c>
      <c r="K270" s="11" t="str">
        <f>IFERROR(IF(A270&lt;&gt;"",VLOOKUP(B270,'📦 ชื่อสินค้า'!A:F,6,false),""),)</f>
        <v/>
      </c>
      <c r="L270" s="11" t="str">
        <f t="shared" si="5"/>
        <v/>
      </c>
      <c r="M270" s="13"/>
    </row>
    <row r="271">
      <c r="A271" s="15"/>
      <c r="B271" s="6"/>
      <c r="C271" s="14" t="str">
        <f>iferror(vlookup(B271,'📦 ชื่อสินค้า'!A:C,3,false),)</f>
        <v/>
      </c>
      <c r="D271" s="11" t="str">
        <f>iferror(vlookup(B271,'📦 ชื่อสินค้า'!A:D,4,false),"")</f>
        <v/>
      </c>
      <c r="E271" s="16"/>
      <c r="F271" s="8" t="str">
        <f t="shared" si="1"/>
        <v/>
      </c>
      <c r="G271" s="9" t="str">
        <f>IF(LEN(B271)&gt;0,vlookup(B271,'📊 รายงานสินค้าคงเหลือ'!A:G,6,false)*E271,)</f>
        <v/>
      </c>
      <c r="H271" s="9" t="str">
        <f t="shared" si="2"/>
        <v/>
      </c>
      <c r="I271" s="10" t="str">
        <f t="shared" si="3"/>
        <v/>
      </c>
      <c r="J271" s="11" t="str">
        <f t="shared" si="4"/>
        <v/>
      </c>
      <c r="K271" s="11" t="str">
        <f>IFERROR(IF(A271&lt;&gt;"",VLOOKUP(B271,'📦 ชื่อสินค้า'!A:F,6,false),""),)</f>
        <v/>
      </c>
      <c r="L271" s="11" t="str">
        <f t="shared" si="5"/>
        <v/>
      </c>
      <c r="M271" s="13"/>
    </row>
    <row r="272">
      <c r="A272" s="15"/>
      <c r="B272" s="6"/>
      <c r="C272" s="14" t="str">
        <f>iferror(vlookup(B272,'📦 ชื่อสินค้า'!A:C,3,false),)</f>
        <v/>
      </c>
      <c r="D272" s="11" t="str">
        <f>iferror(vlookup(B272,'📦 ชื่อสินค้า'!A:D,4,false),"")</f>
        <v/>
      </c>
      <c r="E272" s="16"/>
      <c r="F272" s="8" t="str">
        <f t="shared" si="1"/>
        <v/>
      </c>
      <c r="G272" s="9" t="str">
        <f>IF(LEN(B272)&gt;0,vlookup(B272,'📊 รายงานสินค้าคงเหลือ'!A:G,6,false)*E272,)</f>
        <v/>
      </c>
      <c r="H272" s="9" t="str">
        <f t="shared" si="2"/>
        <v/>
      </c>
      <c r="I272" s="10" t="str">
        <f t="shared" si="3"/>
        <v/>
      </c>
      <c r="J272" s="11" t="str">
        <f t="shared" si="4"/>
        <v/>
      </c>
      <c r="K272" s="11" t="str">
        <f>IFERROR(IF(A272&lt;&gt;"",VLOOKUP(B272,'📦 ชื่อสินค้า'!A:F,6,false),""),)</f>
        <v/>
      </c>
      <c r="L272" s="11" t="str">
        <f t="shared" si="5"/>
        <v/>
      </c>
      <c r="M272" s="13"/>
    </row>
    <row r="273">
      <c r="A273" s="15"/>
      <c r="B273" s="6"/>
      <c r="C273" s="14" t="str">
        <f>iferror(vlookup(B273,'📦 ชื่อสินค้า'!A:C,3,false),)</f>
        <v/>
      </c>
      <c r="D273" s="11" t="str">
        <f>iferror(vlookup(B273,'📦 ชื่อสินค้า'!A:D,4,false),"")</f>
        <v/>
      </c>
      <c r="E273" s="16"/>
      <c r="F273" s="8" t="str">
        <f t="shared" si="1"/>
        <v/>
      </c>
      <c r="G273" s="9" t="str">
        <f>IF(LEN(B273)&gt;0,vlookup(B273,'📊 รายงานสินค้าคงเหลือ'!A:G,6,false)*E273,)</f>
        <v/>
      </c>
      <c r="H273" s="9" t="str">
        <f t="shared" si="2"/>
        <v/>
      </c>
      <c r="I273" s="10" t="str">
        <f t="shared" si="3"/>
        <v/>
      </c>
      <c r="J273" s="11" t="str">
        <f t="shared" si="4"/>
        <v/>
      </c>
      <c r="K273" s="11" t="str">
        <f>IFERROR(IF(A273&lt;&gt;"",VLOOKUP(B273,'📦 ชื่อสินค้า'!A:F,6,false),""),)</f>
        <v/>
      </c>
      <c r="L273" s="11" t="str">
        <f t="shared" si="5"/>
        <v/>
      </c>
      <c r="M273" s="13"/>
    </row>
    <row r="274">
      <c r="A274" s="15"/>
      <c r="B274" s="6"/>
      <c r="C274" s="14" t="str">
        <f>iferror(vlookup(B274,'📦 ชื่อสินค้า'!A:C,3,false),)</f>
        <v/>
      </c>
      <c r="D274" s="11" t="str">
        <f>iferror(vlookup(B274,'📦 ชื่อสินค้า'!A:D,4,false),"")</f>
        <v/>
      </c>
      <c r="E274" s="16"/>
      <c r="F274" s="8" t="str">
        <f t="shared" si="1"/>
        <v/>
      </c>
      <c r="G274" s="9" t="str">
        <f>IF(LEN(B274)&gt;0,vlookup(B274,'📊 รายงานสินค้าคงเหลือ'!A:G,6,false)*E274,)</f>
        <v/>
      </c>
      <c r="H274" s="9" t="str">
        <f t="shared" si="2"/>
        <v/>
      </c>
      <c r="I274" s="10" t="str">
        <f t="shared" si="3"/>
        <v/>
      </c>
      <c r="J274" s="11" t="str">
        <f t="shared" si="4"/>
        <v/>
      </c>
      <c r="K274" s="11" t="str">
        <f>IFERROR(IF(A274&lt;&gt;"",VLOOKUP(B274,'📦 ชื่อสินค้า'!A:F,6,false),""),)</f>
        <v/>
      </c>
      <c r="L274" s="11" t="str">
        <f t="shared" si="5"/>
        <v/>
      </c>
      <c r="M274" s="13"/>
    </row>
    <row r="275">
      <c r="A275" s="15"/>
      <c r="B275" s="6"/>
      <c r="C275" s="14" t="str">
        <f>iferror(vlookup(B275,'📦 ชื่อสินค้า'!A:C,3,false),)</f>
        <v/>
      </c>
      <c r="D275" s="11" t="str">
        <f>iferror(vlookup(B275,'📦 ชื่อสินค้า'!A:D,4,false),"")</f>
        <v/>
      </c>
      <c r="E275" s="16"/>
      <c r="F275" s="8" t="str">
        <f t="shared" si="1"/>
        <v/>
      </c>
      <c r="G275" s="9" t="str">
        <f>IF(LEN(B275)&gt;0,vlookup(B275,'📊 รายงานสินค้าคงเหลือ'!A:G,6,false)*E275,)</f>
        <v/>
      </c>
      <c r="H275" s="9" t="str">
        <f t="shared" si="2"/>
        <v/>
      </c>
      <c r="I275" s="10" t="str">
        <f t="shared" si="3"/>
        <v/>
      </c>
      <c r="J275" s="11" t="str">
        <f t="shared" si="4"/>
        <v/>
      </c>
      <c r="K275" s="11" t="str">
        <f>IFERROR(IF(A275&lt;&gt;"",VLOOKUP(B275,'📦 ชื่อสินค้า'!A:F,6,false),""),)</f>
        <v/>
      </c>
      <c r="L275" s="11" t="str">
        <f t="shared" si="5"/>
        <v/>
      </c>
      <c r="M275" s="13"/>
    </row>
    <row r="276">
      <c r="A276" s="15"/>
      <c r="B276" s="6"/>
      <c r="C276" s="14" t="str">
        <f>iferror(vlookup(B276,'📦 ชื่อสินค้า'!A:C,3,false),)</f>
        <v/>
      </c>
      <c r="D276" s="11" t="str">
        <f>iferror(vlookup(B276,'📦 ชื่อสินค้า'!A:D,4,false),"")</f>
        <v/>
      </c>
      <c r="E276" s="16"/>
      <c r="F276" s="8" t="str">
        <f t="shared" si="1"/>
        <v/>
      </c>
      <c r="G276" s="9" t="str">
        <f>IF(LEN(B276)&gt;0,vlookup(B276,'📊 รายงานสินค้าคงเหลือ'!A:G,6,false)*E276,)</f>
        <v/>
      </c>
      <c r="H276" s="9" t="str">
        <f t="shared" si="2"/>
        <v/>
      </c>
      <c r="I276" s="10" t="str">
        <f t="shared" si="3"/>
        <v/>
      </c>
      <c r="J276" s="11" t="str">
        <f t="shared" si="4"/>
        <v/>
      </c>
      <c r="K276" s="11" t="str">
        <f>IFERROR(IF(A276&lt;&gt;"",VLOOKUP(B276,'📦 ชื่อสินค้า'!A:F,6,false),""),)</f>
        <v/>
      </c>
      <c r="L276" s="11" t="str">
        <f t="shared" si="5"/>
        <v/>
      </c>
      <c r="M276" s="13"/>
    </row>
    <row r="277">
      <c r="A277" s="15"/>
      <c r="B277" s="6"/>
      <c r="C277" s="14" t="str">
        <f>iferror(vlookup(B277,'📦 ชื่อสินค้า'!A:C,3,false),)</f>
        <v/>
      </c>
      <c r="D277" s="11" t="str">
        <f>iferror(vlookup(B277,'📦 ชื่อสินค้า'!A:D,4,false),"")</f>
        <v/>
      </c>
      <c r="E277" s="16"/>
      <c r="F277" s="8" t="str">
        <f t="shared" si="1"/>
        <v/>
      </c>
      <c r="G277" s="9" t="str">
        <f>IF(LEN(B277)&gt;0,vlookup(B277,'📊 รายงานสินค้าคงเหลือ'!A:G,6,false)*E277,)</f>
        <v/>
      </c>
      <c r="H277" s="9" t="str">
        <f t="shared" si="2"/>
        <v/>
      </c>
      <c r="I277" s="10" t="str">
        <f t="shared" si="3"/>
        <v/>
      </c>
      <c r="J277" s="11" t="str">
        <f t="shared" si="4"/>
        <v/>
      </c>
      <c r="K277" s="11" t="str">
        <f>IFERROR(IF(A277&lt;&gt;"",VLOOKUP(B277,'📦 ชื่อสินค้า'!A:F,6,false),""),)</f>
        <v/>
      </c>
      <c r="L277" s="11" t="str">
        <f t="shared" si="5"/>
        <v/>
      </c>
      <c r="M277" s="13"/>
    </row>
    <row r="278">
      <c r="A278" s="15"/>
      <c r="B278" s="6"/>
      <c r="C278" s="14" t="str">
        <f>iferror(vlookup(B278,'📦 ชื่อสินค้า'!A:C,3,false),)</f>
        <v/>
      </c>
      <c r="D278" s="11" t="str">
        <f>iferror(vlookup(B278,'📦 ชื่อสินค้า'!A:D,4,false),"")</f>
        <v/>
      </c>
      <c r="E278" s="16"/>
      <c r="F278" s="8" t="str">
        <f t="shared" si="1"/>
        <v/>
      </c>
      <c r="G278" s="9" t="str">
        <f>IF(LEN(B278)&gt;0,vlookup(B278,'📊 รายงานสินค้าคงเหลือ'!A:G,6,false)*E278,)</f>
        <v/>
      </c>
      <c r="H278" s="9" t="str">
        <f t="shared" si="2"/>
        <v/>
      </c>
      <c r="I278" s="10" t="str">
        <f t="shared" si="3"/>
        <v/>
      </c>
      <c r="J278" s="11" t="str">
        <f t="shared" si="4"/>
        <v/>
      </c>
      <c r="K278" s="11" t="str">
        <f>IFERROR(IF(A278&lt;&gt;"",VLOOKUP(B278,'📦 ชื่อสินค้า'!A:F,6,false),""),)</f>
        <v/>
      </c>
      <c r="L278" s="11" t="str">
        <f t="shared" si="5"/>
        <v/>
      </c>
      <c r="M278" s="13"/>
    </row>
    <row r="279">
      <c r="A279" s="15"/>
      <c r="B279" s="6"/>
      <c r="C279" s="14" t="str">
        <f>iferror(vlookup(B279,'📦 ชื่อสินค้า'!A:C,3,false),)</f>
        <v/>
      </c>
      <c r="D279" s="11" t="str">
        <f>iferror(vlookup(B279,'📦 ชื่อสินค้า'!A:D,4,false),"")</f>
        <v/>
      </c>
      <c r="E279" s="16"/>
      <c r="F279" s="8" t="str">
        <f t="shared" si="1"/>
        <v/>
      </c>
      <c r="G279" s="9" t="str">
        <f>IF(LEN(B279)&gt;0,vlookup(B279,'📊 รายงานสินค้าคงเหลือ'!A:G,6,false)*E279,)</f>
        <v/>
      </c>
      <c r="H279" s="9" t="str">
        <f t="shared" si="2"/>
        <v/>
      </c>
      <c r="I279" s="10" t="str">
        <f t="shared" si="3"/>
        <v/>
      </c>
      <c r="J279" s="11" t="str">
        <f t="shared" si="4"/>
        <v/>
      </c>
      <c r="K279" s="11" t="str">
        <f>IFERROR(IF(A279&lt;&gt;"",VLOOKUP(B279,'📦 ชื่อสินค้า'!A:F,6,false),""),)</f>
        <v/>
      </c>
      <c r="L279" s="11" t="str">
        <f t="shared" si="5"/>
        <v/>
      </c>
      <c r="M279" s="13"/>
    </row>
    <row r="280">
      <c r="A280" s="15"/>
      <c r="B280" s="6"/>
      <c r="C280" s="14" t="str">
        <f>iferror(vlookup(B280,'📦 ชื่อสินค้า'!A:C,3,false),)</f>
        <v/>
      </c>
      <c r="D280" s="11" t="str">
        <f>iferror(vlookup(B280,'📦 ชื่อสินค้า'!A:D,4,false),"")</f>
        <v/>
      </c>
      <c r="E280" s="16"/>
      <c r="F280" s="8" t="str">
        <f t="shared" si="1"/>
        <v/>
      </c>
      <c r="G280" s="9" t="str">
        <f>IF(LEN(B280)&gt;0,vlookup(B280,'📊 รายงานสินค้าคงเหลือ'!A:G,6,false)*E280,)</f>
        <v/>
      </c>
      <c r="H280" s="9" t="str">
        <f t="shared" si="2"/>
        <v/>
      </c>
      <c r="I280" s="10" t="str">
        <f t="shared" si="3"/>
        <v/>
      </c>
      <c r="J280" s="11" t="str">
        <f t="shared" si="4"/>
        <v/>
      </c>
      <c r="K280" s="11" t="str">
        <f>IFERROR(IF(A280&lt;&gt;"",VLOOKUP(B280,'📦 ชื่อสินค้า'!A:F,6,false),""),)</f>
        <v/>
      </c>
      <c r="L280" s="11" t="str">
        <f t="shared" si="5"/>
        <v/>
      </c>
      <c r="M280" s="13"/>
    </row>
    <row r="281">
      <c r="A281" s="15"/>
      <c r="B281" s="6"/>
      <c r="C281" s="14" t="str">
        <f>iferror(vlookup(B281,'📦 ชื่อสินค้า'!A:C,3,false),)</f>
        <v/>
      </c>
      <c r="D281" s="11" t="str">
        <f>iferror(vlookup(B281,'📦 ชื่อสินค้า'!A:D,4,false),"")</f>
        <v/>
      </c>
      <c r="E281" s="16"/>
      <c r="F281" s="8" t="str">
        <f t="shared" si="1"/>
        <v/>
      </c>
      <c r="G281" s="9" t="str">
        <f>IF(LEN(B281)&gt;0,vlookup(B281,'📊 รายงานสินค้าคงเหลือ'!A:G,6,false)*E281,)</f>
        <v/>
      </c>
      <c r="H281" s="9" t="str">
        <f t="shared" si="2"/>
        <v/>
      </c>
      <c r="I281" s="10" t="str">
        <f t="shared" si="3"/>
        <v/>
      </c>
      <c r="J281" s="11" t="str">
        <f t="shared" si="4"/>
        <v/>
      </c>
      <c r="K281" s="11" t="str">
        <f>IFERROR(IF(A281&lt;&gt;"",VLOOKUP(B281,'📦 ชื่อสินค้า'!A:F,6,false),""),)</f>
        <v/>
      </c>
      <c r="L281" s="11" t="str">
        <f t="shared" si="5"/>
        <v/>
      </c>
      <c r="M281" s="13"/>
    </row>
    <row r="282">
      <c r="A282" s="15"/>
      <c r="B282" s="6"/>
      <c r="C282" s="14" t="str">
        <f>iferror(vlookup(B282,'📦 ชื่อสินค้า'!A:C,3,false),)</f>
        <v/>
      </c>
      <c r="D282" s="11" t="str">
        <f>iferror(vlookup(B282,'📦 ชื่อสินค้า'!A:D,4,false),"")</f>
        <v/>
      </c>
      <c r="E282" s="16"/>
      <c r="F282" s="8" t="str">
        <f t="shared" si="1"/>
        <v/>
      </c>
      <c r="G282" s="9" t="str">
        <f>IF(LEN(B282)&gt;0,vlookup(B282,'📊 รายงานสินค้าคงเหลือ'!A:G,6,false)*E282,)</f>
        <v/>
      </c>
      <c r="H282" s="9" t="str">
        <f t="shared" si="2"/>
        <v/>
      </c>
      <c r="I282" s="10" t="str">
        <f t="shared" si="3"/>
        <v/>
      </c>
      <c r="J282" s="11" t="str">
        <f t="shared" si="4"/>
        <v/>
      </c>
      <c r="K282" s="11" t="str">
        <f>IFERROR(IF(A282&lt;&gt;"",VLOOKUP(B282,'📦 ชื่อสินค้า'!A:F,6,false),""),)</f>
        <v/>
      </c>
      <c r="L282" s="11" t="str">
        <f t="shared" si="5"/>
        <v/>
      </c>
      <c r="M282" s="13"/>
    </row>
    <row r="283">
      <c r="A283" s="15"/>
      <c r="B283" s="6"/>
      <c r="C283" s="14" t="str">
        <f>iferror(vlookup(B283,'📦 ชื่อสินค้า'!A:C,3,false),)</f>
        <v/>
      </c>
      <c r="D283" s="11" t="str">
        <f>iferror(vlookup(B283,'📦 ชื่อสินค้า'!A:D,4,false),"")</f>
        <v/>
      </c>
      <c r="E283" s="16"/>
      <c r="F283" s="8" t="str">
        <f t="shared" si="1"/>
        <v/>
      </c>
      <c r="G283" s="9" t="str">
        <f>IF(LEN(B283)&gt;0,vlookup(B283,'📊 รายงานสินค้าคงเหลือ'!A:G,6,false)*E283,)</f>
        <v/>
      </c>
      <c r="H283" s="9" t="str">
        <f t="shared" si="2"/>
        <v/>
      </c>
      <c r="I283" s="10" t="str">
        <f t="shared" si="3"/>
        <v/>
      </c>
      <c r="J283" s="11" t="str">
        <f t="shared" si="4"/>
        <v/>
      </c>
      <c r="K283" s="11" t="str">
        <f>IFERROR(IF(A283&lt;&gt;"",VLOOKUP(B283,'📦 ชื่อสินค้า'!A:F,6,false),""),)</f>
        <v/>
      </c>
      <c r="L283" s="11" t="str">
        <f t="shared" si="5"/>
        <v/>
      </c>
      <c r="M283" s="13"/>
    </row>
    <row r="284">
      <c r="A284" s="15"/>
      <c r="B284" s="6"/>
      <c r="C284" s="14" t="str">
        <f>iferror(vlookup(B284,'📦 ชื่อสินค้า'!A:C,3,false),)</f>
        <v/>
      </c>
      <c r="D284" s="11" t="str">
        <f>iferror(vlookup(B284,'📦 ชื่อสินค้า'!A:D,4,false),"")</f>
        <v/>
      </c>
      <c r="E284" s="16"/>
      <c r="F284" s="8" t="str">
        <f t="shared" si="1"/>
        <v/>
      </c>
      <c r="G284" s="9" t="str">
        <f>IF(LEN(B284)&gt;0,vlookup(B284,'📊 รายงานสินค้าคงเหลือ'!A:G,6,false)*E284,)</f>
        <v/>
      </c>
      <c r="H284" s="9" t="str">
        <f t="shared" si="2"/>
        <v/>
      </c>
      <c r="I284" s="10" t="str">
        <f t="shared" si="3"/>
        <v/>
      </c>
      <c r="J284" s="11" t="str">
        <f t="shared" si="4"/>
        <v/>
      </c>
      <c r="K284" s="11" t="str">
        <f>IFERROR(IF(A284&lt;&gt;"",VLOOKUP(B284,'📦 ชื่อสินค้า'!A:F,6,false),""),)</f>
        <v/>
      </c>
      <c r="L284" s="11" t="str">
        <f t="shared" si="5"/>
        <v/>
      </c>
      <c r="M284" s="13"/>
    </row>
    <row r="285">
      <c r="A285" s="15"/>
      <c r="B285" s="6"/>
      <c r="C285" s="14" t="str">
        <f>iferror(vlookup(B285,'📦 ชื่อสินค้า'!A:C,3,false),)</f>
        <v/>
      </c>
      <c r="D285" s="11" t="str">
        <f>iferror(vlookup(B285,'📦 ชื่อสินค้า'!A:D,4,false),"")</f>
        <v/>
      </c>
      <c r="E285" s="16"/>
      <c r="F285" s="8" t="str">
        <f t="shared" si="1"/>
        <v/>
      </c>
      <c r="G285" s="9" t="str">
        <f>IF(LEN(B285)&gt;0,vlookup(B285,'📊 รายงานสินค้าคงเหลือ'!A:G,6,false)*E285,)</f>
        <v/>
      </c>
      <c r="H285" s="9" t="str">
        <f t="shared" si="2"/>
        <v/>
      </c>
      <c r="I285" s="10" t="str">
        <f t="shared" si="3"/>
        <v/>
      </c>
      <c r="J285" s="11" t="str">
        <f t="shared" si="4"/>
        <v/>
      </c>
      <c r="K285" s="11" t="str">
        <f>IFERROR(IF(A285&lt;&gt;"",VLOOKUP(B285,'📦 ชื่อสินค้า'!A:F,6,false),""),)</f>
        <v/>
      </c>
      <c r="L285" s="11" t="str">
        <f t="shared" si="5"/>
        <v/>
      </c>
      <c r="M285" s="13"/>
    </row>
    <row r="286">
      <c r="A286" s="15"/>
      <c r="B286" s="6"/>
      <c r="C286" s="14" t="str">
        <f>iferror(vlookup(B286,'📦 ชื่อสินค้า'!A:C,3,false),)</f>
        <v/>
      </c>
      <c r="D286" s="11" t="str">
        <f>iferror(vlookup(B286,'📦 ชื่อสินค้า'!A:D,4,false),"")</f>
        <v/>
      </c>
      <c r="E286" s="16"/>
      <c r="F286" s="8" t="str">
        <f t="shared" si="1"/>
        <v/>
      </c>
      <c r="G286" s="9" t="str">
        <f>IF(LEN(B286)&gt;0,vlookup(B286,'📊 รายงานสินค้าคงเหลือ'!A:G,6,false)*E286,)</f>
        <v/>
      </c>
      <c r="H286" s="9" t="str">
        <f t="shared" si="2"/>
        <v/>
      </c>
      <c r="I286" s="10" t="str">
        <f t="shared" si="3"/>
        <v/>
      </c>
      <c r="J286" s="11" t="str">
        <f t="shared" si="4"/>
        <v/>
      </c>
      <c r="K286" s="11" t="str">
        <f>IFERROR(IF(A286&lt;&gt;"",VLOOKUP(B286,'📦 ชื่อสินค้า'!A:F,6,false),""),)</f>
        <v/>
      </c>
      <c r="L286" s="11" t="str">
        <f t="shared" si="5"/>
        <v/>
      </c>
      <c r="M286" s="13"/>
    </row>
    <row r="287">
      <c r="A287" s="15"/>
      <c r="B287" s="6"/>
      <c r="C287" s="14" t="str">
        <f>iferror(vlookup(B287,'📦 ชื่อสินค้า'!A:C,3,false),)</f>
        <v/>
      </c>
      <c r="D287" s="11" t="str">
        <f>iferror(vlookup(B287,'📦 ชื่อสินค้า'!A:D,4,false),"")</f>
        <v/>
      </c>
      <c r="E287" s="16"/>
      <c r="F287" s="8" t="str">
        <f t="shared" si="1"/>
        <v/>
      </c>
      <c r="G287" s="9" t="str">
        <f>IF(LEN(B287)&gt;0,vlookup(B287,'📊 รายงานสินค้าคงเหลือ'!A:G,6,false)*E287,)</f>
        <v/>
      </c>
      <c r="H287" s="9" t="str">
        <f t="shared" si="2"/>
        <v/>
      </c>
      <c r="I287" s="10" t="str">
        <f t="shared" si="3"/>
        <v/>
      </c>
      <c r="J287" s="11" t="str">
        <f t="shared" si="4"/>
        <v/>
      </c>
      <c r="K287" s="11" t="str">
        <f>IFERROR(IF(A287&lt;&gt;"",VLOOKUP(B287,'📦 ชื่อสินค้า'!A:F,6,false),""),)</f>
        <v/>
      </c>
      <c r="L287" s="11" t="str">
        <f t="shared" si="5"/>
        <v/>
      </c>
      <c r="M287" s="13"/>
    </row>
    <row r="288">
      <c r="A288" s="15"/>
      <c r="B288" s="6"/>
      <c r="C288" s="14" t="str">
        <f>iferror(vlookup(B288,'📦 ชื่อสินค้า'!A:C,3,false),)</f>
        <v/>
      </c>
      <c r="D288" s="11" t="str">
        <f>iferror(vlookup(B288,'📦 ชื่อสินค้า'!A:D,4,false),"")</f>
        <v/>
      </c>
      <c r="E288" s="16"/>
      <c r="F288" s="8" t="str">
        <f t="shared" si="1"/>
        <v/>
      </c>
      <c r="G288" s="9" t="str">
        <f>IF(LEN(B288)&gt;0,vlookup(B288,'📊 รายงานสินค้าคงเหลือ'!A:G,6,false)*E288,)</f>
        <v/>
      </c>
      <c r="H288" s="9" t="str">
        <f t="shared" si="2"/>
        <v/>
      </c>
      <c r="I288" s="10" t="str">
        <f t="shared" si="3"/>
        <v/>
      </c>
      <c r="J288" s="11" t="str">
        <f t="shared" si="4"/>
        <v/>
      </c>
      <c r="K288" s="11" t="str">
        <f>IFERROR(IF(A288&lt;&gt;"",VLOOKUP(B288,'📦 ชื่อสินค้า'!A:F,6,false),""),)</f>
        <v/>
      </c>
      <c r="L288" s="11" t="str">
        <f t="shared" si="5"/>
        <v/>
      </c>
      <c r="M288" s="13"/>
    </row>
    <row r="289">
      <c r="A289" s="15"/>
      <c r="B289" s="6"/>
      <c r="C289" s="14" t="str">
        <f>iferror(vlookup(B289,'📦 ชื่อสินค้า'!A:C,3,false),)</f>
        <v/>
      </c>
      <c r="D289" s="11" t="str">
        <f>iferror(vlookup(B289,'📦 ชื่อสินค้า'!A:D,4,false),"")</f>
        <v/>
      </c>
      <c r="E289" s="16"/>
      <c r="F289" s="8" t="str">
        <f t="shared" si="1"/>
        <v/>
      </c>
      <c r="G289" s="9" t="str">
        <f>IF(LEN(B289)&gt;0,vlookup(B289,'📊 รายงานสินค้าคงเหลือ'!A:G,6,false)*E289,)</f>
        <v/>
      </c>
      <c r="H289" s="9" t="str">
        <f t="shared" si="2"/>
        <v/>
      </c>
      <c r="I289" s="10" t="str">
        <f t="shared" si="3"/>
        <v/>
      </c>
      <c r="J289" s="11" t="str">
        <f t="shared" si="4"/>
        <v/>
      </c>
      <c r="K289" s="11" t="str">
        <f>IFERROR(IF(A289&lt;&gt;"",VLOOKUP(B289,'📦 ชื่อสินค้า'!A:F,6,false),""),)</f>
        <v/>
      </c>
      <c r="L289" s="11" t="str">
        <f t="shared" si="5"/>
        <v/>
      </c>
      <c r="M289" s="13"/>
    </row>
    <row r="290">
      <c r="A290" s="15"/>
      <c r="B290" s="6"/>
      <c r="C290" s="14" t="str">
        <f>iferror(vlookup(B290,'📦 ชื่อสินค้า'!A:C,3,false),)</f>
        <v/>
      </c>
      <c r="D290" s="11" t="str">
        <f>iferror(vlookup(B290,'📦 ชื่อสินค้า'!A:D,4,false),"")</f>
        <v/>
      </c>
      <c r="E290" s="16"/>
      <c r="F290" s="8" t="str">
        <f t="shared" si="1"/>
        <v/>
      </c>
      <c r="G290" s="9" t="str">
        <f>IF(LEN(B290)&gt;0,vlookup(B290,'📊 รายงานสินค้าคงเหลือ'!A:G,6,false)*E290,)</f>
        <v/>
      </c>
      <c r="H290" s="9" t="str">
        <f t="shared" si="2"/>
        <v/>
      </c>
      <c r="I290" s="10" t="str">
        <f t="shared" si="3"/>
        <v/>
      </c>
      <c r="J290" s="11" t="str">
        <f t="shared" si="4"/>
        <v/>
      </c>
      <c r="K290" s="11" t="str">
        <f>IFERROR(IF(A290&lt;&gt;"",VLOOKUP(B290,'📦 ชื่อสินค้า'!A:F,6,false),""),)</f>
        <v/>
      </c>
      <c r="L290" s="11" t="str">
        <f t="shared" si="5"/>
        <v/>
      </c>
      <c r="M290" s="13"/>
    </row>
    <row r="291">
      <c r="A291" s="15"/>
      <c r="B291" s="6"/>
      <c r="C291" s="14" t="str">
        <f>iferror(vlookup(B291,'📦 ชื่อสินค้า'!A:C,3,false),)</f>
        <v/>
      </c>
      <c r="D291" s="11" t="str">
        <f>iferror(vlookup(B291,'📦 ชื่อสินค้า'!A:D,4,false),"")</f>
        <v/>
      </c>
      <c r="E291" s="16"/>
      <c r="F291" s="8" t="str">
        <f t="shared" si="1"/>
        <v/>
      </c>
      <c r="G291" s="9" t="str">
        <f>IF(LEN(B291)&gt;0,vlookup(B291,'📊 รายงานสินค้าคงเหลือ'!A:G,6,false)*E291,)</f>
        <v/>
      </c>
      <c r="H291" s="9" t="str">
        <f t="shared" si="2"/>
        <v/>
      </c>
      <c r="I291" s="10" t="str">
        <f t="shared" si="3"/>
        <v/>
      </c>
      <c r="J291" s="11" t="str">
        <f t="shared" si="4"/>
        <v/>
      </c>
      <c r="K291" s="11" t="str">
        <f>IFERROR(IF(A291&lt;&gt;"",VLOOKUP(B291,'📦 ชื่อสินค้า'!A:F,6,false),""),)</f>
        <v/>
      </c>
      <c r="L291" s="11" t="str">
        <f t="shared" si="5"/>
        <v/>
      </c>
      <c r="M291" s="13"/>
    </row>
    <row r="292">
      <c r="A292" s="15"/>
      <c r="B292" s="6"/>
      <c r="C292" s="14" t="str">
        <f>iferror(vlookup(B292,'📦 ชื่อสินค้า'!A:C,3,false),)</f>
        <v/>
      </c>
      <c r="D292" s="11" t="str">
        <f>iferror(vlookup(B292,'📦 ชื่อสินค้า'!A:D,4,false),"")</f>
        <v/>
      </c>
      <c r="E292" s="16"/>
      <c r="F292" s="8" t="str">
        <f t="shared" si="1"/>
        <v/>
      </c>
      <c r="G292" s="9" t="str">
        <f>IF(LEN(B292)&gt;0,vlookup(B292,'📊 รายงานสินค้าคงเหลือ'!A:G,6,false)*E292,)</f>
        <v/>
      </c>
      <c r="H292" s="9" t="str">
        <f t="shared" si="2"/>
        <v/>
      </c>
      <c r="I292" s="10" t="str">
        <f t="shared" si="3"/>
        <v/>
      </c>
      <c r="J292" s="11" t="str">
        <f t="shared" si="4"/>
        <v/>
      </c>
      <c r="K292" s="11" t="str">
        <f>IFERROR(IF(A292&lt;&gt;"",VLOOKUP(B292,'📦 ชื่อสินค้า'!A:F,6,false),""),)</f>
        <v/>
      </c>
      <c r="L292" s="11" t="str">
        <f t="shared" si="5"/>
        <v/>
      </c>
      <c r="M292" s="13"/>
    </row>
    <row r="293">
      <c r="A293" s="15"/>
      <c r="B293" s="6"/>
      <c r="C293" s="14" t="str">
        <f>iferror(vlookup(B293,'📦 ชื่อสินค้า'!A:C,3,false),)</f>
        <v/>
      </c>
      <c r="D293" s="11" t="str">
        <f>iferror(vlookup(B293,'📦 ชื่อสินค้า'!A:D,4,false),"")</f>
        <v/>
      </c>
      <c r="E293" s="16"/>
      <c r="F293" s="8" t="str">
        <f t="shared" si="1"/>
        <v/>
      </c>
      <c r="G293" s="9" t="str">
        <f>IF(LEN(B293)&gt;0,vlookup(B293,'📊 รายงานสินค้าคงเหลือ'!A:G,6,false)*E293,)</f>
        <v/>
      </c>
      <c r="H293" s="9" t="str">
        <f t="shared" si="2"/>
        <v/>
      </c>
      <c r="I293" s="10" t="str">
        <f t="shared" si="3"/>
        <v/>
      </c>
      <c r="J293" s="11" t="str">
        <f t="shared" si="4"/>
        <v/>
      </c>
      <c r="K293" s="11" t="str">
        <f>IFERROR(IF(A293&lt;&gt;"",VLOOKUP(B293,'📦 ชื่อสินค้า'!A:F,6,false),""),)</f>
        <v/>
      </c>
      <c r="L293" s="11" t="str">
        <f t="shared" si="5"/>
        <v/>
      </c>
      <c r="M293" s="13"/>
    </row>
    <row r="294">
      <c r="A294" s="15"/>
      <c r="B294" s="6"/>
      <c r="C294" s="14" t="str">
        <f>iferror(vlookup(B294,'📦 ชื่อสินค้า'!A:C,3,false),)</f>
        <v/>
      </c>
      <c r="D294" s="11" t="str">
        <f>iferror(vlookup(B294,'📦 ชื่อสินค้า'!A:D,4,false),"")</f>
        <v/>
      </c>
      <c r="E294" s="16"/>
      <c r="F294" s="8" t="str">
        <f t="shared" si="1"/>
        <v/>
      </c>
      <c r="G294" s="9" t="str">
        <f>IF(LEN(B294)&gt;0,vlookup(B294,'📊 รายงานสินค้าคงเหลือ'!A:G,6,false)*E294,)</f>
        <v/>
      </c>
      <c r="H294" s="9" t="str">
        <f t="shared" si="2"/>
        <v/>
      </c>
      <c r="I294" s="10" t="str">
        <f t="shared" si="3"/>
        <v/>
      </c>
      <c r="J294" s="11" t="str">
        <f t="shared" si="4"/>
        <v/>
      </c>
      <c r="K294" s="11" t="str">
        <f>IFERROR(IF(A294&lt;&gt;"",VLOOKUP(B294,'📦 ชื่อสินค้า'!A:F,6,false),""),)</f>
        <v/>
      </c>
      <c r="L294" s="11" t="str">
        <f t="shared" si="5"/>
        <v/>
      </c>
      <c r="M294" s="13"/>
    </row>
    <row r="295">
      <c r="A295" s="15"/>
      <c r="B295" s="6"/>
      <c r="C295" s="14" t="str">
        <f>iferror(vlookup(B295,'📦 ชื่อสินค้า'!A:C,3,false),)</f>
        <v/>
      </c>
      <c r="D295" s="11" t="str">
        <f>iferror(vlookup(B295,'📦 ชื่อสินค้า'!A:D,4,false),"")</f>
        <v/>
      </c>
      <c r="E295" s="16"/>
      <c r="F295" s="8" t="str">
        <f t="shared" si="1"/>
        <v/>
      </c>
      <c r="G295" s="9" t="str">
        <f>IF(LEN(B295)&gt;0,vlookup(B295,'📊 รายงานสินค้าคงเหลือ'!A:G,6,false)*E295,)</f>
        <v/>
      </c>
      <c r="H295" s="9" t="str">
        <f t="shared" si="2"/>
        <v/>
      </c>
      <c r="I295" s="10" t="str">
        <f t="shared" si="3"/>
        <v/>
      </c>
      <c r="J295" s="11" t="str">
        <f t="shared" si="4"/>
        <v/>
      </c>
      <c r="K295" s="11" t="str">
        <f>IFERROR(IF(A295&lt;&gt;"",VLOOKUP(B295,'📦 ชื่อสินค้า'!A:F,6,false),""),)</f>
        <v/>
      </c>
      <c r="L295" s="11" t="str">
        <f t="shared" si="5"/>
        <v/>
      </c>
      <c r="M295" s="13"/>
    </row>
    <row r="296">
      <c r="A296" s="15"/>
      <c r="B296" s="6"/>
      <c r="C296" s="14" t="str">
        <f>iferror(vlookup(B296,'📦 ชื่อสินค้า'!A:C,3,false),)</f>
        <v/>
      </c>
      <c r="D296" s="11" t="str">
        <f>iferror(vlookup(B296,'📦 ชื่อสินค้า'!A:D,4,false),"")</f>
        <v/>
      </c>
      <c r="E296" s="16"/>
      <c r="F296" s="8" t="str">
        <f t="shared" si="1"/>
        <v/>
      </c>
      <c r="G296" s="9" t="str">
        <f>IF(LEN(B296)&gt;0,vlookup(B296,'📊 รายงานสินค้าคงเหลือ'!A:G,6,false)*E296,)</f>
        <v/>
      </c>
      <c r="H296" s="9" t="str">
        <f t="shared" si="2"/>
        <v/>
      </c>
      <c r="I296" s="10" t="str">
        <f t="shared" si="3"/>
        <v/>
      </c>
      <c r="J296" s="11" t="str">
        <f t="shared" si="4"/>
        <v/>
      </c>
      <c r="K296" s="11" t="str">
        <f>IFERROR(IF(A296&lt;&gt;"",VLOOKUP(B296,'📦 ชื่อสินค้า'!A:F,6,false),""),)</f>
        <v/>
      </c>
      <c r="L296" s="11" t="str">
        <f t="shared" si="5"/>
        <v/>
      </c>
      <c r="M296" s="13"/>
    </row>
    <row r="297">
      <c r="A297" s="15"/>
      <c r="B297" s="6"/>
      <c r="C297" s="14" t="str">
        <f>iferror(vlookup(B297,'📦 ชื่อสินค้า'!A:C,3,false),)</f>
        <v/>
      </c>
      <c r="D297" s="11" t="str">
        <f>iferror(vlookup(B297,'📦 ชื่อสินค้า'!A:D,4,false),"")</f>
        <v/>
      </c>
      <c r="E297" s="16"/>
      <c r="F297" s="8" t="str">
        <f t="shared" si="1"/>
        <v/>
      </c>
      <c r="G297" s="9" t="str">
        <f>IF(LEN(B297)&gt;0,vlookup(B297,'📊 รายงานสินค้าคงเหลือ'!A:G,6,false)*E297,)</f>
        <v/>
      </c>
      <c r="H297" s="9" t="str">
        <f t="shared" si="2"/>
        <v/>
      </c>
      <c r="I297" s="10" t="str">
        <f t="shared" si="3"/>
        <v/>
      </c>
      <c r="J297" s="11" t="str">
        <f t="shared" si="4"/>
        <v/>
      </c>
      <c r="K297" s="11" t="str">
        <f>IFERROR(IF(A297&lt;&gt;"",VLOOKUP(B297,'📦 ชื่อสินค้า'!A:F,6,false),""),)</f>
        <v/>
      </c>
      <c r="L297" s="11" t="str">
        <f t="shared" si="5"/>
        <v/>
      </c>
      <c r="M297" s="13"/>
    </row>
    <row r="298">
      <c r="A298" s="15"/>
      <c r="B298" s="6"/>
      <c r="C298" s="14" t="str">
        <f>iferror(vlookup(B298,'📦 ชื่อสินค้า'!A:C,3,false),)</f>
        <v/>
      </c>
      <c r="D298" s="11" t="str">
        <f>iferror(vlookup(B298,'📦 ชื่อสินค้า'!A:D,4,false),"")</f>
        <v/>
      </c>
      <c r="E298" s="16"/>
      <c r="F298" s="8" t="str">
        <f t="shared" si="1"/>
        <v/>
      </c>
      <c r="G298" s="9" t="str">
        <f>IF(LEN(B298)&gt;0,vlookup(B298,'📊 รายงานสินค้าคงเหลือ'!A:G,6,false)*E298,)</f>
        <v/>
      </c>
      <c r="H298" s="9" t="str">
        <f t="shared" si="2"/>
        <v/>
      </c>
      <c r="I298" s="10" t="str">
        <f t="shared" si="3"/>
        <v/>
      </c>
      <c r="J298" s="11" t="str">
        <f t="shared" si="4"/>
        <v/>
      </c>
      <c r="K298" s="11" t="str">
        <f>IFERROR(IF(A298&lt;&gt;"",VLOOKUP(B298,'📦 ชื่อสินค้า'!A:F,6,false),""),)</f>
        <v/>
      </c>
      <c r="L298" s="11" t="str">
        <f t="shared" si="5"/>
        <v/>
      </c>
      <c r="M298" s="13"/>
    </row>
    <row r="299">
      <c r="A299" s="15"/>
      <c r="B299" s="6"/>
      <c r="C299" s="14" t="str">
        <f>iferror(vlookup(B299,'📦 ชื่อสินค้า'!A:C,3,false),)</f>
        <v/>
      </c>
      <c r="D299" s="11" t="str">
        <f>iferror(vlookup(B299,'📦 ชื่อสินค้า'!A:D,4,false),"")</f>
        <v/>
      </c>
      <c r="E299" s="16"/>
      <c r="F299" s="8" t="str">
        <f t="shared" si="1"/>
        <v/>
      </c>
      <c r="G299" s="9" t="str">
        <f>IF(LEN(B299)&gt;0,vlookup(B299,'📊 รายงานสินค้าคงเหลือ'!A:G,6,false)*E299,)</f>
        <v/>
      </c>
      <c r="H299" s="9" t="str">
        <f t="shared" si="2"/>
        <v/>
      </c>
      <c r="I299" s="10" t="str">
        <f t="shared" si="3"/>
        <v/>
      </c>
      <c r="J299" s="11" t="str">
        <f t="shared" si="4"/>
        <v/>
      </c>
      <c r="K299" s="11" t="str">
        <f>IFERROR(IF(A299&lt;&gt;"",VLOOKUP(B299,'📦 ชื่อสินค้า'!A:F,6,false),""),)</f>
        <v/>
      </c>
      <c r="L299" s="11" t="str">
        <f t="shared" si="5"/>
        <v/>
      </c>
      <c r="M299" s="13"/>
    </row>
    <row r="300">
      <c r="A300" s="15"/>
      <c r="B300" s="6"/>
      <c r="C300" s="14" t="str">
        <f>iferror(vlookup(B300,'📦 ชื่อสินค้า'!A:C,3,false),)</f>
        <v/>
      </c>
      <c r="D300" s="11" t="str">
        <f>iferror(vlookup(B300,'📦 ชื่อสินค้า'!A:D,4,false),"")</f>
        <v/>
      </c>
      <c r="E300" s="16"/>
      <c r="F300" s="8" t="str">
        <f t="shared" si="1"/>
        <v/>
      </c>
      <c r="G300" s="9" t="str">
        <f>IF(LEN(B300)&gt;0,vlookup(B300,'📊 รายงานสินค้าคงเหลือ'!A:G,6,false)*E300,)</f>
        <v/>
      </c>
      <c r="H300" s="9" t="str">
        <f t="shared" si="2"/>
        <v/>
      </c>
      <c r="I300" s="10" t="str">
        <f t="shared" si="3"/>
        <v/>
      </c>
      <c r="J300" s="11" t="str">
        <f t="shared" si="4"/>
        <v/>
      </c>
      <c r="K300" s="11" t="str">
        <f>IFERROR(IF(A300&lt;&gt;"",VLOOKUP(B300,'📦 ชื่อสินค้า'!A:F,6,false),""),)</f>
        <v/>
      </c>
      <c r="L300" s="11" t="str">
        <f t="shared" si="5"/>
        <v/>
      </c>
      <c r="M300" s="13"/>
    </row>
    <row r="301">
      <c r="A301" s="15"/>
      <c r="B301" s="6"/>
      <c r="C301" s="14" t="str">
        <f>iferror(vlookup(B301,'📦 ชื่อสินค้า'!A:C,3,false),)</f>
        <v/>
      </c>
      <c r="D301" s="11" t="str">
        <f>iferror(vlookup(B301,'📦 ชื่อสินค้า'!A:D,4,false),"")</f>
        <v/>
      </c>
      <c r="E301" s="16"/>
      <c r="F301" s="8" t="str">
        <f t="shared" si="1"/>
        <v/>
      </c>
      <c r="G301" s="9" t="str">
        <f>IF(LEN(B301)&gt;0,vlookup(B301,'📊 รายงานสินค้าคงเหลือ'!A:G,6,false)*E301,)</f>
        <v/>
      </c>
      <c r="H301" s="9" t="str">
        <f t="shared" si="2"/>
        <v/>
      </c>
      <c r="I301" s="10" t="str">
        <f t="shared" si="3"/>
        <v/>
      </c>
      <c r="J301" s="11" t="str">
        <f t="shared" si="4"/>
        <v/>
      </c>
      <c r="K301" s="11" t="str">
        <f>IFERROR(IF(A301&lt;&gt;"",VLOOKUP(B301,'📦 ชื่อสินค้า'!A:F,6,false),""),)</f>
        <v/>
      </c>
      <c r="L301" s="11" t="str">
        <f t="shared" si="5"/>
        <v/>
      </c>
      <c r="M301" s="13"/>
    </row>
    <row r="302">
      <c r="A302" s="15"/>
      <c r="B302" s="6"/>
      <c r="C302" s="14" t="str">
        <f>iferror(vlookup(B302,'📦 ชื่อสินค้า'!A:C,3,false),)</f>
        <v/>
      </c>
      <c r="D302" s="11" t="str">
        <f>iferror(vlookup(B302,'📦 ชื่อสินค้า'!A:D,4,false),"")</f>
        <v/>
      </c>
      <c r="E302" s="16"/>
      <c r="F302" s="8" t="str">
        <f t="shared" si="1"/>
        <v/>
      </c>
      <c r="G302" s="9" t="str">
        <f>IF(LEN(B302)&gt;0,vlookup(B302,'📊 รายงานสินค้าคงเหลือ'!A:G,6,false)*E302,)</f>
        <v/>
      </c>
      <c r="H302" s="9" t="str">
        <f t="shared" si="2"/>
        <v/>
      </c>
      <c r="I302" s="10" t="str">
        <f t="shared" si="3"/>
        <v/>
      </c>
      <c r="J302" s="11" t="str">
        <f t="shared" si="4"/>
        <v/>
      </c>
      <c r="K302" s="11" t="str">
        <f>IFERROR(IF(A302&lt;&gt;"",VLOOKUP(B302,'📦 ชื่อสินค้า'!A:F,6,false),""),)</f>
        <v/>
      </c>
      <c r="L302" s="11" t="str">
        <f t="shared" si="5"/>
        <v/>
      </c>
      <c r="M302" s="13"/>
    </row>
    <row r="303">
      <c r="A303" s="15"/>
      <c r="B303" s="6"/>
      <c r="C303" s="14" t="str">
        <f>iferror(vlookup(B303,'📦 ชื่อสินค้า'!A:C,3,false),)</f>
        <v/>
      </c>
      <c r="D303" s="11" t="str">
        <f>iferror(vlookup(B303,'📦 ชื่อสินค้า'!A:D,4,false),"")</f>
        <v/>
      </c>
      <c r="E303" s="16"/>
      <c r="F303" s="8" t="str">
        <f t="shared" si="1"/>
        <v/>
      </c>
      <c r="G303" s="9" t="str">
        <f>IF(LEN(B303)&gt;0,vlookup(B303,'📊 รายงานสินค้าคงเหลือ'!A:G,6,false)*E303,)</f>
        <v/>
      </c>
      <c r="H303" s="9" t="str">
        <f t="shared" si="2"/>
        <v/>
      </c>
      <c r="I303" s="10" t="str">
        <f t="shared" si="3"/>
        <v/>
      </c>
      <c r="J303" s="11" t="str">
        <f t="shared" si="4"/>
        <v/>
      </c>
      <c r="K303" s="11" t="str">
        <f>IFERROR(IF(A303&lt;&gt;"",VLOOKUP(B303,'📦 ชื่อสินค้า'!A:F,6,false),""),)</f>
        <v/>
      </c>
      <c r="L303" s="11" t="str">
        <f t="shared" si="5"/>
        <v/>
      </c>
      <c r="M303" s="13"/>
    </row>
    <row r="304">
      <c r="A304" s="15"/>
      <c r="B304" s="6"/>
      <c r="C304" s="14" t="str">
        <f>iferror(vlookup(B304,'📦 ชื่อสินค้า'!A:C,3,false),)</f>
        <v/>
      </c>
      <c r="D304" s="11" t="str">
        <f>iferror(vlookup(B304,'📦 ชื่อสินค้า'!A:D,4,false),"")</f>
        <v/>
      </c>
      <c r="E304" s="16"/>
      <c r="F304" s="8" t="str">
        <f t="shared" si="1"/>
        <v/>
      </c>
      <c r="G304" s="9" t="str">
        <f>IF(LEN(B304)&gt;0,vlookup(B304,'📊 รายงานสินค้าคงเหลือ'!A:G,6,false)*E304,)</f>
        <v/>
      </c>
      <c r="H304" s="9" t="str">
        <f t="shared" si="2"/>
        <v/>
      </c>
      <c r="I304" s="10" t="str">
        <f t="shared" si="3"/>
        <v/>
      </c>
      <c r="J304" s="11" t="str">
        <f t="shared" si="4"/>
        <v/>
      </c>
      <c r="K304" s="11" t="str">
        <f>IFERROR(IF(A304&lt;&gt;"",VLOOKUP(B304,'📦 ชื่อสินค้า'!A:F,6,false),""),)</f>
        <v/>
      </c>
      <c r="L304" s="11" t="str">
        <f t="shared" si="5"/>
        <v/>
      </c>
      <c r="M304" s="13"/>
    </row>
    <row r="305">
      <c r="A305" s="15"/>
      <c r="B305" s="6"/>
      <c r="C305" s="14" t="str">
        <f>iferror(vlookup(B305,'📦 ชื่อสินค้า'!A:C,3,false),)</f>
        <v/>
      </c>
      <c r="D305" s="11" t="str">
        <f>iferror(vlookup(B305,'📦 ชื่อสินค้า'!A:D,4,false),"")</f>
        <v/>
      </c>
      <c r="E305" s="16"/>
      <c r="F305" s="8" t="str">
        <f t="shared" si="1"/>
        <v/>
      </c>
      <c r="G305" s="9" t="str">
        <f>IF(LEN(B305)&gt;0,vlookup(B305,'📊 รายงานสินค้าคงเหลือ'!A:G,6,false)*E305,)</f>
        <v/>
      </c>
      <c r="H305" s="9" t="str">
        <f t="shared" si="2"/>
        <v/>
      </c>
      <c r="I305" s="10" t="str">
        <f t="shared" si="3"/>
        <v/>
      </c>
      <c r="J305" s="11" t="str">
        <f t="shared" si="4"/>
        <v/>
      </c>
      <c r="K305" s="11" t="str">
        <f>IFERROR(IF(A305&lt;&gt;"",VLOOKUP(B305,'📦 ชื่อสินค้า'!A:F,6,false),""),)</f>
        <v/>
      </c>
      <c r="L305" s="11" t="str">
        <f t="shared" si="5"/>
        <v/>
      </c>
      <c r="M305" s="13"/>
    </row>
    <row r="306">
      <c r="A306" s="15"/>
      <c r="B306" s="6"/>
      <c r="C306" s="14" t="str">
        <f>iferror(vlookup(B306,'📦 ชื่อสินค้า'!A:C,3,false),)</f>
        <v/>
      </c>
      <c r="D306" s="11" t="str">
        <f>iferror(vlookup(B306,'📦 ชื่อสินค้า'!A:D,4,false),"")</f>
        <v/>
      </c>
      <c r="E306" s="16"/>
      <c r="F306" s="8" t="str">
        <f t="shared" si="1"/>
        <v/>
      </c>
      <c r="G306" s="9" t="str">
        <f>IF(LEN(B306)&gt;0,vlookup(B306,'📊 รายงานสินค้าคงเหลือ'!A:G,6,false)*E306,)</f>
        <v/>
      </c>
      <c r="H306" s="9" t="str">
        <f t="shared" si="2"/>
        <v/>
      </c>
      <c r="I306" s="10" t="str">
        <f t="shared" si="3"/>
        <v/>
      </c>
      <c r="J306" s="11" t="str">
        <f t="shared" si="4"/>
        <v/>
      </c>
      <c r="K306" s="11" t="str">
        <f>IFERROR(IF(A306&lt;&gt;"",VLOOKUP(B306,'📦 ชื่อสินค้า'!A:F,6,false),""),)</f>
        <v/>
      </c>
      <c r="L306" s="11" t="str">
        <f t="shared" si="5"/>
        <v/>
      </c>
      <c r="M306" s="13"/>
    </row>
    <row r="307">
      <c r="A307" s="15"/>
      <c r="B307" s="6"/>
      <c r="C307" s="14" t="str">
        <f>iferror(vlookup(B307,'📦 ชื่อสินค้า'!A:C,3,false),)</f>
        <v/>
      </c>
      <c r="D307" s="11" t="str">
        <f>iferror(vlookup(B307,'📦 ชื่อสินค้า'!A:D,4,false),"")</f>
        <v/>
      </c>
      <c r="E307" s="16"/>
      <c r="F307" s="8" t="str">
        <f t="shared" si="1"/>
        <v/>
      </c>
      <c r="G307" s="9" t="str">
        <f>IF(LEN(B307)&gt;0,vlookup(B307,'📊 รายงานสินค้าคงเหลือ'!A:G,6,false)*E307,)</f>
        <v/>
      </c>
      <c r="H307" s="9" t="str">
        <f t="shared" si="2"/>
        <v/>
      </c>
      <c r="I307" s="10" t="str">
        <f t="shared" si="3"/>
        <v/>
      </c>
      <c r="J307" s="11" t="str">
        <f t="shared" si="4"/>
        <v/>
      </c>
      <c r="K307" s="11" t="str">
        <f>IFERROR(IF(A307&lt;&gt;"",VLOOKUP(B307,'📦 ชื่อสินค้า'!A:F,6,false),""),)</f>
        <v/>
      </c>
      <c r="L307" s="11" t="str">
        <f t="shared" si="5"/>
        <v/>
      </c>
      <c r="M307" s="13"/>
    </row>
    <row r="308">
      <c r="A308" s="15"/>
      <c r="B308" s="6"/>
      <c r="C308" s="14" t="str">
        <f>iferror(vlookup(B308,'📦 ชื่อสินค้า'!A:C,3,false),)</f>
        <v/>
      </c>
      <c r="D308" s="11" t="str">
        <f>iferror(vlookup(B308,'📦 ชื่อสินค้า'!A:D,4,false),"")</f>
        <v/>
      </c>
      <c r="E308" s="16"/>
      <c r="F308" s="8" t="str">
        <f t="shared" si="1"/>
        <v/>
      </c>
      <c r="G308" s="9" t="str">
        <f>IF(LEN(B308)&gt;0,vlookup(B308,'📊 รายงานสินค้าคงเหลือ'!A:G,6,false)*E308,)</f>
        <v/>
      </c>
      <c r="H308" s="9" t="str">
        <f t="shared" si="2"/>
        <v/>
      </c>
      <c r="I308" s="10" t="str">
        <f t="shared" si="3"/>
        <v/>
      </c>
      <c r="J308" s="11" t="str">
        <f t="shared" si="4"/>
        <v/>
      </c>
      <c r="K308" s="11" t="str">
        <f>IFERROR(IF(A308&lt;&gt;"",VLOOKUP(B308,'📦 ชื่อสินค้า'!A:F,6,false),""),)</f>
        <v/>
      </c>
      <c r="L308" s="11" t="str">
        <f t="shared" si="5"/>
        <v/>
      </c>
      <c r="M308" s="13"/>
    </row>
    <row r="309">
      <c r="A309" s="15"/>
      <c r="B309" s="6"/>
      <c r="C309" s="14" t="str">
        <f>iferror(vlookup(B309,'📦 ชื่อสินค้า'!A:C,3,false),)</f>
        <v/>
      </c>
      <c r="D309" s="11" t="str">
        <f>iferror(vlookup(B309,'📦 ชื่อสินค้า'!A:D,4,false),"")</f>
        <v/>
      </c>
      <c r="E309" s="16"/>
      <c r="F309" s="8" t="str">
        <f t="shared" si="1"/>
        <v/>
      </c>
      <c r="G309" s="9" t="str">
        <f>IF(LEN(B309)&gt;0,vlookup(B309,'📊 รายงานสินค้าคงเหลือ'!A:G,6,false)*E309,)</f>
        <v/>
      </c>
      <c r="H309" s="9" t="str">
        <f t="shared" si="2"/>
        <v/>
      </c>
      <c r="I309" s="10" t="str">
        <f t="shared" si="3"/>
        <v/>
      </c>
      <c r="J309" s="11" t="str">
        <f t="shared" si="4"/>
        <v/>
      </c>
      <c r="K309" s="11" t="str">
        <f>IFERROR(IF(A309&lt;&gt;"",VLOOKUP(B309,'📦 ชื่อสินค้า'!A:F,6,false),""),)</f>
        <v/>
      </c>
      <c r="L309" s="11" t="str">
        <f t="shared" si="5"/>
        <v/>
      </c>
      <c r="M309" s="13"/>
    </row>
    <row r="310">
      <c r="A310" s="15"/>
      <c r="B310" s="6"/>
      <c r="C310" s="14" t="str">
        <f>iferror(vlookup(B310,'📦 ชื่อสินค้า'!A:C,3,false),)</f>
        <v/>
      </c>
      <c r="D310" s="11" t="str">
        <f>iferror(vlookup(B310,'📦 ชื่อสินค้า'!A:D,4,false),"")</f>
        <v/>
      </c>
      <c r="E310" s="16"/>
      <c r="F310" s="8" t="str">
        <f t="shared" si="1"/>
        <v/>
      </c>
      <c r="G310" s="9" t="str">
        <f>IF(LEN(B310)&gt;0,vlookup(B310,'📊 รายงานสินค้าคงเหลือ'!A:G,6,false)*E310,)</f>
        <v/>
      </c>
      <c r="H310" s="9" t="str">
        <f t="shared" si="2"/>
        <v/>
      </c>
      <c r="I310" s="10" t="str">
        <f t="shared" si="3"/>
        <v/>
      </c>
      <c r="J310" s="11" t="str">
        <f t="shared" si="4"/>
        <v/>
      </c>
      <c r="K310" s="11" t="str">
        <f>IFERROR(IF(A310&lt;&gt;"",VLOOKUP(B310,'📦 ชื่อสินค้า'!A:F,6,false),""),)</f>
        <v/>
      </c>
      <c r="L310" s="11" t="str">
        <f t="shared" si="5"/>
        <v/>
      </c>
      <c r="M310" s="13"/>
    </row>
    <row r="311">
      <c r="A311" s="15"/>
      <c r="B311" s="6"/>
      <c r="C311" s="14" t="str">
        <f>iferror(vlookup(B311,'📦 ชื่อสินค้า'!A:C,3,false),)</f>
        <v/>
      </c>
      <c r="D311" s="11" t="str">
        <f>iferror(vlookup(B311,'📦 ชื่อสินค้า'!A:D,4,false),"")</f>
        <v/>
      </c>
      <c r="E311" s="16"/>
      <c r="F311" s="8" t="str">
        <f t="shared" si="1"/>
        <v/>
      </c>
      <c r="G311" s="9" t="str">
        <f>IF(LEN(B311)&gt;0,vlookup(B311,'📊 รายงานสินค้าคงเหลือ'!A:G,6,false)*E311,)</f>
        <v/>
      </c>
      <c r="H311" s="9" t="str">
        <f t="shared" si="2"/>
        <v/>
      </c>
      <c r="I311" s="10" t="str">
        <f t="shared" si="3"/>
        <v/>
      </c>
      <c r="J311" s="11" t="str">
        <f t="shared" si="4"/>
        <v/>
      </c>
      <c r="K311" s="11" t="str">
        <f>IFERROR(IF(A311&lt;&gt;"",VLOOKUP(B311,'📦 ชื่อสินค้า'!A:F,6,false),""),)</f>
        <v/>
      </c>
      <c r="L311" s="11" t="str">
        <f t="shared" si="5"/>
        <v/>
      </c>
      <c r="M311" s="13"/>
    </row>
    <row r="312">
      <c r="A312" s="15"/>
      <c r="B312" s="6"/>
      <c r="C312" s="14" t="str">
        <f>iferror(vlookup(B312,'📦 ชื่อสินค้า'!A:C,3,false),)</f>
        <v/>
      </c>
      <c r="D312" s="11" t="str">
        <f>iferror(vlookup(B312,'📦 ชื่อสินค้า'!A:D,4,false),"")</f>
        <v/>
      </c>
      <c r="E312" s="16"/>
      <c r="F312" s="8" t="str">
        <f t="shared" si="1"/>
        <v/>
      </c>
      <c r="G312" s="9" t="str">
        <f>IF(LEN(B312)&gt;0,vlookup(B312,'📊 รายงานสินค้าคงเหลือ'!A:G,6,false)*E312,)</f>
        <v/>
      </c>
      <c r="H312" s="9" t="str">
        <f t="shared" si="2"/>
        <v/>
      </c>
      <c r="I312" s="10" t="str">
        <f t="shared" si="3"/>
        <v/>
      </c>
      <c r="J312" s="11" t="str">
        <f t="shared" si="4"/>
        <v/>
      </c>
      <c r="K312" s="11" t="str">
        <f>IFERROR(IF(A312&lt;&gt;"",VLOOKUP(B312,'📦 ชื่อสินค้า'!A:F,6,false),""),)</f>
        <v/>
      </c>
      <c r="L312" s="11" t="str">
        <f t="shared" si="5"/>
        <v/>
      </c>
      <c r="M312" s="13"/>
    </row>
    <row r="313">
      <c r="A313" s="15"/>
      <c r="B313" s="6"/>
      <c r="C313" s="14" t="str">
        <f>iferror(vlookup(B313,'📦 ชื่อสินค้า'!A:C,3,false),)</f>
        <v/>
      </c>
      <c r="D313" s="11" t="str">
        <f>iferror(vlookup(B313,'📦 ชื่อสินค้า'!A:D,4,false),"")</f>
        <v/>
      </c>
      <c r="E313" s="16"/>
      <c r="F313" s="8" t="str">
        <f t="shared" si="1"/>
        <v/>
      </c>
      <c r="G313" s="9" t="str">
        <f>IF(LEN(B313)&gt;0,vlookup(B313,'📊 รายงานสินค้าคงเหลือ'!A:G,6,false)*E313,)</f>
        <v/>
      </c>
      <c r="H313" s="9" t="str">
        <f t="shared" si="2"/>
        <v/>
      </c>
      <c r="I313" s="10" t="str">
        <f t="shared" si="3"/>
        <v/>
      </c>
      <c r="J313" s="11" t="str">
        <f t="shared" si="4"/>
        <v/>
      </c>
      <c r="K313" s="11" t="str">
        <f>IFERROR(IF(A313&lt;&gt;"",VLOOKUP(B313,'📦 ชื่อสินค้า'!A:F,6,false),""),)</f>
        <v/>
      </c>
      <c r="L313" s="11" t="str">
        <f t="shared" si="5"/>
        <v/>
      </c>
      <c r="M313" s="13"/>
    </row>
    <row r="314">
      <c r="A314" s="15"/>
      <c r="B314" s="6"/>
      <c r="C314" s="14" t="str">
        <f>iferror(vlookup(B314,'📦 ชื่อสินค้า'!A:C,3,false),)</f>
        <v/>
      </c>
      <c r="D314" s="11" t="str">
        <f>iferror(vlookup(B314,'📦 ชื่อสินค้า'!A:D,4,false),"")</f>
        <v/>
      </c>
      <c r="E314" s="16"/>
      <c r="F314" s="8" t="str">
        <f t="shared" si="1"/>
        <v/>
      </c>
      <c r="G314" s="9" t="str">
        <f>IF(LEN(B314)&gt;0,vlookup(B314,'📊 รายงานสินค้าคงเหลือ'!A:G,6,false)*E314,)</f>
        <v/>
      </c>
      <c r="H314" s="9" t="str">
        <f t="shared" si="2"/>
        <v/>
      </c>
      <c r="I314" s="10" t="str">
        <f t="shared" si="3"/>
        <v/>
      </c>
      <c r="J314" s="11" t="str">
        <f t="shared" si="4"/>
        <v/>
      </c>
      <c r="K314" s="11" t="str">
        <f>IFERROR(IF(A314&lt;&gt;"",VLOOKUP(B314,'📦 ชื่อสินค้า'!A:F,6,false),""),)</f>
        <v/>
      </c>
      <c r="L314" s="11" t="str">
        <f t="shared" si="5"/>
        <v/>
      </c>
      <c r="M314" s="13"/>
    </row>
    <row r="315">
      <c r="A315" s="15"/>
      <c r="B315" s="6"/>
      <c r="C315" s="14" t="str">
        <f>iferror(vlookup(B315,'📦 ชื่อสินค้า'!A:C,3,false),)</f>
        <v/>
      </c>
      <c r="D315" s="11" t="str">
        <f>iferror(vlookup(B315,'📦 ชื่อสินค้า'!A:D,4,false),"")</f>
        <v/>
      </c>
      <c r="E315" s="16"/>
      <c r="F315" s="8" t="str">
        <f t="shared" si="1"/>
        <v/>
      </c>
      <c r="G315" s="9" t="str">
        <f>IF(LEN(B315)&gt;0,vlookup(B315,'📊 รายงานสินค้าคงเหลือ'!A:G,6,false)*E315,)</f>
        <v/>
      </c>
      <c r="H315" s="9" t="str">
        <f t="shared" si="2"/>
        <v/>
      </c>
      <c r="I315" s="10" t="str">
        <f t="shared" si="3"/>
        <v/>
      </c>
      <c r="J315" s="11" t="str">
        <f t="shared" si="4"/>
        <v/>
      </c>
      <c r="K315" s="11" t="str">
        <f>IFERROR(IF(A315&lt;&gt;"",VLOOKUP(B315,'📦 ชื่อสินค้า'!A:F,6,false),""),)</f>
        <v/>
      </c>
      <c r="L315" s="11" t="str">
        <f t="shared" si="5"/>
        <v/>
      </c>
      <c r="M315" s="13"/>
    </row>
    <row r="316">
      <c r="A316" s="15"/>
      <c r="B316" s="6"/>
      <c r="C316" s="14" t="str">
        <f>iferror(vlookup(B316,'📦 ชื่อสินค้า'!A:C,3,false),)</f>
        <v/>
      </c>
      <c r="D316" s="11" t="str">
        <f>iferror(vlookup(B316,'📦 ชื่อสินค้า'!A:D,4,false),"")</f>
        <v/>
      </c>
      <c r="E316" s="16"/>
      <c r="F316" s="8" t="str">
        <f t="shared" si="1"/>
        <v/>
      </c>
      <c r="G316" s="9" t="str">
        <f>IF(LEN(B316)&gt;0,vlookup(B316,'📊 รายงานสินค้าคงเหลือ'!A:G,6,false)*E316,)</f>
        <v/>
      </c>
      <c r="H316" s="9" t="str">
        <f t="shared" si="2"/>
        <v/>
      </c>
      <c r="I316" s="10" t="str">
        <f t="shared" si="3"/>
        <v/>
      </c>
      <c r="J316" s="11" t="str">
        <f t="shared" si="4"/>
        <v/>
      </c>
      <c r="K316" s="11" t="str">
        <f>IFERROR(IF(A316&lt;&gt;"",VLOOKUP(B316,'📦 ชื่อสินค้า'!A:F,6,false),""),)</f>
        <v/>
      </c>
      <c r="L316" s="11" t="str">
        <f t="shared" si="5"/>
        <v/>
      </c>
      <c r="M316" s="13"/>
    </row>
    <row r="317">
      <c r="A317" s="15"/>
      <c r="B317" s="6"/>
      <c r="C317" s="14" t="str">
        <f>iferror(vlookup(B317,'📦 ชื่อสินค้า'!A:C,3,false),)</f>
        <v/>
      </c>
      <c r="D317" s="11" t="str">
        <f>iferror(vlookup(B317,'📦 ชื่อสินค้า'!A:D,4,false),"")</f>
        <v/>
      </c>
      <c r="E317" s="16"/>
      <c r="F317" s="8" t="str">
        <f t="shared" si="1"/>
        <v/>
      </c>
      <c r="G317" s="9" t="str">
        <f>IF(LEN(B317)&gt;0,vlookup(B317,'📊 รายงานสินค้าคงเหลือ'!A:G,6,false)*E317,)</f>
        <v/>
      </c>
      <c r="H317" s="9" t="str">
        <f t="shared" si="2"/>
        <v/>
      </c>
      <c r="I317" s="10" t="str">
        <f t="shared" si="3"/>
        <v/>
      </c>
      <c r="J317" s="11" t="str">
        <f t="shared" si="4"/>
        <v/>
      </c>
      <c r="K317" s="11" t="str">
        <f>IFERROR(IF(A317&lt;&gt;"",VLOOKUP(B317,'📦 ชื่อสินค้า'!A:F,6,false),""),)</f>
        <v/>
      </c>
      <c r="L317" s="11" t="str">
        <f t="shared" si="5"/>
        <v/>
      </c>
      <c r="M317" s="13"/>
    </row>
    <row r="318">
      <c r="A318" s="15"/>
      <c r="B318" s="6"/>
      <c r="C318" s="14" t="str">
        <f>iferror(vlookup(B318,'📦 ชื่อสินค้า'!A:C,3,false),)</f>
        <v/>
      </c>
      <c r="D318" s="11" t="str">
        <f>iferror(vlookup(B318,'📦 ชื่อสินค้า'!A:D,4,false),"")</f>
        <v/>
      </c>
      <c r="E318" s="16"/>
      <c r="F318" s="8" t="str">
        <f t="shared" si="1"/>
        <v/>
      </c>
      <c r="G318" s="9" t="str">
        <f>IF(LEN(B318)&gt;0,vlookup(B318,'📊 รายงานสินค้าคงเหลือ'!A:G,6,false)*E318,)</f>
        <v/>
      </c>
      <c r="H318" s="9" t="str">
        <f t="shared" si="2"/>
        <v/>
      </c>
      <c r="I318" s="10" t="str">
        <f t="shared" si="3"/>
        <v/>
      </c>
      <c r="J318" s="11" t="str">
        <f t="shared" si="4"/>
        <v/>
      </c>
      <c r="K318" s="11" t="str">
        <f>IFERROR(IF(A318&lt;&gt;"",VLOOKUP(B318,'📦 ชื่อสินค้า'!A:F,6,false),""),)</f>
        <v/>
      </c>
      <c r="L318" s="11" t="str">
        <f t="shared" si="5"/>
        <v/>
      </c>
      <c r="M318" s="13"/>
    </row>
    <row r="319">
      <c r="A319" s="15"/>
      <c r="B319" s="6"/>
      <c r="C319" s="14" t="str">
        <f>iferror(vlookup(B319,'📦 ชื่อสินค้า'!A:C,3,false),)</f>
        <v/>
      </c>
      <c r="D319" s="11" t="str">
        <f>iferror(vlookup(B319,'📦 ชื่อสินค้า'!A:D,4,false),"")</f>
        <v/>
      </c>
      <c r="E319" s="16"/>
      <c r="F319" s="8" t="str">
        <f t="shared" si="1"/>
        <v/>
      </c>
      <c r="G319" s="9" t="str">
        <f>IF(LEN(B319)&gt;0,vlookup(B319,'📊 รายงานสินค้าคงเหลือ'!A:G,6,false)*E319,)</f>
        <v/>
      </c>
      <c r="H319" s="9" t="str">
        <f t="shared" si="2"/>
        <v/>
      </c>
      <c r="I319" s="10" t="str">
        <f t="shared" si="3"/>
        <v/>
      </c>
      <c r="J319" s="11" t="str">
        <f t="shared" si="4"/>
        <v/>
      </c>
      <c r="K319" s="11" t="str">
        <f>IFERROR(IF(A319&lt;&gt;"",VLOOKUP(B319,'📦 ชื่อสินค้า'!A:F,6,false),""),)</f>
        <v/>
      </c>
      <c r="L319" s="11" t="str">
        <f t="shared" si="5"/>
        <v/>
      </c>
      <c r="M319" s="13"/>
    </row>
    <row r="320">
      <c r="A320" s="15"/>
      <c r="B320" s="6"/>
      <c r="C320" s="14" t="str">
        <f>iferror(vlookup(B320,'📦 ชื่อสินค้า'!A:C,3,false),)</f>
        <v/>
      </c>
      <c r="D320" s="11" t="str">
        <f>iferror(vlookup(B320,'📦 ชื่อสินค้า'!A:D,4,false),"")</f>
        <v/>
      </c>
      <c r="E320" s="16"/>
      <c r="F320" s="8" t="str">
        <f t="shared" si="1"/>
        <v/>
      </c>
      <c r="G320" s="9" t="str">
        <f>IF(LEN(B320)&gt;0,vlookup(B320,'📊 รายงานสินค้าคงเหลือ'!A:G,6,false)*E320,)</f>
        <v/>
      </c>
      <c r="H320" s="9" t="str">
        <f t="shared" si="2"/>
        <v/>
      </c>
      <c r="I320" s="10" t="str">
        <f t="shared" si="3"/>
        <v/>
      </c>
      <c r="J320" s="11" t="str">
        <f t="shared" si="4"/>
        <v/>
      </c>
      <c r="K320" s="11" t="str">
        <f>IFERROR(IF(A320&lt;&gt;"",VLOOKUP(B320,'📦 ชื่อสินค้า'!A:F,6,false),""),)</f>
        <v/>
      </c>
      <c r="L320" s="11" t="str">
        <f t="shared" si="5"/>
        <v/>
      </c>
      <c r="M320" s="13"/>
    </row>
    <row r="321">
      <c r="A321" s="15"/>
      <c r="B321" s="6"/>
      <c r="C321" s="14" t="str">
        <f>iferror(vlookup(B321,'📦 ชื่อสินค้า'!A:C,3,false),)</f>
        <v/>
      </c>
      <c r="D321" s="11" t="str">
        <f>iferror(vlookup(B321,'📦 ชื่อสินค้า'!A:D,4,false),"")</f>
        <v/>
      </c>
      <c r="E321" s="16"/>
      <c r="F321" s="8" t="str">
        <f t="shared" si="1"/>
        <v/>
      </c>
      <c r="G321" s="9" t="str">
        <f>IF(LEN(B321)&gt;0,vlookup(B321,'📊 รายงานสินค้าคงเหลือ'!A:G,6,false)*E321,)</f>
        <v/>
      </c>
      <c r="H321" s="9" t="str">
        <f t="shared" si="2"/>
        <v/>
      </c>
      <c r="I321" s="10" t="str">
        <f t="shared" si="3"/>
        <v/>
      </c>
      <c r="J321" s="11" t="str">
        <f t="shared" si="4"/>
        <v/>
      </c>
      <c r="K321" s="11" t="str">
        <f>IFERROR(IF(A321&lt;&gt;"",VLOOKUP(B321,'📦 ชื่อสินค้า'!A:F,6,false),""),)</f>
        <v/>
      </c>
      <c r="L321" s="11" t="str">
        <f t="shared" si="5"/>
        <v/>
      </c>
      <c r="M321" s="13"/>
    </row>
    <row r="322">
      <c r="A322" s="15"/>
      <c r="B322" s="6"/>
      <c r="C322" s="14" t="str">
        <f>iferror(vlookup(B322,'📦 ชื่อสินค้า'!A:C,3,false),)</f>
        <v/>
      </c>
      <c r="D322" s="11" t="str">
        <f>iferror(vlookup(B322,'📦 ชื่อสินค้า'!A:D,4,false),"")</f>
        <v/>
      </c>
      <c r="E322" s="16"/>
      <c r="F322" s="8" t="str">
        <f t="shared" si="1"/>
        <v/>
      </c>
      <c r="G322" s="9" t="str">
        <f>IF(LEN(B322)&gt;0,vlookup(B322,'📊 รายงานสินค้าคงเหลือ'!A:G,6,false)*E322,)</f>
        <v/>
      </c>
      <c r="H322" s="9" t="str">
        <f t="shared" si="2"/>
        <v/>
      </c>
      <c r="I322" s="10" t="str">
        <f t="shared" si="3"/>
        <v/>
      </c>
      <c r="J322" s="11" t="str">
        <f t="shared" si="4"/>
        <v/>
      </c>
      <c r="K322" s="11" t="str">
        <f>IFERROR(IF(A322&lt;&gt;"",VLOOKUP(B322,'📦 ชื่อสินค้า'!A:F,6,false),""),)</f>
        <v/>
      </c>
      <c r="L322" s="11" t="str">
        <f t="shared" si="5"/>
        <v/>
      </c>
      <c r="M322" s="13"/>
    </row>
    <row r="323">
      <c r="A323" s="15"/>
      <c r="B323" s="6"/>
      <c r="C323" s="14" t="str">
        <f>iferror(vlookup(B323,'📦 ชื่อสินค้า'!A:C,3,false),)</f>
        <v/>
      </c>
      <c r="D323" s="11" t="str">
        <f>iferror(vlookup(B323,'📦 ชื่อสินค้า'!A:D,4,false),"")</f>
        <v/>
      </c>
      <c r="E323" s="16"/>
      <c r="F323" s="8" t="str">
        <f t="shared" si="1"/>
        <v/>
      </c>
      <c r="G323" s="9" t="str">
        <f>IF(LEN(B323)&gt;0,vlookup(B323,'📊 รายงานสินค้าคงเหลือ'!A:G,6,false)*E323,)</f>
        <v/>
      </c>
      <c r="H323" s="9" t="str">
        <f t="shared" si="2"/>
        <v/>
      </c>
      <c r="I323" s="10" t="str">
        <f t="shared" si="3"/>
        <v/>
      </c>
      <c r="J323" s="11" t="str">
        <f t="shared" si="4"/>
        <v/>
      </c>
      <c r="K323" s="11" t="str">
        <f>IFERROR(IF(A323&lt;&gt;"",VLOOKUP(B323,'📦 ชื่อสินค้า'!A:F,6,false),""),)</f>
        <v/>
      </c>
      <c r="L323" s="11" t="str">
        <f t="shared" si="5"/>
        <v/>
      </c>
      <c r="M323" s="13"/>
    </row>
    <row r="324">
      <c r="A324" s="15"/>
      <c r="B324" s="6"/>
      <c r="C324" s="14" t="str">
        <f>iferror(vlookup(B324,'📦 ชื่อสินค้า'!A:C,3,false),)</f>
        <v/>
      </c>
      <c r="D324" s="11" t="str">
        <f>iferror(vlookup(B324,'📦 ชื่อสินค้า'!A:D,4,false),"")</f>
        <v/>
      </c>
      <c r="E324" s="16"/>
      <c r="F324" s="8" t="str">
        <f t="shared" si="1"/>
        <v/>
      </c>
      <c r="G324" s="9" t="str">
        <f>IF(LEN(B324)&gt;0,vlookup(B324,'📊 รายงานสินค้าคงเหลือ'!A:G,6,false)*E324,)</f>
        <v/>
      </c>
      <c r="H324" s="9" t="str">
        <f t="shared" si="2"/>
        <v/>
      </c>
      <c r="I324" s="10" t="str">
        <f t="shared" si="3"/>
        <v/>
      </c>
      <c r="J324" s="11" t="str">
        <f t="shared" si="4"/>
        <v/>
      </c>
      <c r="K324" s="11" t="str">
        <f>IFERROR(IF(A324&lt;&gt;"",VLOOKUP(B324,'📦 ชื่อสินค้า'!A:F,6,false),""),)</f>
        <v/>
      </c>
      <c r="L324" s="11" t="str">
        <f t="shared" si="5"/>
        <v/>
      </c>
      <c r="M324" s="13"/>
    </row>
    <row r="325">
      <c r="A325" s="15"/>
      <c r="B325" s="6"/>
      <c r="C325" s="14" t="str">
        <f>iferror(vlookup(B325,'📦 ชื่อสินค้า'!A:C,3,false),)</f>
        <v/>
      </c>
      <c r="D325" s="11" t="str">
        <f>iferror(vlookup(B325,'📦 ชื่อสินค้า'!A:D,4,false),"")</f>
        <v/>
      </c>
      <c r="E325" s="16"/>
      <c r="F325" s="8" t="str">
        <f t="shared" si="1"/>
        <v/>
      </c>
      <c r="G325" s="9" t="str">
        <f>IF(LEN(B325)&gt;0,vlookup(B325,'📊 รายงานสินค้าคงเหลือ'!A:G,6,false)*E325,)</f>
        <v/>
      </c>
      <c r="H325" s="9" t="str">
        <f t="shared" si="2"/>
        <v/>
      </c>
      <c r="I325" s="10" t="str">
        <f t="shared" si="3"/>
        <v/>
      </c>
      <c r="J325" s="11" t="str">
        <f t="shared" si="4"/>
        <v/>
      </c>
      <c r="K325" s="11" t="str">
        <f>IFERROR(IF(A325&lt;&gt;"",VLOOKUP(B325,'📦 ชื่อสินค้า'!A:F,6,false),""),)</f>
        <v/>
      </c>
      <c r="L325" s="11" t="str">
        <f t="shared" si="5"/>
        <v/>
      </c>
      <c r="M325" s="13"/>
    </row>
    <row r="326">
      <c r="A326" s="15"/>
      <c r="B326" s="6"/>
      <c r="C326" s="14" t="str">
        <f>iferror(vlookup(B326,'📦 ชื่อสินค้า'!A:C,3,false),)</f>
        <v/>
      </c>
      <c r="D326" s="11" t="str">
        <f>iferror(vlookup(B326,'📦 ชื่อสินค้า'!A:D,4,false),"")</f>
        <v/>
      </c>
      <c r="E326" s="16"/>
      <c r="F326" s="8" t="str">
        <f t="shared" si="1"/>
        <v/>
      </c>
      <c r="G326" s="9" t="str">
        <f>IF(LEN(B326)&gt;0,vlookup(B326,'📊 รายงานสินค้าคงเหลือ'!A:G,6,false)*E326,)</f>
        <v/>
      </c>
      <c r="H326" s="9" t="str">
        <f t="shared" si="2"/>
        <v/>
      </c>
      <c r="I326" s="10" t="str">
        <f t="shared" si="3"/>
        <v/>
      </c>
      <c r="J326" s="11" t="str">
        <f t="shared" si="4"/>
        <v/>
      </c>
      <c r="K326" s="11" t="str">
        <f>IFERROR(IF(A326&lt;&gt;"",VLOOKUP(B326,'📦 ชื่อสินค้า'!A:F,6,false),""),)</f>
        <v/>
      </c>
      <c r="L326" s="11" t="str">
        <f t="shared" si="5"/>
        <v/>
      </c>
      <c r="M326" s="13"/>
    </row>
    <row r="327">
      <c r="A327" s="15"/>
      <c r="B327" s="6"/>
      <c r="C327" s="14" t="str">
        <f>iferror(vlookup(B327,'📦 ชื่อสินค้า'!A:C,3,false),)</f>
        <v/>
      </c>
      <c r="D327" s="11" t="str">
        <f>iferror(vlookup(B327,'📦 ชื่อสินค้า'!A:D,4,false),"")</f>
        <v/>
      </c>
      <c r="E327" s="16"/>
      <c r="F327" s="8" t="str">
        <f t="shared" si="1"/>
        <v/>
      </c>
      <c r="G327" s="9" t="str">
        <f>IF(LEN(B327)&gt;0,vlookup(B327,'📊 รายงานสินค้าคงเหลือ'!A:G,6,false)*E327,)</f>
        <v/>
      </c>
      <c r="H327" s="9" t="str">
        <f t="shared" si="2"/>
        <v/>
      </c>
      <c r="I327" s="10" t="str">
        <f t="shared" si="3"/>
        <v/>
      </c>
      <c r="J327" s="11" t="str">
        <f t="shared" si="4"/>
        <v/>
      </c>
      <c r="K327" s="11" t="str">
        <f>IFERROR(IF(A327&lt;&gt;"",VLOOKUP(B327,'📦 ชื่อสินค้า'!A:F,6,false),""),)</f>
        <v/>
      </c>
      <c r="L327" s="11" t="str">
        <f t="shared" si="5"/>
        <v/>
      </c>
      <c r="M327" s="13"/>
    </row>
    <row r="328">
      <c r="A328" s="15"/>
      <c r="B328" s="6"/>
      <c r="C328" s="14" t="str">
        <f>iferror(vlookup(B328,'📦 ชื่อสินค้า'!A:C,3,false),)</f>
        <v/>
      </c>
      <c r="D328" s="11" t="str">
        <f>iferror(vlookup(B328,'📦 ชื่อสินค้า'!A:D,4,false),"")</f>
        <v/>
      </c>
      <c r="E328" s="16"/>
      <c r="F328" s="8" t="str">
        <f t="shared" si="1"/>
        <v/>
      </c>
      <c r="G328" s="9" t="str">
        <f>IF(LEN(B328)&gt;0,vlookup(B328,'📊 รายงานสินค้าคงเหลือ'!A:G,6,false)*E328,)</f>
        <v/>
      </c>
      <c r="H328" s="9" t="str">
        <f t="shared" si="2"/>
        <v/>
      </c>
      <c r="I328" s="10" t="str">
        <f t="shared" si="3"/>
        <v/>
      </c>
      <c r="J328" s="11" t="str">
        <f t="shared" si="4"/>
        <v/>
      </c>
      <c r="K328" s="11" t="str">
        <f>IFERROR(IF(A328&lt;&gt;"",VLOOKUP(B328,'📦 ชื่อสินค้า'!A:F,6,false),""),)</f>
        <v/>
      </c>
      <c r="L328" s="11" t="str">
        <f t="shared" si="5"/>
        <v/>
      </c>
      <c r="M328" s="13"/>
    </row>
    <row r="329">
      <c r="A329" s="15"/>
      <c r="B329" s="6"/>
      <c r="C329" s="14" t="str">
        <f>iferror(vlookup(B329,'📦 ชื่อสินค้า'!A:C,3,false),)</f>
        <v/>
      </c>
      <c r="D329" s="11" t="str">
        <f>iferror(vlookup(B329,'📦 ชื่อสินค้า'!A:D,4,false),"")</f>
        <v/>
      </c>
      <c r="E329" s="16"/>
      <c r="F329" s="8" t="str">
        <f t="shared" si="1"/>
        <v/>
      </c>
      <c r="G329" s="9" t="str">
        <f>IF(LEN(B329)&gt;0,vlookup(B329,'📊 รายงานสินค้าคงเหลือ'!A:G,6,false)*E329,)</f>
        <v/>
      </c>
      <c r="H329" s="9" t="str">
        <f t="shared" si="2"/>
        <v/>
      </c>
      <c r="I329" s="10" t="str">
        <f t="shared" si="3"/>
        <v/>
      </c>
      <c r="J329" s="11" t="str">
        <f t="shared" si="4"/>
        <v/>
      </c>
      <c r="K329" s="11" t="str">
        <f>IFERROR(IF(A329&lt;&gt;"",VLOOKUP(B329,'📦 ชื่อสินค้า'!A:F,6,false),""),)</f>
        <v/>
      </c>
      <c r="L329" s="11" t="str">
        <f t="shared" si="5"/>
        <v/>
      </c>
      <c r="M329" s="13"/>
    </row>
    <row r="330">
      <c r="A330" s="15"/>
      <c r="B330" s="6"/>
      <c r="C330" s="14" t="str">
        <f>iferror(vlookup(B330,'📦 ชื่อสินค้า'!A:C,3,false),)</f>
        <v/>
      </c>
      <c r="D330" s="11" t="str">
        <f>iferror(vlookup(B330,'📦 ชื่อสินค้า'!A:D,4,false),"")</f>
        <v/>
      </c>
      <c r="E330" s="16"/>
      <c r="F330" s="8" t="str">
        <f t="shared" si="1"/>
        <v/>
      </c>
      <c r="G330" s="9" t="str">
        <f>IF(LEN(B330)&gt;0,vlookup(B330,'📊 รายงานสินค้าคงเหลือ'!A:G,6,false)*E330,)</f>
        <v/>
      </c>
      <c r="H330" s="9" t="str">
        <f t="shared" si="2"/>
        <v/>
      </c>
      <c r="I330" s="10" t="str">
        <f t="shared" si="3"/>
        <v/>
      </c>
      <c r="J330" s="11" t="str">
        <f t="shared" si="4"/>
        <v/>
      </c>
      <c r="K330" s="11" t="str">
        <f>IFERROR(IF(A330&lt;&gt;"",VLOOKUP(B330,'📦 ชื่อสินค้า'!A:F,6,false),""),)</f>
        <v/>
      </c>
      <c r="L330" s="11" t="str">
        <f t="shared" si="5"/>
        <v/>
      </c>
      <c r="M330" s="13"/>
    </row>
    <row r="331">
      <c r="A331" s="15"/>
      <c r="B331" s="6"/>
      <c r="C331" s="14" t="str">
        <f>iferror(vlookup(B331,'📦 ชื่อสินค้า'!A:C,3,false),)</f>
        <v/>
      </c>
      <c r="D331" s="11" t="str">
        <f>iferror(vlookup(B331,'📦 ชื่อสินค้า'!A:D,4,false),"")</f>
        <v/>
      </c>
      <c r="E331" s="16"/>
      <c r="F331" s="8" t="str">
        <f t="shared" si="1"/>
        <v/>
      </c>
      <c r="G331" s="9" t="str">
        <f>IF(LEN(B331)&gt;0,vlookup(B331,'📊 รายงานสินค้าคงเหลือ'!A:G,6,false)*E331,)</f>
        <v/>
      </c>
      <c r="H331" s="9" t="str">
        <f t="shared" si="2"/>
        <v/>
      </c>
      <c r="I331" s="10" t="str">
        <f t="shared" si="3"/>
        <v/>
      </c>
      <c r="J331" s="11" t="str">
        <f t="shared" si="4"/>
        <v/>
      </c>
      <c r="K331" s="11" t="str">
        <f>IFERROR(IF(A331&lt;&gt;"",VLOOKUP(B331,'📦 ชื่อสินค้า'!A:F,6,false),""),)</f>
        <v/>
      </c>
      <c r="L331" s="11" t="str">
        <f t="shared" si="5"/>
        <v/>
      </c>
      <c r="M331" s="13"/>
    </row>
    <row r="332">
      <c r="A332" s="15"/>
      <c r="B332" s="6"/>
      <c r="C332" s="14" t="str">
        <f>iferror(vlookup(B332,'📦 ชื่อสินค้า'!A:C,3,false),)</f>
        <v/>
      </c>
      <c r="D332" s="11" t="str">
        <f>iferror(vlookup(B332,'📦 ชื่อสินค้า'!A:D,4,false),"")</f>
        <v/>
      </c>
      <c r="E332" s="16"/>
      <c r="F332" s="8" t="str">
        <f t="shared" si="1"/>
        <v/>
      </c>
      <c r="G332" s="9" t="str">
        <f>IF(LEN(B332)&gt;0,vlookup(B332,'📊 รายงานสินค้าคงเหลือ'!A:G,6,false)*E332,)</f>
        <v/>
      </c>
      <c r="H332" s="9" t="str">
        <f t="shared" si="2"/>
        <v/>
      </c>
      <c r="I332" s="10" t="str">
        <f t="shared" si="3"/>
        <v/>
      </c>
      <c r="J332" s="11" t="str">
        <f t="shared" si="4"/>
        <v/>
      </c>
      <c r="K332" s="11" t="str">
        <f>IFERROR(IF(A332&lt;&gt;"",VLOOKUP(B332,'📦 ชื่อสินค้า'!A:F,6,false),""),)</f>
        <v/>
      </c>
      <c r="L332" s="11" t="str">
        <f t="shared" si="5"/>
        <v/>
      </c>
      <c r="M332" s="13"/>
    </row>
    <row r="333">
      <c r="A333" s="15"/>
      <c r="B333" s="6"/>
      <c r="C333" s="14" t="str">
        <f>iferror(vlookup(B333,'📦 ชื่อสินค้า'!A:C,3,false),)</f>
        <v/>
      </c>
      <c r="D333" s="11" t="str">
        <f>iferror(vlookup(B333,'📦 ชื่อสินค้า'!A:D,4,false),"")</f>
        <v/>
      </c>
      <c r="E333" s="16"/>
      <c r="F333" s="8" t="str">
        <f t="shared" si="1"/>
        <v/>
      </c>
      <c r="G333" s="9" t="str">
        <f>IF(LEN(B333)&gt;0,vlookup(B333,'📊 รายงานสินค้าคงเหลือ'!A:G,6,false)*E333,)</f>
        <v/>
      </c>
      <c r="H333" s="9" t="str">
        <f t="shared" si="2"/>
        <v/>
      </c>
      <c r="I333" s="10" t="str">
        <f t="shared" si="3"/>
        <v/>
      </c>
      <c r="J333" s="11" t="str">
        <f t="shared" si="4"/>
        <v/>
      </c>
      <c r="K333" s="11" t="str">
        <f>IFERROR(IF(A333&lt;&gt;"",VLOOKUP(B333,'📦 ชื่อสินค้า'!A:F,6,false),""),)</f>
        <v/>
      </c>
      <c r="L333" s="11" t="str">
        <f t="shared" si="5"/>
        <v/>
      </c>
      <c r="M333" s="13"/>
    </row>
    <row r="334">
      <c r="A334" s="15"/>
      <c r="B334" s="6"/>
      <c r="C334" s="14" t="str">
        <f>iferror(vlookup(B334,'📦 ชื่อสินค้า'!A:C,3,false),)</f>
        <v/>
      </c>
      <c r="D334" s="11" t="str">
        <f>iferror(vlookup(B334,'📦 ชื่อสินค้า'!A:D,4,false),"")</f>
        <v/>
      </c>
      <c r="E334" s="16"/>
      <c r="F334" s="8" t="str">
        <f t="shared" si="1"/>
        <v/>
      </c>
      <c r="G334" s="9" t="str">
        <f>IF(LEN(B334)&gt;0,vlookup(B334,'📊 รายงานสินค้าคงเหลือ'!A:G,6,false)*E334,)</f>
        <v/>
      </c>
      <c r="H334" s="9" t="str">
        <f t="shared" si="2"/>
        <v/>
      </c>
      <c r="I334" s="10" t="str">
        <f t="shared" si="3"/>
        <v/>
      </c>
      <c r="J334" s="11" t="str">
        <f t="shared" si="4"/>
        <v/>
      </c>
      <c r="K334" s="11" t="str">
        <f>IFERROR(IF(A334&lt;&gt;"",VLOOKUP(B334,'📦 ชื่อสินค้า'!A:F,6,false),""),)</f>
        <v/>
      </c>
      <c r="L334" s="11" t="str">
        <f t="shared" si="5"/>
        <v/>
      </c>
      <c r="M334" s="13"/>
    </row>
    <row r="335">
      <c r="A335" s="15"/>
      <c r="B335" s="6"/>
      <c r="C335" s="14" t="str">
        <f>iferror(vlookup(B335,'📦 ชื่อสินค้า'!A:C,3,false),)</f>
        <v/>
      </c>
      <c r="D335" s="11" t="str">
        <f>iferror(vlookup(B335,'📦 ชื่อสินค้า'!A:D,4,false),"")</f>
        <v/>
      </c>
      <c r="E335" s="16"/>
      <c r="F335" s="8" t="str">
        <f t="shared" si="1"/>
        <v/>
      </c>
      <c r="G335" s="9" t="str">
        <f>IF(LEN(B335)&gt;0,vlookup(B335,'📊 รายงานสินค้าคงเหลือ'!A:G,6,false)*E335,)</f>
        <v/>
      </c>
      <c r="H335" s="9" t="str">
        <f t="shared" si="2"/>
        <v/>
      </c>
      <c r="I335" s="10" t="str">
        <f t="shared" si="3"/>
        <v/>
      </c>
      <c r="J335" s="11" t="str">
        <f t="shared" si="4"/>
        <v/>
      </c>
      <c r="K335" s="11" t="str">
        <f>IFERROR(IF(A335&lt;&gt;"",VLOOKUP(B335,'📦 ชื่อสินค้า'!A:F,6,false),""),)</f>
        <v/>
      </c>
      <c r="L335" s="11" t="str">
        <f t="shared" si="5"/>
        <v/>
      </c>
      <c r="M335" s="13"/>
    </row>
    <row r="336">
      <c r="A336" s="15"/>
      <c r="B336" s="6"/>
      <c r="C336" s="14" t="str">
        <f>iferror(vlookup(B336,'📦 ชื่อสินค้า'!A:C,3,false),)</f>
        <v/>
      </c>
      <c r="D336" s="11" t="str">
        <f>iferror(vlookup(B336,'📦 ชื่อสินค้า'!A:D,4,false),"")</f>
        <v/>
      </c>
      <c r="E336" s="16"/>
      <c r="F336" s="8" t="str">
        <f t="shared" si="1"/>
        <v/>
      </c>
      <c r="G336" s="9" t="str">
        <f>IF(LEN(B336)&gt;0,vlookup(B336,'📊 รายงานสินค้าคงเหลือ'!A:G,6,false)*E336,)</f>
        <v/>
      </c>
      <c r="H336" s="9" t="str">
        <f t="shared" si="2"/>
        <v/>
      </c>
      <c r="I336" s="10" t="str">
        <f t="shared" si="3"/>
        <v/>
      </c>
      <c r="J336" s="11" t="str">
        <f t="shared" si="4"/>
        <v/>
      </c>
      <c r="K336" s="11" t="str">
        <f>IFERROR(IF(A336&lt;&gt;"",VLOOKUP(B336,'📦 ชื่อสินค้า'!A:F,6,false),""),)</f>
        <v/>
      </c>
      <c r="L336" s="11" t="str">
        <f t="shared" si="5"/>
        <v/>
      </c>
      <c r="M336" s="13"/>
    </row>
    <row r="337">
      <c r="A337" s="15"/>
      <c r="B337" s="6"/>
      <c r="C337" s="14" t="str">
        <f>iferror(vlookup(B337,'📦 ชื่อสินค้า'!A:C,3,false),)</f>
        <v/>
      </c>
      <c r="D337" s="11" t="str">
        <f>iferror(vlookup(B337,'📦 ชื่อสินค้า'!A:D,4,false),"")</f>
        <v/>
      </c>
      <c r="E337" s="16"/>
      <c r="F337" s="8" t="str">
        <f t="shared" si="1"/>
        <v/>
      </c>
      <c r="G337" s="9" t="str">
        <f>IF(LEN(B337)&gt;0,vlookup(B337,'📊 รายงานสินค้าคงเหลือ'!A:G,6,false)*E337,)</f>
        <v/>
      </c>
      <c r="H337" s="9" t="str">
        <f t="shared" si="2"/>
        <v/>
      </c>
      <c r="I337" s="10" t="str">
        <f t="shared" si="3"/>
        <v/>
      </c>
      <c r="J337" s="11" t="str">
        <f t="shared" si="4"/>
        <v/>
      </c>
      <c r="K337" s="11" t="str">
        <f>IFERROR(IF(A337&lt;&gt;"",VLOOKUP(B337,'📦 ชื่อสินค้า'!A:F,6,false),""),)</f>
        <v/>
      </c>
      <c r="L337" s="11" t="str">
        <f t="shared" si="5"/>
        <v/>
      </c>
      <c r="M337" s="13"/>
    </row>
    <row r="338">
      <c r="A338" s="15"/>
      <c r="B338" s="6"/>
      <c r="C338" s="14" t="str">
        <f>iferror(vlookup(B338,'📦 ชื่อสินค้า'!A:C,3,false),)</f>
        <v/>
      </c>
      <c r="D338" s="11" t="str">
        <f>iferror(vlookup(B338,'📦 ชื่อสินค้า'!A:D,4,false),"")</f>
        <v/>
      </c>
      <c r="E338" s="16"/>
      <c r="F338" s="8" t="str">
        <f t="shared" si="1"/>
        <v/>
      </c>
      <c r="G338" s="9" t="str">
        <f>IF(LEN(B338)&gt;0,vlookup(B338,'📊 รายงานสินค้าคงเหลือ'!A:G,6,false)*E338,)</f>
        <v/>
      </c>
      <c r="H338" s="9" t="str">
        <f t="shared" si="2"/>
        <v/>
      </c>
      <c r="I338" s="10" t="str">
        <f t="shared" si="3"/>
        <v/>
      </c>
      <c r="J338" s="11" t="str">
        <f t="shared" si="4"/>
        <v/>
      </c>
      <c r="K338" s="11" t="str">
        <f>IFERROR(IF(A338&lt;&gt;"",VLOOKUP(B338,'📦 ชื่อสินค้า'!A:F,6,false),""),)</f>
        <v/>
      </c>
      <c r="L338" s="11" t="str">
        <f t="shared" si="5"/>
        <v/>
      </c>
      <c r="M338" s="13"/>
    </row>
    <row r="339">
      <c r="A339" s="15"/>
      <c r="B339" s="6"/>
      <c r="C339" s="14" t="str">
        <f>iferror(vlookup(B339,'📦 ชื่อสินค้า'!A:C,3,false),)</f>
        <v/>
      </c>
      <c r="D339" s="11" t="str">
        <f>iferror(vlookup(B339,'📦 ชื่อสินค้า'!A:D,4,false),"")</f>
        <v/>
      </c>
      <c r="E339" s="16"/>
      <c r="F339" s="8" t="str">
        <f t="shared" si="1"/>
        <v/>
      </c>
      <c r="G339" s="9" t="str">
        <f>IF(LEN(B339)&gt;0,vlookup(B339,'📊 รายงานสินค้าคงเหลือ'!A:G,6,false)*E339,)</f>
        <v/>
      </c>
      <c r="H339" s="9" t="str">
        <f t="shared" si="2"/>
        <v/>
      </c>
      <c r="I339" s="10" t="str">
        <f t="shared" si="3"/>
        <v/>
      </c>
      <c r="J339" s="11" t="str">
        <f t="shared" si="4"/>
        <v/>
      </c>
      <c r="K339" s="11" t="str">
        <f>IFERROR(IF(A339&lt;&gt;"",VLOOKUP(B339,'📦 ชื่อสินค้า'!A:F,6,false),""),)</f>
        <v/>
      </c>
      <c r="L339" s="11" t="str">
        <f t="shared" si="5"/>
        <v/>
      </c>
      <c r="M339" s="13"/>
    </row>
    <row r="340">
      <c r="A340" s="15"/>
      <c r="B340" s="6"/>
      <c r="C340" s="14" t="str">
        <f>iferror(vlookup(B340,'📦 ชื่อสินค้า'!A:C,3,false),)</f>
        <v/>
      </c>
      <c r="D340" s="11" t="str">
        <f>iferror(vlookup(B340,'📦 ชื่อสินค้า'!A:D,4,false),"")</f>
        <v/>
      </c>
      <c r="E340" s="16"/>
      <c r="F340" s="8" t="str">
        <f t="shared" si="1"/>
        <v/>
      </c>
      <c r="G340" s="9" t="str">
        <f>IF(LEN(B340)&gt;0,vlookup(B340,'📊 รายงานสินค้าคงเหลือ'!A:G,6,false)*E340,)</f>
        <v/>
      </c>
      <c r="H340" s="9" t="str">
        <f t="shared" si="2"/>
        <v/>
      </c>
      <c r="I340" s="10" t="str">
        <f t="shared" si="3"/>
        <v/>
      </c>
      <c r="J340" s="11" t="str">
        <f t="shared" si="4"/>
        <v/>
      </c>
      <c r="K340" s="11" t="str">
        <f>IFERROR(IF(A340&lt;&gt;"",VLOOKUP(B340,'📦 ชื่อสินค้า'!A:F,6,false),""),)</f>
        <v/>
      </c>
      <c r="L340" s="11" t="str">
        <f t="shared" si="5"/>
        <v/>
      </c>
      <c r="M340" s="13"/>
    </row>
    <row r="341">
      <c r="A341" s="15"/>
      <c r="B341" s="6"/>
      <c r="C341" s="14" t="str">
        <f>iferror(vlookup(B341,'📦 ชื่อสินค้า'!A:C,3,false),)</f>
        <v/>
      </c>
      <c r="D341" s="11" t="str">
        <f>iferror(vlookup(B341,'📦 ชื่อสินค้า'!A:D,4,false),"")</f>
        <v/>
      </c>
      <c r="E341" s="16"/>
      <c r="F341" s="8" t="str">
        <f t="shared" si="1"/>
        <v/>
      </c>
      <c r="G341" s="9" t="str">
        <f>IF(LEN(B341)&gt;0,vlookup(B341,'📊 รายงานสินค้าคงเหลือ'!A:G,6,false)*E341,)</f>
        <v/>
      </c>
      <c r="H341" s="9" t="str">
        <f t="shared" si="2"/>
        <v/>
      </c>
      <c r="I341" s="10" t="str">
        <f t="shared" si="3"/>
        <v/>
      </c>
      <c r="J341" s="11" t="str">
        <f t="shared" si="4"/>
        <v/>
      </c>
      <c r="K341" s="11" t="str">
        <f>IFERROR(IF(A341&lt;&gt;"",VLOOKUP(B341,'📦 ชื่อสินค้า'!A:F,6,false),""),)</f>
        <v/>
      </c>
      <c r="L341" s="11" t="str">
        <f t="shared" si="5"/>
        <v/>
      </c>
      <c r="M341" s="13"/>
    </row>
    <row r="342">
      <c r="A342" s="15"/>
      <c r="B342" s="6"/>
      <c r="C342" s="14" t="str">
        <f>iferror(vlookup(B342,'📦 ชื่อสินค้า'!A:C,3,false),)</f>
        <v/>
      </c>
      <c r="D342" s="11" t="str">
        <f>iferror(vlookup(B342,'📦 ชื่อสินค้า'!A:D,4,false),"")</f>
        <v/>
      </c>
      <c r="E342" s="16"/>
      <c r="F342" s="8" t="str">
        <f t="shared" si="1"/>
        <v/>
      </c>
      <c r="G342" s="9" t="str">
        <f>IF(LEN(B342)&gt;0,vlookup(B342,'📊 รายงานสินค้าคงเหลือ'!A:G,6,false)*E342,)</f>
        <v/>
      </c>
      <c r="H342" s="9" t="str">
        <f t="shared" si="2"/>
        <v/>
      </c>
      <c r="I342" s="10" t="str">
        <f t="shared" si="3"/>
        <v/>
      </c>
      <c r="J342" s="11" t="str">
        <f t="shared" si="4"/>
        <v/>
      </c>
      <c r="K342" s="11" t="str">
        <f>IFERROR(IF(A342&lt;&gt;"",VLOOKUP(B342,'📦 ชื่อสินค้า'!A:F,6,false),""),)</f>
        <v/>
      </c>
      <c r="L342" s="11" t="str">
        <f t="shared" si="5"/>
        <v/>
      </c>
      <c r="M342" s="13"/>
    </row>
    <row r="343">
      <c r="A343" s="15"/>
      <c r="B343" s="6"/>
      <c r="C343" s="14" t="str">
        <f>iferror(vlookup(B343,'📦 ชื่อสินค้า'!A:C,3,false),)</f>
        <v/>
      </c>
      <c r="D343" s="11" t="str">
        <f>iferror(vlookup(B343,'📦 ชื่อสินค้า'!A:D,4,false),"")</f>
        <v/>
      </c>
      <c r="E343" s="16"/>
      <c r="F343" s="8" t="str">
        <f t="shared" si="1"/>
        <v/>
      </c>
      <c r="G343" s="9" t="str">
        <f>IF(LEN(B343)&gt;0,vlookup(B343,'📊 รายงานสินค้าคงเหลือ'!A:G,6,false)*E343,)</f>
        <v/>
      </c>
      <c r="H343" s="9" t="str">
        <f t="shared" si="2"/>
        <v/>
      </c>
      <c r="I343" s="10" t="str">
        <f t="shared" si="3"/>
        <v/>
      </c>
      <c r="J343" s="11" t="str">
        <f t="shared" si="4"/>
        <v/>
      </c>
      <c r="K343" s="11" t="str">
        <f>IFERROR(IF(A343&lt;&gt;"",VLOOKUP(B343,'📦 ชื่อสินค้า'!A:F,6,false),""),)</f>
        <v/>
      </c>
      <c r="L343" s="11" t="str">
        <f t="shared" si="5"/>
        <v/>
      </c>
      <c r="M343" s="13"/>
    </row>
    <row r="344">
      <c r="A344" s="15"/>
      <c r="B344" s="6"/>
      <c r="C344" s="14" t="str">
        <f>iferror(vlookup(B344,'📦 ชื่อสินค้า'!A:C,3,false),)</f>
        <v/>
      </c>
      <c r="D344" s="11" t="str">
        <f>iferror(vlookup(B344,'📦 ชื่อสินค้า'!A:D,4,false),"")</f>
        <v/>
      </c>
      <c r="E344" s="16"/>
      <c r="F344" s="8" t="str">
        <f t="shared" si="1"/>
        <v/>
      </c>
      <c r="G344" s="9" t="str">
        <f>IF(LEN(B344)&gt;0,vlookup(B344,'📊 รายงานสินค้าคงเหลือ'!A:G,6,false)*E344,)</f>
        <v/>
      </c>
      <c r="H344" s="9" t="str">
        <f t="shared" si="2"/>
        <v/>
      </c>
      <c r="I344" s="10" t="str">
        <f t="shared" si="3"/>
        <v/>
      </c>
      <c r="J344" s="11" t="str">
        <f t="shared" si="4"/>
        <v/>
      </c>
      <c r="K344" s="11" t="str">
        <f>IFERROR(IF(A344&lt;&gt;"",VLOOKUP(B344,'📦 ชื่อสินค้า'!A:F,6,false),""),)</f>
        <v/>
      </c>
      <c r="L344" s="11" t="str">
        <f t="shared" si="5"/>
        <v/>
      </c>
      <c r="M344" s="13"/>
    </row>
    <row r="345">
      <c r="A345" s="15"/>
      <c r="B345" s="6"/>
      <c r="C345" s="14" t="str">
        <f>iferror(vlookup(B345,'📦 ชื่อสินค้า'!A:C,3,false),)</f>
        <v/>
      </c>
      <c r="D345" s="11" t="str">
        <f>iferror(vlookup(B345,'📦 ชื่อสินค้า'!A:D,4,false),"")</f>
        <v/>
      </c>
      <c r="E345" s="16"/>
      <c r="F345" s="8" t="str">
        <f t="shared" si="1"/>
        <v/>
      </c>
      <c r="G345" s="9" t="str">
        <f>IF(LEN(B345)&gt;0,vlookup(B345,'📊 รายงานสินค้าคงเหลือ'!A:G,6,false)*E345,)</f>
        <v/>
      </c>
      <c r="H345" s="9" t="str">
        <f t="shared" si="2"/>
        <v/>
      </c>
      <c r="I345" s="10" t="str">
        <f t="shared" si="3"/>
        <v/>
      </c>
      <c r="J345" s="11" t="str">
        <f t="shared" si="4"/>
        <v/>
      </c>
      <c r="K345" s="11" t="str">
        <f>IFERROR(IF(A345&lt;&gt;"",VLOOKUP(B345,'📦 ชื่อสินค้า'!A:F,6,false),""),)</f>
        <v/>
      </c>
      <c r="L345" s="11" t="str">
        <f t="shared" si="5"/>
        <v/>
      </c>
      <c r="M345" s="13"/>
    </row>
    <row r="346">
      <c r="A346" s="15"/>
      <c r="B346" s="6"/>
      <c r="C346" s="14" t="str">
        <f>iferror(vlookup(B346,'📦 ชื่อสินค้า'!A:C,3,false),)</f>
        <v/>
      </c>
      <c r="D346" s="11" t="str">
        <f>iferror(vlookup(B346,'📦 ชื่อสินค้า'!A:D,4,false),"")</f>
        <v/>
      </c>
      <c r="E346" s="16"/>
      <c r="F346" s="8" t="str">
        <f t="shared" si="1"/>
        <v/>
      </c>
      <c r="G346" s="9" t="str">
        <f>IF(LEN(B346)&gt;0,vlookup(B346,'📊 รายงานสินค้าคงเหลือ'!A:G,6,false)*E346,)</f>
        <v/>
      </c>
      <c r="H346" s="9" t="str">
        <f t="shared" si="2"/>
        <v/>
      </c>
      <c r="I346" s="10" t="str">
        <f t="shared" si="3"/>
        <v/>
      </c>
      <c r="J346" s="11" t="str">
        <f t="shared" si="4"/>
        <v/>
      </c>
      <c r="K346" s="11" t="str">
        <f>IFERROR(IF(A346&lt;&gt;"",VLOOKUP(B346,'📦 ชื่อสินค้า'!A:F,6,false),""),)</f>
        <v/>
      </c>
      <c r="L346" s="11" t="str">
        <f t="shared" si="5"/>
        <v/>
      </c>
      <c r="M346" s="13"/>
    </row>
    <row r="347">
      <c r="A347" s="15"/>
      <c r="B347" s="6"/>
      <c r="C347" s="14" t="str">
        <f>iferror(vlookup(B347,'📦 ชื่อสินค้า'!A:C,3,false),)</f>
        <v/>
      </c>
      <c r="D347" s="11" t="str">
        <f>iferror(vlookup(B347,'📦 ชื่อสินค้า'!A:D,4,false),"")</f>
        <v/>
      </c>
      <c r="E347" s="16"/>
      <c r="F347" s="8" t="str">
        <f t="shared" si="1"/>
        <v/>
      </c>
      <c r="G347" s="9" t="str">
        <f>IF(LEN(B347)&gt;0,vlookup(B347,'📊 รายงานสินค้าคงเหลือ'!A:G,6,false)*E347,)</f>
        <v/>
      </c>
      <c r="H347" s="9" t="str">
        <f t="shared" si="2"/>
        <v/>
      </c>
      <c r="I347" s="10" t="str">
        <f t="shared" si="3"/>
        <v/>
      </c>
      <c r="J347" s="11" t="str">
        <f t="shared" si="4"/>
        <v/>
      </c>
      <c r="K347" s="11" t="str">
        <f>IFERROR(IF(A347&lt;&gt;"",VLOOKUP(B347,'📦 ชื่อสินค้า'!A:F,6,false),""),)</f>
        <v/>
      </c>
      <c r="L347" s="11" t="str">
        <f t="shared" si="5"/>
        <v/>
      </c>
      <c r="M347" s="13"/>
    </row>
    <row r="348">
      <c r="A348" s="15"/>
      <c r="B348" s="6"/>
      <c r="C348" s="14" t="str">
        <f>iferror(vlookup(B348,'📦 ชื่อสินค้า'!A:C,3,false),)</f>
        <v/>
      </c>
      <c r="D348" s="11" t="str">
        <f>iferror(vlookup(B348,'📦 ชื่อสินค้า'!A:D,4,false),"")</f>
        <v/>
      </c>
      <c r="E348" s="16"/>
      <c r="F348" s="8" t="str">
        <f t="shared" si="1"/>
        <v/>
      </c>
      <c r="G348" s="9" t="str">
        <f>IF(LEN(B348)&gt;0,vlookup(B348,'📊 รายงานสินค้าคงเหลือ'!A:G,6,false)*E348,)</f>
        <v/>
      </c>
      <c r="H348" s="9" t="str">
        <f t="shared" si="2"/>
        <v/>
      </c>
      <c r="I348" s="10" t="str">
        <f t="shared" si="3"/>
        <v/>
      </c>
      <c r="J348" s="11" t="str">
        <f t="shared" si="4"/>
        <v/>
      </c>
      <c r="K348" s="11" t="str">
        <f>IFERROR(IF(A348&lt;&gt;"",VLOOKUP(B348,'📦 ชื่อสินค้า'!A:F,6,false),""),)</f>
        <v/>
      </c>
      <c r="L348" s="11" t="str">
        <f t="shared" si="5"/>
        <v/>
      </c>
      <c r="M348" s="13"/>
    </row>
    <row r="349">
      <c r="A349" s="15"/>
      <c r="B349" s="6"/>
      <c r="C349" s="14" t="str">
        <f>iferror(vlookup(B349,'📦 ชื่อสินค้า'!A:C,3,false),)</f>
        <v/>
      </c>
      <c r="D349" s="11" t="str">
        <f>iferror(vlookup(B349,'📦 ชื่อสินค้า'!A:D,4,false),"")</f>
        <v/>
      </c>
      <c r="E349" s="16"/>
      <c r="F349" s="8" t="str">
        <f t="shared" si="1"/>
        <v/>
      </c>
      <c r="G349" s="9" t="str">
        <f>IF(LEN(B349)&gt;0,vlookup(B349,'📊 รายงานสินค้าคงเหลือ'!A:G,6,false)*E349,)</f>
        <v/>
      </c>
      <c r="H349" s="9" t="str">
        <f t="shared" si="2"/>
        <v/>
      </c>
      <c r="I349" s="10" t="str">
        <f t="shared" si="3"/>
        <v/>
      </c>
      <c r="J349" s="11" t="str">
        <f t="shared" si="4"/>
        <v/>
      </c>
      <c r="K349" s="11" t="str">
        <f>IFERROR(IF(A349&lt;&gt;"",VLOOKUP(B349,'📦 ชื่อสินค้า'!A:F,6,false),""),)</f>
        <v/>
      </c>
      <c r="L349" s="11" t="str">
        <f t="shared" si="5"/>
        <v/>
      </c>
      <c r="M349" s="13"/>
    </row>
    <row r="350">
      <c r="A350" s="15"/>
      <c r="B350" s="6"/>
      <c r="C350" s="14" t="str">
        <f>iferror(vlookup(B350,'📦 ชื่อสินค้า'!A:C,3,false),)</f>
        <v/>
      </c>
      <c r="D350" s="11" t="str">
        <f>iferror(vlookup(B350,'📦 ชื่อสินค้า'!A:D,4,false),"")</f>
        <v/>
      </c>
      <c r="E350" s="16"/>
      <c r="F350" s="8" t="str">
        <f t="shared" si="1"/>
        <v/>
      </c>
      <c r="G350" s="9" t="str">
        <f>IF(LEN(B350)&gt;0,vlookup(B350,'📊 รายงานสินค้าคงเหลือ'!A:G,6,false)*E350,)</f>
        <v/>
      </c>
      <c r="H350" s="9" t="str">
        <f t="shared" si="2"/>
        <v/>
      </c>
      <c r="I350" s="10" t="str">
        <f t="shared" si="3"/>
        <v/>
      </c>
      <c r="J350" s="11" t="str">
        <f t="shared" si="4"/>
        <v/>
      </c>
      <c r="K350" s="11" t="str">
        <f>IFERROR(IF(A350&lt;&gt;"",VLOOKUP(B350,'📦 ชื่อสินค้า'!A:F,6,false),""),)</f>
        <v/>
      </c>
      <c r="L350" s="11" t="str">
        <f t="shared" si="5"/>
        <v/>
      </c>
      <c r="M350" s="13"/>
    </row>
    <row r="351">
      <c r="A351" s="15"/>
      <c r="B351" s="6"/>
      <c r="C351" s="14" t="str">
        <f>iferror(vlookup(B351,'📦 ชื่อสินค้า'!A:C,3,false),)</f>
        <v/>
      </c>
      <c r="D351" s="11" t="str">
        <f>iferror(vlookup(B351,'📦 ชื่อสินค้า'!A:D,4,false),"")</f>
        <v/>
      </c>
      <c r="E351" s="16"/>
      <c r="F351" s="8" t="str">
        <f t="shared" si="1"/>
        <v/>
      </c>
      <c r="G351" s="9" t="str">
        <f>IF(LEN(B351)&gt;0,vlookup(B351,'📊 รายงานสินค้าคงเหลือ'!A:G,6,false)*E351,)</f>
        <v/>
      </c>
      <c r="H351" s="9" t="str">
        <f t="shared" si="2"/>
        <v/>
      </c>
      <c r="I351" s="10" t="str">
        <f t="shared" si="3"/>
        <v/>
      </c>
      <c r="J351" s="11" t="str">
        <f t="shared" si="4"/>
        <v/>
      </c>
      <c r="K351" s="11" t="str">
        <f>IFERROR(IF(A351&lt;&gt;"",VLOOKUP(B351,'📦 ชื่อสินค้า'!A:F,6,false),""),)</f>
        <v/>
      </c>
      <c r="L351" s="11" t="str">
        <f t="shared" si="5"/>
        <v/>
      </c>
      <c r="M351" s="13"/>
    </row>
    <row r="352">
      <c r="A352" s="15"/>
      <c r="B352" s="6"/>
      <c r="C352" s="14" t="str">
        <f>iferror(vlookup(B352,'📦 ชื่อสินค้า'!A:C,3,false),)</f>
        <v/>
      </c>
      <c r="D352" s="11" t="str">
        <f>iferror(vlookup(B352,'📦 ชื่อสินค้า'!A:D,4,false),"")</f>
        <v/>
      </c>
      <c r="E352" s="16"/>
      <c r="F352" s="8" t="str">
        <f t="shared" si="1"/>
        <v/>
      </c>
      <c r="G352" s="9" t="str">
        <f>IF(LEN(B352)&gt;0,vlookup(B352,'📊 รายงานสินค้าคงเหลือ'!A:G,6,false)*E352,)</f>
        <v/>
      </c>
      <c r="H352" s="9" t="str">
        <f t="shared" si="2"/>
        <v/>
      </c>
      <c r="I352" s="10" t="str">
        <f t="shared" si="3"/>
        <v/>
      </c>
      <c r="J352" s="11" t="str">
        <f t="shared" si="4"/>
        <v/>
      </c>
      <c r="K352" s="11" t="str">
        <f>IFERROR(IF(A352&lt;&gt;"",VLOOKUP(B352,'📦 ชื่อสินค้า'!A:F,6,false),""),)</f>
        <v/>
      </c>
      <c r="L352" s="11" t="str">
        <f t="shared" si="5"/>
        <v/>
      </c>
      <c r="M352" s="13"/>
    </row>
    <row r="353">
      <c r="A353" s="15"/>
      <c r="B353" s="6"/>
      <c r="C353" s="14" t="str">
        <f>iferror(vlookup(B353,'📦 ชื่อสินค้า'!A:C,3,false),)</f>
        <v/>
      </c>
      <c r="D353" s="11" t="str">
        <f>iferror(vlookup(B353,'📦 ชื่อสินค้า'!A:D,4,false),"")</f>
        <v/>
      </c>
      <c r="E353" s="16"/>
      <c r="F353" s="8" t="str">
        <f t="shared" si="1"/>
        <v/>
      </c>
      <c r="G353" s="9" t="str">
        <f>IF(LEN(B353)&gt;0,vlookup(B353,'📊 รายงานสินค้าคงเหลือ'!A:G,6,false)*E353,)</f>
        <v/>
      </c>
      <c r="H353" s="9" t="str">
        <f t="shared" si="2"/>
        <v/>
      </c>
      <c r="I353" s="10" t="str">
        <f t="shared" si="3"/>
        <v/>
      </c>
      <c r="J353" s="11" t="str">
        <f t="shared" si="4"/>
        <v/>
      </c>
      <c r="K353" s="11" t="str">
        <f>IFERROR(IF(A353&lt;&gt;"",VLOOKUP(B353,'📦 ชื่อสินค้า'!A:F,6,false),""),)</f>
        <v/>
      </c>
      <c r="L353" s="11" t="str">
        <f t="shared" si="5"/>
        <v/>
      </c>
      <c r="M353" s="13"/>
    </row>
    <row r="354">
      <c r="A354" s="15"/>
      <c r="B354" s="6"/>
      <c r="C354" s="14" t="str">
        <f>iferror(vlookup(B354,'📦 ชื่อสินค้า'!A:C,3,false),)</f>
        <v/>
      </c>
      <c r="D354" s="11" t="str">
        <f>iferror(vlookup(B354,'📦 ชื่อสินค้า'!A:D,4,false),"")</f>
        <v/>
      </c>
      <c r="E354" s="16"/>
      <c r="F354" s="8" t="str">
        <f t="shared" si="1"/>
        <v/>
      </c>
      <c r="G354" s="9" t="str">
        <f>IF(LEN(B354)&gt;0,vlookup(B354,'📊 รายงานสินค้าคงเหลือ'!A:G,6,false)*E354,)</f>
        <v/>
      </c>
      <c r="H354" s="9" t="str">
        <f t="shared" si="2"/>
        <v/>
      </c>
      <c r="I354" s="10" t="str">
        <f t="shared" si="3"/>
        <v/>
      </c>
      <c r="J354" s="11" t="str">
        <f t="shared" si="4"/>
        <v/>
      </c>
      <c r="K354" s="11" t="str">
        <f>IFERROR(IF(A354&lt;&gt;"",VLOOKUP(B354,'📦 ชื่อสินค้า'!A:F,6,false),""),)</f>
        <v/>
      </c>
      <c r="L354" s="11" t="str">
        <f t="shared" si="5"/>
        <v/>
      </c>
      <c r="M354" s="13"/>
    </row>
    <row r="355">
      <c r="A355" s="15"/>
      <c r="B355" s="6"/>
      <c r="C355" s="14" t="str">
        <f>iferror(vlookup(B355,'📦 ชื่อสินค้า'!A:C,3,false),)</f>
        <v/>
      </c>
      <c r="D355" s="11" t="str">
        <f>iferror(vlookup(B355,'📦 ชื่อสินค้า'!A:D,4,false),"")</f>
        <v/>
      </c>
      <c r="E355" s="16"/>
      <c r="F355" s="8" t="str">
        <f t="shared" si="1"/>
        <v/>
      </c>
      <c r="G355" s="9" t="str">
        <f>IF(LEN(B355)&gt;0,vlookup(B355,'📊 รายงานสินค้าคงเหลือ'!A:G,6,false)*E355,)</f>
        <v/>
      </c>
      <c r="H355" s="9" t="str">
        <f t="shared" si="2"/>
        <v/>
      </c>
      <c r="I355" s="10" t="str">
        <f t="shared" si="3"/>
        <v/>
      </c>
      <c r="J355" s="11" t="str">
        <f t="shared" si="4"/>
        <v/>
      </c>
      <c r="K355" s="11" t="str">
        <f>IFERROR(IF(A355&lt;&gt;"",VLOOKUP(B355,'📦 ชื่อสินค้า'!A:F,6,false),""),)</f>
        <v/>
      </c>
      <c r="L355" s="11" t="str">
        <f t="shared" si="5"/>
        <v/>
      </c>
      <c r="M355" s="13"/>
    </row>
    <row r="356">
      <c r="A356" s="15"/>
      <c r="B356" s="6"/>
      <c r="C356" s="14" t="str">
        <f>iferror(vlookup(B356,'📦 ชื่อสินค้า'!A:C,3,false),)</f>
        <v/>
      </c>
      <c r="D356" s="11" t="str">
        <f>iferror(vlookup(B356,'📦 ชื่อสินค้า'!A:D,4,false),"")</f>
        <v/>
      </c>
      <c r="E356" s="16"/>
      <c r="F356" s="8" t="str">
        <f t="shared" si="1"/>
        <v/>
      </c>
      <c r="G356" s="9" t="str">
        <f>IF(LEN(B356)&gt;0,vlookup(B356,'📊 รายงานสินค้าคงเหลือ'!A:G,6,false)*E356,)</f>
        <v/>
      </c>
      <c r="H356" s="9" t="str">
        <f t="shared" si="2"/>
        <v/>
      </c>
      <c r="I356" s="10" t="str">
        <f t="shared" si="3"/>
        <v/>
      </c>
      <c r="J356" s="11" t="str">
        <f t="shared" si="4"/>
        <v/>
      </c>
      <c r="K356" s="11" t="str">
        <f>IFERROR(IF(A356&lt;&gt;"",VLOOKUP(B356,'📦 ชื่อสินค้า'!A:F,6,false),""),)</f>
        <v/>
      </c>
      <c r="L356" s="11" t="str">
        <f t="shared" si="5"/>
        <v/>
      </c>
      <c r="M356" s="13"/>
    </row>
    <row r="357">
      <c r="A357" s="15"/>
      <c r="B357" s="6"/>
      <c r="C357" s="14" t="str">
        <f>iferror(vlookup(B357,'📦 ชื่อสินค้า'!A:C,3,false),)</f>
        <v/>
      </c>
      <c r="D357" s="11" t="str">
        <f>iferror(vlookup(B357,'📦 ชื่อสินค้า'!A:D,4,false),"")</f>
        <v/>
      </c>
      <c r="E357" s="16"/>
      <c r="F357" s="8" t="str">
        <f t="shared" si="1"/>
        <v/>
      </c>
      <c r="G357" s="9" t="str">
        <f>IF(LEN(B357)&gt;0,vlookup(B357,'📊 รายงานสินค้าคงเหลือ'!A:G,6,false)*E357,)</f>
        <v/>
      </c>
      <c r="H357" s="9" t="str">
        <f t="shared" si="2"/>
        <v/>
      </c>
      <c r="I357" s="10" t="str">
        <f t="shared" si="3"/>
        <v/>
      </c>
      <c r="J357" s="11" t="str">
        <f t="shared" si="4"/>
        <v/>
      </c>
      <c r="K357" s="11" t="str">
        <f>IFERROR(IF(A357&lt;&gt;"",VLOOKUP(B357,'📦 ชื่อสินค้า'!A:F,6,false),""),)</f>
        <v/>
      </c>
      <c r="L357" s="11" t="str">
        <f t="shared" si="5"/>
        <v/>
      </c>
      <c r="M357" s="13"/>
    </row>
    <row r="358">
      <c r="A358" s="15"/>
      <c r="B358" s="6"/>
      <c r="C358" s="14" t="str">
        <f>iferror(vlookup(B358,'📦 ชื่อสินค้า'!A:C,3,false),)</f>
        <v/>
      </c>
      <c r="D358" s="11" t="str">
        <f>iferror(vlookup(B358,'📦 ชื่อสินค้า'!A:D,4,false),"")</f>
        <v/>
      </c>
      <c r="E358" s="16"/>
      <c r="F358" s="8" t="str">
        <f t="shared" si="1"/>
        <v/>
      </c>
      <c r="G358" s="9" t="str">
        <f>IF(LEN(B358)&gt;0,vlookup(B358,'📊 รายงานสินค้าคงเหลือ'!A:G,6,false)*E358,)</f>
        <v/>
      </c>
      <c r="H358" s="9" t="str">
        <f t="shared" si="2"/>
        <v/>
      </c>
      <c r="I358" s="10" t="str">
        <f t="shared" si="3"/>
        <v/>
      </c>
      <c r="J358" s="11" t="str">
        <f t="shared" si="4"/>
        <v/>
      </c>
      <c r="K358" s="11" t="str">
        <f>IFERROR(IF(A358&lt;&gt;"",VLOOKUP(B358,'📦 ชื่อสินค้า'!A:F,6,false),""),)</f>
        <v/>
      </c>
      <c r="L358" s="11" t="str">
        <f t="shared" si="5"/>
        <v/>
      </c>
      <c r="M358" s="13"/>
    </row>
    <row r="359">
      <c r="A359" s="15"/>
      <c r="B359" s="6"/>
      <c r="C359" s="14" t="str">
        <f>iferror(vlookup(B359,'📦 ชื่อสินค้า'!A:C,3,false),)</f>
        <v/>
      </c>
      <c r="D359" s="11" t="str">
        <f>iferror(vlookup(B359,'📦 ชื่อสินค้า'!A:D,4,false),"")</f>
        <v/>
      </c>
      <c r="E359" s="16"/>
      <c r="F359" s="8" t="str">
        <f t="shared" si="1"/>
        <v/>
      </c>
      <c r="G359" s="9" t="str">
        <f>IF(LEN(B359)&gt;0,vlookup(B359,'📊 รายงานสินค้าคงเหลือ'!A:G,6,false)*E359,)</f>
        <v/>
      </c>
      <c r="H359" s="9" t="str">
        <f t="shared" si="2"/>
        <v/>
      </c>
      <c r="I359" s="10" t="str">
        <f t="shared" si="3"/>
        <v/>
      </c>
      <c r="J359" s="11" t="str">
        <f t="shared" si="4"/>
        <v/>
      </c>
      <c r="K359" s="11" t="str">
        <f>IFERROR(IF(A359&lt;&gt;"",VLOOKUP(B359,'📦 ชื่อสินค้า'!A:F,6,false),""),)</f>
        <v/>
      </c>
      <c r="L359" s="11" t="str">
        <f t="shared" si="5"/>
        <v/>
      </c>
      <c r="M359" s="13"/>
    </row>
    <row r="360">
      <c r="A360" s="15"/>
      <c r="B360" s="6"/>
      <c r="C360" s="14" t="str">
        <f>iferror(vlookup(B360,'📦 ชื่อสินค้า'!A:C,3,false),)</f>
        <v/>
      </c>
      <c r="D360" s="11" t="str">
        <f>iferror(vlookup(B360,'📦 ชื่อสินค้า'!A:D,4,false),"")</f>
        <v/>
      </c>
      <c r="E360" s="16"/>
      <c r="F360" s="8" t="str">
        <f t="shared" si="1"/>
        <v/>
      </c>
      <c r="G360" s="9" t="str">
        <f>IF(LEN(B360)&gt;0,vlookup(B360,'📊 รายงานสินค้าคงเหลือ'!A:G,6,false)*E360,)</f>
        <v/>
      </c>
      <c r="H360" s="9" t="str">
        <f t="shared" si="2"/>
        <v/>
      </c>
      <c r="I360" s="10" t="str">
        <f t="shared" si="3"/>
        <v/>
      </c>
      <c r="J360" s="11" t="str">
        <f t="shared" si="4"/>
        <v/>
      </c>
      <c r="K360" s="11" t="str">
        <f>IFERROR(IF(A360&lt;&gt;"",VLOOKUP(B360,'📦 ชื่อสินค้า'!A:F,6,false),""),)</f>
        <v/>
      </c>
      <c r="L360" s="11" t="str">
        <f t="shared" si="5"/>
        <v/>
      </c>
      <c r="M360" s="13"/>
    </row>
    <row r="361">
      <c r="A361" s="15"/>
      <c r="B361" s="6"/>
      <c r="C361" s="14" t="str">
        <f>iferror(vlookup(B361,'📦 ชื่อสินค้า'!A:C,3,false),)</f>
        <v/>
      </c>
      <c r="D361" s="11" t="str">
        <f>iferror(vlookup(B361,'📦 ชื่อสินค้า'!A:D,4,false),"")</f>
        <v/>
      </c>
      <c r="E361" s="16"/>
      <c r="F361" s="8" t="str">
        <f t="shared" si="1"/>
        <v/>
      </c>
      <c r="G361" s="9" t="str">
        <f>IF(LEN(B361)&gt;0,vlookup(B361,'📊 รายงานสินค้าคงเหลือ'!A:G,6,false)*E361,)</f>
        <v/>
      </c>
      <c r="H361" s="9" t="str">
        <f t="shared" si="2"/>
        <v/>
      </c>
      <c r="I361" s="10" t="str">
        <f t="shared" si="3"/>
        <v/>
      </c>
      <c r="J361" s="11" t="str">
        <f t="shared" si="4"/>
        <v/>
      </c>
      <c r="K361" s="11" t="str">
        <f>IFERROR(IF(A361&lt;&gt;"",VLOOKUP(B361,'📦 ชื่อสินค้า'!A:F,6,false),""),)</f>
        <v/>
      </c>
      <c r="L361" s="11" t="str">
        <f t="shared" si="5"/>
        <v/>
      </c>
      <c r="M361" s="13"/>
    </row>
    <row r="362">
      <c r="A362" s="15"/>
      <c r="B362" s="6"/>
      <c r="C362" s="14" t="str">
        <f>iferror(vlookup(B362,'📦 ชื่อสินค้า'!A:C,3,false),)</f>
        <v/>
      </c>
      <c r="D362" s="11" t="str">
        <f>iferror(vlookup(B362,'📦 ชื่อสินค้า'!A:D,4,false),"")</f>
        <v/>
      </c>
      <c r="E362" s="16"/>
      <c r="F362" s="8" t="str">
        <f t="shared" si="1"/>
        <v/>
      </c>
      <c r="G362" s="9" t="str">
        <f>IF(LEN(B362)&gt;0,vlookup(B362,'📊 รายงานสินค้าคงเหลือ'!A:G,6,false)*E362,)</f>
        <v/>
      </c>
      <c r="H362" s="9" t="str">
        <f t="shared" si="2"/>
        <v/>
      </c>
      <c r="I362" s="10" t="str">
        <f t="shared" si="3"/>
        <v/>
      </c>
      <c r="J362" s="11" t="str">
        <f t="shared" si="4"/>
        <v/>
      </c>
      <c r="K362" s="11" t="str">
        <f>IFERROR(IF(A362&lt;&gt;"",VLOOKUP(B362,'📦 ชื่อสินค้า'!A:F,6,false),""),)</f>
        <v/>
      </c>
      <c r="L362" s="11" t="str">
        <f t="shared" si="5"/>
        <v/>
      </c>
      <c r="M362" s="13"/>
    </row>
    <row r="363">
      <c r="A363" s="15"/>
      <c r="B363" s="6"/>
      <c r="C363" s="14" t="str">
        <f>iferror(vlookup(B363,'📦 ชื่อสินค้า'!A:C,3,false),)</f>
        <v/>
      </c>
      <c r="D363" s="11" t="str">
        <f>iferror(vlookup(B363,'📦 ชื่อสินค้า'!A:D,4,false),"")</f>
        <v/>
      </c>
      <c r="E363" s="16"/>
      <c r="F363" s="8" t="str">
        <f t="shared" si="1"/>
        <v/>
      </c>
      <c r="G363" s="9" t="str">
        <f>IF(LEN(B363)&gt;0,vlookup(B363,'📊 รายงานสินค้าคงเหลือ'!A:G,6,false)*E363,)</f>
        <v/>
      </c>
      <c r="H363" s="9" t="str">
        <f t="shared" si="2"/>
        <v/>
      </c>
      <c r="I363" s="10" t="str">
        <f t="shared" si="3"/>
        <v/>
      </c>
      <c r="J363" s="11" t="str">
        <f t="shared" si="4"/>
        <v/>
      </c>
      <c r="K363" s="11" t="str">
        <f>IFERROR(IF(A363&lt;&gt;"",VLOOKUP(B363,'📦 ชื่อสินค้า'!A:F,6,false),""),)</f>
        <v/>
      </c>
      <c r="L363" s="11" t="str">
        <f t="shared" si="5"/>
        <v/>
      </c>
      <c r="M363" s="13"/>
    </row>
    <row r="364">
      <c r="A364" s="15"/>
      <c r="B364" s="6"/>
      <c r="C364" s="14" t="str">
        <f>iferror(vlookup(B364,'📦 ชื่อสินค้า'!A:C,3,false),)</f>
        <v/>
      </c>
      <c r="D364" s="11" t="str">
        <f>iferror(vlookup(B364,'📦 ชื่อสินค้า'!A:D,4,false),"")</f>
        <v/>
      </c>
      <c r="E364" s="16"/>
      <c r="F364" s="8" t="str">
        <f t="shared" si="1"/>
        <v/>
      </c>
      <c r="G364" s="9" t="str">
        <f>IF(LEN(B364)&gt;0,vlookup(B364,'📊 รายงานสินค้าคงเหลือ'!A:G,6,false)*E364,)</f>
        <v/>
      </c>
      <c r="H364" s="9" t="str">
        <f t="shared" si="2"/>
        <v/>
      </c>
      <c r="I364" s="10" t="str">
        <f t="shared" si="3"/>
        <v/>
      </c>
      <c r="J364" s="11" t="str">
        <f t="shared" si="4"/>
        <v/>
      </c>
      <c r="K364" s="11" t="str">
        <f>IFERROR(IF(A364&lt;&gt;"",VLOOKUP(B364,'📦 ชื่อสินค้า'!A:F,6,false),""),)</f>
        <v/>
      </c>
      <c r="L364" s="11" t="str">
        <f t="shared" si="5"/>
        <v/>
      </c>
      <c r="M364" s="13"/>
    </row>
    <row r="365">
      <c r="A365" s="15"/>
      <c r="B365" s="6"/>
      <c r="C365" s="14" t="str">
        <f>iferror(vlookup(B365,'📦 ชื่อสินค้า'!A:C,3,false),)</f>
        <v/>
      </c>
      <c r="D365" s="11" t="str">
        <f>iferror(vlookup(B365,'📦 ชื่อสินค้า'!A:D,4,false),"")</f>
        <v/>
      </c>
      <c r="E365" s="16"/>
      <c r="F365" s="8" t="str">
        <f t="shared" si="1"/>
        <v/>
      </c>
      <c r="G365" s="9" t="str">
        <f>IF(LEN(B365)&gt;0,vlookup(B365,'📊 รายงานสินค้าคงเหลือ'!A:G,6,false)*E365,)</f>
        <v/>
      </c>
      <c r="H365" s="9" t="str">
        <f t="shared" si="2"/>
        <v/>
      </c>
      <c r="I365" s="10" t="str">
        <f t="shared" si="3"/>
        <v/>
      </c>
      <c r="J365" s="11" t="str">
        <f t="shared" si="4"/>
        <v/>
      </c>
      <c r="K365" s="11" t="str">
        <f>IFERROR(IF(A365&lt;&gt;"",VLOOKUP(B365,'📦 ชื่อสินค้า'!A:F,6,false),""),)</f>
        <v/>
      </c>
      <c r="L365" s="11" t="str">
        <f t="shared" si="5"/>
        <v/>
      </c>
      <c r="M365" s="13"/>
    </row>
    <row r="366">
      <c r="A366" s="15"/>
      <c r="B366" s="6"/>
      <c r="C366" s="14" t="str">
        <f>iferror(vlookup(B366,'📦 ชื่อสินค้า'!A:C,3,false),)</f>
        <v/>
      </c>
      <c r="D366" s="11" t="str">
        <f>iferror(vlookup(B366,'📦 ชื่อสินค้า'!A:D,4,false),"")</f>
        <v/>
      </c>
      <c r="E366" s="16"/>
      <c r="F366" s="8" t="str">
        <f t="shared" si="1"/>
        <v/>
      </c>
      <c r="G366" s="9" t="str">
        <f>IF(LEN(B366)&gt;0,vlookup(B366,'📊 รายงานสินค้าคงเหลือ'!A:G,6,false)*E366,)</f>
        <v/>
      </c>
      <c r="H366" s="9" t="str">
        <f t="shared" si="2"/>
        <v/>
      </c>
      <c r="I366" s="10" t="str">
        <f t="shared" si="3"/>
        <v/>
      </c>
      <c r="J366" s="11" t="str">
        <f t="shared" si="4"/>
        <v/>
      </c>
      <c r="K366" s="11" t="str">
        <f>IFERROR(IF(A366&lt;&gt;"",VLOOKUP(B366,'📦 ชื่อสินค้า'!A:F,6,false),""),)</f>
        <v/>
      </c>
      <c r="L366" s="11" t="str">
        <f t="shared" si="5"/>
        <v/>
      </c>
      <c r="M366" s="13"/>
    </row>
    <row r="367">
      <c r="A367" s="15"/>
      <c r="B367" s="6"/>
      <c r="C367" s="14" t="str">
        <f>iferror(vlookup(B367,'📦 ชื่อสินค้า'!A:C,3,false),)</f>
        <v/>
      </c>
      <c r="D367" s="11" t="str">
        <f>iferror(vlookup(B367,'📦 ชื่อสินค้า'!A:D,4,false),"")</f>
        <v/>
      </c>
      <c r="E367" s="16"/>
      <c r="F367" s="8" t="str">
        <f t="shared" si="1"/>
        <v/>
      </c>
      <c r="G367" s="9" t="str">
        <f>IF(LEN(B367)&gt;0,vlookup(B367,'📊 รายงานสินค้าคงเหลือ'!A:G,6,false)*E367,)</f>
        <v/>
      </c>
      <c r="H367" s="9" t="str">
        <f t="shared" si="2"/>
        <v/>
      </c>
      <c r="I367" s="10" t="str">
        <f t="shared" si="3"/>
        <v/>
      </c>
      <c r="J367" s="11" t="str">
        <f t="shared" si="4"/>
        <v/>
      </c>
      <c r="K367" s="11" t="str">
        <f>IFERROR(IF(A367&lt;&gt;"",VLOOKUP(B367,'📦 ชื่อสินค้า'!A:F,6,false),""),)</f>
        <v/>
      </c>
      <c r="L367" s="11" t="str">
        <f t="shared" si="5"/>
        <v/>
      </c>
      <c r="M367" s="13"/>
    </row>
    <row r="368">
      <c r="A368" s="15"/>
      <c r="B368" s="6"/>
      <c r="C368" s="14" t="str">
        <f>iferror(vlookup(B368,'📦 ชื่อสินค้า'!A:C,3,false),)</f>
        <v/>
      </c>
      <c r="D368" s="11" t="str">
        <f>iferror(vlookup(B368,'📦 ชื่อสินค้า'!A:D,4,false),"")</f>
        <v/>
      </c>
      <c r="E368" s="16"/>
      <c r="F368" s="8" t="str">
        <f t="shared" si="1"/>
        <v/>
      </c>
      <c r="G368" s="9" t="str">
        <f>IF(LEN(B368)&gt;0,vlookup(B368,'📊 รายงานสินค้าคงเหลือ'!A:G,6,false)*E368,)</f>
        <v/>
      </c>
      <c r="H368" s="9" t="str">
        <f t="shared" si="2"/>
        <v/>
      </c>
      <c r="I368" s="10" t="str">
        <f t="shared" si="3"/>
        <v/>
      </c>
      <c r="J368" s="11" t="str">
        <f t="shared" si="4"/>
        <v/>
      </c>
      <c r="K368" s="11" t="str">
        <f>IFERROR(IF(A368&lt;&gt;"",VLOOKUP(B368,'📦 ชื่อสินค้า'!A:F,6,false),""),)</f>
        <v/>
      </c>
      <c r="L368" s="11" t="str">
        <f t="shared" si="5"/>
        <v/>
      </c>
      <c r="M368" s="13"/>
    </row>
    <row r="369">
      <c r="A369" s="15"/>
      <c r="B369" s="6"/>
      <c r="C369" s="14" t="str">
        <f>iferror(vlookup(B369,'📦 ชื่อสินค้า'!A:C,3,false),)</f>
        <v/>
      </c>
      <c r="D369" s="11" t="str">
        <f>iferror(vlookup(B369,'📦 ชื่อสินค้า'!A:D,4,false),"")</f>
        <v/>
      </c>
      <c r="E369" s="16"/>
      <c r="F369" s="8" t="str">
        <f t="shared" si="1"/>
        <v/>
      </c>
      <c r="G369" s="9" t="str">
        <f>IF(LEN(B369)&gt;0,vlookup(B369,'📊 รายงานสินค้าคงเหลือ'!A:G,6,false)*E369,)</f>
        <v/>
      </c>
      <c r="H369" s="9" t="str">
        <f t="shared" si="2"/>
        <v/>
      </c>
      <c r="I369" s="10" t="str">
        <f t="shared" si="3"/>
        <v/>
      </c>
      <c r="J369" s="11" t="str">
        <f t="shared" si="4"/>
        <v/>
      </c>
      <c r="K369" s="11" t="str">
        <f>IFERROR(IF(A369&lt;&gt;"",VLOOKUP(B369,'📦 ชื่อสินค้า'!A:F,6,false),""),)</f>
        <v/>
      </c>
      <c r="L369" s="11" t="str">
        <f t="shared" si="5"/>
        <v/>
      </c>
      <c r="M369" s="13"/>
    </row>
    <row r="370">
      <c r="A370" s="15"/>
      <c r="B370" s="6"/>
      <c r="C370" s="14" t="str">
        <f>iferror(vlookup(B370,'📦 ชื่อสินค้า'!A:C,3,false),)</f>
        <v/>
      </c>
      <c r="D370" s="11" t="str">
        <f>iferror(vlookup(B370,'📦 ชื่อสินค้า'!A:D,4,false),"")</f>
        <v/>
      </c>
      <c r="E370" s="16"/>
      <c r="F370" s="8" t="str">
        <f t="shared" si="1"/>
        <v/>
      </c>
      <c r="G370" s="9" t="str">
        <f>IF(LEN(B370)&gt;0,vlookup(B370,'📊 รายงานสินค้าคงเหลือ'!A:G,6,false)*E370,)</f>
        <v/>
      </c>
      <c r="H370" s="9" t="str">
        <f t="shared" si="2"/>
        <v/>
      </c>
      <c r="I370" s="10" t="str">
        <f t="shared" si="3"/>
        <v/>
      </c>
      <c r="J370" s="11" t="str">
        <f t="shared" si="4"/>
        <v/>
      </c>
      <c r="K370" s="11" t="str">
        <f>IFERROR(IF(A370&lt;&gt;"",VLOOKUP(B370,'📦 ชื่อสินค้า'!A:F,6,false),""),)</f>
        <v/>
      </c>
      <c r="L370" s="11" t="str">
        <f t="shared" si="5"/>
        <v/>
      </c>
      <c r="M370" s="13"/>
    </row>
    <row r="371">
      <c r="A371" s="15"/>
      <c r="B371" s="6"/>
      <c r="C371" s="14" t="str">
        <f>iferror(vlookup(B371,'📦 ชื่อสินค้า'!A:C,3,false),)</f>
        <v/>
      </c>
      <c r="D371" s="11" t="str">
        <f>iferror(vlookup(B371,'📦 ชื่อสินค้า'!A:D,4,false),"")</f>
        <v/>
      </c>
      <c r="E371" s="16"/>
      <c r="F371" s="8" t="str">
        <f t="shared" si="1"/>
        <v/>
      </c>
      <c r="G371" s="9" t="str">
        <f>IF(LEN(B371)&gt;0,vlookup(B371,'📊 รายงานสินค้าคงเหลือ'!A:G,6,false)*E371,)</f>
        <v/>
      </c>
      <c r="H371" s="9" t="str">
        <f t="shared" si="2"/>
        <v/>
      </c>
      <c r="I371" s="10" t="str">
        <f t="shared" si="3"/>
        <v/>
      </c>
      <c r="J371" s="11" t="str">
        <f t="shared" si="4"/>
        <v/>
      </c>
      <c r="K371" s="11" t="str">
        <f>IFERROR(IF(A371&lt;&gt;"",VLOOKUP(B371,'📦 ชื่อสินค้า'!A:F,6,false),""),)</f>
        <v/>
      </c>
      <c r="L371" s="11" t="str">
        <f t="shared" si="5"/>
        <v/>
      </c>
      <c r="M371" s="13"/>
    </row>
    <row r="372">
      <c r="A372" s="15"/>
      <c r="B372" s="6"/>
      <c r="C372" s="14" t="str">
        <f>iferror(vlookup(B372,'📦 ชื่อสินค้า'!A:C,3,false),)</f>
        <v/>
      </c>
      <c r="D372" s="11" t="str">
        <f>iferror(vlookup(B372,'📦 ชื่อสินค้า'!A:D,4,false),"")</f>
        <v/>
      </c>
      <c r="E372" s="16"/>
      <c r="F372" s="8" t="str">
        <f t="shared" si="1"/>
        <v/>
      </c>
      <c r="G372" s="9" t="str">
        <f>IF(LEN(B372)&gt;0,vlookup(B372,'📊 รายงานสินค้าคงเหลือ'!A:G,6,false)*E372,)</f>
        <v/>
      </c>
      <c r="H372" s="9" t="str">
        <f t="shared" si="2"/>
        <v/>
      </c>
      <c r="I372" s="10" t="str">
        <f t="shared" si="3"/>
        <v/>
      </c>
      <c r="J372" s="11" t="str">
        <f t="shared" si="4"/>
        <v/>
      </c>
      <c r="K372" s="11" t="str">
        <f>IFERROR(IF(A372&lt;&gt;"",VLOOKUP(B372,'📦 ชื่อสินค้า'!A:F,6,false),""),)</f>
        <v/>
      </c>
      <c r="L372" s="11" t="str">
        <f t="shared" si="5"/>
        <v/>
      </c>
      <c r="M372" s="13"/>
    </row>
    <row r="373">
      <c r="A373" s="15"/>
      <c r="B373" s="6"/>
      <c r="C373" s="14" t="str">
        <f>iferror(vlookup(B373,'📦 ชื่อสินค้า'!A:C,3,false),)</f>
        <v/>
      </c>
      <c r="D373" s="11" t="str">
        <f>iferror(vlookup(B373,'📦 ชื่อสินค้า'!A:D,4,false),"")</f>
        <v/>
      </c>
      <c r="E373" s="16"/>
      <c r="F373" s="8" t="str">
        <f t="shared" si="1"/>
        <v/>
      </c>
      <c r="G373" s="9" t="str">
        <f>IF(LEN(B373)&gt;0,vlookup(B373,'📊 รายงานสินค้าคงเหลือ'!A:G,6,false)*E373,)</f>
        <v/>
      </c>
      <c r="H373" s="9" t="str">
        <f t="shared" si="2"/>
        <v/>
      </c>
      <c r="I373" s="10" t="str">
        <f t="shared" si="3"/>
        <v/>
      </c>
      <c r="J373" s="11" t="str">
        <f t="shared" si="4"/>
        <v/>
      </c>
      <c r="K373" s="11" t="str">
        <f>IFERROR(IF(A373&lt;&gt;"",VLOOKUP(B373,'📦 ชื่อสินค้า'!A:F,6,false),""),)</f>
        <v/>
      </c>
      <c r="L373" s="11" t="str">
        <f t="shared" si="5"/>
        <v/>
      </c>
      <c r="M373" s="13"/>
    </row>
    <row r="374">
      <c r="A374" s="15"/>
      <c r="B374" s="6"/>
      <c r="C374" s="14" t="str">
        <f>iferror(vlookup(B374,'📦 ชื่อสินค้า'!A:C,3,false),)</f>
        <v/>
      </c>
      <c r="D374" s="11" t="str">
        <f>iferror(vlookup(B374,'📦 ชื่อสินค้า'!A:D,4,false),"")</f>
        <v/>
      </c>
      <c r="E374" s="16"/>
      <c r="F374" s="8" t="str">
        <f t="shared" si="1"/>
        <v/>
      </c>
      <c r="G374" s="9" t="str">
        <f>IF(LEN(B374)&gt;0,vlookup(B374,'📊 รายงานสินค้าคงเหลือ'!A:G,6,false)*E374,)</f>
        <v/>
      </c>
      <c r="H374" s="9" t="str">
        <f t="shared" si="2"/>
        <v/>
      </c>
      <c r="I374" s="10" t="str">
        <f t="shared" si="3"/>
        <v/>
      </c>
      <c r="J374" s="11" t="str">
        <f t="shared" si="4"/>
        <v/>
      </c>
      <c r="K374" s="11" t="str">
        <f>IFERROR(IF(A374&lt;&gt;"",VLOOKUP(B374,'📦 ชื่อสินค้า'!A:F,6,false),""),)</f>
        <v/>
      </c>
      <c r="L374" s="11" t="str">
        <f t="shared" si="5"/>
        <v/>
      </c>
      <c r="M374" s="13"/>
    </row>
    <row r="375">
      <c r="A375" s="15"/>
      <c r="B375" s="6"/>
      <c r="C375" s="14" t="str">
        <f>iferror(vlookup(B375,'📦 ชื่อสินค้า'!A:C,3,false),)</f>
        <v/>
      </c>
      <c r="D375" s="11" t="str">
        <f>iferror(vlookup(B375,'📦 ชื่อสินค้า'!A:D,4,false),"")</f>
        <v/>
      </c>
      <c r="E375" s="16"/>
      <c r="F375" s="8" t="str">
        <f t="shared" si="1"/>
        <v/>
      </c>
      <c r="G375" s="9" t="str">
        <f>IF(LEN(B375)&gt;0,vlookup(B375,'📊 รายงานสินค้าคงเหลือ'!A:G,6,false)*E375,)</f>
        <v/>
      </c>
      <c r="H375" s="9" t="str">
        <f t="shared" si="2"/>
        <v/>
      </c>
      <c r="I375" s="10" t="str">
        <f t="shared" si="3"/>
        <v/>
      </c>
      <c r="J375" s="11" t="str">
        <f t="shared" si="4"/>
        <v/>
      </c>
      <c r="K375" s="11" t="str">
        <f>IFERROR(IF(A375&lt;&gt;"",VLOOKUP(B375,'📦 ชื่อสินค้า'!A:F,6,false),""),)</f>
        <v/>
      </c>
      <c r="L375" s="11" t="str">
        <f t="shared" si="5"/>
        <v/>
      </c>
      <c r="M375" s="13"/>
    </row>
    <row r="376">
      <c r="A376" s="15"/>
      <c r="B376" s="6"/>
      <c r="C376" s="14" t="str">
        <f>iferror(vlookup(B376,'📦 ชื่อสินค้า'!A:C,3,false),)</f>
        <v/>
      </c>
      <c r="D376" s="11" t="str">
        <f>iferror(vlookup(B376,'📦 ชื่อสินค้า'!A:D,4,false),"")</f>
        <v/>
      </c>
      <c r="E376" s="16"/>
      <c r="F376" s="8" t="str">
        <f t="shared" si="1"/>
        <v/>
      </c>
      <c r="G376" s="9" t="str">
        <f>IF(LEN(B376)&gt;0,vlookup(B376,'📊 รายงานสินค้าคงเหลือ'!A:G,6,false)*E376,)</f>
        <v/>
      </c>
      <c r="H376" s="9" t="str">
        <f t="shared" si="2"/>
        <v/>
      </c>
      <c r="I376" s="10" t="str">
        <f t="shared" si="3"/>
        <v/>
      </c>
      <c r="J376" s="11" t="str">
        <f t="shared" si="4"/>
        <v/>
      </c>
      <c r="K376" s="11" t="str">
        <f>IFERROR(IF(A376&lt;&gt;"",VLOOKUP(B376,'📦 ชื่อสินค้า'!A:F,6,false),""),)</f>
        <v/>
      </c>
      <c r="L376" s="11" t="str">
        <f t="shared" si="5"/>
        <v/>
      </c>
      <c r="M376" s="13"/>
    </row>
    <row r="377">
      <c r="A377" s="15"/>
      <c r="B377" s="6"/>
      <c r="C377" s="14" t="str">
        <f>iferror(vlookup(B377,'📦 ชื่อสินค้า'!A:C,3,false),)</f>
        <v/>
      </c>
      <c r="D377" s="11" t="str">
        <f>iferror(vlookup(B377,'📦 ชื่อสินค้า'!A:D,4,false),"")</f>
        <v/>
      </c>
      <c r="E377" s="16"/>
      <c r="F377" s="8" t="str">
        <f t="shared" si="1"/>
        <v/>
      </c>
      <c r="G377" s="9" t="str">
        <f>IF(LEN(B377)&gt;0,vlookup(B377,'📊 รายงานสินค้าคงเหลือ'!A:G,6,false)*E377,)</f>
        <v/>
      </c>
      <c r="H377" s="9" t="str">
        <f t="shared" si="2"/>
        <v/>
      </c>
      <c r="I377" s="10" t="str">
        <f t="shared" si="3"/>
        <v/>
      </c>
      <c r="J377" s="11" t="str">
        <f t="shared" si="4"/>
        <v/>
      </c>
      <c r="K377" s="11" t="str">
        <f>IFERROR(IF(A377&lt;&gt;"",VLOOKUP(B377,'📦 ชื่อสินค้า'!A:F,6,false),""),)</f>
        <v/>
      </c>
      <c r="L377" s="11" t="str">
        <f t="shared" si="5"/>
        <v/>
      </c>
      <c r="M377" s="13"/>
    </row>
    <row r="378">
      <c r="A378" s="15"/>
      <c r="B378" s="6"/>
      <c r="C378" s="14" t="str">
        <f>iferror(vlookup(B378,'📦 ชื่อสินค้า'!A:C,3,false),)</f>
        <v/>
      </c>
      <c r="D378" s="11" t="str">
        <f>iferror(vlookup(B378,'📦 ชื่อสินค้า'!A:D,4,false),"")</f>
        <v/>
      </c>
      <c r="E378" s="16"/>
      <c r="F378" s="8" t="str">
        <f t="shared" si="1"/>
        <v/>
      </c>
      <c r="G378" s="9" t="str">
        <f>IF(LEN(B378)&gt;0,vlookup(B378,'📊 รายงานสินค้าคงเหลือ'!A:G,6,false)*E378,)</f>
        <v/>
      </c>
      <c r="H378" s="9" t="str">
        <f t="shared" si="2"/>
        <v/>
      </c>
      <c r="I378" s="10" t="str">
        <f t="shared" si="3"/>
        <v/>
      </c>
      <c r="J378" s="11" t="str">
        <f t="shared" si="4"/>
        <v/>
      </c>
      <c r="K378" s="11" t="str">
        <f>IFERROR(IF(A378&lt;&gt;"",VLOOKUP(B378,'📦 ชื่อสินค้า'!A:F,6,false),""),)</f>
        <v/>
      </c>
      <c r="L378" s="11" t="str">
        <f t="shared" si="5"/>
        <v/>
      </c>
      <c r="M378" s="13"/>
    </row>
    <row r="379">
      <c r="A379" s="15"/>
      <c r="B379" s="6"/>
      <c r="C379" s="14" t="str">
        <f>iferror(vlookup(B379,'📦 ชื่อสินค้า'!A:C,3,false),)</f>
        <v/>
      </c>
      <c r="D379" s="11" t="str">
        <f>iferror(vlookup(B379,'📦 ชื่อสินค้า'!A:D,4,false),"")</f>
        <v/>
      </c>
      <c r="E379" s="16"/>
      <c r="F379" s="8" t="str">
        <f t="shared" si="1"/>
        <v/>
      </c>
      <c r="G379" s="9" t="str">
        <f>IF(LEN(B379)&gt;0,vlookup(B379,'📊 รายงานสินค้าคงเหลือ'!A:G,6,false)*E379,)</f>
        <v/>
      </c>
      <c r="H379" s="9" t="str">
        <f t="shared" si="2"/>
        <v/>
      </c>
      <c r="I379" s="10" t="str">
        <f t="shared" si="3"/>
        <v/>
      </c>
      <c r="J379" s="11" t="str">
        <f t="shared" si="4"/>
        <v/>
      </c>
      <c r="K379" s="11" t="str">
        <f>IFERROR(IF(A379&lt;&gt;"",VLOOKUP(B379,'📦 ชื่อสินค้า'!A:F,6,false),""),)</f>
        <v/>
      </c>
      <c r="L379" s="11" t="str">
        <f t="shared" si="5"/>
        <v/>
      </c>
      <c r="M379" s="13"/>
    </row>
    <row r="380">
      <c r="A380" s="15"/>
      <c r="B380" s="6"/>
      <c r="C380" s="14" t="str">
        <f>iferror(vlookup(B380,'📦 ชื่อสินค้า'!A:C,3,false),)</f>
        <v/>
      </c>
      <c r="D380" s="11" t="str">
        <f>iferror(vlookup(B380,'📦 ชื่อสินค้า'!A:D,4,false),"")</f>
        <v/>
      </c>
      <c r="E380" s="16"/>
      <c r="F380" s="8" t="str">
        <f t="shared" si="1"/>
        <v/>
      </c>
      <c r="G380" s="9" t="str">
        <f>IF(LEN(B380)&gt;0,vlookup(B380,'📊 รายงานสินค้าคงเหลือ'!A:G,6,false)*E380,)</f>
        <v/>
      </c>
      <c r="H380" s="9" t="str">
        <f t="shared" si="2"/>
        <v/>
      </c>
      <c r="I380" s="10" t="str">
        <f t="shared" si="3"/>
        <v/>
      </c>
      <c r="J380" s="11" t="str">
        <f t="shared" si="4"/>
        <v/>
      </c>
      <c r="K380" s="11" t="str">
        <f>IFERROR(IF(A380&lt;&gt;"",VLOOKUP(B380,'📦 ชื่อสินค้า'!A:F,6,false),""),)</f>
        <v/>
      </c>
      <c r="L380" s="11" t="str">
        <f t="shared" si="5"/>
        <v/>
      </c>
      <c r="M380" s="13"/>
    </row>
    <row r="381">
      <c r="A381" s="15"/>
      <c r="B381" s="6"/>
      <c r="C381" s="14" t="str">
        <f>iferror(vlookup(B381,'📦 ชื่อสินค้า'!A:C,3,false),)</f>
        <v/>
      </c>
      <c r="D381" s="11" t="str">
        <f>iferror(vlookup(B381,'📦 ชื่อสินค้า'!A:D,4,false),"")</f>
        <v/>
      </c>
      <c r="E381" s="16"/>
      <c r="F381" s="8" t="str">
        <f t="shared" si="1"/>
        <v/>
      </c>
      <c r="G381" s="9" t="str">
        <f>IF(LEN(B381)&gt;0,vlookup(B381,'📊 รายงานสินค้าคงเหลือ'!A:G,6,false)*E381,)</f>
        <v/>
      </c>
      <c r="H381" s="9" t="str">
        <f t="shared" si="2"/>
        <v/>
      </c>
      <c r="I381" s="10" t="str">
        <f t="shared" si="3"/>
        <v/>
      </c>
      <c r="J381" s="11" t="str">
        <f t="shared" si="4"/>
        <v/>
      </c>
      <c r="K381" s="11" t="str">
        <f>IFERROR(IF(A381&lt;&gt;"",VLOOKUP(B381,'📦 ชื่อสินค้า'!A:F,6,false),""),)</f>
        <v/>
      </c>
      <c r="L381" s="11" t="str">
        <f t="shared" si="5"/>
        <v/>
      </c>
      <c r="M381" s="13"/>
    </row>
    <row r="382">
      <c r="A382" s="15"/>
      <c r="B382" s="6"/>
      <c r="C382" s="14" t="str">
        <f>iferror(vlookup(B382,'📦 ชื่อสินค้า'!A:C,3,false),)</f>
        <v/>
      </c>
      <c r="D382" s="11" t="str">
        <f>iferror(vlookup(B382,'📦 ชื่อสินค้า'!A:D,4,false),"")</f>
        <v/>
      </c>
      <c r="E382" s="16"/>
      <c r="F382" s="8" t="str">
        <f t="shared" si="1"/>
        <v/>
      </c>
      <c r="G382" s="9" t="str">
        <f>IF(LEN(B382)&gt;0,vlookup(B382,'📊 รายงานสินค้าคงเหลือ'!A:G,6,false)*E382,)</f>
        <v/>
      </c>
      <c r="H382" s="9" t="str">
        <f t="shared" si="2"/>
        <v/>
      </c>
      <c r="I382" s="10" t="str">
        <f t="shared" si="3"/>
        <v/>
      </c>
      <c r="J382" s="11" t="str">
        <f t="shared" si="4"/>
        <v/>
      </c>
      <c r="K382" s="11" t="str">
        <f>IFERROR(IF(A382&lt;&gt;"",VLOOKUP(B382,'📦 ชื่อสินค้า'!A:F,6,false),""),)</f>
        <v/>
      </c>
      <c r="L382" s="11" t="str">
        <f t="shared" si="5"/>
        <v/>
      </c>
      <c r="M382" s="13"/>
    </row>
    <row r="383">
      <c r="A383" s="15"/>
      <c r="B383" s="6"/>
      <c r="C383" s="14" t="str">
        <f>iferror(vlookup(B383,'📦 ชื่อสินค้า'!A:C,3,false),)</f>
        <v/>
      </c>
      <c r="D383" s="11" t="str">
        <f>iferror(vlookup(B383,'📦 ชื่อสินค้า'!A:D,4,false),"")</f>
        <v/>
      </c>
      <c r="E383" s="16"/>
      <c r="F383" s="8" t="str">
        <f t="shared" si="1"/>
        <v/>
      </c>
      <c r="G383" s="9" t="str">
        <f>IF(LEN(B383)&gt;0,vlookup(B383,'📊 รายงานสินค้าคงเหลือ'!A:G,6,false)*E383,)</f>
        <v/>
      </c>
      <c r="H383" s="9" t="str">
        <f t="shared" si="2"/>
        <v/>
      </c>
      <c r="I383" s="10" t="str">
        <f t="shared" si="3"/>
        <v/>
      </c>
      <c r="J383" s="11" t="str">
        <f t="shared" si="4"/>
        <v/>
      </c>
      <c r="K383" s="11" t="str">
        <f>IFERROR(IF(A383&lt;&gt;"",VLOOKUP(B383,'📦 ชื่อสินค้า'!A:F,6,false),""),)</f>
        <v/>
      </c>
      <c r="L383" s="11" t="str">
        <f t="shared" si="5"/>
        <v/>
      </c>
      <c r="M383" s="13"/>
    </row>
    <row r="384">
      <c r="A384" s="15"/>
      <c r="B384" s="6"/>
      <c r="C384" s="14" t="str">
        <f>iferror(vlookup(B384,'📦 ชื่อสินค้า'!A:C,3,false),)</f>
        <v/>
      </c>
      <c r="D384" s="11" t="str">
        <f>iferror(vlookup(B384,'📦 ชื่อสินค้า'!A:D,4,false),"")</f>
        <v/>
      </c>
      <c r="E384" s="16"/>
      <c r="F384" s="8" t="str">
        <f t="shared" si="1"/>
        <v/>
      </c>
      <c r="G384" s="9" t="str">
        <f>IF(LEN(B384)&gt;0,vlookup(B384,'📊 รายงานสินค้าคงเหลือ'!A:G,6,false)*E384,)</f>
        <v/>
      </c>
      <c r="H384" s="9" t="str">
        <f t="shared" si="2"/>
        <v/>
      </c>
      <c r="I384" s="10" t="str">
        <f t="shared" si="3"/>
        <v/>
      </c>
      <c r="J384" s="11" t="str">
        <f t="shared" si="4"/>
        <v/>
      </c>
      <c r="K384" s="11" t="str">
        <f>IFERROR(IF(A384&lt;&gt;"",VLOOKUP(B384,'📦 ชื่อสินค้า'!A:F,6,false),""),)</f>
        <v/>
      </c>
      <c r="L384" s="11" t="str">
        <f t="shared" si="5"/>
        <v/>
      </c>
      <c r="M384" s="13"/>
    </row>
    <row r="385">
      <c r="A385" s="15"/>
      <c r="B385" s="6"/>
      <c r="C385" s="14" t="str">
        <f>iferror(vlookup(B385,'📦 ชื่อสินค้า'!A:C,3,false),)</f>
        <v/>
      </c>
      <c r="D385" s="11" t="str">
        <f>iferror(vlookup(B385,'📦 ชื่อสินค้า'!A:D,4,false),"")</f>
        <v/>
      </c>
      <c r="E385" s="16"/>
      <c r="F385" s="8" t="str">
        <f t="shared" si="1"/>
        <v/>
      </c>
      <c r="G385" s="9" t="str">
        <f>IF(LEN(B385)&gt;0,vlookup(B385,'📊 รายงานสินค้าคงเหลือ'!A:G,6,false)*E385,)</f>
        <v/>
      </c>
      <c r="H385" s="9" t="str">
        <f t="shared" si="2"/>
        <v/>
      </c>
      <c r="I385" s="10" t="str">
        <f t="shared" si="3"/>
        <v/>
      </c>
      <c r="J385" s="11" t="str">
        <f t="shared" si="4"/>
        <v/>
      </c>
      <c r="K385" s="11" t="str">
        <f>IFERROR(IF(A385&lt;&gt;"",VLOOKUP(B385,'📦 ชื่อสินค้า'!A:F,6,false),""),)</f>
        <v/>
      </c>
      <c r="L385" s="11" t="str">
        <f t="shared" si="5"/>
        <v/>
      </c>
      <c r="M385" s="13"/>
    </row>
    <row r="386">
      <c r="A386" s="15"/>
      <c r="B386" s="6"/>
      <c r="C386" s="14" t="str">
        <f>iferror(vlookup(B386,'📦 ชื่อสินค้า'!A:C,3,false),)</f>
        <v/>
      </c>
      <c r="D386" s="11" t="str">
        <f>iferror(vlookup(B386,'📦 ชื่อสินค้า'!A:D,4,false),"")</f>
        <v/>
      </c>
      <c r="E386" s="16"/>
      <c r="F386" s="8" t="str">
        <f t="shared" si="1"/>
        <v/>
      </c>
      <c r="G386" s="9" t="str">
        <f>IF(LEN(B386)&gt;0,vlookup(B386,'📊 รายงานสินค้าคงเหลือ'!A:G,6,false)*E386,)</f>
        <v/>
      </c>
      <c r="H386" s="9" t="str">
        <f t="shared" si="2"/>
        <v/>
      </c>
      <c r="I386" s="10" t="str">
        <f t="shared" si="3"/>
        <v/>
      </c>
      <c r="J386" s="11" t="str">
        <f t="shared" si="4"/>
        <v/>
      </c>
      <c r="K386" s="11" t="str">
        <f>IFERROR(IF(A386&lt;&gt;"",VLOOKUP(B386,'📦 ชื่อสินค้า'!A:F,6,false),""),)</f>
        <v/>
      </c>
      <c r="L386" s="11" t="str">
        <f t="shared" si="5"/>
        <v/>
      </c>
      <c r="M386" s="13"/>
    </row>
    <row r="387">
      <c r="A387" s="15"/>
      <c r="B387" s="6"/>
      <c r="C387" s="14" t="str">
        <f>iferror(vlookup(B387,'📦 ชื่อสินค้า'!A:C,3,false),)</f>
        <v/>
      </c>
      <c r="D387" s="11" t="str">
        <f>iferror(vlookup(B387,'📦 ชื่อสินค้า'!A:D,4,false),"")</f>
        <v/>
      </c>
      <c r="E387" s="16"/>
      <c r="F387" s="8" t="str">
        <f t="shared" si="1"/>
        <v/>
      </c>
      <c r="G387" s="9" t="str">
        <f>IF(LEN(B387)&gt;0,vlookup(B387,'📊 รายงานสินค้าคงเหลือ'!A:G,6,false)*E387,)</f>
        <v/>
      </c>
      <c r="H387" s="9" t="str">
        <f t="shared" si="2"/>
        <v/>
      </c>
      <c r="I387" s="10" t="str">
        <f t="shared" si="3"/>
        <v/>
      </c>
      <c r="J387" s="11" t="str">
        <f t="shared" si="4"/>
        <v/>
      </c>
      <c r="K387" s="11" t="str">
        <f>IFERROR(IF(A387&lt;&gt;"",VLOOKUP(B387,'📦 ชื่อสินค้า'!A:F,6,false),""),)</f>
        <v/>
      </c>
      <c r="L387" s="11" t="str">
        <f t="shared" si="5"/>
        <v/>
      </c>
      <c r="M387" s="13"/>
    </row>
    <row r="388">
      <c r="A388" s="15"/>
      <c r="B388" s="6"/>
      <c r="C388" s="14" t="str">
        <f>iferror(vlookup(B388,'📦 ชื่อสินค้า'!A:C,3,false),)</f>
        <v/>
      </c>
      <c r="D388" s="11" t="str">
        <f>iferror(vlookup(B388,'📦 ชื่อสินค้า'!A:D,4,false),"")</f>
        <v/>
      </c>
      <c r="E388" s="16"/>
      <c r="F388" s="8" t="str">
        <f t="shared" si="1"/>
        <v/>
      </c>
      <c r="G388" s="9" t="str">
        <f>IF(LEN(B388)&gt;0,vlookup(B388,'📊 รายงานสินค้าคงเหลือ'!A:G,6,false)*E388,)</f>
        <v/>
      </c>
      <c r="H388" s="9" t="str">
        <f t="shared" si="2"/>
        <v/>
      </c>
      <c r="I388" s="10" t="str">
        <f t="shared" si="3"/>
        <v/>
      </c>
      <c r="J388" s="11" t="str">
        <f t="shared" si="4"/>
        <v/>
      </c>
      <c r="K388" s="11" t="str">
        <f>IFERROR(IF(A388&lt;&gt;"",VLOOKUP(B388,'📦 ชื่อสินค้า'!A:F,6,false),""),)</f>
        <v/>
      </c>
      <c r="L388" s="11" t="str">
        <f t="shared" si="5"/>
        <v/>
      </c>
      <c r="M388" s="13"/>
    </row>
    <row r="389">
      <c r="A389" s="15"/>
      <c r="B389" s="6"/>
      <c r="C389" s="14" t="str">
        <f>iferror(vlookup(B389,'📦 ชื่อสินค้า'!A:C,3,false),)</f>
        <v/>
      </c>
      <c r="D389" s="11" t="str">
        <f>iferror(vlookup(B389,'📦 ชื่อสินค้า'!A:D,4,false),"")</f>
        <v/>
      </c>
      <c r="E389" s="16"/>
      <c r="F389" s="8" t="str">
        <f t="shared" si="1"/>
        <v/>
      </c>
      <c r="G389" s="9" t="str">
        <f>IF(LEN(B389)&gt;0,vlookup(B389,'📊 รายงานสินค้าคงเหลือ'!A:G,6,false)*E389,)</f>
        <v/>
      </c>
      <c r="H389" s="9" t="str">
        <f t="shared" si="2"/>
        <v/>
      </c>
      <c r="I389" s="10" t="str">
        <f t="shared" si="3"/>
        <v/>
      </c>
      <c r="J389" s="11" t="str">
        <f t="shared" si="4"/>
        <v/>
      </c>
      <c r="K389" s="11" t="str">
        <f>IFERROR(IF(A389&lt;&gt;"",VLOOKUP(B389,'📦 ชื่อสินค้า'!A:F,6,false),""),)</f>
        <v/>
      </c>
      <c r="L389" s="11" t="str">
        <f t="shared" si="5"/>
        <v/>
      </c>
      <c r="M389" s="13"/>
    </row>
    <row r="390">
      <c r="A390" s="15"/>
      <c r="B390" s="6"/>
      <c r="C390" s="14" t="str">
        <f>iferror(vlookup(B390,'📦 ชื่อสินค้า'!A:C,3,false),)</f>
        <v/>
      </c>
      <c r="D390" s="11" t="str">
        <f>iferror(vlookup(B390,'📦 ชื่อสินค้า'!A:D,4,false),"")</f>
        <v/>
      </c>
      <c r="E390" s="16"/>
      <c r="F390" s="8" t="str">
        <f t="shared" si="1"/>
        <v/>
      </c>
      <c r="G390" s="9" t="str">
        <f>IF(LEN(B390)&gt;0,vlookup(B390,'📊 รายงานสินค้าคงเหลือ'!A:G,6,false)*E390,)</f>
        <v/>
      </c>
      <c r="H390" s="9" t="str">
        <f t="shared" si="2"/>
        <v/>
      </c>
      <c r="I390" s="10" t="str">
        <f t="shared" si="3"/>
        <v/>
      </c>
      <c r="J390" s="11" t="str">
        <f t="shared" si="4"/>
        <v/>
      </c>
      <c r="K390" s="11" t="str">
        <f>IFERROR(IF(A390&lt;&gt;"",VLOOKUP(B390,'📦 ชื่อสินค้า'!A:F,6,false),""),)</f>
        <v/>
      </c>
      <c r="L390" s="11" t="str">
        <f t="shared" si="5"/>
        <v/>
      </c>
      <c r="M390" s="13"/>
    </row>
    <row r="391">
      <c r="A391" s="15"/>
      <c r="B391" s="6"/>
      <c r="C391" s="14" t="str">
        <f>iferror(vlookup(B391,'📦 ชื่อสินค้า'!A:C,3,false),)</f>
        <v/>
      </c>
      <c r="D391" s="11" t="str">
        <f>iferror(vlookup(B391,'📦 ชื่อสินค้า'!A:D,4,false),"")</f>
        <v/>
      </c>
      <c r="E391" s="16"/>
      <c r="F391" s="8" t="str">
        <f t="shared" si="1"/>
        <v/>
      </c>
      <c r="G391" s="9" t="str">
        <f>IF(LEN(B391)&gt;0,vlookup(B391,'📊 รายงานสินค้าคงเหลือ'!A:G,6,false)*E391,)</f>
        <v/>
      </c>
      <c r="H391" s="9" t="str">
        <f t="shared" si="2"/>
        <v/>
      </c>
      <c r="I391" s="10" t="str">
        <f t="shared" si="3"/>
        <v/>
      </c>
      <c r="J391" s="11" t="str">
        <f t="shared" si="4"/>
        <v/>
      </c>
      <c r="K391" s="11" t="str">
        <f>IFERROR(IF(A391&lt;&gt;"",VLOOKUP(B391,'📦 ชื่อสินค้า'!A:F,6,false),""),)</f>
        <v/>
      </c>
      <c r="L391" s="11" t="str">
        <f t="shared" si="5"/>
        <v/>
      </c>
      <c r="M391" s="13"/>
    </row>
    <row r="392">
      <c r="A392" s="15"/>
      <c r="B392" s="6"/>
      <c r="C392" s="14" t="str">
        <f>iferror(vlookup(B392,'📦 ชื่อสินค้า'!A:C,3,false),)</f>
        <v/>
      </c>
      <c r="D392" s="11" t="str">
        <f>iferror(vlookup(B392,'📦 ชื่อสินค้า'!A:D,4,false),"")</f>
        <v/>
      </c>
      <c r="E392" s="16"/>
      <c r="F392" s="8" t="str">
        <f t="shared" si="1"/>
        <v/>
      </c>
      <c r="G392" s="9" t="str">
        <f>IF(LEN(B392)&gt;0,vlookup(B392,'📊 รายงานสินค้าคงเหลือ'!A:G,6,false)*E392,)</f>
        <v/>
      </c>
      <c r="H392" s="9" t="str">
        <f t="shared" si="2"/>
        <v/>
      </c>
      <c r="I392" s="10" t="str">
        <f t="shared" si="3"/>
        <v/>
      </c>
      <c r="J392" s="11" t="str">
        <f t="shared" si="4"/>
        <v/>
      </c>
      <c r="K392" s="11" t="str">
        <f>IFERROR(IF(A392&lt;&gt;"",VLOOKUP(B392,'📦 ชื่อสินค้า'!A:F,6,false),""),)</f>
        <v/>
      </c>
      <c r="L392" s="11" t="str">
        <f t="shared" si="5"/>
        <v/>
      </c>
      <c r="M392" s="13"/>
    </row>
    <row r="393">
      <c r="A393" s="15"/>
      <c r="B393" s="6"/>
      <c r="C393" s="14" t="str">
        <f>iferror(vlookup(B393,'📦 ชื่อสินค้า'!A:C,3,false),)</f>
        <v/>
      </c>
      <c r="D393" s="11" t="str">
        <f>iferror(vlookup(B393,'📦 ชื่อสินค้า'!A:D,4,false),"")</f>
        <v/>
      </c>
      <c r="E393" s="16"/>
      <c r="F393" s="8" t="str">
        <f t="shared" si="1"/>
        <v/>
      </c>
      <c r="G393" s="9" t="str">
        <f>IF(LEN(B393)&gt;0,vlookup(B393,'📊 รายงานสินค้าคงเหลือ'!A:G,6,false)*E393,)</f>
        <v/>
      </c>
      <c r="H393" s="9" t="str">
        <f t="shared" si="2"/>
        <v/>
      </c>
      <c r="I393" s="10" t="str">
        <f t="shared" si="3"/>
        <v/>
      </c>
      <c r="J393" s="11" t="str">
        <f t="shared" si="4"/>
        <v/>
      </c>
      <c r="K393" s="11" t="str">
        <f>IFERROR(IF(A393&lt;&gt;"",VLOOKUP(B393,'📦 ชื่อสินค้า'!A:F,6,false),""),)</f>
        <v/>
      </c>
      <c r="L393" s="11" t="str">
        <f t="shared" si="5"/>
        <v/>
      </c>
      <c r="M393" s="13"/>
    </row>
    <row r="394">
      <c r="A394" s="15"/>
      <c r="B394" s="6"/>
      <c r="C394" s="14" t="str">
        <f>iferror(vlookup(B394,'📦 ชื่อสินค้า'!A:C,3,false),)</f>
        <v/>
      </c>
      <c r="D394" s="11" t="str">
        <f>iferror(vlookup(B394,'📦 ชื่อสินค้า'!A:D,4,false),"")</f>
        <v/>
      </c>
      <c r="E394" s="16"/>
      <c r="F394" s="8" t="str">
        <f t="shared" si="1"/>
        <v/>
      </c>
      <c r="G394" s="9" t="str">
        <f>IF(LEN(B394)&gt;0,vlookup(B394,'📊 รายงานสินค้าคงเหลือ'!A:G,6,false)*E394,)</f>
        <v/>
      </c>
      <c r="H394" s="9" t="str">
        <f t="shared" si="2"/>
        <v/>
      </c>
      <c r="I394" s="10" t="str">
        <f t="shared" si="3"/>
        <v/>
      </c>
      <c r="J394" s="11" t="str">
        <f t="shared" si="4"/>
        <v/>
      </c>
      <c r="K394" s="11" t="str">
        <f>IFERROR(IF(A394&lt;&gt;"",VLOOKUP(B394,'📦 ชื่อสินค้า'!A:F,6,false),""),)</f>
        <v/>
      </c>
      <c r="L394" s="11" t="str">
        <f t="shared" si="5"/>
        <v/>
      </c>
      <c r="M394" s="13"/>
    </row>
    <row r="395">
      <c r="A395" s="15"/>
      <c r="B395" s="6"/>
      <c r="C395" s="14" t="str">
        <f>iferror(vlookup(B395,'📦 ชื่อสินค้า'!A:C,3,false),)</f>
        <v/>
      </c>
      <c r="D395" s="11" t="str">
        <f>iferror(vlookup(B395,'📦 ชื่อสินค้า'!A:D,4,false),"")</f>
        <v/>
      </c>
      <c r="E395" s="16"/>
      <c r="F395" s="8" t="str">
        <f t="shared" si="1"/>
        <v/>
      </c>
      <c r="G395" s="9" t="str">
        <f>IF(LEN(B395)&gt;0,vlookup(B395,'📊 รายงานสินค้าคงเหลือ'!A:G,6,false)*E395,)</f>
        <v/>
      </c>
      <c r="H395" s="9" t="str">
        <f t="shared" si="2"/>
        <v/>
      </c>
      <c r="I395" s="10" t="str">
        <f t="shared" si="3"/>
        <v/>
      </c>
      <c r="J395" s="11" t="str">
        <f t="shared" si="4"/>
        <v/>
      </c>
      <c r="K395" s="11" t="str">
        <f>IFERROR(IF(A395&lt;&gt;"",VLOOKUP(B395,'📦 ชื่อสินค้า'!A:F,6,false),""),)</f>
        <v/>
      </c>
      <c r="L395" s="11" t="str">
        <f t="shared" si="5"/>
        <v/>
      </c>
      <c r="M395" s="13"/>
    </row>
    <row r="396">
      <c r="A396" s="15"/>
      <c r="B396" s="6"/>
      <c r="C396" s="14" t="str">
        <f>iferror(vlookup(B396,'📦 ชื่อสินค้า'!A:C,3,false),)</f>
        <v/>
      </c>
      <c r="D396" s="11" t="str">
        <f>iferror(vlookup(B396,'📦 ชื่อสินค้า'!A:D,4,false),"")</f>
        <v/>
      </c>
      <c r="E396" s="16"/>
      <c r="F396" s="8" t="str">
        <f t="shared" si="1"/>
        <v/>
      </c>
      <c r="G396" s="9" t="str">
        <f>IF(LEN(B396)&gt;0,vlookup(B396,'📊 รายงานสินค้าคงเหลือ'!A:G,6,false)*E396,)</f>
        <v/>
      </c>
      <c r="H396" s="9" t="str">
        <f t="shared" si="2"/>
        <v/>
      </c>
      <c r="I396" s="10" t="str">
        <f t="shared" si="3"/>
        <v/>
      </c>
      <c r="J396" s="11" t="str">
        <f t="shared" si="4"/>
        <v/>
      </c>
      <c r="K396" s="11" t="str">
        <f>IFERROR(IF(A396&lt;&gt;"",VLOOKUP(B396,'📦 ชื่อสินค้า'!A:F,6,false),""),)</f>
        <v/>
      </c>
      <c r="L396" s="11" t="str">
        <f t="shared" si="5"/>
        <v/>
      </c>
      <c r="M396" s="13"/>
    </row>
    <row r="397">
      <c r="A397" s="15"/>
      <c r="B397" s="6"/>
      <c r="C397" s="14" t="str">
        <f>iferror(vlookup(B397,'📦 ชื่อสินค้า'!A:C,3,false),)</f>
        <v/>
      </c>
      <c r="D397" s="11" t="str">
        <f>iferror(vlookup(B397,'📦 ชื่อสินค้า'!A:D,4,false),"")</f>
        <v/>
      </c>
      <c r="E397" s="16"/>
      <c r="F397" s="8" t="str">
        <f t="shared" si="1"/>
        <v/>
      </c>
      <c r="G397" s="9" t="str">
        <f>IF(LEN(B397)&gt;0,vlookup(B397,'📊 รายงานสินค้าคงเหลือ'!A:G,6,false)*E397,)</f>
        <v/>
      </c>
      <c r="H397" s="9" t="str">
        <f t="shared" si="2"/>
        <v/>
      </c>
      <c r="I397" s="10" t="str">
        <f t="shared" si="3"/>
        <v/>
      </c>
      <c r="J397" s="11" t="str">
        <f t="shared" si="4"/>
        <v/>
      </c>
      <c r="K397" s="11" t="str">
        <f>IFERROR(IF(A397&lt;&gt;"",VLOOKUP(B397,'📦 ชื่อสินค้า'!A:F,6,false),""),)</f>
        <v/>
      </c>
      <c r="L397" s="11" t="str">
        <f t="shared" si="5"/>
        <v/>
      </c>
      <c r="M397" s="13"/>
    </row>
    <row r="398">
      <c r="A398" s="15"/>
      <c r="B398" s="6"/>
      <c r="C398" s="14" t="str">
        <f>iferror(vlookup(B398,'📦 ชื่อสินค้า'!A:C,3,false),)</f>
        <v/>
      </c>
      <c r="D398" s="11" t="str">
        <f>iferror(vlookup(B398,'📦 ชื่อสินค้า'!A:D,4,false),"")</f>
        <v/>
      </c>
      <c r="E398" s="16"/>
      <c r="F398" s="8" t="str">
        <f t="shared" si="1"/>
        <v/>
      </c>
      <c r="G398" s="9" t="str">
        <f>IF(LEN(B398)&gt;0,vlookup(B398,'📊 รายงานสินค้าคงเหลือ'!A:G,6,false)*E398,)</f>
        <v/>
      </c>
      <c r="H398" s="9" t="str">
        <f t="shared" si="2"/>
        <v/>
      </c>
      <c r="I398" s="10" t="str">
        <f t="shared" si="3"/>
        <v/>
      </c>
      <c r="J398" s="11" t="str">
        <f t="shared" si="4"/>
        <v/>
      </c>
      <c r="K398" s="11" t="str">
        <f>IFERROR(IF(A398&lt;&gt;"",VLOOKUP(B398,'📦 ชื่อสินค้า'!A:F,6,false),""),)</f>
        <v/>
      </c>
      <c r="L398" s="11" t="str">
        <f t="shared" si="5"/>
        <v/>
      </c>
      <c r="M398" s="13"/>
    </row>
    <row r="399">
      <c r="A399" s="15"/>
      <c r="B399" s="6"/>
      <c r="C399" s="14" t="str">
        <f>iferror(vlookup(B399,'📦 ชื่อสินค้า'!A:C,3,false),)</f>
        <v/>
      </c>
      <c r="D399" s="11" t="str">
        <f>iferror(vlookup(B399,'📦 ชื่อสินค้า'!A:D,4,false),"")</f>
        <v/>
      </c>
      <c r="E399" s="16"/>
      <c r="F399" s="8" t="str">
        <f t="shared" si="1"/>
        <v/>
      </c>
      <c r="G399" s="9" t="str">
        <f>IF(LEN(B399)&gt;0,vlookup(B399,'📊 รายงานสินค้าคงเหลือ'!A:G,6,false)*E399,)</f>
        <v/>
      </c>
      <c r="H399" s="9" t="str">
        <f t="shared" si="2"/>
        <v/>
      </c>
      <c r="I399" s="10" t="str">
        <f t="shared" si="3"/>
        <v/>
      </c>
      <c r="J399" s="11" t="str">
        <f t="shared" si="4"/>
        <v/>
      </c>
      <c r="K399" s="11" t="str">
        <f>IFERROR(IF(A399&lt;&gt;"",VLOOKUP(B399,'📦 ชื่อสินค้า'!A:F,6,false),""),)</f>
        <v/>
      </c>
      <c r="L399" s="11" t="str">
        <f t="shared" si="5"/>
        <v/>
      </c>
      <c r="M399" s="13"/>
    </row>
    <row r="400">
      <c r="A400" s="15"/>
      <c r="B400" s="6"/>
      <c r="C400" s="14" t="str">
        <f>iferror(vlookup(B400,'📦 ชื่อสินค้า'!A:C,3,false),)</f>
        <v/>
      </c>
      <c r="D400" s="11" t="str">
        <f>iferror(vlookup(B400,'📦 ชื่อสินค้า'!A:D,4,false),"")</f>
        <v/>
      </c>
      <c r="E400" s="16"/>
      <c r="F400" s="8" t="str">
        <f t="shared" si="1"/>
        <v/>
      </c>
      <c r="G400" s="9" t="str">
        <f>IF(LEN(B400)&gt;0,vlookup(B400,'📊 รายงานสินค้าคงเหลือ'!A:G,6,false)*E400,)</f>
        <v/>
      </c>
      <c r="H400" s="9" t="str">
        <f t="shared" si="2"/>
        <v/>
      </c>
      <c r="I400" s="10" t="str">
        <f t="shared" si="3"/>
        <v/>
      </c>
      <c r="J400" s="11" t="str">
        <f t="shared" si="4"/>
        <v/>
      </c>
      <c r="K400" s="11" t="str">
        <f>IFERROR(IF(A400&lt;&gt;"",VLOOKUP(B400,'📦 ชื่อสินค้า'!A:F,6,false),""),)</f>
        <v/>
      </c>
      <c r="L400" s="11" t="str">
        <f t="shared" si="5"/>
        <v/>
      </c>
      <c r="M400" s="13"/>
    </row>
    <row r="401">
      <c r="A401" s="15"/>
      <c r="B401" s="6"/>
      <c r="C401" s="14" t="str">
        <f>iferror(vlookup(B401,'📦 ชื่อสินค้า'!A:C,3,false),)</f>
        <v/>
      </c>
      <c r="D401" s="11" t="str">
        <f>iferror(vlookup(B401,'📦 ชื่อสินค้า'!A:D,4,false),"")</f>
        <v/>
      </c>
      <c r="E401" s="16"/>
      <c r="F401" s="8" t="str">
        <f t="shared" si="1"/>
        <v/>
      </c>
      <c r="G401" s="9" t="str">
        <f>IF(LEN(B401)&gt;0,vlookup(B401,'📊 รายงานสินค้าคงเหลือ'!A:G,6,false)*E401,)</f>
        <v/>
      </c>
      <c r="H401" s="9" t="str">
        <f t="shared" si="2"/>
        <v/>
      </c>
      <c r="I401" s="10" t="str">
        <f t="shared" si="3"/>
        <v/>
      </c>
      <c r="J401" s="11" t="str">
        <f t="shared" si="4"/>
        <v/>
      </c>
      <c r="K401" s="11" t="str">
        <f>IFERROR(IF(A401&lt;&gt;"",VLOOKUP(B401,'📦 ชื่อสินค้า'!A:F,6,false),""),)</f>
        <v/>
      </c>
      <c r="L401" s="11" t="str">
        <f t="shared" si="5"/>
        <v/>
      </c>
      <c r="M401" s="13"/>
    </row>
    <row r="402">
      <c r="A402" s="15"/>
      <c r="B402" s="6"/>
      <c r="C402" s="14" t="str">
        <f>iferror(vlookup(B402,'📦 ชื่อสินค้า'!A:C,3,false),)</f>
        <v/>
      </c>
      <c r="D402" s="11" t="str">
        <f>iferror(vlookup(B402,'📦 ชื่อสินค้า'!A:D,4,false),"")</f>
        <v/>
      </c>
      <c r="E402" s="16"/>
      <c r="F402" s="8" t="str">
        <f t="shared" si="1"/>
        <v/>
      </c>
      <c r="G402" s="9" t="str">
        <f>IF(LEN(B402)&gt;0,vlookup(B402,'📊 รายงานสินค้าคงเหลือ'!A:G,6,false)*E402,)</f>
        <v/>
      </c>
      <c r="H402" s="9" t="str">
        <f t="shared" si="2"/>
        <v/>
      </c>
      <c r="I402" s="10" t="str">
        <f t="shared" si="3"/>
        <v/>
      </c>
      <c r="J402" s="11" t="str">
        <f t="shared" si="4"/>
        <v/>
      </c>
      <c r="K402" s="11" t="str">
        <f>IFERROR(IF(A402&lt;&gt;"",VLOOKUP(B402,'📦 ชื่อสินค้า'!A:F,6,false),""),)</f>
        <v/>
      </c>
      <c r="L402" s="11" t="str">
        <f t="shared" si="5"/>
        <v/>
      </c>
      <c r="M402" s="13"/>
    </row>
    <row r="403">
      <c r="A403" s="15"/>
      <c r="B403" s="6"/>
      <c r="C403" s="14" t="str">
        <f>iferror(vlookup(B403,'📦 ชื่อสินค้า'!A:C,3,false),)</f>
        <v/>
      </c>
      <c r="D403" s="11" t="str">
        <f>iferror(vlookup(B403,'📦 ชื่อสินค้า'!A:D,4,false),"")</f>
        <v/>
      </c>
      <c r="E403" s="16"/>
      <c r="F403" s="8" t="str">
        <f t="shared" si="1"/>
        <v/>
      </c>
      <c r="G403" s="9" t="str">
        <f>IF(LEN(B403)&gt;0,vlookup(B403,'📊 รายงานสินค้าคงเหลือ'!A:G,6,false)*E403,)</f>
        <v/>
      </c>
      <c r="H403" s="9" t="str">
        <f t="shared" si="2"/>
        <v/>
      </c>
      <c r="I403" s="10" t="str">
        <f t="shared" si="3"/>
        <v/>
      </c>
      <c r="J403" s="11" t="str">
        <f t="shared" si="4"/>
        <v/>
      </c>
      <c r="K403" s="11" t="str">
        <f>IFERROR(IF(A403&lt;&gt;"",VLOOKUP(B403,'📦 ชื่อสินค้า'!A:F,6,false),""),)</f>
        <v/>
      </c>
      <c r="L403" s="11" t="str">
        <f t="shared" si="5"/>
        <v/>
      </c>
      <c r="M403" s="13"/>
    </row>
    <row r="404">
      <c r="A404" s="15"/>
      <c r="B404" s="6"/>
      <c r="C404" s="14" t="str">
        <f>iferror(vlookup(B404,'📦 ชื่อสินค้า'!A:C,3,false),)</f>
        <v/>
      </c>
      <c r="D404" s="11" t="str">
        <f>iferror(vlookup(B404,'📦 ชื่อสินค้า'!A:D,4,false),"")</f>
        <v/>
      </c>
      <c r="E404" s="16"/>
      <c r="F404" s="8" t="str">
        <f t="shared" si="1"/>
        <v/>
      </c>
      <c r="G404" s="9" t="str">
        <f>IF(LEN(B404)&gt;0,vlookup(B404,'📊 รายงานสินค้าคงเหลือ'!A:G,6,false)*E404,)</f>
        <v/>
      </c>
      <c r="H404" s="9" t="str">
        <f t="shared" si="2"/>
        <v/>
      </c>
      <c r="I404" s="10" t="str">
        <f t="shared" si="3"/>
        <v/>
      </c>
      <c r="J404" s="11" t="str">
        <f t="shared" si="4"/>
        <v/>
      </c>
      <c r="K404" s="11" t="str">
        <f>IFERROR(IF(A404&lt;&gt;"",VLOOKUP(B404,'📦 ชื่อสินค้า'!A:F,6,false),""),)</f>
        <v/>
      </c>
      <c r="L404" s="11" t="str">
        <f t="shared" si="5"/>
        <v/>
      </c>
      <c r="M404" s="13"/>
    </row>
    <row r="405">
      <c r="A405" s="15"/>
      <c r="B405" s="6"/>
      <c r="C405" s="14" t="str">
        <f>iferror(vlookup(B405,'📦 ชื่อสินค้า'!A:C,3,false),)</f>
        <v/>
      </c>
      <c r="D405" s="11" t="str">
        <f>iferror(vlookup(B405,'📦 ชื่อสินค้า'!A:D,4,false),"")</f>
        <v/>
      </c>
      <c r="E405" s="16"/>
      <c r="F405" s="8" t="str">
        <f t="shared" si="1"/>
        <v/>
      </c>
      <c r="G405" s="9" t="str">
        <f>IF(LEN(B405)&gt;0,vlookup(B405,'📊 รายงานสินค้าคงเหลือ'!A:G,6,false)*E405,)</f>
        <v/>
      </c>
      <c r="H405" s="9" t="str">
        <f t="shared" si="2"/>
        <v/>
      </c>
      <c r="I405" s="10" t="str">
        <f t="shared" si="3"/>
        <v/>
      </c>
      <c r="J405" s="11" t="str">
        <f t="shared" si="4"/>
        <v/>
      </c>
      <c r="K405" s="11" t="str">
        <f>IFERROR(IF(A405&lt;&gt;"",VLOOKUP(B405,'📦 ชื่อสินค้า'!A:F,6,false),""),)</f>
        <v/>
      </c>
      <c r="L405" s="11" t="str">
        <f t="shared" si="5"/>
        <v/>
      </c>
      <c r="M405" s="13"/>
    </row>
    <row r="406">
      <c r="A406" s="15"/>
      <c r="B406" s="6"/>
      <c r="C406" s="14" t="str">
        <f>iferror(vlookup(B406,'📦 ชื่อสินค้า'!A:C,3,false),)</f>
        <v/>
      </c>
      <c r="D406" s="11" t="str">
        <f>iferror(vlookup(B406,'📦 ชื่อสินค้า'!A:D,4,false),"")</f>
        <v/>
      </c>
      <c r="E406" s="16"/>
      <c r="F406" s="8" t="str">
        <f t="shared" si="1"/>
        <v/>
      </c>
      <c r="G406" s="9" t="str">
        <f>IF(LEN(B406)&gt;0,vlookup(B406,'📊 รายงานสินค้าคงเหลือ'!A:G,6,false)*E406,)</f>
        <v/>
      </c>
      <c r="H406" s="9" t="str">
        <f t="shared" si="2"/>
        <v/>
      </c>
      <c r="I406" s="10" t="str">
        <f t="shared" si="3"/>
        <v/>
      </c>
      <c r="J406" s="11" t="str">
        <f t="shared" si="4"/>
        <v/>
      </c>
      <c r="K406" s="11" t="str">
        <f>IFERROR(IF(A406&lt;&gt;"",VLOOKUP(B406,'📦 ชื่อสินค้า'!A:F,6,false),""),)</f>
        <v/>
      </c>
      <c r="L406" s="11" t="str">
        <f t="shared" si="5"/>
        <v/>
      </c>
      <c r="M406" s="13"/>
    </row>
    <row r="407">
      <c r="A407" s="15"/>
      <c r="B407" s="6"/>
      <c r="C407" s="14" t="str">
        <f>iferror(vlookup(B407,'📦 ชื่อสินค้า'!A:C,3,false),)</f>
        <v/>
      </c>
      <c r="D407" s="11" t="str">
        <f>iferror(vlookup(B407,'📦 ชื่อสินค้า'!A:D,4,false),"")</f>
        <v/>
      </c>
      <c r="E407" s="16"/>
      <c r="F407" s="8" t="str">
        <f t="shared" si="1"/>
        <v/>
      </c>
      <c r="G407" s="9" t="str">
        <f>IF(LEN(B407)&gt;0,vlookup(B407,'📊 รายงานสินค้าคงเหลือ'!A:G,6,false)*E407,)</f>
        <v/>
      </c>
      <c r="H407" s="9" t="str">
        <f t="shared" si="2"/>
        <v/>
      </c>
      <c r="I407" s="10" t="str">
        <f t="shared" si="3"/>
        <v/>
      </c>
      <c r="J407" s="11" t="str">
        <f t="shared" si="4"/>
        <v/>
      </c>
      <c r="K407" s="11" t="str">
        <f>IFERROR(IF(A407&lt;&gt;"",VLOOKUP(B407,'📦 ชื่อสินค้า'!A:F,6,false),""),)</f>
        <v/>
      </c>
      <c r="L407" s="11" t="str">
        <f t="shared" si="5"/>
        <v/>
      </c>
      <c r="M407" s="13"/>
    </row>
    <row r="408">
      <c r="A408" s="15"/>
      <c r="B408" s="6"/>
      <c r="C408" s="14" t="str">
        <f>iferror(vlookup(B408,'📦 ชื่อสินค้า'!A:C,3,false),)</f>
        <v/>
      </c>
      <c r="D408" s="11" t="str">
        <f>iferror(vlookup(B408,'📦 ชื่อสินค้า'!A:D,4,false),"")</f>
        <v/>
      </c>
      <c r="E408" s="16"/>
      <c r="F408" s="8" t="str">
        <f t="shared" si="1"/>
        <v/>
      </c>
      <c r="G408" s="9" t="str">
        <f>IF(LEN(B408)&gt;0,vlookup(B408,'📊 รายงานสินค้าคงเหลือ'!A:G,6,false)*E408,)</f>
        <v/>
      </c>
      <c r="H408" s="9" t="str">
        <f t="shared" si="2"/>
        <v/>
      </c>
      <c r="I408" s="10" t="str">
        <f t="shared" si="3"/>
        <v/>
      </c>
      <c r="J408" s="11" t="str">
        <f t="shared" si="4"/>
        <v/>
      </c>
      <c r="K408" s="11" t="str">
        <f>IFERROR(IF(A408&lt;&gt;"",VLOOKUP(B408,'📦 ชื่อสินค้า'!A:F,6,false),""),)</f>
        <v/>
      </c>
      <c r="L408" s="11" t="str">
        <f t="shared" si="5"/>
        <v/>
      </c>
      <c r="M408" s="13"/>
    </row>
    <row r="409">
      <c r="A409" s="15"/>
      <c r="B409" s="6"/>
      <c r="C409" s="14" t="str">
        <f>iferror(vlookup(B409,'📦 ชื่อสินค้า'!A:C,3,false),)</f>
        <v/>
      </c>
      <c r="D409" s="11" t="str">
        <f>iferror(vlookup(B409,'📦 ชื่อสินค้า'!A:D,4,false),"")</f>
        <v/>
      </c>
      <c r="E409" s="16"/>
      <c r="F409" s="8" t="str">
        <f t="shared" si="1"/>
        <v/>
      </c>
      <c r="G409" s="9" t="str">
        <f>IF(LEN(B409)&gt;0,vlookup(B409,'📊 รายงานสินค้าคงเหลือ'!A:G,6,false)*E409,)</f>
        <v/>
      </c>
      <c r="H409" s="9" t="str">
        <f t="shared" si="2"/>
        <v/>
      </c>
      <c r="I409" s="10" t="str">
        <f t="shared" si="3"/>
        <v/>
      </c>
      <c r="J409" s="11" t="str">
        <f t="shared" si="4"/>
        <v/>
      </c>
      <c r="K409" s="11" t="str">
        <f>IFERROR(IF(A409&lt;&gt;"",VLOOKUP(B409,'📦 ชื่อสินค้า'!A:F,6,false),""),)</f>
        <v/>
      </c>
      <c r="L409" s="11" t="str">
        <f t="shared" si="5"/>
        <v/>
      </c>
      <c r="M409" s="13"/>
    </row>
    <row r="410">
      <c r="A410" s="15"/>
      <c r="B410" s="6"/>
      <c r="C410" s="14" t="str">
        <f>iferror(vlookup(B410,'📦 ชื่อสินค้า'!A:C,3,false),)</f>
        <v/>
      </c>
      <c r="D410" s="11" t="str">
        <f>iferror(vlookup(B410,'📦 ชื่อสินค้า'!A:D,4,false),"")</f>
        <v/>
      </c>
      <c r="E410" s="16"/>
      <c r="F410" s="8" t="str">
        <f t="shared" si="1"/>
        <v/>
      </c>
      <c r="G410" s="9" t="str">
        <f>IF(LEN(B410)&gt;0,vlookup(B410,'📊 รายงานสินค้าคงเหลือ'!A:G,6,false)*E410,)</f>
        <v/>
      </c>
      <c r="H410" s="9" t="str">
        <f t="shared" si="2"/>
        <v/>
      </c>
      <c r="I410" s="10" t="str">
        <f t="shared" si="3"/>
        <v/>
      </c>
      <c r="J410" s="11" t="str">
        <f t="shared" si="4"/>
        <v/>
      </c>
      <c r="K410" s="11" t="str">
        <f>IFERROR(IF(A410&lt;&gt;"",VLOOKUP(B410,'📦 ชื่อสินค้า'!A:F,6,false),""),)</f>
        <v/>
      </c>
      <c r="L410" s="11" t="str">
        <f t="shared" si="5"/>
        <v/>
      </c>
      <c r="M410" s="13"/>
    </row>
    <row r="411">
      <c r="A411" s="15"/>
      <c r="B411" s="6"/>
      <c r="C411" s="14" t="str">
        <f>iferror(vlookup(B411,'📦 ชื่อสินค้า'!A:C,3,false),)</f>
        <v/>
      </c>
      <c r="D411" s="11" t="str">
        <f>iferror(vlookup(B411,'📦 ชื่อสินค้า'!A:D,4,false),"")</f>
        <v/>
      </c>
      <c r="E411" s="16"/>
      <c r="F411" s="8" t="str">
        <f t="shared" si="1"/>
        <v/>
      </c>
      <c r="G411" s="9" t="str">
        <f>IF(LEN(B411)&gt;0,vlookup(B411,'📊 รายงานสินค้าคงเหลือ'!A:G,6,false)*E411,)</f>
        <v/>
      </c>
      <c r="H411" s="9" t="str">
        <f t="shared" si="2"/>
        <v/>
      </c>
      <c r="I411" s="10" t="str">
        <f t="shared" si="3"/>
        <v/>
      </c>
      <c r="J411" s="11" t="str">
        <f t="shared" si="4"/>
        <v/>
      </c>
      <c r="K411" s="11" t="str">
        <f>IFERROR(IF(A411&lt;&gt;"",VLOOKUP(B411,'📦 ชื่อสินค้า'!A:F,6,false),""),)</f>
        <v/>
      </c>
      <c r="L411" s="11" t="str">
        <f t="shared" si="5"/>
        <v/>
      </c>
      <c r="M411" s="13"/>
    </row>
    <row r="412">
      <c r="A412" s="15"/>
      <c r="B412" s="6"/>
      <c r="C412" s="14" t="str">
        <f>iferror(vlookup(B412,'📦 ชื่อสินค้า'!A:C,3,false),)</f>
        <v/>
      </c>
      <c r="D412" s="11" t="str">
        <f>iferror(vlookup(B412,'📦 ชื่อสินค้า'!A:D,4,false),"")</f>
        <v/>
      </c>
      <c r="E412" s="16"/>
      <c r="F412" s="8" t="str">
        <f t="shared" si="1"/>
        <v/>
      </c>
      <c r="G412" s="9" t="str">
        <f>IF(LEN(B412)&gt;0,vlookup(B412,'📊 รายงานสินค้าคงเหลือ'!A:G,6,false)*E412,)</f>
        <v/>
      </c>
      <c r="H412" s="9" t="str">
        <f t="shared" si="2"/>
        <v/>
      </c>
      <c r="I412" s="10" t="str">
        <f t="shared" si="3"/>
        <v/>
      </c>
      <c r="J412" s="11" t="str">
        <f t="shared" si="4"/>
        <v/>
      </c>
      <c r="K412" s="11" t="str">
        <f>IFERROR(IF(A412&lt;&gt;"",VLOOKUP(B412,'📦 ชื่อสินค้า'!A:F,6,false),""),)</f>
        <v/>
      </c>
      <c r="L412" s="11" t="str">
        <f t="shared" si="5"/>
        <v/>
      </c>
      <c r="M412" s="13"/>
    </row>
    <row r="413">
      <c r="A413" s="15"/>
      <c r="B413" s="6"/>
      <c r="C413" s="14" t="str">
        <f>iferror(vlookup(B413,'📦 ชื่อสินค้า'!A:C,3,false),)</f>
        <v/>
      </c>
      <c r="D413" s="11" t="str">
        <f>iferror(vlookup(B413,'📦 ชื่อสินค้า'!A:D,4,false),"")</f>
        <v/>
      </c>
      <c r="E413" s="16"/>
      <c r="F413" s="8" t="str">
        <f t="shared" si="1"/>
        <v/>
      </c>
      <c r="G413" s="9" t="str">
        <f>IF(LEN(B413)&gt;0,vlookup(B413,'📊 รายงานสินค้าคงเหลือ'!A:G,6,false)*E413,)</f>
        <v/>
      </c>
      <c r="H413" s="9" t="str">
        <f t="shared" si="2"/>
        <v/>
      </c>
      <c r="I413" s="10" t="str">
        <f t="shared" si="3"/>
        <v/>
      </c>
      <c r="J413" s="11" t="str">
        <f t="shared" si="4"/>
        <v/>
      </c>
      <c r="K413" s="11" t="str">
        <f>IFERROR(IF(A413&lt;&gt;"",VLOOKUP(B413,'📦 ชื่อสินค้า'!A:F,6,false),""),)</f>
        <v/>
      </c>
      <c r="L413" s="11" t="str">
        <f t="shared" si="5"/>
        <v/>
      </c>
      <c r="M413" s="13"/>
    </row>
    <row r="414">
      <c r="A414" s="15"/>
      <c r="B414" s="6"/>
      <c r="C414" s="14" t="str">
        <f>iferror(vlookup(B414,'📦 ชื่อสินค้า'!A:C,3,false),)</f>
        <v/>
      </c>
      <c r="D414" s="11" t="str">
        <f>iferror(vlookup(B414,'📦 ชื่อสินค้า'!A:D,4,false),"")</f>
        <v/>
      </c>
      <c r="E414" s="16"/>
      <c r="F414" s="8" t="str">
        <f t="shared" si="1"/>
        <v/>
      </c>
      <c r="G414" s="9" t="str">
        <f>IF(LEN(B414)&gt;0,vlookup(B414,'📊 รายงานสินค้าคงเหลือ'!A:G,6,false)*E414,)</f>
        <v/>
      </c>
      <c r="H414" s="9" t="str">
        <f t="shared" si="2"/>
        <v/>
      </c>
      <c r="I414" s="10" t="str">
        <f t="shared" si="3"/>
        <v/>
      </c>
      <c r="J414" s="11" t="str">
        <f t="shared" si="4"/>
        <v/>
      </c>
      <c r="K414" s="11" t="str">
        <f>IFERROR(IF(A414&lt;&gt;"",VLOOKUP(B414,'📦 ชื่อสินค้า'!A:F,6,false),""),)</f>
        <v/>
      </c>
      <c r="L414" s="11" t="str">
        <f t="shared" si="5"/>
        <v/>
      </c>
      <c r="M414" s="13"/>
    </row>
    <row r="415">
      <c r="A415" s="15"/>
      <c r="B415" s="6"/>
      <c r="C415" s="14" t="str">
        <f>iferror(vlookup(B415,'📦 ชื่อสินค้า'!A:C,3,false),)</f>
        <v/>
      </c>
      <c r="D415" s="11" t="str">
        <f>iferror(vlookup(B415,'📦 ชื่อสินค้า'!A:D,4,false),"")</f>
        <v/>
      </c>
      <c r="E415" s="16"/>
      <c r="F415" s="8" t="str">
        <f t="shared" si="1"/>
        <v/>
      </c>
      <c r="G415" s="9" t="str">
        <f>IF(LEN(B415)&gt;0,vlookup(B415,'📊 รายงานสินค้าคงเหลือ'!A:G,6,false)*E415,)</f>
        <v/>
      </c>
      <c r="H415" s="9" t="str">
        <f t="shared" si="2"/>
        <v/>
      </c>
      <c r="I415" s="10" t="str">
        <f t="shared" si="3"/>
        <v/>
      </c>
      <c r="J415" s="11" t="str">
        <f t="shared" si="4"/>
        <v/>
      </c>
      <c r="K415" s="11" t="str">
        <f>IFERROR(IF(A415&lt;&gt;"",VLOOKUP(B415,'📦 ชื่อสินค้า'!A:F,6,false),""),)</f>
        <v/>
      </c>
      <c r="L415" s="11" t="str">
        <f t="shared" si="5"/>
        <v/>
      </c>
      <c r="M415" s="13"/>
    </row>
    <row r="416">
      <c r="A416" s="15"/>
      <c r="B416" s="6"/>
      <c r="C416" s="14" t="str">
        <f>iferror(vlookup(B416,'📦 ชื่อสินค้า'!A:C,3,false),)</f>
        <v/>
      </c>
      <c r="D416" s="11" t="str">
        <f>iferror(vlookup(B416,'📦 ชื่อสินค้า'!A:D,4,false),"")</f>
        <v/>
      </c>
      <c r="E416" s="16"/>
      <c r="F416" s="8" t="str">
        <f t="shared" si="1"/>
        <v/>
      </c>
      <c r="G416" s="9" t="str">
        <f>IF(LEN(B416)&gt;0,vlookup(B416,'📊 รายงานสินค้าคงเหลือ'!A:G,6,false)*E416,)</f>
        <v/>
      </c>
      <c r="H416" s="9" t="str">
        <f t="shared" si="2"/>
        <v/>
      </c>
      <c r="I416" s="10" t="str">
        <f t="shared" si="3"/>
        <v/>
      </c>
      <c r="J416" s="11" t="str">
        <f t="shared" si="4"/>
        <v/>
      </c>
      <c r="K416" s="11" t="str">
        <f>IFERROR(IF(A416&lt;&gt;"",VLOOKUP(B416,'📦 ชื่อสินค้า'!A:F,6,false),""),)</f>
        <v/>
      </c>
      <c r="L416" s="11" t="str">
        <f t="shared" si="5"/>
        <v/>
      </c>
      <c r="M416" s="13"/>
    </row>
    <row r="417">
      <c r="A417" s="15"/>
      <c r="B417" s="6"/>
      <c r="C417" s="14" t="str">
        <f>iferror(vlookup(B417,'📦 ชื่อสินค้า'!A:C,3,false),)</f>
        <v/>
      </c>
      <c r="D417" s="11" t="str">
        <f>iferror(vlookup(B417,'📦 ชื่อสินค้า'!A:D,4,false),"")</f>
        <v/>
      </c>
      <c r="E417" s="16"/>
      <c r="F417" s="8" t="str">
        <f t="shared" si="1"/>
        <v/>
      </c>
      <c r="G417" s="9" t="str">
        <f>IF(LEN(B417)&gt;0,vlookup(B417,'📊 รายงานสินค้าคงเหลือ'!A:G,6,false)*E417,)</f>
        <v/>
      </c>
      <c r="H417" s="9" t="str">
        <f t="shared" si="2"/>
        <v/>
      </c>
      <c r="I417" s="10" t="str">
        <f t="shared" si="3"/>
        <v/>
      </c>
      <c r="J417" s="11" t="str">
        <f t="shared" si="4"/>
        <v/>
      </c>
      <c r="K417" s="11" t="str">
        <f>IFERROR(IF(A417&lt;&gt;"",VLOOKUP(B417,'📦 ชื่อสินค้า'!A:F,6,false),""),)</f>
        <v/>
      </c>
      <c r="L417" s="11" t="str">
        <f t="shared" si="5"/>
        <v/>
      </c>
      <c r="M417" s="13"/>
    </row>
    <row r="418">
      <c r="A418" s="15"/>
      <c r="B418" s="6"/>
      <c r="C418" s="14" t="str">
        <f>iferror(vlookup(B418,'📦 ชื่อสินค้า'!A:C,3,false),)</f>
        <v/>
      </c>
      <c r="D418" s="11" t="str">
        <f>iferror(vlookup(B418,'📦 ชื่อสินค้า'!A:D,4,false),"")</f>
        <v/>
      </c>
      <c r="E418" s="16"/>
      <c r="F418" s="8" t="str">
        <f t="shared" si="1"/>
        <v/>
      </c>
      <c r="G418" s="9" t="str">
        <f>IF(LEN(B418)&gt;0,vlookup(B418,'📊 รายงานสินค้าคงเหลือ'!A:G,6,false)*E418,)</f>
        <v/>
      </c>
      <c r="H418" s="9" t="str">
        <f t="shared" si="2"/>
        <v/>
      </c>
      <c r="I418" s="10" t="str">
        <f t="shared" si="3"/>
        <v/>
      </c>
      <c r="J418" s="11" t="str">
        <f t="shared" si="4"/>
        <v/>
      </c>
      <c r="K418" s="11" t="str">
        <f>IFERROR(IF(A418&lt;&gt;"",VLOOKUP(B418,'📦 ชื่อสินค้า'!A:F,6,false),""),)</f>
        <v/>
      </c>
      <c r="L418" s="11" t="str">
        <f t="shared" si="5"/>
        <v/>
      </c>
      <c r="M418" s="13"/>
    </row>
    <row r="419">
      <c r="A419" s="15"/>
      <c r="B419" s="6"/>
      <c r="C419" s="14" t="str">
        <f>iferror(vlookup(B419,'📦 ชื่อสินค้า'!A:C,3,false),)</f>
        <v/>
      </c>
      <c r="D419" s="11" t="str">
        <f>iferror(vlookup(B419,'📦 ชื่อสินค้า'!A:D,4,false),"")</f>
        <v/>
      </c>
      <c r="E419" s="16"/>
      <c r="F419" s="8" t="str">
        <f t="shared" si="1"/>
        <v/>
      </c>
      <c r="G419" s="9" t="str">
        <f>IF(LEN(B419)&gt;0,vlookup(B419,'📊 รายงานสินค้าคงเหลือ'!A:G,6,false)*E419,)</f>
        <v/>
      </c>
      <c r="H419" s="9" t="str">
        <f t="shared" si="2"/>
        <v/>
      </c>
      <c r="I419" s="10" t="str">
        <f t="shared" si="3"/>
        <v/>
      </c>
      <c r="J419" s="11" t="str">
        <f t="shared" si="4"/>
        <v/>
      </c>
      <c r="K419" s="11" t="str">
        <f>IFERROR(IF(A419&lt;&gt;"",VLOOKUP(B419,'📦 ชื่อสินค้า'!A:F,6,false),""),)</f>
        <v/>
      </c>
      <c r="L419" s="11" t="str">
        <f t="shared" si="5"/>
        <v/>
      </c>
      <c r="M419" s="13"/>
    </row>
    <row r="420">
      <c r="A420" s="15"/>
      <c r="B420" s="6"/>
      <c r="C420" s="14" t="str">
        <f>iferror(vlookup(B420,'📦 ชื่อสินค้า'!A:C,3,false),)</f>
        <v/>
      </c>
      <c r="D420" s="11" t="str">
        <f>iferror(vlookup(B420,'📦 ชื่อสินค้า'!A:D,4,false),"")</f>
        <v/>
      </c>
      <c r="E420" s="16"/>
      <c r="F420" s="8" t="str">
        <f t="shared" si="1"/>
        <v/>
      </c>
      <c r="G420" s="9" t="str">
        <f>IF(LEN(B420)&gt;0,vlookup(B420,'📊 รายงานสินค้าคงเหลือ'!A:G,6,false)*E420,)</f>
        <v/>
      </c>
      <c r="H420" s="9" t="str">
        <f t="shared" si="2"/>
        <v/>
      </c>
      <c r="I420" s="10" t="str">
        <f t="shared" si="3"/>
        <v/>
      </c>
      <c r="J420" s="11" t="str">
        <f t="shared" si="4"/>
        <v/>
      </c>
      <c r="K420" s="11" t="str">
        <f>IFERROR(IF(A420&lt;&gt;"",VLOOKUP(B420,'📦 ชื่อสินค้า'!A:F,6,false),""),)</f>
        <v/>
      </c>
      <c r="L420" s="11" t="str">
        <f t="shared" si="5"/>
        <v/>
      </c>
      <c r="M420" s="13"/>
    </row>
    <row r="421">
      <c r="A421" s="15"/>
      <c r="B421" s="6"/>
      <c r="C421" s="14" t="str">
        <f>iferror(vlookup(B421,'📦 ชื่อสินค้า'!A:C,3,false),)</f>
        <v/>
      </c>
      <c r="D421" s="11" t="str">
        <f>iferror(vlookup(B421,'📦 ชื่อสินค้า'!A:D,4,false),"")</f>
        <v/>
      </c>
      <c r="E421" s="16"/>
      <c r="F421" s="8" t="str">
        <f t="shared" si="1"/>
        <v/>
      </c>
      <c r="G421" s="9" t="str">
        <f>IF(LEN(B421)&gt;0,vlookup(B421,'📊 รายงานสินค้าคงเหลือ'!A:G,6,false)*E421,)</f>
        <v/>
      </c>
      <c r="H421" s="9" t="str">
        <f t="shared" si="2"/>
        <v/>
      </c>
      <c r="I421" s="10" t="str">
        <f t="shared" si="3"/>
        <v/>
      </c>
      <c r="J421" s="11" t="str">
        <f t="shared" si="4"/>
        <v/>
      </c>
      <c r="K421" s="11" t="str">
        <f>IFERROR(IF(A421&lt;&gt;"",VLOOKUP(B421,'📦 ชื่อสินค้า'!A:F,6,false),""),)</f>
        <v/>
      </c>
      <c r="L421" s="11" t="str">
        <f t="shared" si="5"/>
        <v/>
      </c>
      <c r="M421" s="13"/>
    </row>
    <row r="422">
      <c r="A422" s="15"/>
      <c r="B422" s="6"/>
      <c r="C422" s="14" t="str">
        <f>iferror(vlookup(B422,'📦 ชื่อสินค้า'!A:C,3,false),)</f>
        <v/>
      </c>
      <c r="D422" s="11" t="str">
        <f>iferror(vlookup(B422,'📦 ชื่อสินค้า'!A:D,4,false),"")</f>
        <v/>
      </c>
      <c r="E422" s="16"/>
      <c r="F422" s="8" t="str">
        <f t="shared" si="1"/>
        <v/>
      </c>
      <c r="G422" s="9" t="str">
        <f>IF(LEN(B422)&gt;0,vlookup(B422,'📊 รายงานสินค้าคงเหลือ'!A:G,6,false)*E422,)</f>
        <v/>
      </c>
      <c r="H422" s="9" t="str">
        <f t="shared" si="2"/>
        <v/>
      </c>
      <c r="I422" s="10" t="str">
        <f t="shared" si="3"/>
        <v/>
      </c>
      <c r="J422" s="11" t="str">
        <f t="shared" si="4"/>
        <v/>
      </c>
      <c r="K422" s="11" t="str">
        <f>IFERROR(IF(A422&lt;&gt;"",VLOOKUP(B422,'📦 ชื่อสินค้า'!A:F,6,false),""),)</f>
        <v/>
      </c>
      <c r="L422" s="11" t="str">
        <f t="shared" si="5"/>
        <v/>
      </c>
      <c r="M422" s="13"/>
    </row>
    <row r="423">
      <c r="A423" s="15"/>
      <c r="B423" s="6"/>
      <c r="C423" s="14" t="str">
        <f>iferror(vlookup(B423,'📦 ชื่อสินค้า'!A:C,3,false),)</f>
        <v/>
      </c>
      <c r="D423" s="11" t="str">
        <f>iferror(vlookup(B423,'📦 ชื่อสินค้า'!A:D,4,false),"")</f>
        <v/>
      </c>
      <c r="E423" s="16"/>
      <c r="F423" s="8" t="str">
        <f t="shared" si="1"/>
        <v/>
      </c>
      <c r="G423" s="9" t="str">
        <f>IF(LEN(B423)&gt;0,vlookup(B423,'📊 รายงานสินค้าคงเหลือ'!A:G,6,false)*E423,)</f>
        <v/>
      </c>
      <c r="H423" s="9" t="str">
        <f t="shared" si="2"/>
        <v/>
      </c>
      <c r="I423" s="10" t="str">
        <f t="shared" si="3"/>
        <v/>
      </c>
      <c r="J423" s="11" t="str">
        <f t="shared" si="4"/>
        <v/>
      </c>
      <c r="K423" s="11" t="str">
        <f>IFERROR(IF(A423&lt;&gt;"",VLOOKUP(B423,'📦 ชื่อสินค้า'!A:F,6,false),""),)</f>
        <v/>
      </c>
      <c r="L423" s="11" t="str">
        <f t="shared" si="5"/>
        <v/>
      </c>
      <c r="M423" s="13"/>
    </row>
    <row r="424">
      <c r="A424" s="15"/>
      <c r="B424" s="6"/>
      <c r="C424" s="14" t="str">
        <f>iferror(vlookup(B424,'📦 ชื่อสินค้า'!A:C,3,false),)</f>
        <v/>
      </c>
      <c r="D424" s="11" t="str">
        <f>iferror(vlookup(B424,'📦 ชื่อสินค้า'!A:D,4,false),"")</f>
        <v/>
      </c>
      <c r="E424" s="16"/>
      <c r="F424" s="8" t="str">
        <f t="shared" si="1"/>
        <v/>
      </c>
      <c r="G424" s="9" t="str">
        <f>IF(LEN(B424)&gt;0,vlookup(B424,'📊 รายงานสินค้าคงเหลือ'!A:G,6,false)*E424,)</f>
        <v/>
      </c>
      <c r="H424" s="9" t="str">
        <f t="shared" si="2"/>
        <v/>
      </c>
      <c r="I424" s="10" t="str">
        <f t="shared" si="3"/>
        <v/>
      </c>
      <c r="J424" s="11" t="str">
        <f t="shared" si="4"/>
        <v/>
      </c>
      <c r="K424" s="11" t="str">
        <f>IFERROR(IF(A424&lt;&gt;"",VLOOKUP(B424,'📦 ชื่อสินค้า'!A:F,6,false),""),)</f>
        <v/>
      </c>
      <c r="L424" s="11" t="str">
        <f t="shared" si="5"/>
        <v/>
      </c>
      <c r="M424" s="13"/>
    </row>
    <row r="425">
      <c r="A425" s="15"/>
      <c r="B425" s="6"/>
      <c r="C425" s="14" t="str">
        <f>iferror(vlookup(B425,'📦 ชื่อสินค้า'!A:C,3,false),)</f>
        <v/>
      </c>
      <c r="D425" s="11" t="str">
        <f>iferror(vlookup(B425,'📦 ชื่อสินค้า'!A:D,4,false),"")</f>
        <v/>
      </c>
      <c r="E425" s="16"/>
      <c r="F425" s="8" t="str">
        <f t="shared" si="1"/>
        <v/>
      </c>
      <c r="G425" s="9" t="str">
        <f>IF(LEN(B425)&gt;0,vlookup(B425,'📊 รายงานสินค้าคงเหลือ'!A:G,6,false)*E425,)</f>
        <v/>
      </c>
      <c r="H425" s="9" t="str">
        <f t="shared" si="2"/>
        <v/>
      </c>
      <c r="I425" s="10" t="str">
        <f t="shared" si="3"/>
        <v/>
      </c>
      <c r="J425" s="11" t="str">
        <f t="shared" si="4"/>
        <v/>
      </c>
      <c r="K425" s="11" t="str">
        <f>IFERROR(IF(A425&lt;&gt;"",VLOOKUP(B425,'📦 ชื่อสินค้า'!A:F,6,false),""),)</f>
        <v/>
      </c>
      <c r="L425" s="11" t="str">
        <f t="shared" si="5"/>
        <v/>
      </c>
      <c r="M425" s="13"/>
    </row>
    <row r="426">
      <c r="A426" s="15"/>
      <c r="B426" s="6"/>
      <c r="C426" s="14" t="str">
        <f>iferror(vlookup(B426,'📦 ชื่อสินค้า'!A:C,3,false),)</f>
        <v/>
      </c>
      <c r="D426" s="11" t="str">
        <f>iferror(vlookup(B426,'📦 ชื่อสินค้า'!A:D,4,false),"")</f>
        <v/>
      </c>
      <c r="E426" s="16"/>
      <c r="F426" s="8" t="str">
        <f t="shared" si="1"/>
        <v/>
      </c>
      <c r="G426" s="9" t="str">
        <f>IF(LEN(B426)&gt;0,vlookup(B426,'📊 รายงานสินค้าคงเหลือ'!A:G,6,false)*E426,)</f>
        <v/>
      </c>
      <c r="H426" s="9" t="str">
        <f t="shared" si="2"/>
        <v/>
      </c>
      <c r="I426" s="10" t="str">
        <f t="shared" si="3"/>
        <v/>
      </c>
      <c r="J426" s="11" t="str">
        <f t="shared" si="4"/>
        <v/>
      </c>
      <c r="K426" s="11" t="str">
        <f>IFERROR(IF(A426&lt;&gt;"",VLOOKUP(B426,'📦 ชื่อสินค้า'!A:F,6,false),""),)</f>
        <v/>
      </c>
      <c r="L426" s="11" t="str">
        <f t="shared" si="5"/>
        <v/>
      </c>
      <c r="M426" s="13"/>
    </row>
    <row r="427">
      <c r="A427" s="15"/>
      <c r="B427" s="6"/>
      <c r="C427" s="14" t="str">
        <f>iferror(vlookup(B427,'📦 ชื่อสินค้า'!A:C,3,false),)</f>
        <v/>
      </c>
      <c r="D427" s="11" t="str">
        <f>iferror(vlookup(B427,'📦 ชื่อสินค้า'!A:D,4,false),"")</f>
        <v/>
      </c>
      <c r="E427" s="16"/>
      <c r="F427" s="8" t="str">
        <f t="shared" si="1"/>
        <v/>
      </c>
      <c r="G427" s="9" t="str">
        <f>IF(LEN(B427)&gt;0,vlookup(B427,'📊 รายงานสินค้าคงเหลือ'!A:G,6,false)*E427,)</f>
        <v/>
      </c>
      <c r="H427" s="9" t="str">
        <f t="shared" si="2"/>
        <v/>
      </c>
      <c r="I427" s="10" t="str">
        <f t="shared" si="3"/>
        <v/>
      </c>
      <c r="J427" s="11" t="str">
        <f t="shared" si="4"/>
        <v/>
      </c>
      <c r="K427" s="11" t="str">
        <f>IFERROR(IF(A427&lt;&gt;"",VLOOKUP(B427,'📦 ชื่อสินค้า'!A:F,6,false),""),)</f>
        <v/>
      </c>
      <c r="L427" s="11" t="str">
        <f t="shared" si="5"/>
        <v/>
      </c>
      <c r="M427" s="13"/>
    </row>
    <row r="428">
      <c r="A428" s="15"/>
      <c r="B428" s="6"/>
      <c r="C428" s="14" t="str">
        <f>iferror(vlookup(B428,'📦 ชื่อสินค้า'!A:C,3,false),)</f>
        <v/>
      </c>
      <c r="D428" s="11" t="str">
        <f>iferror(vlookup(B428,'📦 ชื่อสินค้า'!A:D,4,false),"")</f>
        <v/>
      </c>
      <c r="E428" s="16"/>
      <c r="F428" s="8" t="str">
        <f t="shared" si="1"/>
        <v/>
      </c>
      <c r="G428" s="9" t="str">
        <f>IF(LEN(B428)&gt;0,vlookup(B428,'📊 รายงานสินค้าคงเหลือ'!A:G,6,false)*E428,)</f>
        <v/>
      </c>
      <c r="H428" s="9" t="str">
        <f t="shared" si="2"/>
        <v/>
      </c>
      <c r="I428" s="10" t="str">
        <f t="shared" si="3"/>
        <v/>
      </c>
      <c r="J428" s="11" t="str">
        <f t="shared" si="4"/>
        <v/>
      </c>
      <c r="K428" s="11" t="str">
        <f>IFERROR(IF(A428&lt;&gt;"",VLOOKUP(B428,'📦 ชื่อสินค้า'!A:F,6,false),""),)</f>
        <v/>
      </c>
      <c r="L428" s="11" t="str">
        <f t="shared" si="5"/>
        <v/>
      </c>
      <c r="M428" s="13"/>
    </row>
    <row r="429">
      <c r="A429" s="15"/>
      <c r="B429" s="6"/>
      <c r="C429" s="14" t="str">
        <f>iferror(vlookup(B429,'📦 ชื่อสินค้า'!A:C,3,false),)</f>
        <v/>
      </c>
      <c r="D429" s="11" t="str">
        <f>iferror(vlookup(B429,'📦 ชื่อสินค้า'!A:D,4,false),"")</f>
        <v/>
      </c>
      <c r="E429" s="16"/>
      <c r="F429" s="8" t="str">
        <f t="shared" si="1"/>
        <v/>
      </c>
      <c r="G429" s="9" t="str">
        <f>IF(LEN(B429)&gt;0,vlookup(B429,'📊 รายงานสินค้าคงเหลือ'!A:G,6,false)*E429,)</f>
        <v/>
      </c>
      <c r="H429" s="9" t="str">
        <f t="shared" si="2"/>
        <v/>
      </c>
      <c r="I429" s="10" t="str">
        <f t="shared" si="3"/>
        <v/>
      </c>
      <c r="J429" s="11" t="str">
        <f t="shared" si="4"/>
        <v/>
      </c>
      <c r="K429" s="11" t="str">
        <f>IFERROR(IF(A429&lt;&gt;"",VLOOKUP(B429,'📦 ชื่อสินค้า'!A:F,6,false),""),)</f>
        <v/>
      </c>
      <c r="L429" s="11" t="str">
        <f t="shared" si="5"/>
        <v/>
      </c>
      <c r="M429" s="13"/>
    </row>
    <row r="430">
      <c r="A430" s="15"/>
      <c r="B430" s="6"/>
      <c r="C430" s="14" t="str">
        <f>iferror(vlookup(B430,'📦 ชื่อสินค้า'!A:C,3,false),)</f>
        <v/>
      </c>
      <c r="D430" s="11" t="str">
        <f>iferror(vlookup(B430,'📦 ชื่อสินค้า'!A:D,4,false),"")</f>
        <v/>
      </c>
      <c r="E430" s="16"/>
      <c r="F430" s="8" t="str">
        <f t="shared" si="1"/>
        <v/>
      </c>
      <c r="G430" s="9" t="str">
        <f>IF(LEN(B430)&gt;0,vlookup(B430,'📊 รายงานสินค้าคงเหลือ'!A:G,6,false)*E430,)</f>
        <v/>
      </c>
      <c r="H430" s="9" t="str">
        <f t="shared" si="2"/>
        <v/>
      </c>
      <c r="I430" s="10" t="str">
        <f t="shared" si="3"/>
        <v/>
      </c>
      <c r="J430" s="11" t="str">
        <f t="shared" si="4"/>
        <v/>
      </c>
      <c r="K430" s="11" t="str">
        <f>IFERROR(IF(A430&lt;&gt;"",VLOOKUP(B430,'📦 ชื่อสินค้า'!A:F,6,false),""),)</f>
        <v/>
      </c>
      <c r="L430" s="11" t="str">
        <f t="shared" si="5"/>
        <v/>
      </c>
      <c r="M430" s="13"/>
    </row>
    <row r="431">
      <c r="A431" s="15"/>
      <c r="B431" s="6"/>
      <c r="C431" s="14" t="str">
        <f>iferror(vlookup(B431,'📦 ชื่อสินค้า'!A:C,3,false),)</f>
        <v/>
      </c>
      <c r="D431" s="11" t="str">
        <f>iferror(vlookup(B431,'📦 ชื่อสินค้า'!A:D,4,false),"")</f>
        <v/>
      </c>
      <c r="E431" s="16"/>
      <c r="F431" s="8" t="str">
        <f t="shared" si="1"/>
        <v/>
      </c>
      <c r="G431" s="9" t="str">
        <f>IF(LEN(B431)&gt;0,vlookup(B431,'📊 รายงานสินค้าคงเหลือ'!A:G,6,false)*E431,)</f>
        <v/>
      </c>
      <c r="H431" s="9" t="str">
        <f t="shared" si="2"/>
        <v/>
      </c>
      <c r="I431" s="10" t="str">
        <f t="shared" si="3"/>
        <v/>
      </c>
      <c r="J431" s="11" t="str">
        <f t="shared" si="4"/>
        <v/>
      </c>
      <c r="K431" s="11" t="str">
        <f>IFERROR(IF(A431&lt;&gt;"",VLOOKUP(B431,'📦 ชื่อสินค้า'!A:F,6,false),""),)</f>
        <v/>
      </c>
      <c r="L431" s="11" t="str">
        <f t="shared" si="5"/>
        <v/>
      </c>
      <c r="M431" s="13"/>
    </row>
    <row r="432">
      <c r="A432" s="15"/>
      <c r="B432" s="6"/>
      <c r="C432" s="14" t="str">
        <f>iferror(vlookup(B432,'📦 ชื่อสินค้า'!A:C,3,false),)</f>
        <v/>
      </c>
      <c r="D432" s="11" t="str">
        <f>iferror(vlookup(B432,'📦 ชื่อสินค้า'!A:D,4,false),"")</f>
        <v/>
      </c>
      <c r="E432" s="16"/>
      <c r="F432" s="8" t="str">
        <f t="shared" si="1"/>
        <v/>
      </c>
      <c r="G432" s="9" t="str">
        <f>IF(LEN(B432)&gt;0,vlookup(B432,'📊 รายงานสินค้าคงเหลือ'!A:G,6,false)*E432,)</f>
        <v/>
      </c>
      <c r="H432" s="9" t="str">
        <f t="shared" si="2"/>
        <v/>
      </c>
      <c r="I432" s="10" t="str">
        <f t="shared" si="3"/>
        <v/>
      </c>
      <c r="J432" s="11" t="str">
        <f t="shared" si="4"/>
        <v/>
      </c>
      <c r="K432" s="11" t="str">
        <f>IFERROR(IF(A432&lt;&gt;"",VLOOKUP(B432,'📦 ชื่อสินค้า'!A:F,6,false),""),)</f>
        <v/>
      </c>
      <c r="L432" s="11" t="str">
        <f t="shared" si="5"/>
        <v/>
      </c>
      <c r="M432" s="13"/>
    </row>
    <row r="433">
      <c r="A433" s="15"/>
      <c r="B433" s="6"/>
      <c r="C433" s="14" t="str">
        <f>iferror(vlookup(B433,'📦 ชื่อสินค้า'!A:C,3,false),)</f>
        <v/>
      </c>
      <c r="D433" s="11" t="str">
        <f>iferror(vlookup(B433,'📦 ชื่อสินค้า'!A:D,4,false),"")</f>
        <v/>
      </c>
      <c r="E433" s="16"/>
      <c r="F433" s="8" t="str">
        <f t="shared" si="1"/>
        <v/>
      </c>
      <c r="G433" s="9" t="str">
        <f>IF(LEN(B433)&gt;0,vlookup(B433,'📊 รายงานสินค้าคงเหลือ'!A:G,6,false)*E433,)</f>
        <v/>
      </c>
      <c r="H433" s="9" t="str">
        <f t="shared" si="2"/>
        <v/>
      </c>
      <c r="I433" s="10" t="str">
        <f t="shared" si="3"/>
        <v/>
      </c>
      <c r="J433" s="11" t="str">
        <f t="shared" si="4"/>
        <v/>
      </c>
      <c r="K433" s="11" t="str">
        <f>IFERROR(IF(A433&lt;&gt;"",VLOOKUP(B433,'📦 ชื่อสินค้า'!A:F,6,false),""),)</f>
        <v/>
      </c>
      <c r="L433" s="11" t="str">
        <f t="shared" si="5"/>
        <v/>
      </c>
      <c r="M433" s="13"/>
    </row>
    <row r="434">
      <c r="A434" s="15"/>
      <c r="B434" s="6"/>
      <c r="C434" s="14" t="str">
        <f>iferror(vlookup(B434,'📦 ชื่อสินค้า'!A:C,3,false),)</f>
        <v/>
      </c>
      <c r="D434" s="11" t="str">
        <f>iferror(vlookup(B434,'📦 ชื่อสินค้า'!A:D,4,false),"")</f>
        <v/>
      </c>
      <c r="E434" s="16"/>
      <c r="F434" s="8" t="str">
        <f t="shared" si="1"/>
        <v/>
      </c>
      <c r="G434" s="9" t="str">
        <f>IF(LEN(B434)&gt;0,vlookup(B434,'📊 รายงานสินค้าคงเหลือ'!A:G,6,false)*E434,)</f>
        <v/>
      </c>
      <c r="H434" s="9" t="str">
        <f t="shared" si="2"/>
        <v/>
      </c>
      <c r="I434" s="10" t="str">
        <f t="shared" si="3"/>
        <v/>
      </c>
      <c r="J434" s="11" t="str">
        <f t="shared" si="4"/>
        <v/>
      </c>
      <c r="K434" s="11" t="str">
        <f>IFERROR(IF(A434&lt;&gt;"",VLOOKUP(B434,'📦 ชื่อสินค้า'!A:F,6,false),""),)</f>
        <v/>
      </c>
      <c r="L434" s="11" t="str">
        <f t="shared" si="5"/>
        <v/>
      </c>
      <c r="M434" s="13"/>
    </row>
    <row r="435">
      <c r="A435" s="15"/>
      <c r="B435" s="6"/>
      <c r="C435" s="14" t="str">
        <f>iferror(vlookup(B435,'📦 ชื่อสินค้า'!A:C,3,false),)</f>
        <v/>
      </c>
      <c r="D435" s="11" t="str">
        <f>iferror(vlookup(B435,'📦 ชื่อสินค้า'!A:D,4,false),"")</f>
        <v/>
      </c>
      <c r="E435" s="16"/>
      <c r="F435" s="8" t="str">
        <f t="shared" si="1"/>
        <v/>
      </c>
      <c r="G435" s="9" t="str">
        <f>IF(LEN(B435)&gt;0,vlookup(B435,'📊 รายงานสินค้าคงเหลือ'!A:G,6,false)*E435,)</f>
        <v/>
      </c>
      <c r="H435" s="9" t="str">
        <f t="shared" si="2"/>
        <v/>
      </c>
      <c r="I435" s="10" t="str">
        <f t="shared" si="3"/>
        <v/>
      </c>
      <c r="J435" s="11" t="str">
        <f t="shared" si="4"/>
        <v/>
      </c>
      <c r="K435" s="11" t="str">
        <f>IFERROR(IF(A435&lt;&gt;"",VLOOKUP(B435,'📦 ชื่อสินค้า'!A:F,6,false),""),)</f>
        <v/>
      </c>
      <c r="L435" s="11" t="str">
        <f t="shared" si="5"/>
        <v/>
      </c>
      <c r="M435" s="13"/>
    </row>
    <row r="436">
      <c r="A436" s="15"/>
      <c r="B436" s="6"/>
      <c r="C436" s="14" t="str">
        <f>iferror(vlookup(B436,'📦 ชื่อสินค้า'!A:C,3,false),)</f>
        <v/>
      </c>
      <c r="D436" s="11" t="str">
        <f>iferror(vlookup(B436,'📦 ชื่อสินค้า'!A:D,4,false),"")</f>
        <v/>
      </c>
      <c r="E436" s="16"/>
      <c r="F436" s="8" t="str">
        <f t="shared" si="1"/>
        <v/>
      </c>
      <c r="G436" s="9" t="str">
        <f>IF(LEN(B436)&gt;0,vlookup(B436,'📊 รายงานสินค้าคงเหลือ'!A:G,6,false)*E436,)</f>
        <v/>
      </c>
      <c r="H436" s="9" t="str">
        <f t="shared" si="2"/>
        <v/>
      </c>
      <c r="I436" s="10" t="str">
        <f t="shared" si="3"/>
        <v/>
      </c>
      <c r="J436" s="11" t="str">
        <f t="shared" si="4"/>
        <v/>
      </c>
      <c r="K436" s="11" t="str">
        <f>IFERROR(IF(A436&lt;&gt;"",VLOOKUP(B436,'📦 ชื่อสินค้า'!A:F,6,false),""),)</f>
        <v/>
      </c>
      <c r="L436" s="11" t="str">
        <f t="shared" si="5"/>
        <v/>
      </c>
      <c r="M436" s="13"/>
    </row>
    <row r="437">
      <c r="A437" s="15"/>
      <c r="B437" s="6"/>
      <c r="C437" s="14" t="str">
        <f>iferror(vlookup(B437,'📦 ชื่อสินค้า'!A:C,3,false),)</f>
        <v/>
      </c>
      <c r="D437" s="11" t="str">
        <f>iferror(vlookup(B437,'📦 ชื่อสินค้า'!A:D,4,false),"")</f>
        <v/>
      </c>
      <c r="E437" s="16"/>
      <c r="F437" s="8" t="str">
        <f t="shared" si="1"/>
        <v/>
      </c>
      <c r="G437" s="9" t="str">
        <f>IF(LEN(B437)&gt;0,vlookup(B437,'📊 รายงานสินค้าคงเหลือ'!A:G,6,false)*E437,)</f>
        <v/>
      </c>
      <c r="H437" s="9" t="str">
        <f t="shared" si="2"/>
        <v/>
      </c>
      <c r="I437" s="10" t="str">
        <f t="shared" si="3"/>
        <v/>
      </c>
      <c r="J437" s="11" t="str">
        <f t="shared" si="4"/>
        <v/>
      </c>
      <c r="K437" s="11" t="str">
        <f>IFERROR(IF(A437&lt;&gt;"",VLOOKUP(B437,'📦 ชื่อสินค้า'!A:F,6,false),""),)</f>
        <v/>
      </c>
      <c r="L437" s="11" t="str">
        <f t="shared" si="5"/>
        <v/>
      </c>
      <c r="M437" s="13"/>
    </row>
    <row r="438">
      <c r="A438" s="15"/>
      <c r="B438" s="6"/>
      <c r="C438" s="14" t="str">
        <f>iferror(vlookup(B438,'📦 ชื่อสินค้า'!A:C,3,false),)</f>
        <v/>
      </c>
      <c r="D438" s="11" t="str">
        <f>iferror(vlookup(B438,'📦 ชื่อสินค้า'!A:D,4,false),"")</f>
        <v/>
      </c>
      <c r="E438" s="16"/>
      <c r="F438" s="8" t="str">
        <f t="shared" si="1"/>
        <v/>
      </c>
      <c r="G438" s="9" t="str">
        <f>IF(LEN(B438)&gt;0,vlookup(B438,'📊 รายงานสินค้าคงเหลือ'!A:G,6,false)*E438,)</f>
        <v/>
      </c>
      <c r="H438" s="9" t="str">
        <f t="shared" si="2"/>
        <v/>
      </c>
      <c r="I438" s="10" t="str">
        <f t="shared" si="3"/>
        <v/>
      </c>
      <c r="J438" s="11" t="str">
        <f t="shared" si="4"/>
        <v/>
      </c>
      <c r="K438" s="11" t="str">
        <f>IFERROR(IF(A438&lt;&gt;"",VLOOKUP(B438,'📦 ชื่อสินค้า'!A:F,6,false),""),)</f>
        <v/>
      </c>
      <c r="L438" s="11" t="str">
        <f t="shared" si="5"/>
        <v/>
      </c>
      <c r="M438" s="13"/>
    </row>
    <row r="439">
      <c r="A439" s="15"/>
      <c r="B439" s="6"/>
      <c r="C439" s="14" t="str">
        <f>iferror(vlookup(B439,'📦 ชื่อสินค้า'!A:C,3,false),)</f>
        <v/>
      </c>
      <c r="D439" s="11" t="str">
        <f>iferror(vlookup(B439,'📦 ชื่อสินค้า'!A:D,4,false),"")</f>
        <v/>
      </c>
      <c r="E439" s="16"/>
      <c r="F439" s="8" t="str">
        <f t="shared" si="1"/>
        <v/>
      </c>
      <c r="G439" s="9" t="str">
        <f>IF(LEN(B439)&gt;0,vlookup(B439,'📊 รายงานสินค้าคงเหลือ'!A:G,6,false)*E439,)</f>
        <v/>
      </c>
      <c r="H439" s="9" t="str">
        <f t="shared" si="2"/>
        <v/>
      </c>
      <c r="I439" s="10" t="str">
        <f t="shared" si="3"/>
        <v/>
      </c>
      <c r="J439" s="11" t="str">
        <f t="shared" si="4"/>
        <v/>
      </c>
      <c r="K439" s="11" t="str">
        <f>IFERROR(IF(A439&lt;&gt;"",VLOOKUP(B439,'📦 ชื่อสินค้า'!A:F,6,false),""),)</f>
        <v/>
      </c>
      <c r="L439" s="11" t="str">
        <f t="shared" si="5"/>
        <v/>
      </c>
      <c r="M439" s="13"/>
    </row>
    <row r="440">
      <c r="A440" s="15"/>
      <c r="B440" s="6"/>
      <c r="C440" s="14" t="str">
        <f>iferror(vlookup(B440,'📦 ชื่อสินค้า'!A:C,3,false),)</f>
        <v/>
      </c>
      <c r="D440" s="11" t="str">
        <f>iferror(vlookup(B440,'📦 ชื่อสินค้า'!A:D,4,false),"")</f>
        <v/>
      </c>
      <c r="E440" s="16"/>
      <c r="F440" s="8" t="str">
        <f t="shared" si="1"/>
        <v/>
      </c>
      <c r="G440" s="9" t="str">
        <f>IF(LEN(B440)&gt;0,vlookup(B440,'📊 รายงานสินค้าคงเหลือ'!A:G,6,false)*E440,)</f>
        <v/>
      </c>
      <c r="H440" s="9" t="str">
        <f t="shared" si="2"/>
        <v/>
      </c>
      <c r="I440" s="10" t="str">
        <f t="shared" si="3"/>
        <v/>
      </c>
      <c r="J440" s="11" t="str">
        <f t="shared" si="4"/>
        <v/>
      </c>
      <c r="K440" s="11" t="str">
        <f>IFERROR(IF(A440&lt;&gt;"",VLOOKUP(B440,'📦 ชื่อสินค้า'!A:F,6,false),""),)</f>
        <v/>
      </c>
      <c r="L440" s="11" t="str">
        <f t="shared" si="5"/>
        <v/>
      </c>
      <c r="M440" s="13"/>
    </row>
    <row r="441">
      <c r="A441" s="15"/>
      <c r="B441" s="6"/>
      <c r="C441" s="14" t="str">
        <f>iferror(vlookup(B441,'📦 ชื่อสินค้า'!A:C,3,false),)</f>
        <v/>
      </c>
      <c r="D441" s="11" t="str">
        <f>iferror(vlookup(B441,'📦 ชื่อสินค้า'!A:D,4,false),"")</f>
        <v/>
      </c>
      <c r="E441" s="16"/>
      <c r="F441" s="8" t="str">
        <f t="shared" si="1"/>
        <v/>
      </c>
      <c r="G441" s="9" t="str">
        <f>IF(LEN(B441)&gt;0,vlookup(B441,'📊 รายงานสินค้าคงเหลือ'!A:G,6,false)*E441,)</f>
        <v/>
      </c>
      <c r="H441" s="9" t="str">
        <f t="shared" si="2"/>
        <v/>
      </c>
      <c r="I441" s="10" t="str">
        <f t="shared" si="3"/>
        <v/>
      </c>
      <c r="J441" s="11" t="str">
        <f t="shared" si="4"/>
        <v/>
      </c>
      <c r="K441" s="11" t="str">
        <f>IFERROR(IF(A441&lt;&gt;"",VLOOKUP(B441,'📦 ชื่อสินค้า'!A:F,6,false),""),)</f>
        <v/>
      </c>
      <c r="L441" s="11" t="str">
        <f t="shared" si="5"/>
        <v/>
      </c>
      <c r="M441" s="13"/>
    </row>
    <row r="442">
      <c r="A442" s="15"/>
      <c r="B442" s="6"/>
      <c r="C442" s="14" t="str">
        <f>iferror(vlookup(B442,'📦 ชื่อสินค้า'!A:C,3,false),)</f>
        <v/>
      </c>
      <c r="D442" s="11" t="str">
        <f>iferror(vlookup(B442,'📦 ชื่อสินค้า'!A:D,4,false),"")</f>
        <v/>
      </c>
      <c r="E442" s="16"/>
      <c r="F442" s="8" t="str">
        <f t="shared" si="1"/>
        <v/>
      </c>
      <c r="G442" s="9" t="str">
        <f>IF(LEN(B442)&gt;0,vlookup(B442,'📊 รายงานสินค้าคงเหลือ'!A:G,6,false)*E442,)</f>
        <v/>
      </c>
      <c r="H442" s="9" t="str">
        <f t="shared" si="2"/>
        <v/>
      </c>
      <c r="I442" s="10" t="str">
        <f t="shared" si="3"/>
        <v/>
      </c>
      <c r="J442" s="11" t="str">
        <f t="shared" si="4"/>
        <v/>
      </c>
      <c r="K442" s="11" t="str">
        <f>IFERROR(IF(A442&lt;&gt;"",VLOOKUP(B442,'📦 ชื่อสินค้า'!A:F,6,false),""),)</f>
        <v/>
      </c>
      <c r="L442" s="11" t="str">
        <f t="shared" si="5"/>
        <v/>
      </c>
      <c r="M442" s="13"/>
    </row>
    <row r="443">
      <c r="A443" s="15"/>
      <c r="B443" s="6"/>
      <c r="C443" s="14" t="str">
        <f>iferror(vlookup(B443,'📦 ชื่อสินค้า'!A:C,3,false),)</f>
        <v/>
      </c>
      <c r="D443" s="11" t="str">
        <f>iferror(vlookup(B443,'📦 ชื่อสินค้า'!A:D,4,false),"")</f>
        <v/>
      </c>
      <c r="E443" s="16"/>
      <c r="F443" s="8" t="str">
        <f t="shared" si="1"/>
        <v/>
      </c>
      <c r="G443" s="9" t="str">
        <f>IF(LEN(B443)&gt;0,vlookup(B443,'📊 รายงานสินค้าคงเหลือ'!A:G,6,false)*E443,)</f>
        <v/>
      </c>
      <c r="H443" s="9" t="str">
        <f t="shared" si="2"/>
        <v/>
      </c>
      <c r="I443" s="10" t="str">
        <f t="shared" si="3"/>
        <v/>
      </c>
      <c r="J443" s="11" t="str">
        <f t="shared" si="4"/>
        <v/>
      </c>
      <c r="K443" s="11" t="str">
        <f>IFERROR(IF(A443&lt;&gt;"",VLOOKUP(B443,'📦 ชื่อสินค้า'!A:F,6,false),""),)</f>
        <v/>
      </c>
      <c r="L443" s="11" t="str">
        <f t="shared" si="5"/>
        <v/>
      </c>
      <c r="M443" s="13"/>
    </row>
    <row r="444">
      <c r="A444" s="15"/>
      <c r="B444" s="6"/>
      <c r="C444" s="14" t="str">
        <f>iferror(vlookup(B444,'📦 ชื่อสินค้า'!A:C,3,false),)</f>
        <v/>
      </c>
      <c r="D444" s="11" t="str">
        <f>iferror(vlookup(B444,'📦 ชื่อสินค้า'!A:D,4,false),"")</f>
        <v/>
      </c>
      <c r="E444" s="16"/>
      <c r="F444" s="8" t="str">
        <f t="shared" si="1"/>
        <v/>
      </c>
      <c r="G444" s="9" t="str">
        <f>IF(LEN(B444)&gt;0,vlookup(B444,'📊 รายงานสินค้าคงเหลือ'!A:G,6,false)*E444,)</f>
        <v/>
      </c>
      <c r="H444" s="9" t="str">
        <f t="shared" si="2"/>
        <v/>
      </c>
      <c r="I444" s="10" t="str">
        <f t="shared" si="3"/>
        <v/>
      </c>
      <c r="J444" s="11" t="str">
        <f t="shared" si="4"/>
        <v/>
      </c>
      <c r="K444" s="11" t="str">
        <f>IFERROR(IF(A444&lt;&gt;"",VLOOKUP(B444,'📦 ชื่อสินค้า'!A:F,6,false),""),)</f>
        <v/>
      </c>
      <c r="L444" s="11" t="str">
        <f t="shared" si="5"/>
        <v/>
      </c>
      <c r="M444" s="13"/>
    </row>
    <row r="445">
      <c r="A445" s="15"/>
      <c r="B445" s="6"/>
      <c r="C445" s="14" t="str">
        <f>iferror(vlookup(B445,'📦 ชื่อสินค้า'!A:C,3,false),)</f>
        <v/>
      </c>
      <c r="D445" s="11" t="str">
        <f>iferror(vlookup(B445,'📦 ชื่อสินค้า'!A:D,4,false),"")</f>
        <v/>
      </c>
      <c r="E445" s="16"/>
      <c r="F445" s="8" t="str">
        <f t="shared" si="1"/>
        <v/>
      </c>
      <c r="G445" s="9" t="str">
        <f>IF(LEN(B445)&gt;0,vlookup(B445,'📊 รายงานสินค้าคงเหลือ'!A:G,6,false)*E445,)</f>
        <v/>
      </c>
      <c r="H445" s="9" t="str">
        <f t="shared" si="2"/>
        <v/>
      </c>
      <c r="I445" s="10" t="str">
        <f t="shared" si="3"/>
        <v/>
      </c>
      <c r="J445" s="11" t="str">
        <f t="shared" si="4"/>
        <v/>
      </c>
      <c r="K445" s="11" t="str">
        <f>IFERROR(IF(A445&lt;&gt;"",VLOOKUP(B445,'📦 ชื่อสินค้า'!A:F,6,false),""),)</f>
        <v/>
      </c>
      <c r="L445" s="11" t="str">
        <f t="shared" si="5"/>
        <v/>
      </c>
      <c r="M445" s="13"/>
    </row>
    <row r="446">
      <c r="A446" s="15"/>
      <c r="B446" s="6"/>
      <c r="C446" s="14" t="str">
        <f>iferror(vlookup(B446,'📦 ชื่อสินค้า'!A:C,3,false),)</f>
        <v/>
      </c>
      <c r="D446" s="11" t="str">
        <f>iferror(vlookup(B446,'📦 ชื่อสินค้า'!A:D,4,false),"")</f>
        <v/>
      </c>
      <c r="E446" s="16"/>
      <c r="F446" s="8" t="str">
        <f t="shared" si="1"/>
        <v/>
      </c>
      <c r="G446" s="9" t="str">
        <f>IF(LEN(B446)&gt;0,vlookup(B446,'📊 รายงานสินค้าคงเหลือ'!A:G,6,false)*E446,)</f>
        <v/>
      </c>
      <c r="H446" s="9" t="str">
        <f t="shared" si="2"/>
        <v/>
      </c>
      <c r="I446" s="10" t="str">
        <f t="shared" si="3"/>
        <v/>
      </c>
      <c r="J446" s="11" t="str">
        <f t="shared" si="4"/>
        <v/>
      </c>
      <c r="K446" s="11" t="str">
        <f>IFERROR(IF(A446&lt;&gt;"",VLOOKUP(B446,'📦 ชื่อสินค้า'!A:F,6,false),""),)</f>
        <v/>
      </c>
      <c r="L446" s="11" t="str">
        <f t="shared" si="5"/>
        <v/>
      </c>
      <c r="M446" s="13"/>
    </row>
    <row r="447">
      <c r="A447" s="15"/>
      <c r="B447" s="6"/>
      <c r="C447" s="14" t="str">
        <f>iferror(vlookup(B447,'📦 ชื่อสินค้า'!A:C,3,false),)</f>
        <v/>
      </c>
      <c r="D447" s="11" t="str">
        <f>iferror(vlookup(B447,'📦 ชื่อสินค้า'!A:D,4,false),"")</f>
        <v/>
      </c>
      <c r="E447" s="16"/>
      <c r="F447" s="8" t="str">
        <f t="shared" si="1"/>
        <v/>
      </c>
      <c r="G447" s="9" t="str">
        <f>IF(LEN(B447)&gt;0,vlookup(B447,'📊 รายงานสินค้าคงเหลือ'!A:G,6,false)*E447,)</f>
        <v/>
      </c>
      <c r="H447" s="9" t="str">
        <f t="shared" si="2"/>
        <v/>
      </c>
      <c r="I447" s="10" t="str">
        <f t="shared" si="3"/>
        <v/>
      </c>
      <c r="J447" s="11" t="str">
        <f t="shared" si="4"/>
        <v/>
      </c>
      <c r="K447" s="11" t="str">
        <f>IFERROR(IF(A447&lt;&gt;"",VLOOKUP(B447,'📦 ชื่อสินค้า'!A:F,6,false),""),)</f>
        <v/>
      </c>
      <c r="L447" s="11" t="str">
        <f t="shared" si="5"/>
        <v/>
      </c>
      <c r="M447" s="13"/>
    </row>
    <row r="448">
      <c r="A448" s="15"/>
      <c r="B448" s="6"/>
      <c r="C448" s="14" t="str">
        <f>iferror(vlookup(B448,'📦 ชื่อสินค้า'!A:C,3,false),)</f>
        <v/>
      </c>
      <c r="D448" s="11" t="str">
        <f>iferror(vlookup(B448,'📦 ชื่อสินค้า'!A:D,4,false),"")</f>
        <v/>
      </c>
      <c r="E448" s="16"/>
      <c r="F448" s="8" t="str">
        <f t="shared" si="1"/>
        <v/>
      </c>
      <c r="G448" s="9" t="str">
        <f>IF(LEN(B448)&gt;0,vlookup(B448,'📊 รายงานสินค้าคงเหลือ'!A:G,6,false)*E448,)</f>
        <v/>
      </c>
      <c r="H448" s="9" t="str">
        <f t="shared" si="2"/>
        <v/>
      </c>
      <c r="I448" s="10" t="str">
        <f t="shared" si="3"/>
        <v/>
      </c>
      <c r="J448" s="11" t="str">
        <f t="shared" si="4"/>
        <v/>
      </c>
      <c r="K448" s="11" t="str">
        <f>IFERROR(IF(A448&lt;&gt;"",VLOOKUP(B448,'📦 ชื่อสินค้า'!A:F,6,false),""),)</f>
        <v/>
      </c>
      <c r="L448" s="11" t="str">
        <f t="shared" si="5"/>
        <v/>
      </c>
      <c r="M448" s="13"/>
    </row>
    <row r="449">
      <c r="A449" s="15"/>
      <c r="B449" s="6"/>
      <c r="C449" s="14" t="str">
        <f>iferror(vlookup(B449,'📦 ชื่อสินค้า'!A:C,3,false),)</f>
        <v/>
      </c>
      <c r="D449" s="11" t="str">
        <f>iferror(vlookup(B449,'📦 ชื่อสินค้า'!A:D,4,false),"")</f>
        <v/>
      </c>
      <c r="E449" s="16"/>
      <c r="F449" s="8" t="str">
        <f t="shared" si="1"/>
        <v/>
      </c>
      <c r="G449" s="9" t="str">
        <f>IF(LEN(B449)&gt;0,vlookup(B449,'📊 รายงานสินค้าคงเหลือ'!A:G,6,false)*E449,)</f>
        <v/>
      </c>
      <c r="H449" s="9" t="str">
        <f t="shared" si="2"/>
        <v/>
      </c>
      <c r="I449" s="10" t="str">
        <f t="shared" si="3"/>
        <v/>
      </c>
      <c r="J449" s="11" t="str">
        <f t="shared" si="4"/>
        <v/>
      </c>
      <c r="K449" s="11" t="str">
        <f>IFERROR(IF(A449&lt;&gt;"",VLOOKUP(B449,'📦 ชื่อสินค้า'!A:F,6,false),""),)</f>
        <v/>
      </c>
      <c r="L449" s="11" t="str">
        <f t="shared" si="5"/>
        <v/>
      </c>
      <c r="M449" s="13"/>
    </row>
    <row r="450">
      <c r="A450" s="15"/>
      <c r="B450" s="6"/>
      <c r="C450" s="14" t="str">
        <f>iferror(vlookup(B450,'📦 ชื่อสินค้า'!A:C,3,false),)</f>
        <v/>
      </c>
      <c r="D450" s="11" t="str">
        <f>iferror(vlookup(B450,'📦 ชื่อสินค้า'!A:D,4,false),"")</f>
        <v/>
      </c>
      <c r="E450" s="16"/>
      <c r="F450" s="8" t="str">
        <f t="shared" si="1"/>
        <v/>
      </c>
      <c r="G450" s="9" t="str">
        <f>IF(LEN(B450)&gt;0,vlookup(B450,'📊 รายงานสินค้าคงเหลือ'!A:G,6,false)*E450,)</f>
        <v/>
      </c>
      <c r="H450" s="9" t="str">
        <f t="shared" si="2"/>
        <v/>
      </c>
      <c r="I450" s="10" t="str">
        <f t="shared" si="3"/>
        <v/>
      </c>
      <c r="J450" s="11" t="str">
        <f t="shared" si="4"/>
        <v/>
      </c>
      <c r="K450" s="11" t="str">
        <f>IFERROR(IF(A450&lt;&gt;"",VLOOKUP(B450,'📦 ชื่อสินค้า'!A:F,6,false),""),)</f>
        <v/>
      </c>
      <c r="L450" s="11" t="str">
        <f t="shared" si="5"/>
        <v/>
      </c>
      <c r="M450" s="13"/>
    </row>
    <row r="451">
      <c r="A451" s="15"/>
      <c r="B451" s="6"/>
      <c r="C451" s="14" t="str">
        <f>iferror(vlookup(B451,'📦 ชื่อสินค้า'!A:C,3,false),)</f>
        <v/>
      </c>
      <c r="D451" s="11" t="str">
        <f>iferror(vlookup(B451,'📦 ชื่อสินค้า'!A:D,4,false),"")</f>
        <v/>
      </c>
      <c r="E451" s="16"/>
      <c r="F451" s="8" t="str">
        <f t="shared" si="1"/>
        <v/>
      </c>
      <c r="G451" s="9" t="str">
        <f>IF(LEN(B451)&gt;0,vlookup(B451,'📊 รายงานสินค้าคงเหลือ'!A:G,6,false)*E451,)</f>
        <v/>
      </c>
      <c r="H451" s="9" t="str">
        <f t="shared" si="2"/>
        <v/>
      </c>
      <c r="I451" s="10" t="str">
        <f t="shared" si="3"/>
        <v/>
      </c>
      <c r="J451" s="11" t="str">
        <f t="shared" si="4"/>
        <v/>
      </c>
      <c r="K451" s="11" t="str">
        <f>IFERROR(IF(A451&lt;&gt;"",VLOOKUP(B451,'📦 ชื่อสินค้า'!A:F,6,false),""),)</f>
        <v/>
      </c>
      <c r="L451" s="11" t="str">
        <f t="shared" si="5"/>
        <v/>
      </c>
      <c r="M451" s="13"/>
    </row>
    <row r="452">
      <c r="A452" s="15"/>
      <c r="B452" s="6"/>
      <c r="C452" s="14" t="str">
        <f>iferror(vlookup(B452,'📦 ชื่อสินค้า'!A:C,3,false),)</f>
        <v/>
      </c>
      <c r="D452" s="11" t="str">
        <f>iferror(vlookup(B452,'📦 ชื่อสินค้า'!A:D,4,false),"")</f>
        <v/>
      </c>
      <c r="E452" s="16"/>
      <c r="F452" s="8" t="str">
        <f t="shared" si="1"/>
        <v/>
      </c>
      <c r="G452" s="9" t="str">
        <f>IF(LEN(B452)&gt;0,vlookup(B452,'📊 รายงานสินค้าคงเหลือ'!A:G,6,false)*E452,)</f>
        <v/>
      </c>
      <c r="H452" s="9" t="str">
        <f t="shared" si="2"/>
        <v/>
      </c>
      <c r="I452" s="10" t="str">
        <f t="shared" si="3"/>
        <v/>
      </c>
      <c r="J452" s="11" t="str">
        <f t="shared" si="4"/>
        <v/>
      </c>
      <c r="K452" s="11" t="str">
        <f>IFERROR(IF(A452&lt;&gt;"",VLOOKUP(B452,'📦 ชื่อสินค้า'!A:F,6,false),""),)</f>
        <v/>
      </c>
      <c r="L452" s="11" t="str">
        <f t="shared" si="5"/>
        <v/>
      </c>
      <c r="M452" s="13"/>
    </row>
    <row r="453">
      <c r="A453" s="15"/>
      <c r="B453" s="6"/>
      <c r="C453" s="14" t="str">
        <f>iferror(vlookup(B453,'📦 ชื่อสินค้า'!A:C,3,false),)</f>
        <v/>
      </c>
      <c r="D453" s="11" t="str">
        <f>iferror(vlookup(B453,'📦 ชื่อสินค้า'!A:D,4,false),"")</f>
        <v/>
      </c>
      <c r="E453" s="16"/>
      <c r="F453" s="8" t="str">
        <f t="shared" si="1"/>
        <v/>
      </c>
      <c r="G453" s="9" t="str">
        <f>IF(LEN(B453)&gt;0,vlookup(B453,'📊 รายงานสินค้าคงเหลือ'!A:G,6,false)*E453,)</f>
        <v/>
      </c>
      <c r="H453" s="9" t="str">
        <f t="shared" si="2"/>
        <v/>
      </c>
      <c r="I453" s="10" t="str">
        <f t="shared" si="3"/>
        <v/>
      </c>
      <c r="J453" s="11" t="str">
        <f t="shared" si="4"/>
        <v/>
      </c>
      <c r="K453" s="11" t="str">
        <f>IFERROR(IF(A453&lt;&gt;"",VLOOKUP(B453,'📦 ชื่อสินค้า'!A:F,6,false),""),)</f>
        <v/>
      </c>
      <c r="L453" s="11" t="str">
        <f t="shared" si="5"/>
        <v/>
      </c>
      <c r="M453" s="13"/>
    </row>
    <row r="454">
      <c r="A454" s="15"/>
      <c r="B454" s="6"/>
      <c r="C454" s="14" t="str">
        <f>iferror(vlookup(B454,'📦 ชื่อสินค้า'!A:C,3,false),)</f>
        <v/>
      </c>
      <c r="D454" s="11" t="str">
        <f>iferror(vlookup(B454,'📦 ชื่อสินค้า'!A:D,4,false),"")</f>
        <v/>
      </c>
      <c r="E454" s="16"/>
      <c r="F454" s="8" t="str">
        <f t="shared" si="1"/>
        <v/>
      </c>
      <c r="G454" s="9" t="str">
        <f>IF(LEN(B454)&gt;0,vlookup(B454,'📊 รายงานสินค้าคงเหลือ'!A:G,6,false)*E454,)</f>
        <v/>
      </c>
      <c r="H454" s="9" t="str">
        <f t="shared" si="2"/>
        <v/>
      </c>
      <c r="I454" s="10" t="str">
        <f t="shared" si="3"/>
        <v/>
      </c>
      <c r="J454" s="11" t="str">
        <f t="shared" si="4"/>
        <v/>
      </c>
      <c r="K454" s="11" t="str">
        <f>IFERROR(IF(A454&lt;&gt;"",VLOOKUP(B454,'📦 ชื่อสินค้า'!A:F,6,false),""),)</f>
        <v/>
      </c>
      <c r="L454" s="11" t="str">
        <f t="shared" si="5"/>
        <v/>
      </c>
      <c r="M454" s="13"/>
    </row>
    <row r="455">
      <c r="A455" s="15"/>
      <c r="B455" s="6"/>
      <c r="C455" s="14" t="str">
        <f>iferror(vlookup(B455,'📦 ชื่อสินค้า'!A:C,3,false),)</f>
        <v/>
      </c>
      <c r="D455" s="11" t="str">
        <f>iferror(vlookup(B455,'📦 ชื่อสินค้า'!A:D,4,false),"")</f>
        <v/>
      </c>
      <c r="E455" s="16"/>
      <c r="F455" s="8" t="str">
        <f t="shared" si="1"/>
        <v/>
      </c>
      <c r="G455" s="9" t="str">
        <f>IF(LEN(B455)&gt;0,vlookup(B455,'📊 รายงานสินค้าคงเหลือ'!A:G,6,false)*E455,)</f>
        <v/>
      </c>
      <c r="H455" s="9" t="str">
        <f t="shared" si="2"/>
        <v/>
      </c>
      <c r="I455" s="10" t="str">
        <f t="shared" si="3"/>
        <v/>
      </c>
      <c r="J455" s="11" t="str">
        <f t="shared" si="4"/>
        <v/>
      </c>
      <c r="K455" s="11" t="str">
        <f>IFERROR(IF(A455&lt;&gt;"",VLOOKUP(B455,'📦 ชื่อสินค้า'!A:F,6,false),""),)</f>
        <v/>
      </c>
      <c r="L455" s="11" t="str">
        <f t="shared" si="5"/>
        <v/>
      </c>
      <c r="M455" s="13"/>
    </row>
    <row r="456">
      <c r="A456" s="15"/>
      <c r="B456" s="6"/>
      <c r="C456" s="14" t="str">
        <f>iferror(vlookup(B456,'📦 ชื่อสินค้า'!A:C,3,false),)</f>
        <v/>
      </c>
      <c r="D456" s="11" t="str">
        <f>iferror(vlookup(B456,'📦 ชื่อสินค้า'!A:D,4,false),"")</f>
        <v/>
      </c>
      <c r="E456" s="16"/>
      <c r="F456" s="8" t="str">
        <f t="shared" si="1"/>
        <v/>
      </c>
      <c r="G456" s="9" t="str">
        <f>IF(LEN(B456)&gt;0,vlookup(B456,'📊 รายงานสินค้าคงเหลือ'!A:G,6,false)*E456,)</f>
        <v/>
      </c>
      <c r="H456" s="9" t="str">
        <f t="shared" si="2"/>
        <v/>
      </c>
      <c r="I456" s="10" t="str">
        <f t="shared" si="3"/>
        <v/>
      </c>
      <c r="J456" s="11" t="str">
        <f t="shared" si="4"/>
        <v/>
      </c>
      <c r="K456" s="11" t="str">
        <f>IFERROR(IF(A456&lt;&gt;"",VLOOKUP(B456,'📦 ชื่อสินค้า'!A:F,6,false),""),)</f>
        <v/>
      </c>
      <c r="L456" s="11" t="str">
        <f t="shared" si="5"/>
        <v/>
      </c>
      <c r="M456" s="13"/>
    </row>
    <row r="457">
      <c r="A457" s="15"/>
      <c r="B457" s="6"/>
      <c r="C457" s="14" t="str">
        <f>iferror(vlookup(B457,'📦 ชื่อสินค้า'!A:C,3,false),)</f>
        <v/>
      </c>
      <c r="D457" s="11" t="str">
        <f>iferror(vlookup(B457,'📦 ชื่อสินค้า'!A:D,4,false),"")</f>
        <v/>
      </c>
      <c r="E457" s="16"/>
      <c r="F457" s="8" t="str">
        <f t="shared" si="1"/>
        <v/>
      </c>
      <c r="G457" s="9" t="str">
        <f>IF(LEN(B457)&gt;0,vlookup(B457,'📊 รายงานสินค้าคงเหลือ'!A:G,6,false)*E457,)</f>
        <v/>
      </c>
      <c r="H457" s="9" t="str">
        <f t="shared" si="2"/>
        <v/>
      </c>
      <c r="I457" s="10" t="str">
        <f t="shared" si="3"/>
        <v/>
      </c>
      <c r="J457" s="11" t="str">
        <f t="shared" si="4"/>
        <v/>
      </c>
      <c r="K457" s="11" t="str">
        <f>IFERROR(IF(A457&lt;&gt;"",VLOOKUP(B457,'📦 ชื่อสินค้า'!A:F,6,false),""),)</f>
        <v/>
      </c>
      <c r="L457" s="11" t="str">
        <f t="shared" si="5"/>
        <v/>
      </c>
      <c r="M457" s="13"/>
    </row>
    <row r="458">
      <c r="A458" s="15"/>
      <c r="B458" s="6"/>
      <c r="C458" s="14" t="str">
        <f>iferror(vlookup(B458,'📦 ชื่อสินค้า'!A:C,3,false),)</f>
        <v/>
      </c>
      <c r="D458" s="11" t="str">
        <f>iferror(vlookup(B458,'📦 ชื่อสินค้า'!A:D,4,false),"")</f>
        <v/>
      </c>
      <c r="E458" s="16"/>
      <c r="F458" s="8" t="str">
        <f t="shared" si="1"/>
        <v/>
      </c>
      <c r="G458" s="9" t="str">
        <f>IF(LEN(B458)&gt;0,vlookup(B458,'📊 รายงานสินค้าคงเหลือ'!A:G,6,false)*E458,)</f>
        <v/>
      </c>
      <c r="H458" s="9" t="str">
        <f t="shared" si="2"/>
        <v/>
      </c>
      <c r="I458" s="10" t="str">
        <f t="shared" si="3"/>
        <v/>
      </c>
      <c r="J458" s="11" t="str">
        <f t="shared" si="4"/>
        <v/>
      </c>
      <c r="K458" s="11" t="str">
        <f>IFERROR(IF(A458&lt;&gt;"",VLOOKUP(B458,'📦 ชื่อสินค้า'!A:F,6,false),""),)</f>
        <v/>
      </c>
      <c r="L458" s="11" t="str">
        <f t="shared" si="5"/>
        <v/>
      </c>
      <c r="M458" s="13"/>
    </row>
    <row r="459">
      <c r="A459" s="15"/>
      <c r="B459" s="6"/>
      <c r="C459" s="14" t="str">
        <f>iferror(vlookup(B459,'📦 ชื่อสินค้า'!A:C,3,false),)</f>
        <v/>
      </c>
      <c r="D459" s="11" t="str">
        <f>iferror(vlookup(B459,'📦 ชื่อสินค้า'!A:D,4,false),"")</f>
        <v/>
      </c>
      <c r="E459" s="16"/>
      <c r="F459" s="8" t="str">
        <f t="shared" si="1"/>
        <v/>
      </c>
      <c r="G459" s="9" t="str">
        <f>IF(LEN(B459)&gt;0,vlookup(B459,'📊 รายงานสินค้าคงเหลือ'!A:G,6,false)*E459,)</f>
        <v/>
      </c>
      <c r="H459" s="9" t="str">
        <f t="shared" si="2"/>
        <v/>
      </c>
      <c r="I459" s="10" t="str">
        <f t="shared" si="3"/>
        <v/>
      </c>
      <c r="J459" s="11" t="str">
        <f t="shared" si="4"/>
        <v/>
      </c>
      <c r="K459" s="11" t="str">
        <f>IFERROR(IF(A459&lt;&gt;"",VLOOKUP(B459,'📦 ชื่อสินค้า'!A:F,6,false),""),)</f>
        <v/>
      </c>
      <c r="L459" s="11" t="str">
        <f t="shared" si="5"/>
        <v/>
      </c>
      <c r="M459" s="13"/>
    </row>
    <row r="460">
      <c r="A460" s="15"/>
      <c r="B460" s="6"/>
      <c r="C460" s="14" t="str">
        <f>iferror(vlookup(B460,'📦 ชื่อสินค้า'!A:C,3,false),)</f>
        <v/>
      </c>
      <c r="D460" s="11" t="str">
        <f>iferror(vlookup(B460,'📦 ชื่อสินค้า'!A:D,4,false),"")</f>
        <v/>
      </c>
      <c r="E460" s="16"/>
      <c r="F460" s="8" t="str">
        <f t="shared" si="1"/>
        <v/>
      </c>
      <c r="G460" s="9" t="str">
        <f>IF(LEN(B460)&gt;0,vlookup(B460,'📊 รายงานสินค้าคงเหลือ'!A:G,6,false)*E460,)</f>
        <v/>
      </c>
      <c r="H460" s="9" t="str">
        <f t="shared" si="2"/>
        <v/>
      </c>
      <c r="I460" s="10" t="str">
        <f t="shared" si="3"/>
        <v/>
      </c>
      <c r="J460" s="11" t="str">
        <f t="shared" si="4"/>
        <v/>
      </c>
      <c r="K460" s="11" t="str">
        <f>IFERROR(IF(A460&lt;&gt;"",VLOOKUP(B460,'📦 ชื่อสินค้า'!A:F,6,false),""),)</f>
        <v/>
      </c>
      <c r="L460" s="11" t="str">
        <f t="shared" si="5"/>
        <v/>
      </c>
      <c r="M460" s="13"/>
    </row>
    <row r="461">
      <c r="A461" s="15"/>
      <c r="B461" s="6"/>
      <c r="C461" s="14" t="str">
        <f>iferror(vlookup(B461,'📦 ชื่อสินค้า'!A:C,3,false),)</f>
        <v/>
      </c>
      <c r="D461" s="11" t="str">
        <f>iferror(vlookup(B461,'📦 ชื่อสินค้า'!A:D,4,false),"")</f>
        <v/>
      </c>
      <c r="E461" s="16"/>
      <c r="F461" s="8" t="str">
        <f t="shared" si="1"/>
        <v/>
      </c>
      <c r="G461" s="9" t="str">
        <f>IF(LEN(B461)&gt;0,vlookup(B461,'📊 รายงานสินค้าคงเหลือ'!A:G,6,false)*E461,)</f>
        <v/>
      </c>
      <c r="H461" s="9" t="str">
        <f t="shared" si="2"/>
        <v/>
      </c>
      <c r="I461" s="10" t="str">
        <f t="shared" si="3"/>
        <v/>
      </c>
      <c r="J461" s="11" t="str">
        <f t="shared" si="4"/>
        <v/>
      </c>
      <c r="K461" s="11" t="str">
        <f>IFERROR(IF(A461&lt;&gt;"",VLOOKUP(B461,'📦 ชื่อสินค้า'!A:F,6,false),""),)</f>
        <v/>
      </c>
      <c r="L461" s="11" t="str">
        <f t="shared" si="5"/>
        <v/>
      </c>
      <c r="M461" s="13"/>
    </row>
    <row r="462">
      <c r="A462" s="15"/>
      <c r="B462" s="6"/>
      <c r="C462" s="14" t="str">
        <f>iferror(vlookup(B462,'📦 ชื่อสินค้า'!A:C,3,false),)</f>
        <v/>
      </c>
      <c r="D462" s="11" t="str">
        <f>iferror(vlookup(B462,'📦 ชื่อสินค้า'!A:D,4,false),"")</f>
        <v/>
      </c>
      <c r="E462" s="16"/>
      <c r="F462" s="8" t="str">
        <f t="shared" si="1"/>
        <v/>
      </c>
      <c r="G462" s="9" t="str">
        <f>IF(LEN(B462)&gt;0,vlookup(B462,'📊 รายงานสินค้าคงเหลือ'!A:G,6,false)*E462,)</f>
        <v/>
      </c>
      <c r="H462" s="9" t="str">
        <f t="shared" si="2"/>
        <v/>
      </c>
      <c r="I462" s="10" t="str">
        <f t="shared" si="3"/>
        <v/>
      </c>
      <c r="J462" s="11" t="str">
        <f t="shared" si="4"/>
        <v/>
      </c>
      <c r="K462" s="11" t="str">
        <f>IFERROR(IF(A462&lt;&gt;"",VLOOKUP(B462,'📦 ชื่อสินค้า'!A:F,6,false),""),)</f>
        <v/>
      </c>
      <c r="L462" s="11" t="str">
        <f t="shared" si="5"/>
        <v/>
      </c>
      <c r="M462" s="13"/>
    </row>
    <row r="463">
      <c r="A463" s="15"/>
      <c r="B463" s="6"/>
      <c r="C463" s="14" t="str">
        <f>iferror(vlookup(B463,'📦 ชื่อสินค้า'!A:C,3,false),)</f>
        <v/>
      </c>
      <c r="D463" s="11" t="str">
        <f>iferror(vlookup(B463,'📦 ชื่อสินค้า'!A:D,4,false),"")</f>
        <v/>
      </c>
      <c r="E463" s="16"/>
      <c r="F463" s="8" t="str">
        <f t="shared" si="1"/>
        <v/>
      </c>
      <c r="G463" s="9" t="str">
        <f>IF(LEN(B463)&gt;0,vlookup(B463,'📊 รายงานสินค้าคงเหลือ'!A:G,6,false)*E463,)</f>
        <v/>
      </c>
      <c r="H463" s="9" t="str">
        <f t="shared" si="2"/>
        <v/>
      </c>
      <c r="I463" s="10" t="str">
        <f t="shared" si="3"/>
        <v/>
      </c>
      <c r="J463" s="11" t="str">
        <f t="shared" si="4"/>
        <v/>
      </c>
      <c r="K463" s="11" t="str">
        <f>IFERROR(IF(A463&lt;&gt;"",VLOOKUP(B463,'📦 ชื่อสินค้า'!A:F,6,false),""),)</f>
        <v/>
      </c>
      <c r="L463" s="11" t="str">
        <f t="shared" si="5"/>
        <v/>
      </c>
      <c r="M463" s="13"/>
    </row>
    <row r="464">
      <c r="A464" s="15"/>
      <c r="B464" s="6"/>
      <c r="C464" s="14" t="str">
        <f>iferror(vlookup(B464,'📦 ชื่อสินค้า'!A:C,3,false),)</f>
        <v/>
      </c>
      <c r="D464" s="11" t="str">
        <f>iferror(vlookup(B464,'📦 ชื่อสินค้า'!A:D,4,false),"")</f>
        <v/>
      </c>
      <c r="E464" s="16"/>
      <c r="F464" s="8" t="str">
        <f t="shared" si="1"/>
        <v/>
      </c>
      <c r="G464" s="9" t="str">
        <f>IF(LEN(B464)&gt;0,vlookup(B464,'📊 รายงานสินค้าคงเหลือ'!A:G,6,false)*E464,)</f>
        <v/>
      </c>
      <c r="H464" s="9" t="str">
        <f t="shared" si="2"/>
        <v/>
      </c>
      <c r="I464" s="10" t="str">
        <f t="shared" si="3"/>
        <v/>
      </c>
      <c r="J464" s="11" t="str">
        <f t="shared" si="4"/>
        <v/>
      </c>
      <c r="K464" s="11" t="str">
        <f>IFERROR(IF(A464&lt;&gt;"",VLOOKUP(B464,'📦 ชื่อสินค้า'!A:F,6,false),""),)</f>
        <v/>
      </c>
      <c r="L464" s="11" t="str">
        <f t="shared" si="5"/>
        <v/>
      </c>
      <c r="M464" s="13"/>
    </row>
    <row r="465">
      <c r="A465" s="15"/>
      <c r="B465" s="6"/>
      <c r="C465" s="14" t="str">
        <f>iferror(vlookup(B465,'📦 ชื่อสินค้า'!A:C,3,false),)</f>
        <v/>
      </c>
      <c r="D465" s="11" t="str">
        <f>iferror(vlookup(B465,'📦 ชื่อสินค้า'!A:D,4,false),"")</f>
        <v/>
      </c>
      <c r="E465" s="16"/>
      <c r="F465" s="8" t="str">
        <f t="shared" si="1"/>
        <v/>
      </c>
      <c r="G465" s="9" t="str">
        <f>IF(LEN(B465)&gt;0,vlookup(B465,'📊 รายงานสินค้าคงเหลือ'!A:G,6,false)*E465,)</f>
        <v/>
      </c>
      <c r="H465" s="9" t="str">
        <f t="shared" si="2"/>
        <v/>
      </c>
      <c r="I465" s="10" t="str">
        <f t="shared" si="3"/>
        <v/>
      </c>
      <c r="J465" s="11" t="str">
        <f t="shared" si="4"/>
        <v/>
      </c>
      <c r="K465" s="11" t="str">
        <f>IFERROR(IF(A465&lt;&gt;"",VLOOKUP(B465,'📦 ชื่อสินค้า'!A:F,6,false),""),)</f>
        <v/>
      </c>
      <c r="L465" s="11" t="str">
        <f t="shared" si="5"/>
        <v/>
      </c>
      <c r="M465" s="13"/>
    </row>
    <row r="466">
      <c r="A466" s="15"/>
      <c r="B466" s="6"/>
      <c r="C466" s="14" t="str">
        <f>iferror(vlookup(B466,'📦 ชื่อสินค้า'!A:C,3,false),)</f>
        <v/>
      </c>
      <c r="D466" s="11" t="str">
        <f>iferror(vlookup(B466,'📦 ชื่อสินค้า'!A:D,4,false),"")</f>
        <v/>
      </c>
      <c r="E466" s="16"/>
      <c r="F466" s="8" t="str">
        <f t="shared" si="1"/>
        <v/>
      </c>
      <c r="G466" s="9" t="str">
        <f>IF(LEN(B466)&gt;0,vlookup(B466,'📊 รายงานสินค้าคงเหลือ'!A:G,6,false)*E466,)</f>
        <v/>
      </c>
      <c r="H466" s="9" t="str">
        <f t="shared" si="2"/>
        <v/>
      </c>
      <c r="I466" s="10" t="str">
        <f t="shared" si="3"/>
        <v/>
      </c>
      <c r="J466" s="11" t="str">
        <f t="shared" si="4"/>
        <v/>
      </c>
      <c r="K466" s="11" t="str">
        <f>IFERROR(IF(A466&lt;&gt;"",VLOOKUP(B466,'📦 ชื่อสินค้า'!A:F,6,false),""),)</f>
        <v/>
      </c>
      <c r="L466" s="11" t="str">
        <f t="shared" si="5"/>
        <v/>
      </c>
      <c r="M466" s="13"/>
    </row>
    <row r="467">
      <c r="A467" s="15"/>
      <c r="B467" s="6"/>
      <c r="C467" s="14" t="str">
        <f>iferror(vlookup(B467,'📦 ชื่อสินค้า'!A:C,3,false),)</f>
        <v/>
      </c>
      <c r="D467" s="11" t="str">
        <f>iferror(vlookup(B467,'📦 ชื่อสินค้า'!A:D,4,false),"")</f>
        <v/>
      </c>
      <c r="E467" s="16"/>
      <c r="F467" s="8" t="str">
        <f t="shared" si="1"/>
        <v/>
      </c>
      <c r="G467" s="9" t="str">
        <f>IF(LEN(B467)&gt;0,vlookup(B467,'📊 รายงานสินค้าคงเหลือ'!A:G,6,false)*E467,)</f>
        <v/>
      </c>
      <c r="H467" s="9" t="str">
        <f t="shared" si="2"/>
        <v/>
      </c>
      <c r="I467" s="10" t="str">
        <f t="shared" si="3"/>
        <v/>
      </c>
      <c r="J467" s="11" t="str">
        <f t="shared" si="4"/>
        <v/>
      </c>
      <c r="K467" s="11" t="str">
        <f>IFERROR(IF(A467&lt;&gt;"",VLOOKUP(B467,'📦 ชื่อสินค้า'!A:F,6,false),""),)</f>
        <v/>
      </c>
      <c r="L467" s="11" t="str">
        <f t="shared" si="5"/>
        <v/>
      </c>
      <c r="M467" s="13"/>
    </row>
    <row r="468">
      <c r="A468" s="15"/>
      <c r="B468" s="6"/>
      <c r="C468" s="14" t="str">
        <f>iferror(vlookup(B468,'📦 ชื่อสินค้า'!A:C,3,false),)</f>
        <v/>
      </c>
      <c r="D468" s="11" t="str">
        <f>iferror(vlookup(B468,'📦 ชื่อสินค้า'!A:D,4,false),"")</f>
        <v/>
      </c>
      <c r="E468" s="16"/>
      <c r="F468" s="8" t="str">
        <f t="shared" si="1"/>
        <v/>
      </c>
      <c r="G468" s="9" t="str">
        <f>IF(LEN(B468)&gt;0,vlookup(B468,'📊 รายงานสินค้าคงเหลือ'!A:G,6,false)*E468,)</f>
        <v/>
      </c>
      <c r="H468" s="9" t="str">
        <f t="shared" si="2"/>
        <v/>
      </c>
      <c r="I468" s="10" t="str">
        <f t="shared" si="3"/>
        <v/>
      </c>
      <c r="J468" s="11" t="str">
        <f t="shared" si="4"/>
        <v/>
      </c>
      <c r="K468" s="11" t="str">
        <f>IFERROR(IF(A468&lt;&gt;"",VLOOKUP(B468,'📦 ชื่อสินค้า'!A:F,6,false),""),)</f>
        <v/>
      </c>
      <c r="L468" s="11" t="str">
        <f t="shared" si="5"/>
        <v/>
      </c>
      <c r="M468" s="13"/>
    </row>
    <row r="469">
      <c r="A469" s="15"/>
      <c r="B469" s="6"/>
      <c r="C469" s="14" t="str">
        <f>iferror(vlookup(B469,'📦 ชื่อสินค้า'!A:C,3,false),)</f>
        <v/>
      </c>
      <c r="D469" s="11" t="str">
        <f>iferror(vlookup(B469,'📦 ชื่อสินค้า'!A:D,4,false),"")</f>
        <v/>
      </c>
      <c r="E469" s="16"/>
      <c r="F469" s="8" t="str">
        <f t="shared" si="1"/>
        <v/>
      </c>
      <c r="G469" s="9" t="str">
        <f>IF(LEN(B469)&gt;0,vlookup(B469,'📊 รายงานสินค้าคงเหลือ'!A:G,6,false)*E469,)</f>
        <v/>
      </c>
      <c r="H469" s="9" t="str">
        <f t="shared" si="2"/>
        <v/>
      </c>
      <c r="I469" s="10" t="str">
        <f t="shared" si="3"/>
        <v/>
      </c>
      <c r="J469" s="11" t="str">
        <f t="shared" si="4"/>
        <v/>
      </c>
      <c r="K469" s="11" t="str">
        <f>IFERROR(IF(A469&lt;&gt;"",VLOOKUP(B469,'📦 ชื่อสินค้า'!A:F,6,false),""),)</f>
        <v/>
      </c>
      <c r="L469" s="11" t="str">
        <f t="shared" si="5"/>
        <v/>
      </c>
      <c r="M469" s="13"/>
    </row>
    <row r="470">
      <c r="A470" s="15"/>
      <c r="B470" s="6"/>
      <c r="C470" s="14" t="str">
        <f>iferror(vlookup(B470,'📦 ชื่อสินค้า'!A:C,3,false),)</f>
        <v/>
      </c>
      <c r="D470" s="11" t="str">
        <f>iferror(vlookup(B470,'📦 ชื่อสินค้า'!A:D,4,false),"")</f>
        <v/>
      </c>
      <c r="E470" s="16"/>
      <c r="F470" s="8" t="str">
        <f t="shared" si="1"/>
        <v/>
      </c>
      <c r="G470" s="9" t="str">
        <f>IF(LEN(B470)&gt;0,vlookup(B470,'📊 รายงานสินค้าคงเหลือ'!A:G,6,false)*E470,)</f>
        <v/>
      </c>
      <c r="H470" s="9" t="str">
        <f t="shared" si="2"/>
        <v/>
      </c>
      <c r="I470" s="10" t="str">
        <f t="shared" si="3"/>
        <v/>
      </c>
      <c r="J470" s="11" t="str">
        <f t="shared" si="4"/>
        <v/>
      </c>
      <c r="K470" s="11" t="str">
        <f>IFERROR(IF(A470&lt;&gt;"",VLOOKUP(B470,'📦 ชื่อสินค้า'!A:F,6,false),""),)</f>
        <v/>
      </c>
      <c r="L470" s="11" t="str">
        <f t="shared" si="5"/>
        <v/>
      </c>
      <c r="M470" s="13"/>
    </row>
    <row r="471">
      <c r="A471" s="15"/>
      <c r="B471" s="6"/>
      <c r="C471" s="14" t="str">
        <f>iferror(vlookup(B471,'📦 ชื่อสินค้า'!A:C,3,false),)</f>
        <v/>
      </c>
      <c r="D471" s="11" t="str">
        <f>iferror(vlookup(B471,'📦 ชื่อสินค้า'!A:D,4,false),"")</f>
        <v/>
      </c>
      <c r="E471" s="16"/>
      <c r="F471" s="8" t="str">
        <f t="shared" si="1"/>
        <v/>
      </c>
      <c r="G471" s="9" t="str">
        <f>IF(LEN(B471)&gt;0,vlookup(B471,'📊 รายงานสินค้าคงเหลือ'!A:G,6,false)*E471,)</f>
        <v/>
      </c>
      <c r="H471" s="9" t="str">
        <f t="shared" si="2"/>
        <v/>
      </c>
      <c r="I471" s="10" t="str">
        <f t="shared" si="3"/>
        <v/>
      </c>
      <c r="J471" s="11" t="str">
        <f t="shared" si="4"/>
        <v/>
      </c>
      <c r="K471" s="11" t="str">
        <f>IFERROR(IF(A471&lt;&gt;"",VLOOKUP(B471,'📦 ชื่อสินค้า'!A:F,6,false),""),)</f>
        <v/>
      </c>
      <c r="L471" s="11" t="str">
        <f t="shared" si="5"/>
        <v/>
      </c>
      <c r="M471" s="13"/>
    </row>
    <row r="472">
      <c r="A472" s="15"/>
      <c r="B472" s="6"/>
      <c r="C472" s="14" t="str">
        <f>iferror(vlookup(B472,'📦 ชื่อสินค้า'!A:C,3,false),)</f>
        <v/>
      </c>
      <c r="D472" s="11" t="str">
        <f>iferror(vlookup(B472,'📦 ชื่อสินค้า'!A:D,4,false),"")</f>
        <v/>
      </c>
      <c r="E472" s="16"/>
      <c r="F472" s="8" t="str">
        <f t="shared" si="1"/>
        <v/>
      </c>
      <c r="G472" s="9" t="str">
        <f>IF(LEN(B472)&gt;0,vlookup(B472,'📊 รายงานสินค้าคงเหลือ'!A:G,6,false)*E472,)</f>
        <v/>
      </c>
      <c r="H472" s="9" t="str">
        <f t="shared" si="2"/>
        <v/>
      </c>
      <c r="I472" s="10" t="str">
        <f t="shared" si="3"/>
        <v/>
      </c>
      <c r="J472" s="11" t="str">
        <f t="shared" si="4"/>
        <v/>
      </c>
      <c r="K472" s="11" t="str">
        <f>IFERROR(IF(A472&lt;&gt;"",VLOOKUP(B472,'📦 ชื่อสินค้า'!A:F,6,false),""),)</f>
        <v/>
      </c>
      <c r="L472" s="11" t="str">
        <f t="shared" si="5"/>
        <v/>
      </c>
      <c r="M472" s="13"/>
    </row>
    <row r="473">
      <c r="A473" s="15"/>
      <c r="B473" s="6"/>
      <c r="C473" s="14" t="str">
        <f>iferror(vlookup(B473,'📦 ชื่อสินค้า'!A:C,3,false),)</f>
        <v/>
      </c>
      <c r="D473" s="11" t="str">
        <f>iferror(vlookup(B473,'📦 ชื่อสินค้า'!A:D,4,false),"")</f>
        <v/>
      </c>
      <c r="E473" s="16"/>
      <c r="F473" s="8" t="str">
        <f t="shared" si="1"/>
        <v/>
      </c>
      <c r="G473" s="9" t="str">
        <f>IF(LEN(B473)&gt;0,vlookup(B473,'📊 รายงานสินค้าคงเหลือ'!A:G,6,false)*E473,)</f>
        <v/>
      </c>
      <c r="H473" s="9" t="str">
        <f t="shared" si="2"/>
        <v/>
      </c>
      <c r="I473" s="10" t="str">
        <f t="shared" si="3"/>
        <v/>
      </c>
      <c r="J473" s="11" t="str">
        <f t="shared" si="4"/>
        <v/>
      </c>
      <c r="K473" s="11" t="str">
        <f>IFERROR(IF(A473&lt;&gt;"",VLOOKUP(B473,'📦 ชื่อสินค้า'!A:F,6,false),""),)</f>
        <v/>
      </c>
      <c r="L473" s="11" t="str">
        <f t="shared" si="5"/>
        <v/>
      </c>
      <c r="M473" s="13"/>
    </row>
    <row r="474">
      <c r="A474" s="15"/>
      <c r="B474" s="6"/>
      <c r="C474" s="14" t="str">
        <f>iferror(vlookup(B474,'📦 ชื่อสินค้า'!A:C,3,false),)</f>
        <v/>
      </c>
      <c r="D474" s="11" t="str">
        <f>iferror(vlookup(B474,'📦 ชื่อสินค้า'!A:D,4,false),"")</f>
        <v/>
      </c>
      <c r="E474" s="16"/>
      <c r="F474" s="8" t="str">
        <f t="shared" si="1"/>
        <v/>
      </c>
      <c r="G474" s="9" t="str">
        <f>IF(LEN(B474)&gt;0,vlookup(B474,'📊 รายงานสินค้าคงเหลือ'!A:G,6,false)*E474,)</f>
        <v/>
      </c>
      <c r="H474" s="9" t="str">
        <f t="shared" si="2"/>
        <v/>
      </c>
      <c r="I474" s="10" t="str">
        <f t="shared" si="3"/>
        <v/>
      </c>
      <c r="J474" s="11" t="str">
        <f t="shared" si="4"/>
        <v/>
      </c>
      <c r="K474" s="11" t="str">
        <f>IFERROR(IF(A474&lt;&gt;"",VLOOKUP(B474,'📦 ชื่อสินค้า'!A:F,6,false),""),)</f>
        <v/>
      </c>
      <c r="L474" s="11" t="str">
        <f t="shared" si="5"/>
        <v/>
      </c>
      <c r="M474" s="13"/>
    </row>
    <row r="475">
      <c r="A475" s="15"/>
      <c r="B475" s="6"/>
      <c r="C475" s="14" t="str">
        <f>iferror(vlookup(B475,'📦 ชื่อสินค้า'!A:C,3,false),)</f>
        <v/>
      </c>
      <c r="D475" s="11" t="str">
        <f>iferror(vlookup(B475,'📦 ชื่อสินค้า'!A:D,4,false),"")</f>
        <v/>
      </c>
      <c r="E475" s="16"/>
      <c r="F475" s="8" t="str">
        <f t="shared" si="1"/>
        <v/>
      </c>
      <c r="G475" s="9" t="str">
        <f>IF(LEN(B475)&gt;0,vlookup(B475,'📊 รายงานสินค้าคงเหลือ'!A:G,6,false)*E475,)</f>
        <v/>
      </c>
      <c r="H475" s="9" t="str">
        <f t="shared" si="2"/>
        <v/>
      </c>
      <c r="I475" s="10" t="str">
        <f t="shared" si="3"/>
        <v/>
      </c>
      <c r="J475" s="11" t="str">
        <f t="shared" si="4"/>
        <v/>
      </c>
      <c r="K475" s="11" t="str">
        <f>IFERROR(IF(A475&lt;&gt;"",VLOOKUP(B475,'📦 ชื่อสินค้า'!A:F,6,false),""),)</f>
        <v/>
      </c>
      <c r="L475" s="11" t="str">
        <f t="shared" si="5"/>
        <v/>
      </c>
      <c r="M475" s="13"/>
    </row>
    <row r="476">
      <c r="A476" s="15"/>
      <c r="B476" s="6"/>
      <c r="C476" s="14" t="str">
        <f>iferror(vlookup(B476,'📦 ชื่อสินค้า'!A:C,3,false),)</f>
        <v/>
      </c>
      <c r="D476" s="11" t="str">
        <f>iferror(vlookup(B476,'📦 ชื่อสินค้า'!A:D,4,false),"")</f>
        <v/>
      </c>
      <c r="E476" s="16"/>
      <c r="F476" s="8" t="str">
        <f t="shared" si="1"/>
        <v/>
      </c>
      <c r="G476" s="9" t="str">
        <f>IF(LEN(B476)&gt;0,vlookup(B476,'📊 รายงานสินค้าคงเหลือ'!A:G,6,false)*E476,)</f>
        <v/>
      </c>
      <c r="H476" s="9" t="str">
        <f t="shared" si="2"/>
        <v/>
      </c>
      <c r="I476" s="10" t="str">
        <f t="shared" si="3"/>
        <v/>
      </c>
      <c r="J476" s="11" t="str">
        <f t="shared" si="4"/>
        <v/>
      </c>
      <c r="K476" s="11" t="str">
        <f>IFERROR(IF(A476&lt;&gt;"",VLOOKUP(B476,'📦 ชื่อสินค้า'!A:F,6,false),""),)</f>
        <v/>
      </c>
      <c r="L476" s="11" t="str">
        <f t="shared" si="5"/>
        <v/>
      </c>
      <c r="M476" s="13"/>
    </row>
    <row r="477">
      <c r="A477" s="15"/>
      <c r="B477" s="6"/>
      <c r="C477" s="14" t="str">
        <f>iferror(vlookup(B477,'📦 ชื่อสินค้า'!A:C,3,false),)</f>
        <v/>
      </c>
      <c r="D477" s="11" t="str">
        <f>iferror(vlookup(B477,'📦 ชื่อสินค้า'!A:D,4,false),"")</f>
        <v/>
      </c>
      <c r="E477" s="16"/>
      <c r="F477" s="8" t="str">
        <f t="shared" si="1"/>
        <v/>
      </c>
      <c r="G477" s="9" t="str">
        <f>IF(LEN(B477)&gt;0,vlookup(B477,'📊 รายงานสินค้าคงเหลือ'!A:G,6,false)*E477,)</f>
        <v/>
      </c>
      <c r="H477" s="9" t="str">
        <f t="shared" si="2"/>
        <v/>
      </c>
      <c r="I477" s="10" t="str">
        <f t="shared" si="3"/>
        <v/>
      </c>
      <c r="J477" s="11" t="str">
        <f t="shared" si="4"/>
        <v/>
      </c>
      <c r="K477" s="11" t="str">
        <f>IFERROR(IF(A477&lt;&gt;"",VLOOKUP(B477,'📦 ชื่อสินค้า'!A:F,6,false),""),)</f>
        <v/>
      </c>
      <c r="L477" s="11" t="str">
        <f t="shared" si="5"/>
        <v/>
      </c>
      <c r="M477" s="13"/>
    </row>
    <row r="478">
      <c r="A478" s="15"/>
      <c r="B478" s="6"/>
      <c r="C478" s="14" t="str">
        <f>iferror(vlookup(B478,'📦 ชื่อสินค้า'!A:C,3,false),)</f>
        <v/>
      </c>
      <c r="D478" s="11" t="str">
        <f>iferror(vlookup(B478,'📦 ชื่อสินค้า'!A:D,4,false),"")</f>
        <v/>
      </c>
      <c r="E478" s="16"/>
      <c r="F478" s="8" t="str">
        <f t="shared" si="1"/>
        <v/>
      </c>
      <c r="G478" s="9" t="str">
        <f>IF(LEN(B478)&gt;0,vlookup(B478,'📊 รายงานสินค้าคงเหลือ'!A:G,6,false)*E478,)</f>
        <v/>
      </c>
      <c r="H478" s="9" t="str">
        <f t="shared" si="2"/>
        <v/>
      </c>
      <c r="I478" s="10" t="str">
        <f t="shared" si="3"/>
        <v/>
      </c>
      <c r="J478" s="11" t="str">
        <f t="shared" si="4"/>
        <v/>
      </c>
      <c r="K478" s="11" t="str">
        <f>IFERROR(IF(A478&lt;&gt;"",VLOOKUP(B478,'📦 ชื่อสินค้า'!A:F,6,false),""),)</f>
        <v/>
      </c>
      <c r="L478" s="11" t="str">
        <f t="shared" si="5"/>
        <v/>
      </c>
      <c r="M478" s="13"/>
    </row>
    <row r="479">
      <c r="A479" s="15"/>
      <c r="B479" s="6"/>
      <c r="C479" s="14" t="str">
        <f>iferror(vlookup(B479,'📦 ชื่อสินค้า'!A:C,3,false),)</f>
        <v/>
      </c>
      <c r="D479" s="11" t="str">
        <f>iferror(vlookup(B479,'📦 ชื่อสินค้า'!A:D,4,false),"")</f>
        <v/>
      </c>
      <c r="E479" s="16"/>
      <c r="F479" s="8" t="str">
        <f t="shared" si="1"/>
        <v/>
      </c>
      <c r="G479" s="9" t="str">
        <f>IF(LEN(B479)&gt;0,vlookup(B479,'📊 รายงานสินค้าคงเหลือ'!A:G,6,false)*E479,)</f>
        <v/>
      </c>
      <c r="H479" s="9" t="str">
        <f t="shared" si="2"/>
        <v/>
      </c>
      <c r="I479" s="10" t="str">
        <f t="shared" si="3"/>
        <v/>
      </c>
      <c r="J479" s="11" t="str">
        <f t="shared" si="4"/>
        <v/>
      </c>
      <c r="K479" s="11" t="str">
        <f>IFERROR(IF(A479&lt;&gt;"",VLOOKUP(B479,'📦 ชื่อสินค้า'!A:F,6,false),""),)</f>
        <v/>
      </c>
      <c r="L479" s="11" t="str">
        <f t="shared" si="5"/>
        <v/>
      </c>
      <c r="M479" s="13"/>
    </row>
    <row r="480">
      <c r="A480" s="15"/>
      <c r="B480" s="6"/>
      <c r="C480" s="14" t="str">
        <f>iferror(vlookup(B480,'📦 ชื่อสินค้า'!A:C,3,false),)</f>
        <v/>
      </c>
      <c r="D480" s="11" t="str">
        <f>iferror(vlookup(B480,'📦 ชื่อสินค้า'!A:D,4,false),"")</f>
        <v/>
      </c>
      <c r="E480" s="16"/>
      <c r="F480" s="8" t="str">
        <f t="shared" si="1"/>
        <v/>
      </c>
      <c r="G480" s="9" t="str">
        <f>IF(LEN(B480)&gt;0,vlookup(B480,'📊 รายงานสินค้าคงเหลือ'!A:G,6,false)*E480,)</f>
        <v/>
      </c>
      <c r="H480" s="9" t="str">
        <f t="shared" si="2"/>
        <v/>
      </c>
      <c r="I480" s="10" t="str">
        <f t="shared" si="3"/>
        <v/>
      </c>
      <c r="J480" s="11" t="str">
        <f t="shared" si="4"/>
        <v/>
      </c>
      <c r="K480" s="11" t="str">
        <f>IFERROR(IF(A480&lt;&gt;"",VLOOKUP(B480,'📦 ชื่อสินค้า'!A:F,6,false),""),)</f>
        <v/>
      </c>
      <c r="L480" s="11" t="str">
        <f t="shared" si="5"/>
        <v/>
      </c>
      <c r="M480" s="13"/>
    </row>
    <row r="481">
      <c r="A481" s="15"/>
      <c r="B481" s="6"/>
      <c r="C481" s="14" t="str">
        <f>iferror(vlookup(B481,'📦 ชื่อสินค้า'!A:C,3,false),)</f>
        <v/>
      </c>
      <c r="D481" s="11" t="str">
        <f>iferror(vlookup(B481,'📦 ชื่อสินค้า'!A:D,4,false),"")</f>
        <v/>
      </c>
      <c r="E481" s="16"/>
      <c r="F481" s="8" t="str">
        <f t="shared" si="1"/>
        <v/>
      </c>
      <c r="G481" s="9" t="str">
        <f>IF(LEN(B481)&gt;0,vlookup(B481,'📊 รายงานสินค้าคงเหลือ'!A:G,6,false)*E481,)</f>
        <v/>
      </c>
      <c r="H481" s="9" t="str">
        <f t="shared" si="2"/>
        <v/>
      </c>
      <c r="I481" s="10" t="str">
        <f t="shared" si="3"/>
        <v/>
      </c>
      <c r="J481" s="11" t="str">
        <f t="shared" si="4"/>
        <v/>
      </c>
      <c r="K481" s="11" t="str">
        <f>IFERROR(IF(A481&lt;&gt;"",VLOOKUP(B481,'📦 ชื่อสินค้า'!A:F,6,false),""),)</f>
        <v/>
      </c>
      <c r="L481" s="11" t="str">
        <f t="shared" si="5"/>
        <v/>
      </c>
      <c r="M481" s="13"/>
    </row>
    <row r="482">
      <c r="A482" s="15"/>
      <c r="B482" s="6"/>
      <c r="C482" s="14" t="str">
        <f>iferror(vlookup(B482,'📦 ชื่อสินค้า'!A:C,3,false),)</f>
        <v/>
      </c>
      <c r="D482" s="11" t="str">
        <f>iferror(vlookup(B482,'📦 ชื่อสินค้า'!A:D,4,false),"")</f>
        <v/>
      </c>
      <c r="E482" s="16"/>
      <c r="F482" s="8" t="str">
        <f t="shared" si="1"/>
        <v/>
      </c>
      <c r="G482" s="9" t="str">
        <f>IF(LEN(B482)&gt;0,vlookup(B482,'📊 รายงานสินค้าคงเหลือ'!A:G,6,false)*E482,)</f>
        <v/>
      </c>
      <c r="H482" s="9" t="str">
        <f t="shared" si="2"/>
        <v/>
      </c>
      <c r="I482" s="10" t="str">
        <f t="shared" si="3"/>
        <v/>
      </c>
      <c r="J482" s="11" t="str">
        <f t="shared" si="4"/>
        <v/>
      </c>
      <c r="K482" s="11" t="str">
        <f>IFERROR(IF(A482&lt;&gt;"",VLOOKUP(B482,'📦 ชื่อสินค้า'!A:F,6,false),""),)</f>
        <v/>
      </c>
      <c r="L482" s="11" t="str">
        <f t="shared" si="5"/>
        <v/>
      </c>
      <c r="M482" s="13"/>
    </row>
    <row r="483">
      <c r="A483" s="15"/>
      <c r="B483" s="6"/>
      <c r="C483" s="14" t="str">
        <f>iferror(vlookup(B483,'📦 ชื่อสินค้า'!A:C,3,false),)</f>
        <v/>
      </c>
      <c r="D483" s="11" t="str">
        <f>iferror(vlookup(B483,'📦 ชื่อสินค้า'!A:D,4,false),"")</f>
        <v/>
      </c>
      <c r="E483" s="16"/>
      <c r="F483" s="8" t="str">
        <f t="shared" si="1"/>
        <v/>
      </c>
      <c r="G483" s="9" t="str">
        <f>IF(LEN(B483)&gt;0,vlookup(B483,'📊 รายงานสินค้าคงเหลือ'!A:G,6,false)*E483,)</f>
        <v/>
      </c>
      <c r="H483" s="9" t="str">
        <f t="shared" si="2"/>
        <v/>
      </c>
      <c r="I483" s="10" t="str">
        <f t="shared" si="3"/>
        <v/>
      </c>
      <c r="J483" s="11" t="str">
        <f t="shared" si="4"/>
        <v/>
      </c>
      <c r="K483" s="11" t="str">
        <f>IFERROR(IF(A483&lt;&gt;"",VLOOKUP(B483,'📦 ชื่อสินค้า'!A:F,6,false),""),)</f>
        <v/>
      </c>
      <c r="L483" s="11" t="str">
        <f t="shared" si="5"/>
        <v/>
      </c>
      <c r="M483" s="13"/>
    </row>
    <row r="484">
      <c r="A484" s="15"/>
      <c r="B484" s="6"/>
      <c r="C484" s="14" t="str">
        <f>iferror(vlookup(B484,'📦 ชื่อสินค้า'!A:C,3,false),)</f>
        <v/>
      </c>
      <c r="D484" s="11" t="str">
        <f>iferror(vlookup(B484,'📦 ชื่อสินค้า'!A:D,4,false),"")</f>
        <v/>
      </c>
      <c r="E484" s="16"/>
      <c r="F484" s="8" t="str">
        <f t="shared" si="1"/>
        <v/>
      </c>
      <c r="G484" s="9" t="str">
        <f>IF(LEN(B484)&gt;0,vlookup(B484,'📊 รายงานสินค้าคงเหลือ'!A:G,6,false)*E484,)</f>
        <v/>
      </c>
      <c r="H484" s="9" t="str">
        <f t="shared" si="2"/>
        <v/>
      </c>
      <c r="I484" s="10" t="str">
        <f t="shared" si="3"/>
        <v/>
      </c>
      <c r="J484" s="11" t="str">
        <f t="shared" si="4"/>
        <v/>
      </c>
      <c r="K484" s="11" t="str">
        <f>IFERROR(IF(A484&lt;&gt;"",VLOOKUP(B484,'📦 ชื่อสินค้า'!A:F,6,false),""),)</f>
        <v/>
      </c>
      <c r="L484" s="11" t="str">
        <f t="shared" si="5"/>
        <v/>
      </c>
      <c r="M484" s="13"/>
    </row>
    <row r="485">
      <c r="A485" s="15"/>
      <c r="B485" s="6"/>
      <c r="C485" s="14" t="str">
        <f>iferror(vlookup(B485,'📦 ชื่อสินค้า'!A:C,3,false),)</f>
        <v/>
      </c>
      <c r="D485" s="11" t="str">
        <f>iferror(vlookup(B485,'📦 ชื่อสินค้า'!A:D,4,false),"")</f>
        <v/>
      </c>
      <c r="E485" s="16"/>
      <c r="F485" s="8" t="str">
        <f t="shared" si="1"/>
        <v/>
      </c>
      <c r="G485" s="9" t="str">
        <f>IF(LEN(B485)&gt;0,vlookup(B485,'📊 รายงานสินค้าคงเหลือ'!A:G,6,false)*E485,)</f>
        <v/>
      </c>
      <c r="H485" s="9" t="str">
        <f t="shared" si="2"/>
        <v/>
      </c>
      <c r="I485" s="10" t="str">
        <f t="shared" si="3"/>
        <v/>
      </c>
      <c r="J485" s="11" t="str">
        <f t="shared" si="4"/>
        <v/>
      </c>
      <c r="K485" s="11" t="str">
        <f>IFERROR(IF(A485&lt;&gt;"",VLOOKUP(B485,'📦 ชื่อสินค้า'!A:F,6,false),""),)</f>
        <v/>
      </c>
      <c r="L485" s="11" t="str">
        <f t="shared" si="5"/>
        <v/>
      </c>
      <c r="M485" s="13"/>
    </row>
    <row r="486">
      <c r="A486" s="15"/>
      <c r="B486" s="6"/>
      <c r="C486" s="14" t="str">
        <f>iferror(vlookup(B486,'📦 ชื่อสินค้า'!A:C,3,false),)</f>
        <v/>
      </c>
      <c r="D486" s="11" t="str">
        <f>iferror(vlookup(B486,'📦 ชื่อสินค้า'!A:D,4,false),"")</f>
        <v/>
      </c>
      <c r="E486" s="16"/>
      <c r="F486" s="8" t="str">
        <f t="shared" si="1"/>
        <v/>
      </c>
      <c r="G486" s="9" t="str">
        <f>IF(LEN(B486)&gt;0,vlookup(B486,'📊 รายงานสินค้าคงเหลือ'!A:G,6,false)*E486,)</f>
        <v/>
      </c>
      <c r="H486" s="9" t="str">
        <f t="shared" si="2"/>
        <v/>
      </c>
      <c r="I486" s="10" t="str">
        <f t="shared" si="3"/>
        <v/>
      </c>
      <c r="J486" s="11" t="str">
        <f t="shared" si="4"/>
        <v/>
      </c>
      <c r="K486" s="11" t="str">
        <f>IFERROR(IF(A486&lt;&gt;"",VLOOKUP(B486,'📦 ชื่อสินค้า'!A:F,6,false),""),)</f>
        <v/>
      </c>
      <c r="L486" s="11" t="str">
        <f t="shared" si="5"/>
        <v/>
      </c>
      <c r="M486" s="13"/>
    </row>
    <row r="487">
      <c r="A487" s="15"/>
      <c r="B487" s="6"/>
      <c r="C487" s="14" t="str">
        <f>iferror(vlookup(B487,'📦 ชื่อสินค้า'!A:C,3,false),)</f>
        <v/>
      </c>
      <c r="D487" s="11" t="str">
        <f>iferror(vlookup(B487,'📦 ชื่อสินค้า'!A:D,4,false),"")</f>
        <v/>
      </c>
      <c r="E487" s="16"/>
      <c r="F487" s="8" t="str">
        <f t="shared" si="1"/>
        <v/>
      </c>
      <c r="G487" s="9" t="str">
        <f>IF(LEN(B487)&gt;0,vlookup(B487,'📊 รายงานสินค้าคงเหลือ'!A:G,6,false)*E487,)</f>
        <v/>
      </c>
      <c r="H487" s="9" t="str">
        <f t="shared" si="2"/>
        <v/>
      </c>
      <c r="I487" s="10" t="str">
        <f t="shared" si="3"/>
        <v/>
      </c>
      <c r="J487" s="11" t="str">
        <f t="shared" si="4"/>
        <v/>
      </c>
      <c r="K487" s="11" t="str">
        <f>IFERROR(IF(A487&lt;&gt;"",VLOOKUP(B487,'📦 ชื่อสินค้า'!A:F,6,false),""),)</f>
        <v/>
      </c>
      <c r="L487" s="11" t="str">
        <f t="shared" si="5"/>
        <v/>
      </c>
      <c r="M487" s="13"/>
    </row>
    <row r="488">
      <c r="A488" s="15"/>
      <c r="B488" s="6"/>
      <c r="C488" s="14" t="str">
        <f>iferror(vlookup(B488,'📦 ชื่อสินค้า'!A:C,3,false),)</f>
        <v/>
      </c>
      <c r="D488" s="11" t="str">
        <f>iferror(vlookup(B488,'📦 ชื่อสินค้า'!A:D,4,false),"")</f>
        <v/>
      </c>
      <c r="E488" s="16"/>
      <c r="F488" s="8" t="str">
        <f t="shared" si="1"/>
        <v/>
      </c>
      <c r="G488" s="9" t="str">
        <f>IF(LEN(B488)&gt;0,vlookup(B488,'📊 รายงานสินค้าคงเหลือ'!A:G,6,false)*E488,)</f>
        <v/>
      </c>
      <c r="H488" s="9" t="str">
        <f t="shared" si="2"/>
        <v/>
      </c>
      <c r="I488" s="10" t="str">
        <f t="shared" si="3"/>
        <v/>
      </c>
      <c r="J488" s="11" t="str">
        <f t="shared" si="4"/>
        <v/>
      </c>
      <c r="K488" s="11" t="str">
        <f>IFERROR(IF(A488&lt;&gt;"",VLOOKUP(B488,'📦 ชื่อสินค้า'!A:F,6,false),""),)</f>
        <v/>
      </c>
      <c r="L488" s="11" t="str">
        <f t="shared" si="5"/>
        <v/>
      </c>
      <c r="M488" s="13"/>
    </row>
    <row r="489">
      <c r="A489" s="15"/>
      <c r="B489" s="6"/>
      <c r="C489" s="14" t="str">
        <f>iferror(vlookup(B489,'📦 ชื่อสินค้า'!A:C,3,false),)</f>
        <v/>
      </c>
      <c r="D489" s="11" t="str">
        <f>iferror(vlookup(B489,'📦 ชื่อสินค้า'!A:D,4,false),"")</f>
        <v/>
      </c>
      <c r="E489" s="16"/>
      <c r="F489" s="8" t="str">
        <f t="shared" si="1"/>
        <v/>
      </c>
      <c r="G489" s="9" t="str">
        <f>IF(LEN(B489)&gt;0,vlookup(B489,'📊 รายงานสินค้าคงเหลือ'!A:G,6,false)*E489,)</f>
        <v/>
      </c>
      <c r="H489" s="9" t="str">
        <f t="shared" si="2"/>
        <v/>
      </c>
      <c r="I489" s="10" t="str">
        <f t="shared" si="3"/>
        <v/>
      </c>
      <c r="J489" s="11" t="str">
        <f t="shared" si="4"/>
        <v/>
      </c>
      <c r="K489" s="11" t="str">
        <f>IFERROR(IF(A489&lt;&gt;"",VLOOKUP(B489,'📦 ชื่อสินค้า'!A:F,6,false),""),)</f>
        <v/>
      </c>
      <c r="L489" s="11" t="str">
        <f t="shared" si="5"/>
        <v/>
      </c>
      <c r="M489" s="13"/>
    </row>
    <row r="490">
      <c r="A490" s="15"/>
      <c r="B490" s="6"/>
      <c r="C490" s="14" t="str">
        <f>iferror(vlookup(B490,'📦 ชื่อสินค้า'!A:C,3,false),)</f>
        <v/>
      </c>
      <c r="D490" s="11" t="str">
        <f>iferror(vlookup(B490,'📦 ชื่อสินค้า'!A:D,4,false),"")</f>
        <v/>
      </c>
      <c r="E490" s="16"/>
      <c r="F490" s="8" t="str">
        <f t="shared" si="1"/>
        <v/>
      </c>
      <c r="G490" s="9" t="str">
        <f>IF(LEN(B490)&gt;0,vlookup(B490,'📊 รายงานสินค้าคงเหลือ'!A:G,6,false)*E490,)</f>
        <v/>
      </c>
      <c r="H490" s="9" t="str">
        <f t="shared" si="2"/>
        <v/>
      </c>
      <c r="I490" s="10" t="str">
        <f t="shared" si="3"/>
        <v/>
      </c>
      <c r="J490" s="11" t="str">
        <f t="shared" si="4"/>
        <v/>
      </c>
      <c r="K490" s="11" t="str">
        <f>IFERROR(IF(A490&lt;&gt;"",VLOOKUP(B490,'📦 ชื่อสินค้า'!A:F,6,false),""),)</f>
        <v/>
      </c>
      <c r="L490" s="11" t="str">
        <f t="shared" si="5"/>
        <v/>
      </c>
      <c r="M490" s="13"/>
    </row>
    <row r="491">
      <c r="A491" s="15"/>
      <c r="B491" s="6"/>
      <c r="C491" s="14" t="str">
        <f>iferror(vlookup(B491,'📦 ชื่อสินค้า'!A:C,3,false),)</f>
        <v/>
      </c>
      <c r="D491" s="11" t="str">
        <f>iferror(vlookup(B491,'📦 ชื่อสินค้า'!A:D,4,false),"")</f>
        <v/>
      </c>
      <c r="E491" s="16"/>
      <c r="F491" s="8" t="str">
        <f t="shared" si="1"/>
        <v/>
      </c>
      <c r="G491" s="9" t="str">
        <f>IF(LEN(B491)&gt;0,vlookup(B491,'📊 รายงานสินค้าคงเหลือ'!A:G,6,false)*E491,)</f>
        <v/>
      </c>
      <c r="H491" s="9" t="str">
        <f t="shared" si="2"/>
        <v/>
      </c>
      <c r="I491" s="10" t="str">
        <f t="shared" si="3"/>
        <v/>
      </c>
      <c r="J491" s="11" t="str">
        <f t="shared" si="4"/>
        <v/>
      </c>
      <c r="K491" s="11" t="str">
        <f>IFERROR(IF(A491&lt;&gt;"",VLOOKUP(B491,'📦 ชื่อสินค้า'!A:F,6,false),""),)</f>
        <v/>
      </c>
      <c r="L491" s="11" t="str">
        <f t="shared" si="5"/>
        <v/>
      </c>
      <c r="M491" s="13"/>
    </row>
    <row r="492">
      <c r="A492" s="15"/>
      <c r="B492" s="6"/>
      <c r="C492" s="14" t="str">
        <f>iferror(vlookup(B492,'📦 ชื่อสินค้า'!A:C,3,false),)</f>
        <v/>
      </c>
      <c r="D492" s="11" t="str">
        <f>iferror(vlookup(B492,'📦 ชื่อสินค้า'!A:D,4,false),"")</f>
        <v/>
      </c>
      <c r="E492" s="16"/>
      <c r="F492" s="8" t="str">
        <f t="shared" si="1"/>
        <v/>
      </c>
      <c r="G492" s="9" t="str">
        <f>IF(LEN(B492)&gt;0,vlookup(B492,'📊 รายงานสินค้าคงเหลือ'!A:G,6,false)*E492,)</f>
        <v/>
      </c>
      <c r="H492" s="9" t="str">
        <f t="shared" si="2"/>
        <v/>
      </c>
      <c r="I492" s="10" t="str">
        <f t="shared" si="3"/>
        <v/>
      </c>
      <c r="J492" s="11" t="str">
        <f t="shared" si="4"/>
        <v/>
      </c>
      <c r="K492" s="11" t="str">
        <f>IFERROR(IF(A492&lt;&gt;"",VLOOKUP(B492,'📦 ชื่อสินค้า'!A:F,6,false),""),)</f>
        <v/>
      </c>
      <c r="L492" s="11" t="str">
        <f t="shared" si="5"/>
        <v/>
      </c>
      <c r="M492" s="13"/>
    </row>
    <row r="493">
      <c r="A493" s="15"/>
      <c r="B493" s="6"/>
      <c r="C493" s="14" t="str">
        <f>iferror(vlookup(B493,'📦 ชื่อสินค้า'!A:C,3,false),)</f>
        <v/>
      </c>
      <c r="D493" s="11" t="str">
        <f>iferror(vlookup(B493,'📦 ชื่อสินค้า'!A:D,4,false),"")</f>
        <v/>
      </c>
      <c r="E493" s="16"/>
      <c r="F493" s="8" t="str">
        <f t="shared" si="1"/>
        <v/>
      </c>
      <c r="G493" s="9" t="str">
        <f>IF(LEN(B493)&gt;0,vlookup(B493,'📊 รายงานสินค้าคงเหลือ'!A:G,6,false)*E493,)</f>
        <v/>
      </c>
      <c r="H493" s="9" t="str">
        <f t="shared" si="2"/>
        <v/>
      </c>
      <c r="I493" s="10" t="str">
        <f t="shared" si="3"/>
        <v/>
      </c>
      <c r="J493" s="11" t="str">
        <f t="shared" si="4"/>
        <v/>
      </c>
      <c r="K493" s="11" t="str">
        <f>IFERROR(IF(A493&lt;&gt;"",VLOOKUP(B493,'📦 ชื่อสินค้า'!A:F,6,false),""),)</f>
        <v/>
      </c>
      <c r="L493" s="11" t="str">
        <f t="shared" si="5"/>
        <v/>
      </c>
      <c r="M493" s="13"/>
    </row>
    <row r="494">
      <c r="A494" s="15"/>
      <c r="B494" s="6"/>
      <c r="C494" s="14" t="str">
        <f>iferror(vlookup(B494,'📦 ชื่อสินค้า'!A:C,3,false),)</f>
        <v/>
      </c>
      <c r="D494" s="11" t="str">
        <f>iferror(vlookup(B494,'📦 ชื่อสินค้า'!A:D,4,false),"")</f>
        <v/>
      </c>
      <c r="E494" s="16"/>
      <c r="F494" s="8" t="str">
        <f t="shared" si="1"/>
        <v/>
      </c>
      <c r="G494" s="9" t="str">
        <f>IF(LEN(B494)&gt;0,vlookup(B494,'📊 รายงานสินค้าคงเหลือ'!A:G,6,false)*E494,)</f>
        <v/>
      </c>
      <c r="H494" s="9" t="str">
        <f t="shared" si="2"/>
        <v/>
      </c>
      <c r="I494" s="10" t="str">
        <f t="shared" si="3"/>
        <v/>
      </c>
      <c r="J494" s="11" t="str">
        <f t="shared" si="4"/>
        <v/>
      </c>
      <c r="K494" s="11" t="str">
        <f>IFERROR(IF(A494&lt;&gt;"",VLOOKUP(B494,'📦 ชื่อสินค้า'!A:F,6,false),""),)</f>
        <v/>
      </c>
      <c r="L494" s="11" t="str">
        <f t="shared" si="5"/>
        <v/>
      </c>
      <c r="M494" s="13"/>
    </row>
    <row r="495">
      <c r="A495" s="15"/>
      <c r="B495" s="6"/>
      <c r="C495" s="14" t="str">
        <f>iferror(vlookup(B495,'📦 ชื่อสินค้า'!A:C,3,false),)</f>
        <v/>
      </c>
      <c r="D495" s="11" t="str">
        <f>iferror(vlookup(B495,'📦 ชื่อสินค้า'!A:D,4,false),"")</f>
        <v/>
      </c>
      <c r="E495" s="16"/>
      <c r="F495" s="8" t="str">
        <f t="shared" si="1"/>
        <v/>
      </c>
      <c r="G495" s="9" t="str">
        <f>IF(LEN(B495)&gt;0,vlookup(B495,'📊 รายงานสินค้าคงเหลือ'!A:G,6,false)*E495,)</f>
        <v/>
      </c>
      <c r="H495" s="9" t="str">
        <f t="shared" si="2"/>
        <v/>
      </c>
      <c r="I495" s="10" t="str">
        <f t="shared" si="3"/>
        <v/>
      </c>
      <c r="J495" s="11" t="str">
        <f t="shared" si="4"/>
        <v/>
      </c>
      <c r="K495" s="11" t="str">
        <f>IFERROR(IF(A495&lt;&gt;"",VLOOKUP(B495,'📦 ชื่อสินค้า'!A:F,6,false),""),)</f>
        <v/>
      </c>
      <c r="L495" s="11" t="str">
        <f t="shared" si="5"/>
        <v/>
      </c>
      <c r="M495" s="13"/>
    </row>
    <row r="496">
      <c r="A496" s="15"/>
      <c r="B496" s="6"/>
      <c r="C496" s="14" t="str">
        <f>iferror(vlookup(B496,'📦 ชื่อสินค้า'!A:C,3,false),)</f>
        <v/>
      </c>
      <c r="D496" s="11" t="str">
        <f>iferror(vlookup(B496,'📦 ชื่อสินค้า'!A:D,4,false),"")</f>
        <v/>
      </c>
      <c r="E496" s="16"/>
      <c r="F496" s="8" t="str">
        <f t="shared" si="1"/>
        <v/>
      </c>
      <c r="G496" s="9" t="str">
        <f>IF(LEN(B496)&gt;0,vlookup(B496,'📊 รายงานสินค้าคงเหลือ'!A:G,6,false)*E496,)</f>
        <v/>
      </c>
      <c r="H496" s="9" t="str">
        <f t="shared" si="2"/>
        <v/>
      </c>
      <c r="I496" s="10" t="str">
        <f t="shared" si="3"/>
        <v/>
      </c>
      <c r="J496" s="11" t="str">
        <f t="shared" si="4"/>
        <v/>
      </c>
      <c r="K496" s="11" t="str">
        <f>IFERROR(IF(A496&lt;&gt;"",VLOOKUP(B496,'📦 ชื่อสินค้า'!A:F,6,false),""),)</f>
        <v/>
      </c>
      <c r="L496" s="11" t="str">
        <f t="shared" si="5"/>
        <v/>
      </c>
      <c r="M496" s="13"/>
    </row>
    <row r="497">
      <c r="A497" s="15"/>
      <c r="B497" s="6"/>
      <c r="C497" s="14" t="str">
        <f>iferror(vlookup(B497,'📦 ชื่อสินค้า'!A:C,3,false),)</f>
        <v/>
      </c>
      <c r="D497" s="11" t="str">
        <f>iferror(vlookup(B497,'📦 ชื่อสินค้า'!A:D,4,false),"")</f>
        <v/>
      </c>
      <c r="E497" s="16"/>
      <c r="F497" s="8" t="str">
        <f t="shared" si="1"/>
        <v/>
      </c>
      <c r="G497" s="9" t="str">
        <f>IF(LEN(B497)&gt;0,vlookup(B497,'📊 รายงานสินค้าคงเหลือ'!A:G,6,false)*E497,)</f>
        <v/>
      </c>
      <c r="H497" s="9" t="str">
        <f t="shared" si="2"/>
        <v/>
      </c>
      <c r="I497" s="10" t="str">
        <f t="shared" si="3"/>
        <v/>
      </c>
      <c r="J497" s="11" t="str">
        <f t="shared" si="4"/>
        <v/>
      </c>
      <c r="K497" s="11" t="str">
        <f>IFERROR(IF(A497&lt;&gt;"",VLOOKUP(B497,'📦 ชื่อสินค้า'!A:F,6,false),""),)</f>
        <v/>
      </c>
      <c r="L497" s="11" t="str">
        <f t="shared" si="5"/>
        <v/>
      </c>
      <c r="M497" s="13"/>
    </row>
    <row r="498">
      <c r="A498" s="15"/>
      <c r="B498" s="6"/>
      <c r="C498" s="14" t="str">
        <f>iferror(vlookup(B498,'📦 ชื่อสินค้า'!A:C,3,false),)</f>
        <v/>
      </c>
      <c r="D498" s="11" t="str">
        <f>iferror(vlookup(B498,'📦 ชื่อสินค้า'!A:D,4,false),"")</f>
        <v/>
      </c>
      <c r="E498" s="16"/>
      <c r="F498" s="8" t="str">
        <f t="shared" si="1"/>
        <v/>
      </c>
      <c r="G498" s="9" t="str">
        <f>IF(LEN(B498)&gt;0,vlookup(B498,'📊 รายงานสินค้าคงเหลือ'!A:G,6,false)*E498,)</f>
        <v/>
      </c>
      <c r="H498" s="9" t="str">
        <f t="shared" si="2"/>
        <v/>
      </c>
      <c r="I498" s="10" t="str">
        <f t="shared" si="3"/>
        <v/>
      </c>
      <c r="J498" s="11" t="str">
        <f t="shared" si="4"/>
        <v/>
      </c>
      <c r="K498" s="11" t="str">
        <f>IFERROR(IF(A498&lt;&gt;"",VLOOKUP(B498,'📦 ชื่อสินค้า'!A:F,6,false),""),)</f>
        <v/>
      </c>
      <c r="L498" s="11" t="str">
        <f t="shared" si="5"/>
        <v/>
      </c>
      <c r="M498" s="13"/>
    </row>
    <row r="499">
      <c r="A499" s="15"/>
      <c r="B499" s="6"/>
      <c r="C499" s="14" t="str">
        <f>iferror(vlookup(B499,'📦 ชื่อสินค้า'!A:C,3,false),)</f>
        <v/>
      </c>
      <c r="D499" s="11" t="str">
        <f>iferror(vlookup(B499,'📦 ชื่อสินค้า'!A:D,4,false),"")</f>
        <v/>
      </c>
      <c r="E499" s="16"/>
      <c r="F499" s="8" t="str">
        <f t="shared" si="1"/>
        <v/>
      </c>
      <c r="G499" s="9" t="str">
        <f>IF(LEN(B499)&gt;0,vlookup(B499,'📊 รายงานสินค้าคงเหลือ'!A:G,6,false)*E499,)</f>
        <v/>
      </c>
      <c r="H499" s="9" t="str">
        <f t="shared" si="2"/>
        <v/>
      </c>
      <c r="I499" s="10" t="str">
        <f t="shared" si="3"/>
        <v/>
      </c>
      <c r="J499" s="11" t="str">
        <f t="shared" si="4"/>
        <v/>
      </c>
      <c r="K499" s="11" t="str">
        <f>IFERROR(IF(A499&lt;&gt;"",VLOOKUP(B499,'📦 ชื่อสินค้า'!A:F,6,false),""),)</f>
        <v/>
      </c>
      <c r="L499" s="11" t="str">
        <f t="shared" si="5"/>
        <v/>
      </c>
      <c r="M499" s="13"/>
    </row>
    <row r="500">
      <c r="A500" s="15"/>
      <c r="B500" s="6"/>
      <c r="C500" s="14" t="str">
        <f>iferror(vlookup(B500,'📦 ชื่อสินค้า'!A:C,3,false),)</f>
        <v/>
      </c>
      <c r="D500" s="11" t="str">
        <f>iferror(vlookup(B500,'📦 ชื่อสินค้า'!A:D,4,false),"")</f>
        <v/>
      </c>
      <c r="E500" s="16"/>
      <c r="F500" s="8" t="str">
        <f t="shared" si="1"/>
        <v/>
      </c>
      <c r="G500" s="9" t="str">
        <f>IF(LEN(B500)&gt;0,vlookup(B500,'📊 รายงานสินค้าคงเหลือ'!A:G,6,false)*E500,)</f>
        <v/>
      </c>
      <c r="H500" s="9" t="str">
        <f t="shared" si="2"/>
        <v/>
      </c>
      <c r="I500" s="10" t="str">
        <f t="shared" si="3"/>
        <v/>
      </c>
      <c r="J500" s="11" t="str">
        <f t="shared" si="4"/>
        <v/>
      </c>
      <c r="K500" s="11" t="str">
        <f>IFERROR(IF(A500&lt;&gt;"",VLOOKUP(B500,'📦 ชื่อสินค้า'!A:F,6,false),""),)</f>
        <v/>
      </c>
      <c r="L500" s="11" t="str">
        <f t="shared" si="5"/>
        <v/>
      </c>
      <c r="M500" s="13"/>
    </row>
    <row r="501">
      <c r="A501" s="15"/>
      <c r="B501" s="6"/>
      <c r="C501" s="14" t="str">
        <f>iferror(vlookup(B501,'📦 ชื่อสินค้า'!A:C,3,false),)</f>
        <v/>
      </c>
      <c r="D501" s="11" t="str">
        <f>iferror(vlookup(B501,'📦 ชื่อสินค้า'!A:D,4,false),"")</f>
        <v/>
      </c>
      <c r="E501" s="16"/>
      <c r="F501" s="8" t="str">
        <f t="shared" si="1"/>
        <v/>
      </c>
      <c r="G501" s="9" t="str">
        <f>IF(LEN(B501)&gt;0,vlookup(B501,'📊 รายงานสินค้าคงเหลือ'!A:G,6,false)*E501,)</f>
        <v/>
      </c>
      <c r="H501" s="9" t="str">
        <f t="shared" si="2"/>
        <v/>
      </c>
      <c r="I501" s="10" t="str">
        <f t="shared" si="3"/>
        <v/>
      </c>
      <c r="J501" s="11" t="str">
        <f t="shared" si="4"/>
        <v/>
      </c>
      <c r="K501" s="11" t="str">
        <f>IFERROR(IF(A501&lt;&gt;"",VLOOKUP(B501,'📦 ชื่อสินค้า'!A:F,6,false),""),)</f>
        <v/>
      </c>
      <c r="L501" s="11" t="str">
        <f t="shared" si="5"/>
        <v/>
      </c>
      <c r="M501" s="13"/>
    </row>
    <row r="502">
      <c r="A502" s="15"/>
      <c r="B502" s="6"/>
      <c r="C502" s="14" t="str">
        <f>iferror(vlookup(B502,'📦 ชื่อสินค้า'!A:C,3,false),)</f>
        <v/>
      </c>
      <c r="D502" s="11" t="str">
        <f>iferror(vlookup(B502,'📦 ชื่อสินค้า'!A:D,4,false),"")</f>
        <v/>
      </c>
      <c r="E502" s="16"/>
      <c r="F502" s="8" t="str">
        <f t="shared" si="1"/>
        <v/>
      </c>
      <c r="G502" s="9" t="str">
        <f>IF(LEN(B502)&gt;0,vlookup(B502,'📊 รายงานสินค้าคงเหลือ'!A:G,6,false)*E502,)</f>
        <v/>
      </c>
      <c r="H502" s="9" t="str">
        <f t="shared" si="2"/>
        <v/>
      </c>
      <c r="I502" s="10" t="str">
        <f t="shared" si="3"/>
        <v/>
      </c>
      <c r="J502" s="11" t="str">
        <f t="shared" si="4"/>
        <v/>
      </c>
      <c r="K502" s="11" t="str">
        <f>IFERROR(IF(A502&lt;&gt;"",VLOOKUP(B502,'📦 ชื่อสินค้า'!A:F,6,false),""),)</f>
        <v/>
      </c>
      <c r="L502" s="11" t="str">
        <f t="shared" si="5"/>
        <v/>
      </c>
      <c r="M502" s="13"/>
    </row>
    <row r="503">
      <c r="A503" s="15"/>
      <c r="B503" s="6"/>
      <c r="C503" s="14" t="str">
        <f>iferror(vlookup(B503,'📦 ชื่อสินค้า'!A:C,3,false),)</f>
        <v/>
      </c>
      <c r="D503" s="11" t="str">
        <f>iferror(vlookup(B503,'📦 ชื่อสินค้า'!A:D,4,false),"")</f>
        <v/>
      </c>
      <c r="E503" s="16"/>
      <c r="F503" s="8" t="str">
        <f t="shared" si="1"/>
        <v/>
      </c>
      <c r="G503" s="9" t="str">
        <f>IF(LEN(B503)&gt;0,vlookup(B503,'📊 รายงานสินค้าคงเหลือ'!A:G,6,false)*E503,)</f>
        <v/>
      </c>
      <c r="H503" s="9" t="str">
        <f t="shared" si="2"/>
        <v/>
      </c>
      <c r="I503" s="10" t="str">
        <f t="shared" si="3"/>
        <v/>
      </c>
      <c r="J503" s="11" t="str">
        <f t="shared" si="4"/>
        <v/>
      </c>
      <c r="K503" s="11" t="str">
        <f>IFERROR(IF(A503&lt;&gt;"",VLOOKUP(B503,'📦 ชื่อสินค้า'!A:F,6,false),""),)</f>
        <v/>
      </c>
      <c r="L503" s="11" t="str">
        <f t="shared" si="5"/>
        <v/>
      </c>
      <c r="M503" s="13"/>
    </row>
    <row r="504">
      <c r="A504" s="15"/>
      <c r="B504" s="6"/>
      <c r="C504" s="14" t="str">
        <f>iferror(vlookup(B504,'📦 ชื่อสินค้า'!A:C,3,false),)</f>
        <v/>
      </c>
      <c r="D504" s="11" t="str">
        <f>iferror(vlookup(B504,'📦 ชื่อสินค้า'!A:D,4,false),"")</f>
        <v/>
      </c>
      <c r="E504" s="16"/>
      <c r="F504" s="8" t="str">
        <f t="shared" si="1"/>
        <v/>
      </c>
      <c r="G504" s="9" t="str">
        <f>IF(LEN(B504)&gt;0,vlookup(B504,'📊 รายงานสินค้าคงเหลือ'!A:G,6,false)*E504,)</f>
        <v/>
      </c>
      <c r="H504" s="9" t="str">
        <f t="shared" si="2"/>
        <v/>
      </c>
      <c r="I504" s="10" t="str">
        <f t="shared" si="3"/>
        <v/>
      </c>
      <c r="J504" s="11" t="str">
        <f t="shared" si="4"/>
        <v/>
      </c>
      <c r="K504" s="11" t="str">
        <f>IFERROR(IF(A504&lt;&gt;"",VLOOKUP(B504,'📦 ชื่อสินค้า'!A:F,6,false),""),)</f>
        <v/>
      </c>
      <c r="L504" s="11" t="str">
        <f t="shared" si="5"/>
        <v/>
      </c>
      <c r="M504" s="13"/>
    </row>
    <row r="505">
      <c r="A505" s="15"/>
      <c r="B505" s="6"/>
      <c r="C505" s="14" t="str">
        <f>iferror(vlookup(B505,'📦 ชื่อสินค้า'!A:C,3,false),)</f>
        <v/>
      </c>
      <c r="D505" s="11" t="str">
        <f>iferror(vlookup(B505,'📦 ชื่อสินค้า'!A:D,4,false),"")</f>
        <v/>
      </c>
      <c r="E505" s="16"/>
      <c r="F505" s="8" t="str">
        <f t="shared" si="1"/>
        <v/>
      </c>
      <c r="G505" s="9" t="str">
        <f>IF(LEN(B505)&gt;0,vlookup(B505,'📊 รายงานสินค้าคงเหลือ'!A:G,6,false)*E505,)</f>
        <v/>
      </c>
      <c r="H505" s="9" t="str">
        <f t="shared" si="2"/>
        <v/>
      </c>
      <c r="I505" s="10" t="str">
        <f t="shared" si="3"/>
        <v/>
      </c>
      <c r="J505" s="11" t="str">
        <f t="shared" si="4"/>
        <v/>
      </c>
      <c r="K505" s="11" t="str">
        <f>IFERROR(IF(A505&lt;&gt;"",VLOOKUP(B505,'📦 ชื่อสินค้า'!A:F,6,false),""),)</f>
        <v/>
      </c>
      <c r="L505" s="11" t="str">
        <f t="shared" si="5"/>
        <v/>
      </c>
      <c r="M505" s="13"/>
    </row>
    <row r="506">
      <c r="A506" s="15"/>
      <c r="B506" s="6"/>
      <c r="C506" s="14" t="str">
        <f>iferror(vlookup(B506,'📦 ชื่อสินค้า'!A:C,3,false),)</f>
        <v/>
      </c>
      <c r="D506" s="11" t="str">
        <f>iferror(vlookup(B506,'📦 ชื่อสินค้า'!A:D,4,false),"")</f>
        <v/>
      </c>
      <c r="E506" s="16"/>
      <c r="F506" s="8" t="str">
        <f t="shared" si="1"/>
        <v/>
      </c>
      <c r="G506" s="9" t="str">
        <f>IF(LEN(B506)&gt;0,vlookup(B506,'📊 รายงานสินค้าคงเหลือ'!A:G,6,false)*E506,)</f>
        <v/>
      </c>
      <c r="H506" s="9" t="str">
        <f t="shared" si="2"/>
        <v/>
      </c>
      <c r="I506" s="10" t="str">
        <f t="shared" si="3"/>
        <v/>
      </c>
      <c r="J506" s="11" t="str">
        <f t="shared" si="4"/>
        <v/>
      </c>
      <c r="K506" s="11" t="str">
        <f>IFERROR(IF(A506&lt;&gt;"",VLOOKUP(B506,'📦 ชื่อสินค้า'!A:F,6,false),""),)</f>
        <v/>
      </c>
      <c r="L506" s="11" t="str">
        <f t="shared" si="5"/>
        <v/>
      </c>
      <c r="M506" s="13"/>
    </row>
    <row r="507">
      <c r="A507" s="15"/>
      <c r="B507" s="6"/>
      <c r="C507" s="14" t="str">
        <f>iferror(vlookup(B507,'📦 ชื่อสินค้า'!A:C,3,false),)</f>
        <v/>
      </c>
      <c r="D507" s="11" t="str">
        <f>iferror(vlookup(B507,'📦 ชื่อสินค้า'!A:D,4,false),"")</f>
        <v/>
      </c>
      <c r="E507" s="16"/>
      <c r="F507" s="8" t="str">
        <f t="shared" si="1"/>
        <v/>
      </c>
      <c r="G507" s="9" t="str">
        <f>IF(LEN(B507)&gt;0,vlookup(B507,'📊 รายงานสินค้าคงเหลือ'!A:G,6,false)*E507,)</f>
        <v/>
      </c>
      <c r="H507" s="9" t="str">
        <f t="shared" si="2"/>
        <v/>
      </c>
      <c r="I507" s="10" t="str">
        <f t="shared" si="3"/>
        <v/>
      </c>
      <c r="J507" s="11" t="str">
        <f t="shared" si="4"/>
        <v/>
      </c>
      <c r="K507" s="11" t="str">
        <f>IFERROR(IF(A507&lt;&gt;"",VLOOKUP(B507,'📦 ชื่อสินค้า'!A:F,6,false),""),)</f>
        <v/>
      </c>
      <c r="L507" s="11" t="str">
        <f t="shared" si="5"/>
        <v/>
      </c>
      <c r="M507" s="13"/>
    </row>
    <row r="508">
      <c r="A508" s="15"/>
      <c r="B508" s="6"/>
      <c r="C508" s="14" t="str">
        <f>iferror(vlookup(B508,'📦 ชื่อสินค้า'!A:C,3,false),)</f>
        <v/>
      </c>
      <c r="D508" s="11" t="str">
        <f>iferror(vlookup(B508,'📦 ชื่อสินค้า'!A:D,4,false),"")</f>
        <v/>
      </c>
      <c r="E508" s="16"/>
      <c r="F508" s="8" t="str">
        <f t="shared" si="1"/>
        <v/>
      </c>
      <c r="G508" s="9" t="str">
        <f>IF(LEN(B508)&gt;0,vlookup(B508,'📊 รายงานสินค้าคงเหลือ'!A:G,6,false)*E508,)</f>
        <v/>
      </c>
      <c r="H508" s="9" t="str">
        <f t="shared" si="2"/>
        <v/>
      </c>
      <c r="I508" s="10" t="str">
        <f t="shared" si="3"/>
        <v/>
      </c>
      <c r="J508" s="11" t="str">
        <f t="shared" si="4"/>
        <v/>
      </c>
      <c r="K508" s="11" t="str">
        <f>IFERROR(IF(A508&lt;&gt;"",VLOOKUP(B508,'📦 ชื่อสินค้า'!A:F,6,false),""),)</f>
        <v/>
      </c>
      <c r="L508" s="11" t="str">
        <f t="shared" si="5"/>
        <v/>
      </c>
      <c r="M508" s="13"/>
    </row>
    <row r="509">
      <c r="A509" s="15"/>
      <c r="B509" s="6"/>
      <c r="C509" s="14" t="str">
        <f>iferror(vlookup(B509,'📦 ชื่อสินค้า'!A:C,3,false),)</f>
        <v/>
      </c>
      <c r="D509" s="11" t="str">
        <f>iferror(vlookup(B509,'📦 ชื่อสินค้า'!A:D,4,false),"")</f>
        <v/>
      </c>
      <c r="E509" s="16"/>
      <c r="F509" s="8" t="str">
        <f t="shared" si="1"/>
        <v/>
      </c>
      <c r="G509" s="9" t="str">
        <f>IF(LEN(B509)&gt;0,vlookup(B509,'📊 รายงานสินค้าคงเหลือ'!A:G,6,false)*E509,)</f>
        <v/>
      </c>
      <c r="H509" s="9" t="str">
        <f t="shared" si="2"/>
        <v/>
      </c>
      <c r="I509" s="10" t="str">
        <f t="shared" si="3"/>
        <v/>
      </c>
      <c r="J509" s="11" t="str">
        <f t="shared" si="4"/>
        <v/>
      </c>
      <c r="K509" s="11" t="str">
        <f>IFERROR(IF(A509&lt;&gt;"",VLOOKUP(B509,'📦 ชื่อสินค้า'!A:F,6,false),""),)</f>
        <v/>
      </c>
      <c r="L509" s="11" t="str">
        <f t="shared" si="5"/>
        <v/>
      </c>
      <c r="M509" s="13"/>
    </row>
    <row r="510">
      <c r="A510" s="15"/>
      <c r="B510" s="6"/>
      <c r="C510" s="14" t="str">
        <f>iferror(vlookup(B510,'📦 ชื่อสินค้า'!A:C,3,false),)</f>
        <v/>
      </c>
      <c r="D510" s="11" t="str">
        <f>iferror(vlookup(B510,'📦 ชื่อสินค้า'!A:D,4,false),"")</f>
        <v/>
      </c>
      <c r="E510" s="16"/>
      <c r="F510" s="8" t="str">
        <f t="shared" si="1"/>
        <v/>
      </c>
      <c r="G510" s="9" t="str">
        <f>IF(LEN(B510)&gt;0,vlookup(B510,'📊 รายงานสินค้าคงเหลือ'!A:G,6,false)*E510,)</f>
        <v/>
      </c>
      <c r="H510" s="9" t="str">
        <f t="shared" si="2"/>
        <v/>
      </c>
      <c r="I510" s="10" t="str">
        <f t="shared" si="3"/>
        <v/>
      </c>
      <c r="J510" s="11" t="str">
        <f t="shared" si="4"/>
        <v/>
      </c>
      <c r="K510" s="11" t="str">
        <f>IFERROR(IF(A510&lt;&gt;"",VLOOKUP(B510,'📦 ชื่อสินค้า'!A:F,6,false),""),)</f>
        <v/>
      </c>
      <c r="L510" s="11" t="str">
        <f t="shared" si="5"/>
        <v/>
      </c>
      <c r="M510" s="13"/>
    </row>
    <row r="511">
      <c r="A511" s="15"/>
      <c r="B511" s="6"/>
      <c r="C511" s="14" t="str">
        <f>iferror(vlookup(B511,'📦 ชื่อสินค้า'!A:C,3,false),)</f>
        <v/>
      </c>
      <c r="D511" s="11" t="str">
        <f>iferror(vlookup(B511,'📦 ชื่อสินค้า'!A:D,4,false),"")</f>
        <v/>
      </c>
      <c r="E511" s="16"/>
      <c r="F511" s="8" t="str">
        <f t="shared" si="1"/>
        <v/>
      </c>
      <c r="G511" s="9" t="str">
        <f>IF(LEN(B511)&gt;0,vlookup(B511,'📊 รายงานสินค้าคงเหลือ'!A:G,6,false)*E511,)</f>
        <v/>
      </c>
      <c r="H511" s="9" t="str">
        <f t="shared" si="2"/>
        <v/>
      </c>
      <c r="I511" s="10" t="str">
        <f t="shared" si="3"/>
        <v/>
      </c>
      <c r="J511" s="11" t="str">
        <f t="shared" si="4"/>
        <v/>
      </c>
      <c r="K511" s="11" t="str">
        <f>IFERROR(IF(A511&lt;&gt;"",VLOOKUP(B511,'📦 ชื่อสินค้า'!A:F,6,false),""),)</f>
        <v/>
      </c>
      <c r="L511" s="11" t="str">
        <f t="shared" si="5"/>
        <v/>
      </c>
      <c r="M511" s="13"/>
    </row>
    <row r="512">
      <c r="A512" s="15"/>
      <c r="B512" s="6"/>
      <c r="C512" s="14" t="str">
        <f>iferror(vlookup(B512,'📦 ชื่อสินค้า'!A:C,3,false),)</f>
        <v/>
      </c>
      <c r="D512" s="11" t="str">
        <f>iferror(vlookup(B512,'📦 ชื่อสินค้า'!A:D,4,false),"")</f>
        <v/>
      </c>
      <c r="E512" s="16"/>
      <c r="F512" s="8" t="str">
        <f t="shared" si="1"/>
        <v/>
      </c>
      <c r="G512" s="9" t="str">
        <f>IF(LEN(B512)&gt;0,vlookup(B512,'📊 รายงานสินค้าคงเหลือ'!A:G,6,false)*E512,)</f>
        <v/>
      </c>
      <c r="H512" s="9" t="str">
        <f t="shared" si="2"/>
        <v/>
      </c>
      <c r="I512" s="10" t="str">
        <f t="shared" si="3"/>
        <v/>
      </c>
      <c r="J512" s="11" t="str">
        <f t="shared" si="4"/>
        <v/>
      </c>
      <c r="K512" s="11" t="str">
        <f>IFERROR(IF(A512&lt;&gt;"",VLOOKUP(B512,'📦 ชื่อสินค้า'!A:F,6,false),""),)</f>
        <v/>
      </c>
      <c r="L512" s="11" t="str">
        <f t="shared" si="5"/>
        <v/>
      </c>
      <c r="M512" s="13"/>
    </row>
    <row r="513">
      <c r="A513" s="15"/>
      <c r="B513" s="6"/>
      <c r="C513" s="14" t="str">
        <f>iferror(vlookup(B513,'📦 ชื่อสินค้า'!A:C,3,false),)</f>
        <v/>
      </c>
      <c r="D513" s="11" t="str">
        <f>iferror(vlookup(B513,'📦 ชื่อสินค้า'!A:D,4,false),"")</f>
        <v/>
      </c>
      <c r="E513" s="16"/>
      <c r="F513" s="8" t="str">
        <f t="shared" si="1"/>
        <v/>
      </c>
      <c r="G513" s="9" t="str">
        <f>IF(LEN(B513)&gt;0,vlookup(B513,'📊 รายงานสินค้าคงเหลือ'!A:G,6,false)*E513,)</f>
        <v/>
      </c>
      <c r="H513" s="9" t="str">
        <f t="shared" si="2"/>
        <v/>
      </c>
      <c r="I513" s="10" t="str">
        <f t="shared" si="3"/>
        <v/>
      </c>
      <c r="J513" s="11" t="str">
        <f t="shared" si="4"/>
        <v/>
      </c>
      <c r="K513" s="11" t="str">
        <f>IFERROR(IF(A513&lt;&gt;"",VLOOKUP(B513,'📦 ชื่อสินค้า'!A:F,6,false),""),)</f>
        <v/>
      </c>
      <c r="L513" s="11" t="str">
        <f t="shared" si="5"/>
        <v/>
      </c>
      <c r="M513" s="13"/>
    </row>
    <row r="514">
      <c r="A514" s="15"/>
      <c r="B514" s="6"/>
      <c r="C514" s="14" t="str">
        <f>iferror(vlookup(B514,'📦 ชื่อสินค้า'!A:C,3,false),)</f>
        <v/>
      </c>
      <c r="D514" s="11" t="str">
        <f>iferror(vlookup(B514,'📦 ชื่อสินค้า'!A:D,4,false),"")</f>
        <v/>
      </c>
      <c r="E514" s="16"/>
      <c r="F514" s="8" t="str">
        <f t="shared" si="1"/>
        <v/>
      </c>
      <c r="G514" s="9" t="str">
        <f>IF(LEN(B514)&gt;0,vlookup(B514,'📊 รายงานสินค้าคงเหลือ'!A:G,6,false)*E514,)</f>
        <v/>
      </c>
      <c r="H514" s="9" t="str">
        <f t="shared" si="2"/>
        <v/>
      </c>
      <c r="I514" s="10" t="str">
        <f t="shared" si="3"/>
        <v/>
      </c>
      <c r="J514" s="11" t="str">
        <f t="shared" si="4"/>
        <v/>
      </c>
      <c r="K514" s="11" t="str">
        <f>IFERROR(IF(A514&lt;&gt;"",VLOOKUP(B514,'📦 ชื่อสินค้า'!A:F,6,false),""),)</f>
        <v/>
      </c>
      <c r="L514" s="11" t="str">
        <f t="shared" si="5"/>
        <v/>
      </c>
      <c r="M514" s="13"/>
    </row>
    <row r="515">
      <c r="A515" s="15"/>
      <c r="B515" s="6"/>
      <c r="C515" s="14" t="str">
        <f>iferror(vlookup(B515,'📦 ชื่อสินค้า'!A:C,3,false),)</f>
        <v/>
      </c>
      <c r="D515" s="11" t="str">
        <f>iferror(vlookup(B515,'📦 ชื่อสินค้า'!A:D,4,false),"")</f>
        <v/>
      </c>
      <c r="E515" s="16"/>
      <c r="F515" s="8" t="str">
        <f t="shared" si="1"/>
        <v/>
      </c>
      <c r="G515" s="9" t="str">
        <f>IF(LEN(B515)&gt;0,vlookup(B515,'📊 รายงานสินค้าคงเหลือ'!A:G,6,false)*E515,)</f>
        <v/>
      </c>
      <c r="H515" s="9" t="str">
        <f t="shared" si="2"/>
        <v/>
      </c>
      <c r="I515" s="10" t="str">
        <f t="shared" si="3"/>
        <v/>
      </c>
      <c r="J515" s="11" t="str">
        <f t="shared" si="4"/>
        <v/>
      </c>
      <c r="K515" s="11" t="str">
        <f>IFERROR(IF(A515&lt;&gt;"",VLOOKUP(B515,'📦 ชื่อสินค้า'!A:F,6,false),""),)</f>
        <v/>
      </c>
      <c r="L515" s="11" t="str">
        <f t="shared" si="5"/>
        <v/>
      </c>
      <c r="M515" s="13"/>
    </row>
    <row r="516">
      <c r="A516" s="15"/>
      <c r="B516" s="6"/>
      <c r="C516" s="14" t="str">
        <f>iferror(vlookup(B516,'📦 ชื่อสินค้า'!A:C,3,false),)</f>
        <v/>
      </c>
      <c r="D516" s="11" t="str">
        <f>iferror(vlookup(B516,'📦 ชื่อสินค้า'!A:D,4,false),"")</f>
        <v/>
      </c>
      <c r="E516" s="16"/>
      <c r="F516" s="8" t="str">
        <f t="shared" si="1"/>
        <v/>
      </c>
      <c r="G516" s="9" t="str">
        <f>IF(LEN(B516)&gt;0,vlookup(B516,'📊 รายงานสินค้าคงเหลือ'!A:G,6,false)*E516,)</f>
        <v/>
      </c>
      <c r="H516" s="9" t="str">
        <f t="shared" si="2"/>
        <v/>
      </c>
      <c r="I516" s="10" t="str">
        <f t="shared" si="3"/>
        <v/>
      </c>
      <c r="J516" s="11" t="str">
        <f t="shared" si="4"/>
        <v/>
      </c>
      <c r="K516" s="11" t="str">
        <f>IFERROR(IF(A516&lt;&gt;"",VLOOKUP(B516,'📦 ชื่อสินค้า'!A:F,6,false),""),)</f>
        <v/>
      </c>
      <c r="L516" s="11" t="str">
        <f t="shared" si="5"/>
        <v/>
      </c>
      <c r="M516" s="13"/>
    </row>
    <row r="517">
      <c r="A517" s="15"/>
      <c r="B517" s="6"/>
      <c r="C517" s="14" t="str">
        <f>iferror(vlookup(B517,'📦 ชื่อสินค้า'!A:C,3,false),)</f>
        <v/>
      </c>
      <c r="D517" s="11" t="str">
        <f>iferror(vlookup(B517,'📦 ชื่อสินค้า'!A:D,4,false),"")</f>
        <v/>
      </c>
      <c r="E517" s="16"/>
      <c r="F517" s="8" t="str">
        <f t="shared" si="1"/>
        <v/>
      </c>
      <c r="G517" s="9" t="str">
        <f>IF(LEN(B517)&gt;0,vlookup(B517,'📊 รายงานสินค้าคงเหลือ'!A:G,6,false)*E517,)</f>
        <v/>
      </c>
      <c r="H517" s="9" t="str">
        <f t="shared" si="2"/>
        <v/>
      </c>
      <c r="I517" s="10" t="str">
        <f t="shared" si="3"/>
        <v/>
      </c>
      <c r="J517" s="11" t="str">
        <f t="shared" si="4"/>
        <v/>
      </c>
      <c r="K517" s="11" t="str">
        <f>IFERROR(IF(A517&lt;&gt;"",VLOOKUP(B517,'📦 ชื่อสินค้า'!A:F,6,false),""),)</f>
        <v/>
      </c>
      <c r="L517" s="11" t="str">
        <f t="shared" si="5"/>
        <v/>
      </c>
      <c r="M517" s="13"/>
    </row>
    <row r="518">
      <c r="A518" s="15"/>
      <c r="B518" s="6"/>
      <c r="C518" s="14" t="str">
        <f>iferror(vlookup(B518,'📦 ชื่อสินค้า'!A:C,3,false),)</f>
        <v/>
      </c>
      <c r="D518" s="11" t="str">
        <f>iferror(vlookup(B518,'📦 ชื่อสินค้า'!A:D,4,false),"")</f>
        <v/>
      </c>
      <c r="E518" s="16"/>
      <c r="F518" s="8" t="str">
        <f t="shared" si="1"/>
        <v/>
      </c>
      <c r="G518" s="9" t="str">
        <f>IF(LEN(B518)&gt;0,vlookup(B518,'📊 รายงานสินค้าคงเหลือ'!A:G,6,false)*E518,)</f>
        <v/>
      </c>
      <c r="H518" s="9" t="str">
        <f t="shared" si="2"/>
        <v/>
      </c>
      <c r="I518" s="10" t="str">
        <f t="shared" si="3"/>
        <v/>
      </c>
      <c r="J518" s="11" t="str">
        <f t="shared" si="4"/>
        <v/>
      </c>
      <c r="K518" s="11" t="str">
        <f>IFERROR(IF(A518&lt;&gt;"",VLOOKUP(B518,'📦 ชื่อสินค้า'!A:F,6,false),""),)</f>
        <v/>
      </c>
      <c r="L518" s="11" t="str">
        <f t="shared" si="5"/>
        <v/>
      </c>
      <c r="M518" s="13"/>
    </row>
    <row r="519">
      <c r="A519" s="15"/>
      <c r="B519" s="6"/>
      <c r="C519" s="14" t="str">
        <f>iferror(vlookup(B519,'📦 ชื่อสินค้า'!A:C,3,false),)</f>
        <v/>
      </c>
      <c r="D519" s="11" t="str">
        <f>iferror(vlookup(B519,'📦 ชื่อสินค้า'!A:D,4,false),"")</f>
        <v/>
      </c>
      <c r="E519" s="16"/>
      <c r="F519" s="8" t="str">
        <f t="shared" si="1"/>
        <v/>
      </c>
      <c r="G519" s="9" t="str">
        <f>IF(LEN(B519)&gt;0,vlookup(B519,'📊 รายงานสินค้าคงเหลือ'!A:G,6,false)*E519,)</f>
        <v/>
      </c>
      <c r="H519" s="9" t="str">
        <f t="shared" si="2"/>
        <v/>
      </c>
      <c r="I519" s="10" t="str">
        <f t="shared" si="3"/>
        <v/>
      </c>
      <c r="J519" s="11" t="str">
        <f t="shared" si="4"/>
        <v/>
      </c>
      <c r="K519" s="11" t="str">
        <f>IFERROR(IF(A519&lt;&gt;"",VLOOKUP(B519,'📦 ชื่อสินค้า'!A:F,6,false),""),)</f>
        <v/>
      </c>
      <c r="L519" s="11" t="str">
        <f t="shared" si="5"/>
        <v/>
      </c>
      <c r="M519" s="13"/>
    </row>
    <row r="520">
      <c r="A520" s="15"/>
      <c r="B520" s="6"/>
      <c r="C520" s="14" t="str">
        <f>iferror(vlookup(B520,'📦 ชื่อสินค้า'!A:C,3,false),)</f>
        <v/>
      </c>
      <c r="D520" s="11" t="str">
        <f>iferror(vlookup(B520,'📦 ชื่อสินค้า'!A:D,4,false),"")</f>
        <v/>
      </c>
      <c r="E520" s="16"/>
      <c r="F520" s="8" t="str">
        <f t="shared" si="1"/>
        <v/>
      </c>
      <c r="G520" s="9" t="str">
        <f>IF(LEN(B520)&gt;0,vlookup(B520,'📊 รายงานสินค้าคงเหลือ'!A:G,6,false)*E520,)</f>
        <v/>
      </c>
      <c r="H520" s="9" t="str">
        <f t="shared" si="2"/>
        <v/>
      </c>
      <c r="I520" s="10" t="str">
        <f t="shared" si="3"/>
        <v/>
      </c>
      <c r="J520" s="11" t="str">
        <f t="shared" si="4"/>
        <v/>
      </c>
      <c r="K520" s="11" t="str">
        <f>IFERROR(IF(A520&lt;&gt;"",VLOOKUP(B520,'📦 ชื่อสินค้า'!A:F,6,false),""),)</f>
        <v/>
      </c>
      <c r="L520" s="11" t="str">
        <f t="shared" si="5"/>
        <v/>
      </c>
      <c r="M520" s="13"/>
    </row>
    <row r="521">
      <c r="A521" s="15"/>
      <c r="B521" s="6"/>
      <c r="C521" s="14" t="str">
        <f>iferror(vlookup(B521,'📦 ชื่อสินค้า'!A:C,3,false),)</f>
        <v/>
      </c>
      <c r="D521" s="11" t="str">
        <f>iferror(vlookup(B521,'📦 ชื่อสินค้า'!A:D,4,false),"")</f>
        <v/>
      </c>
      <c r="E521" s="16"/>
      <c r="F521" s="8" t="str">
        <f t="shared" si="1"/>
        <v/>
      </c>
      <c r="G521" s="9" t="str">
        <f>IF(LEN(B521)&gt;0,vlookup(B521,'📊 รายงานสินค้าคงเหลือ'!A:G,6,false)*E521,)</f>
        <v/>
      </c>
      <c r="H521" s="9" t="str">
        <f t="shared" si="2"/>
        <v/>
      </c>
      <c r="I521" s="10" t="str">
        <f t="shared" si="3"/>
        <v/>
      </c>
      <c r="J521" s="11" t="str">
        <f t="shared" si="4"/>
        <v/>
      </c>
      <c r="K521" s="11" t="str">
        <f>IFERROR(IF(A521&lt;&gt;"",VLOOKUP(B521,'📦 ชื่อสินค้า'!A:F,6,false),""),)</f>
        <v/>
      </c>
      <c r="L521" s="11" t="str">
        <f t="shared" si="5"/>
        <v/>
      </c>
      <c r="M521" s="13"/>
    </row>
    <row r="522">
      <c r="A522" s="15"/>
      <c r="B522" s="6"/>
      <c r="C522" s="14" t="str">
        <f>iferror(vlookup(B522,'📦 ชื่อสินค้า'!A:C,3,false),)</f>
        <v/>
      </c>
      <c r="D522" s="11" t="str">
        <f>iferror(vlookup(B522,'📦 ชื่อสินค้า'!A:D,4,false),"")</f>
        <v/>
      </c>
      <c r="E522" s="16"/>
      <c r="F522" s="8" t="str">
        <f t="shared" si="1"/>
        <v/>
      </c>
      <c r="G522" s="9" t="str">
        <f>IF(LEN(B522)&gt;0,vlookup(B522,'📊 รายงานสินค้าคงเหลือ'!A:G,6,false)*E522,)</f>
        <v/>
      </c>
      <c r="H522" s="9" t="str">
        <f t="shared" si="2"/>
        <v/>
      </c>
      <c r="I522" s="10" t="str">
        <f t="shared" si="3"/>
        <v/>
      </c>
      <c r="J522" s="11" t="str">
        <f t="shared" si="4"/>
        <v/>
      </c>
      <c r="K522" s="11" t="str">
        <f>IFERROR(IF(A522&lt;&gt;"",VLOOKUP(B522,'📦 ชื่อสินค้า'!A:F,6,false),""),)</f>
        <v/>
      </c>
      <c r="L522" s="11" t="str">
        <f t="shared" si="5"/>
        <v/>
      </c>
      <c r="M522" s="13"/>
    </row>
    <row r="523">
      <c r="A523" s="15"/>
      <c r="B523" s="6"/>
      <c r="C523" s="14" t="str">
        <f>iferror(vlookup(B523,'📦 ชื่อสินค้า'!A:C,3,false),)</f>
        <v/>
      </c>
      <c r="D523" s="11" t="str">
        <f>iferror(vlookup(B523,'📦 ชื่อสินค้า'!A:D,4,false),"")</f>
        <v/>
      </c>
      <c r="E523" s="16"/>
      <c r="F523" s="8" t="str">
        <f t="shared" si="1"/>
        <v/>
      </c>
      <c r="G523" s="9" t="str">
        <f>IF(LEN(B523)&gt;0,vlookup(B523,'📊 รายงานสินค้าคงเหลือ'!A:G,6,false)*E523,)</f>
        <v/>
      </c>
      <c r="H523" s="9" t="str">
        <f t="shared" si="2"/>
        <v/>
      </c>
      <c r="I523" s="10" t="str">
        <f t="shared" si="3"/>
        <v/>
      </c>
      <c r="J523" s="11" t="str">
        <f t="shared" si="4"/>
        <v/>
      </c>
      <c r="K523" s="11" t="str">
        <f>IFERROR(IF(A523&lt;&gt;"",VLOOKUP(B523,'📦 ชื่อสินค้า'!A:F,6,false),""),)</f>
        <v/>
      </c>
      <c r="L523" s="11" t="str">
        <f t="shared" si="5"/>
        <v/>
      </c>
      <c r="M523" s="13"/>
    </row>
    <row r="524">
      <c r="A524" s="15"/>
      <c r="B524" s="6"/>
      <c r="C524" s="14" t="str">
        <f>iferror(vlookup(B524,'📦 ชื่อสินค้า'!A:C,3,false),)</f>
        <v/>
      </c>
      <c r="D524" s="11" t="str">
        <f>iferror(vlookup(B524,'📦 ชื่อสินค้า'!A:D,4,false),"")</f>
        <v/>
      </c>
      <c r="E524" s="16"/>
      <c r="F524" s="8" t="str">
        <f t="shared" si="1"/>
        <v/>
      </c>
      <c r="G524" s="9" t="str">
        <f>IF(LEN(B524)&gt;0,vlookup(B524,'📊 รายงานสินค้าคงเหลือ'!A:G,6,false)*E524,)</f>
        <v/>
      </c>
      <c r="H524" s="9" t="str">
        <f t="shared" si="2"/>
        <v/>
      </c>
      <c r="I524" s="10" t="str">
        <f t="shared" si="3"/>
        <v/>
      </c>
      <c r="J524" s="11" t="str">
        <f t="shared" si="4"/>
        <v/>
      </c>
      <c r="K524" s="11" t="str">
        <f>IFERROR(IF(A524&lt;&gt;"",VLOOKUP(B524,'📦 ชื่อสินค้า'!A:F,6,false),""),)</f>
        <v/>
      </c>
      <c r="L524" s="11" t="str">
        <f t="shared" si="5"/>
        <v/>
      </c>
      <c r="M524" s="13"/>
    </row>
    <row r="525">
      <c r="A525" s="15"/>
      <c r="B525" s="6"/>
      <c r="C525" s="14" t="str">
        <f>iferror(vlookup(B525,'📦 ชื่อสินค้า'!A:C,3,false),)</f>
        <v/>
      </c>
      <c r="D525" s="11" t="str">
        <f>iferror(vlookup(B525,'📦 ชื่อสินค้า'!A:D,4,false),"")</f>
        <v/>
      </c>
      <c r="E525" s="16"/>
      <c r="F525" s="8" t="str">
        <f t="shared" si="1"/>
        <v/>
      </c>
      <c r="G525" s="9" t="str">
        <f>IF(LEN(B525)&gt;0,vlookup(B525,'📊 รายงานสินค้าคงเหลือ'!A:G,6,false)*E525,)</f>
        <v/>
      </c>
      <c r="H525" s="9" t="str">
        <f t="shared" si="2"/>
        <v/>
      </c>
      <c r="I525" s="10" t="str">
        <f t="shared" si="3"/>
        <v/>
      </c>
      <c r="J525" s="11" t="str">
        <f t="shared" si="4"/>
        <v/>
      </c>
      <c r="K525" s="11" t="str">
        <f>IFERROR(IF(A525&lt;&gt;"",VLOOKUP(B525,'📦 ชื่อสินค้า'!A:F,6,false),""),)</f>
        <v/>
      </c>
      <c r="L525" s="11" t="str">
        <f t="shared" si="5"/>
        <v/>
      </c>
      <c r="M525" s="13"/>
    </row>
    <row r="526">
      <c r="A526" s="15"/>
      <c r="B526" s="6"/>
      <c r="C526" s="14" t="str">
        <f>iferror(vlookup(B526,'📦 ชื่อสินค้า'!A:C,3,false),)</f>
        <v/>
      </c>
      <c r="D526" s="11" t="str">
        <f>iferror(vlookup(B526,'📦 ชื่อสินค้า'!A:D,4,false),"")</f>
        <v/>
      </c>
      <c r="E526" s="16"/>
      <c r="F526" s="8" t="str">
        <f t="shared" si="1"/>
        <v/>
      </c>
      <c r="G526" s="9" t="str">
        <f>IF(LEN(B526)&gt;0,vlookup(B526,'📊 รายงานสินค้าคงเหลือ'!A:G,6,false)*E526,)</f>
        <v/>
      </c>
      <c r="H526" s="9" t="str">
        <f t="shared" si="2"/>
        <v/>
      </c>
      <c r="I526" s="10" t="str">
        <f t="shared" si="3"/>
        <v/>
      </c>
      <c r="J526" s="11" t="str">
        <f t="shared" si="4"/>
        <v/>
      </c>
      <c r="K526" s="11" t="str">
        <f>IFERROR(IF(A526&lt;&gt;"",VLOOKUP(B526,'📦 ชื่อสินค้า'!A:F,6,false),""),)</f>
        <v/>
      </c>
      <c r="L526" s="11" t="str">
        <f t="shared" si="5"/>
        <v/>
      </c>
      <c r="M526" s="13"/>
    </row>
    <row r="527">
      <c r="A527" s="15"/>
      <c r="B527" s="6"/>
      <c r="C527" s="14" t="str">
        <f>iferror(vlookup(B527,'📦 ชื่อสินค้า'!A:C,3,false),)</f>
        <v/>
      </c>
      <c r="D527" s="11" t="str">
        <f>iferror(vlookup(B527,'📦 ชื่อสินค้า'!A:D,4,false),"")</f>
        <v/>
      </c>
      <c r="E527" s="16"/>
      <c r="F527" s="8" t="str">
        <f t="shared" si="1"/>
        <v/>
      </c>
      <c r="G527" s="9" t="str">
        <f>IF(LEN(B527)&gt;0,vlookup(B527,'📊 รายงานสินค้าคงเหลือ'!A:G,6,false)*E527,)</f>
        <v/>
      </c>
      <c r="H527" s="9" t="str">
        <f t="shared" si="2"/>
        <v/>
      </c>
      <c r="I527" s="10" t="str">
        <f t="shared" si="3"/>
        <v/>
      </c>
      <c r="J527" s="11" t="str">
        <f t="shared" si="4"/>
        <v/>
      </c>
      <c r="K527" s="11" t="str">
        <f>IFERROR(IF(A527&lt;&gt;"",VLOOKUP(B527,'📦 ชื่อสินค้า'!A:F,6,false),""),)</f>
        <v/>
      </c>
      <c r="L527" s="11" t="str">
        <f t="shared" si="5"/>
        <v/>
      </c>
      <c r="M527" s="13"/>
    </row>
    <row r="528">
      <c r="A528" s="15"/>
      <c r="B528" s="6"/>
      <c r="C528" s="14" t="str">
        <f>iferror(vlookup(B528,'📦 ชื่อสินค้า'!A:C,3,false),)</f>
        <v/>
      </c>
      <c r="D528" s="11" t="str">
        <f>iferror(vlookup(B528,'📦 ชื่อสินค้า'!A:D,4,false),"")</f>
        <v/>
      </c>
      <c r="E528" s="16"/>
      <c r="F528" s="8" t="str">
        <f t="shared" si="1"/>
        <v/>
      </c>
      <c r="G528" s="9" t="str">
        <f>IF(LEN(B528)&gt;0,vlookup(B528,'📊 รายงานสินค้าคงเหลือ'!A:G,6,false)*E528,)</f>
        <v/>
      </c>
      <c r="H528" s="9" t="str">
        <f t="shared" si="2"/>
        <v/>
      </c>
      <c r="I528" s="10" t="str">
        <f t="shared" si="3"/>
        <v/>
      </c>
      <c r="J528" s="11" t="str">
        <f t="shared" si="4"/>
        <v/>
      </c>
      <c r="K528" s="11" t="str">
        <f>IFERROR(IF(A528&lt;&gt;"",VLOOKUP(B528,'📦 ชื่อสินค้า'!A:F,6,false),""),)</f>
        <v/>
      </c>
      <c r="L528" s="11" t="str">
        <f t="shared" si="5"/>
        <v/>
      </c>
      <c r="M528" s="13"/>
    </row>
    <row r="529">
      <c r="A529" s="15"/>
      <c r="B529" s="6"/>
      <c r="C529" s="14" t="str">
        <f>iferror(vlookup(B529,'📦 ชื่อสินค้า'!A:C,3,false),)</f>
        <v/>
      </c>
      <c r="D529" s="11" t="str">
        <f>iferror(vlookup(B529,'📦 ชื่อสินค้า'!A:D,4,false),"")</f>
        <v/>
      </c>
      <c r="E529" s="16"/>
      <c r="F529" s="8" t="str">
        <f t="shared" si="1"/>
        <v/>
      </c>
      <c r="G529" s="9" t="str">
        <f>IF(LEN(B529)&gt;0,vlookup(B529,'📊 รายงานสินค้าคงเหลือ'!A:G,6,false)*E529,)</f>
        <v/>
      </c>
      <c r="H529" s="9" t="str">
        <f t="shared" si="2"/>
        <v/>
      </c>
      <c r="I529" s="10" t="str">
        <f t="shared" si="3"/>
        <v/>
      </c>
      <c r="J529" s="11" t="str">
        <f t="shared" si="4"/>
        <v/>
      </c>
      <c r="K529" s="11" t="str">
        <f>IFERROR(IF(A529&lt;&gt;"",VLOOKUP(B529,'📦 ชื่อสินค้า'!A:F,6,false),""),)</f>
        <v/>
      </c>
      <c r="L529" s="11" t="str">
        <f t="shared" si="5"/>
        <v/>
      </c>
      <c r="M529" s="13"/>
    </row>
    <row r="530">
      <c r="A530" s="15"/>
      <c r="B530" s="6"/>
      <c r="C530" s="14" t="str">
        <f>iferror(vlookup(B530,'📦 ชื่อสินค้า'!A:C,3,false),)</f>
        <v/>
      </c>
      <c r="D530" s="11" t="str">
        <f>iferror(vlookup(B530,'📦 ชื่อสินค้า'!A:D,4,false),"")</f>
        <v/>
      </c>
      <c r="E530" s="16"/>
      <c r="F530" s="8" t="str">
        <f t="shared" si="1"/>
        <v/>
      </c>
      <c r="G530" s="9" t="str">
        <f>IF(LEN(B530)&gt;0,vlookup(B530,'📊 รายงานสินค้าคงเหลือ'!A:G,6,false)*E530,)</f>
        <v/>
      </c>
      <c r="H530" s="9" t="str">
        <f t="shared" si="2"/>
        <v/>
      </c>
      <c r="I530" s="10" t="str">
        <f t="shared" si="3"/>
        <v/>
      </c>
      <c r="J530" s="11" t="str">
        <f t="shared" si="4"/>
        <v/>
      </c>
      <c r="K530" s="11" t="str">
        <f>IFERROR(IF(A530&lt;&gt;"",VLOOKUP(B530,'📦 ชื่อสินค้า'!A:F,6,false),""),)</f>
        <v/>
      </c>
      <c r="L530" s="11" t="str">
        <f t="shared" si="5"/>
        <v/>
      </c>
      <c r="M530" s="13"/>
    </row>
    <row r="531">
      <c r="A531" s="15"/>
      <c r="B531" s="6"/>
      <c r="C531" s="14" t="str">
        <f>iferror(vlookup(B531,'📦 ชื่อสินค้า'!A:C,3,false),)</f>
        <v/>
      </c>
      <c r="D531" s="11" t="str">
        <f>iferror(vlookup(B531,'📦 ชื่อสินค้า'!A:D,4,false),"")</f>
        <v/>
      </c>
      <c r="E531" s="16"/>
      <c r="F531" s="8" t="str">
        <f t="shared" si="1"/>
        <v/>
      </c>
      <c r="G531" s="9" t="str">
        <f>IF(LEN(B531)&gt;0,vlookup(B531,'📊 รายงานสินค้าคงเหลือ'!A:G,6,false)*E531,)</f>
        <v/>
      </c>
      <c r="H531" s="9" t="str">
        <f t="shared" si="2"/>
        <v/>
      </c>
      <c r="I531" s="10" t="str">
        <f t="shared" si="3"/>
        <v/>
      </c>
      <c r="J531" s="11" t="str">
        <f t="shared" si="4"/>
        <v/>
      </c>
      <c r="K531" s="11" t="str">
        <f>IFERROR(IF(A531&lt;&gt;"",VLOOKUP(B531,'📦 ชื่อสินค้า'!A:F,6,false),""),)</f>
        <v/>
      </c>
      <c r="L531" s="11" t="str">
        <f t="shared" si="5"/>
        <v/>
      </c>
      <c r="M531" s="13"/>
    </row>
    <row r="532">
      <c r="A532" s="15"/>
      <c r="B532" s="6"/>
      <c r="C532" s="14" t="str">
        <f>iferror(vlookup(B532,'📦 ชื่อสินค้า'!A:C,3,false),)</f>
        <v/>
      </c>
      <c r="D532" s="11" t="str">
        <f>iferror(vlookup(B532,'📦 ชื่อสินค้า'!A:D,4,false),"")</f>
        <v/>
      </c>
      <c r="E532" s="16"/>
      <c r="F532" s="8" t="str">
        <f t="shared" si="1"/>
        <v/>
      </c>
      <c r="G532" s="9" t="str">
        <f>IF(LEN(B532)&gt;0,vlookup(B532,'📊 รายงานสินค้าคงเหลือ'!A:G,6,false)*E532,)</f>
        <v/>
      </c>
      <c r="H532" s="9" t="str">
        <f t="shared" si="2"/>
        <v/>
      </c>
      <c r="I532" s="10" t="str">
        <f t="shared" si="3"/>
        <v/>
      </c>
      <c r="J532" s="11" t="str">
        <f t="shared" si="4"/>
        <v/>
      </c>
      <c r="K532" s="11" t="str">
        <f>IFERROR(IF(A532&lt;&gt;"",VLOOKUP(B532,'📦 ชื่อสินค้า'!A:F,6,false),""),)</f>
        <v/>
      </c>
      <c r="L532" s="11" t="str">
        <f t="shared" si="5"/>
        <v/>
      </c>
      <c r="M532" s="13"/>
    </row>
    <row r="533">
      <c r="A533" s="15"/>
      <c r="B533" s="6"/>
      <c r="C533" s="14" t="str">
        <f>iferror(vlookup(B533,'📦 ชื่อสินค้า'!A:C,3,false),)</f>
        <v/>
      </c>
      <c r="D533" s="11" t="str">
        <f>iferror(vlookup(B533,'📦 ชื่อสินค้า'!A:D,4,false),"")</f>
        <v/>
      </c>
      <c r="E533" s="16"/>
      <c r="F533" s="8" t="str">
        <f t="shared" si="1"/>
        <v/>
      </c>
      <c r="G533" s="9" t="str">
        <f>IF(LEN(B533)&gt;0,vlookup(B533,'📊 รายงานสินค้าคงเหลือ'!A:G,6,false)*E533,)</f>
        <v/>
      </c>
      <c r="H533" s="9" t="str">
        <f t="shared" si="2"/>
        <v/>
      </c>
      <c r="I533" s="10" t="str">
        <f t="shared" si="3"/>
        <v/>
      </c>
      <c r="J533" s="11" t="str">
        <f t="shared" si="4"/>
        <v/>
      </c>
      <c r="K533" s="11" t="str">
        <f>IFERROR(IF(A533&lt;&gt;"",VLOOKUP(B533,'📦 ชื่อสินค้า'!A:F,6,false),""),)</f>
        <v/>
      </c>
      <c r="L533" s="11" t="str">
        <f t="shared" si="5"/>
        <v/>
      </c>
      <c r="M533" s="13"/>
    </row>
    <row r="534">
      <c r="A534" s="15"/>
      <c r="B534" s="6"/>
      <c r="C534" s="14" t="str">
        <f>iferror(vlookup(B534,'📦 ชื่อสินค้า'!A:C,3,false),)</f>
        <v/>
      </c>
      <c r="D534" s="11" t="str">
        <f>iferror(vlookup(B534,'📦 ชื่อสินค้า'!A:D,4,false),"")</f>
        <v/>
      </c>
      <c r="E534" s="16"/>
      <c r="F534" s="8" t="str">
        <f t="shared" si="1"/>
        <v/>
      </c>
      <c r="G534" s="9" t="str">
        <f>IF(LEN(B534)&gt;0,vlookup(B534,'📊 รายงานสินค้าคงเหลือ'!A:G,6,false)*E534,)</f>
        <v/>
      </c>
      <c r="H534" s="9" t="str">
        <f t="shared" si="2"/>
        <v/>
      </c>
      <c r="I534" s="10" t="str">
        <f t="shared" si="3"/>
        <v/>
      </c>
      <c r="J534" s="11" t="str">
        <f t="shared" si="4"/>
        <v/>
      </c>
      <c r="K534" s="11" t="str">
        <f>IFERROR(IF(A534&lt;&gt;"",VLOOKUP(B534,'📦 ชื่อสินค้า'!A:F,6,false),""),)</f>
        <v/>
      </c>
      <c r="L534" s="11" t="str">
        <f t="shared" si="5"/>
        <v/>
      </c>
      <c r="M534" s="13"/>
    </row>
    <row r="535">
      <c r="A535" s="15"/>
      <c r="B535" s="6"/>
      <c r="C535" s="14" t="str">
        <f>iferror(vlookup(B535,'📦 ชื่อสินค้า'!A:C,3,false),)</f>
        <v/>
      </c>
      <c r="D535" s="11" t="str">
        <f>iferror(vlookup(B535,'📦 ชื่อสินค้า'!A:D,4,false),"")</f>
        <v/>
      </c>
      <c r="E535" s="16"/>
      <c r="F535" s="8" t="str">
        <f t="shared" si="1"/>
        <v/>
      </c>
      <c r="G535" s="9" t="str">
        <f>IF(LEN(B535)&gt;0,vlookup(B535,'📊 รายงานสินค้าคงเหลือ'!A:G,6,false)*E535,)</f>
        <v/>
      </c>
      <c r="H535" s="9" t="str">
        <f t="shared" si="2"/>
        <v/>
      </c>
      <c r="I535" s="10" t="str">
        <f t="shared" si="3"/>
        <v/>
      </c>
      <c r="J535" s="11" t="str">
        <f t="shared" si="4"/>
        <v/>
      </c>
      <c r="K535" s="11" t="str">
        <f>IFERROR(IF(A535&lt;&gt;"",VLOOKUP(B535,'📦 ชื่อสินค้า'!A:F,6,false),""),)</f>
        <v/>
      </c>
      <c r="L535" s="11" t="str">
        <f t="shared" si="5"/>
        <v/>
      </c>
      <c r="M535" s="13"/>
    </row>
    <row r="536">
      <c r="A536" s="15"/>
      <c r="B536" s="6"/>
      <c r="C536" s="14" t="str">
        <f>iferror(vlookup(B536,'📦 ชื่อสินค้า'!A:C,3,false),)</f>
        <v/>
      </c>
      <c r="D536" s="11" t="str">
        <f>iferror(vlookup(B536,'📦 ชื่อสินค้า'!A:D,4,false),"")</f>
        <v/>
      </c>
      <c r="E536" s="16"/>
      <c r="F536" s="8" t="str">
        <f t="shared" si="1"/>
        <v/>
      </c>
      <c r="G536" s="9" t="str">
        <f>IF(LEN(B536)&gt;0,vlookup(B536,'📊 รายงานสินค้าคงเหลือ'!A:G,6,false)*E536,)</f>
        <v/>
      </c>
      <c r="H536" s="9" t="str">
        <f t="shared" si="2"/>
        <v/>
      </c>
      <c r="I536" s="10" t="str">
        <f t="shared" si="3"/>
        <v/>
      </c>
      <c r="J536" s="11" t="str">
        <f t="shared" si="4"/>
        <v/>
      </c>
      <c r="K536" s="11" t="str">
        <f>IFERROR(IF(A536&lt;&gt;"",VLOOKUP(B536,'📦 ชื่อสินค้า'!A:F,6,false),""),)</f>
        <v/>
      </c>
      <c r="L536" s="11" t="str">
        <f t="shared" si="5"/>
        <v/>
      </c>
      <c r="M536" s="13"/>
    </row>
    <row r="537">
      <c r="A537" s="15"/>
      <c r="B537" s="6"/>
      <c r="C537" s="14" t="str">
        <f>iferror(vlookup(B537,'📦 ชื่อสินค้า'!A:C,3,false),)</f>
        <v/>
      </c>
      <c r="D537" s="11" t="str">
        <f>iferror(vlookup(B537,'📦 ชื่อสินค้า'!A:D,4,false),"")</f>
        <v/>
      </c>
      <c r="E537" s="16"/>
      <c r="F537" s="8" t="str">
        <f t="shared" si="1"/>
        <v/>
      </c>
      <c r="G537" s="9" t="str">
        <f>IF(LEN(B537)&gt;0,vlookup(B537,'📊 รายงานสินค้าคงเหลือ'!A:G,6,false)*E537,)</f>
        <v/>
      </c>
      <c r="H537" s="9" t="str">
        <f t="shared" si="2"/>
        <v/>
      </c>
      <c r="I537" s="10" t="str">
        <f t="shared" si="3"/>
        <v/>
      </c>
      <c r="J537" s="11" t="str">
        <f t="shared" si="4"/>
        <v/>
      </c>
      <c r="K537" s="11" t="str">
        <f>IFERROR(IF(A537&lt;&gt;"",VLOOKUP(B537,'📦 ชื่อสินค้า'!A:F,6,false),""),)</f>
        <v/>
      </c>
      <c r="L537" s="11" t="str">
        <f t="shared" si="5"/>
        <v/>
      </c>
      <c r="M537" s="13"/>
    </row>
    <row r="538">
      <c r="A538" s="15"/>
      <c r="B538" s="6"/>
      <c r="C538" s="14" t="str">
        <f>iferror(vlookup(B538,'📦 ชื่อสินค้า'!A:C,3,false),)</f>
        <v/>
      </c>
      <c r="D538" s="11" t="str">
        <f>iferror(vlookup(B538,'📦 ชื่อสินค้า'!A:D,4,false),"")</f>
        <v/>
      </c>
      <c r="E538" s="16"/>
      <c r="F538" s="8" t="str">
        <f t="shared" si="1"/>
        <v/>
      </c>
      <c r="G538" s="9" t="str">
        <f>IF(LEN(B538)&gt;0,vlookup(B538,'📊 รายงานสินค้าคงเหลือ'!A:G,6,false)*E538,)</f>
        <v/>
      </c>
      <c r="H538" s="9" t="str">
        <f t="shared" si="2"/>
        <v/>
      </c>
      <c r="I538" s="10" t="str">
        <f t="shared" si="3"/>
        <v/>
      </c>
      <c r="J538" s="11" t="str">
        <f t="shared" si="4"/>
        <v/>
      </c>
      <c r="K538" s="11" t="str">
        <f>IFERROR(IF(A538&lt;&gt;"",VLOOKUP(B538,'📦 ชื่อสินค้า'!A:F,6,false),""),)</f>
        <v/>
      </c>
      <c r="L538" s="11" t="str">
        <f t="shared" si="5"/>
        <v/>
      </c>
      <c r="M538" s="13"/>
    </row>
    <row r="539">
      <c r="A539" s="15"/>
      <c r="B539" s="6"/>
      <c r="C539" s="14" t="str">
        <f>iferror(vlookup(B539,'📦 ชื่อสินค้า'!A:C,3,false),)</f>
        <v/>
      </c>
      <c r="D539" s="11" t="str">
        <f>iferror(vlookup(B539,'📦 ชื่อสินค้า'!A:D,4,false),"")</f>
        <v/>
      </c>
      <c r="E539" s="16"/>
      <c r="F539" s="8" t="str">
        <f t="shared" si="1"/>
        <v/>
      </c>
      <c r="G539" s="9" t="str">
        <f>IF(LEN(B539)&gt;0,vlookup(B539,'📊 รายงานสินค้าคงเหลือ'!A:G,6,false)*E539,)</f>
        <v/>
      </c>
      <c r="H539" s="9" t="str">
        <f t="shared" si="2"/>
        <v/>
      </c>
      <c r="I539" s="10" t="str">
        <f t="shared" si="3"/>
        <v/>
      </c>
      <c r="J539" s="11" t="str">
        <f t="shared" si="4"/>
        <v/>
      </c>
      <c r="K539" s="11" t="str">
        <f>IFERROR(IF(A539&lt;&gt;"",VLOOKUP(B539,'📦 ชื่อสินค้า'!A:F,6,false),""),)</f>
        <v/>
      </c>
      <c r="L539" s="11" t="str">
        <f t="shared" si="5"/>
        <v/>
      </c>
      <c r="M539" s="13"/>
    </row>
    <row r="540">
      <c r="A540" s="15"/>
      <c r="B540" s="6"/>
      <c r="C540" s="14" t="str">
        <f>iferror(vlookup(B540,'📦 ชื่อสินค้า'!A:C,3,false),)</f>
        <v/>
      </c>
      <c r="D540" s="11" t="str">
        <f>iferror(vlookup(B540,'📦 ชื่อสินค้า'!A:D,4,false),"")</f>
        <v/>
      </c>
      <c r="E540" s="16"/>
      <c r="F540" s="8" t="str">
        <f t="shared" si="1"/>
        <v/>
      </c>
      <c r="G540" s="9" t="str">
        <f>IF(LEN(B540)&gt;0,vlookup(B540,'📊 รายงานสินค้าคงเหลือ'!A:G,6,false)*E540,)</f>
        <v/>
      </c>
      <c r="H540" s="9" t="str">
        <f t="shared" si="2"/>
        <v/>
      </c>
      <c r="I540" s="10" t="str">
        <f t="shared" si="3"/>
        <v/>
      </c>
      <c r="J540" s="11" t="str">
        <f t="shared" si="4"/>
        <v/>
      </c>
      <c r="K540" s="11" t="str">
        <f>IFERROR(IF(A540&lt;&gt;"",VLOOKUP(B540,'📦 ชื่อสินค้า'!A:F,6,false),""),)</f>
        <v/>
      </c>
      <c r="L540" s="11" t="str">
        <f t="shared" si="5"/>
        <v/>
      </c>
      <c r="M540" s="13"/>
    </row>
    <row r="541">
      <c r="A541" s="15"/>
      <c r="B541" s="6"/>
      <c r="C541" s="14" t="str">
        <f>iferror(vlookup(B541,'📦 ชื่อสินค้า'!A:C,3,false),)</f>
        <v/>
      </c>
      <c r="D541" s="11" t="str">
        <f>iferror(vlookup(B541,'📦 ชื่อสินค้า'!A:D,4,false),"")</f>
        <v/>
      </c>
      <c r="E541" s="16"/>
      <c r="F541" s="8" t="str">
        <f t="shared" si="1"/>
        <v/>
      </c>
      <c r="G541" s="9" t="str">
        <f>IF(LEN(B541)&gt;0,vlookup(B541,'📊 รายงานสินค้าคงเหลือ'!A:G,6,false)*E541,)</f>
        <v/>
      </c>
      <c r="H541" s="9" t="str">
        <f t="shared" si="2"/>
        <v/>
      </c>
      <c r="I541" s="10" t="str">
        <f t="shared" si="3"/>
        <v/>
      </c>
      <c r="J541" s="11" t="str">
        <f t="shared" si="4"/>
        <v/>
      </c>
      <c r="K541" s="11" t="str">
        <f>IFERROR(IF(A541&lt;&gt;"",VLOOKUP(B541,'📦 ชื่อสินค้า'!A:F,6,false),""),)</f>
        <v/>
      </c>
      <c r="L541" s="11" t="str">
        <f t="shared" si="5"/>
        <v/>
      </c>
      <c r="M541" s="13"/>
    </row>
    <row r="542">
      <c r="A542" s="15"/>
      <c r="B542" s="6"/>
      <c r="C542" s="14" t="str">
        <f>iferror(vlookup(B542,'📦 ชื่อสินค้า'!A:C,3,false),)</f>
        <v/>
      </c>
      <c r="D542" s="11" t="str">
        <f>iferror(vlookup(B542,'📦 ชื่อสินค้า'!A:D,4,false),"")</f>
        <v/>
      </c>
      <c r="E542" s="16"/>
      <c r="F542" s="8" t="str">
        <f t="shared" si="1"/>
        <v/>
      </c>
      <c r="G542" s="9" t="str">
        <f>IF(LEN(B542)&gt;0,vlookup(B542,'📊 รายงานสินค้าคงเหลือ'!A:G,6,false)*E542,)</f>
        <v/>
      </c>
      <c r="H542" s="9" t="str">
        <f t="shared" si="2"/>
        <v/>
      </c>
      <c r="I542" s="10" t="str">
        <f t="shared" si="3"/>
        <v/>
      </c>
      <c r="J542" s="11" t="str">
        <f t="shared" si="4"/>
        <v/>
      </c>
      <c r="K542" s="11" t="str">
        <f>IFERROR(IF(A542&lt;&gt;"",VLOOKUP(B542,'📦 ชื่อสินค้า'!A:F,6,false),""),)</f>
        <v/>
      </c>
      <c r="L542" s="11" t="str">
        <f t="shared" si="5"/>
        <v/>
      </c>
      <c r="M542" s="13"/>
    </row>
    <row r="543">
      <c r="A543" s="15"/>
      <c r="B543" s="6"/>
      <c r="C543" s="14" t="str">
        <f>iferror(vlookup(B543,'📦 ชื่อสินค้า'!A:C,3,false),)</f>
        <v/>
      </c>
      <c r="D543" s="11" t="str">
        <f>iferror(vlookup(B543,'📦 ชื่อสินค้า'!A:D,4,false),"")</f>
        <v/>
      </c>
      <c r="E543" s="16"/>
      <c r="F543" s="8" t="str">
        <f t="shared" si="1"/>
        <v/>
      </c>
      <c r="G543" s="9" t="str">
        <f>IF(LEN(B543)&gt;0,vlookup(B543,'📊 รายงานสินค้าคงเหลือ'!A:G,6,false)*E543,)</f>
        <v/>
      </c>
      <c r="H543" s="9" t="str">
        <f t="shared" si="2"/>
        <v/>
      </c>
      <c r="I543" s="10" t="str">
        <f t="shared" si="3"/>
        <v/>
      </c>
      <c r="J543" s="11" t="str">
        <f t="shared" si="4"/>
        <v/>
      </c>
      <c r="K543" s="11" t="str">
        <f>IFERROR(IF(A543&lt;&gt;"",VLOOKUP(B543,'📦 ชื่อสินค้า'!A:F,6,false),""),)</f>
        <v/>
      </c>
      <c r="L543" s="11" t="str">
        <f t="shared" si="5"/>
        <v/>
      </c>
      <c r="M543" s="13"/>
    </row>
    <row r="544">
      <c r="A544" s="15"/>
      <c r="B544" s="6"/>
      <c r="C544" s="14" t="str">
        <f>iferror(vlookup(B544,'📦 ชื่อสินค้า'!A:C,3,false),)</f>
        <v/>
      </c>
      <c r="D544" s="11" t="str">
        <f>iferror(vlookup(B544,'📦 ชื่อสินค้า'!A:D,4,false),"")</f>
        <v/>
      </c>
      <c r="E544" s="16"/>
      <c r="F544" s="8" t="str">
        <f t="shared" si="1"/>
        <v/>
      </c>
      <c r="G544" s="9" t="str">
        <f>IF(LEN(B544)&gt;0,vlookup(B544,'📊 รายงานสินค้าคงเหลือ'!A:G,6,false)*E544,)</f>
        <v/>
      </c>
      <c r="H544" s="9" t="str">
        <f t="shared" si="2"/>
        <v/>
      </c>
      <c r="I544" s="10" t="str">
        <f t="shared" si="3"/>
        <v/>
      </c>
      <c r="J544" s="11" t="str">
        <f t="shared" si="4"/>
        <v/>
      </c>
      <c r="K544" s="11" t="str">
        <f>IFERROR(IF(A544&lt;&gt;"",VLOOKUP(B544,'📦 ชื่อสินค้า'!A:F,6,false),""),)</f>
        <v/>
      </c>
      <c r="L544" s="11" t="str">
        <f t="shared" si="5"/>
        <v/>
      </c>
      <c r="M544" s="13"/>
    </row>
    <row r="545">
      <c r="A545" s="15"/>
      <c r="B545" s="6"/>
      <c r="C545" s="14" t="str">
        <f>iferror(vlookup(B545,'📦 ชื่อสินค้า'!A:C,3,false),)</f>
        <v/>
      </c>
      <c r="D545" s="11" t="str">
        <f>iferror(vlookup(B545,'📦 ชื่อสินค้า'!A:D,4,false),"")</f>
        <v/>
      </c>
      <c r="E545" s="16"/>
      <c r="F545" s="8" t="str">
        <f t="shared" si="1"/>
        <v/>
      </c>
      <c r="G545" s="9" t="str">
        <f>IF(LEN(B545)&gt;0,vlookup(B545,'📊 รายงานสินค้าคงเหลือ'!A:G,6,false)*E545,)</f>
        <v/>
      </c>
      <c r="H545" s="9" t="str">
        <f t="shared" si="2"/>
        <v/>
      </c>
      <c r="I545" s="10" t="str">
        <f t="shared" si="3"/>
        <v/>
      </c>
      <c r="J545" s="11" t="str">
        <f t="shared" si="4"/>
        <v/>
      </c>
      <c r="K545" s="11" t="str">
        <f>IFERROR(IF(A545&lt;&gt;"",VLOOKUP(B545,'📦 ชื่อสินค้า'!A:F,6,false),""),)</f>
        <v/>
      </c>
      <c r="L545" s="11" t="str">
        <f t="shared" si="5"/>
        <v/>
      </c>
      <c r="M545" s="13"/>
    </row>
    <row r="546">
      <c r="A546" s="15"/>
      <c r="B546" s="6"/>
      <c r="C546" s="14" t="str">
        <f>iferror(vlookup(B546,'📦 ชื่อสินค้า'!A:C,3,false),)</f>
        <v/>
      </c>
      <c r="D546" s="11" t="str">
        <f>iferror(vlookup(B546,'📦 ชื่อสินค้า'!A:D,4,false),"")</f>
        <v/>
      </c>
      <c r="E546" s="16"/>
      <c r="F546" s="8" t="str">
        <f t="shared" si="1"/>
        <v/>
      </c>
      <c r="G546" s="9" t="str">
        <f>IF(LEN(B546)&gt;0,vlookup(B546,'📊 รายงานสินค้าคงเหลือ'!A:G,6,false)*E546,)</f>
        <v/>
      </c>
      <c r="H546" s="9" t="str">
        <f t="shared" si="2"/>
        <v/>
      </c>
      <c r="I546" s="10" t="str">
        <f t="shared" si="3"/>
        <v/>
      </c>
      <c r="J546" s="11" t="str">
        <f t="shared" si="4"/>
        <v/>
      </c>
      <c r="K546" s="11" t="str">
        <f>IFERROR(IF(A546&lt;&gt;"",VLOOKUP(B546,'📦 ชื่อสินค้า'!A:F,6,false),""),)</f>
        <v/>
      </c>
      <c r="L546" s="11" t="str">
        <f t="shared" si="5"/>
        <v/>
      </c>
      <c r="M546" s="13"/>
    </row>
    <row r="547">
      <c r="A547" s="15"/>
      <c r="B547" s="6"/>
      <c r="C547" s="14" t="str">
        <f>iferror(vlookup(B547,'📦 ชื่อสินค้า'!A:C,3,false),)</f>
        <v/>
      </c>
      <c r="D547" s="11" t="str">
        <f>iferror(vlookup(B547,'📦 ชื่อสินค้า'!A:D,4,false),"")</f>
        <v/>
      </c>
      <c r="E547" s="16"/>
      <c r="F547" s="8" t="str">
        <f t="shared" si="1"/>
        <v/>
      </c>
      <c r="G547" s="9" t="str">
        <f>IF(LEN(B547)&gt;0,vlookup(B547,'📊 รายงานสินค้าคงเหลือ'!A:G,6,false)*E547,)</f>
        <v/>
      </c>
      <c r="H547" s="9" t="str">
        <f t="shared" si="2"/>
        <v/>
      </c>
      <c r="I547" s="10" t="str">
        <f t="shared" si="3"/>
        <v/>
      </c>
      <c r="J547" s="11" t="str">
        <f t="shared" si="4"/>
        <v/>
      </c>
      <c r="K547" s="11" t="str">
        <f>IFERROR(IF(A547&lt;&gt;"",VLOOKUP(B547,'📦 ชื่อสินค้า'!A:F,6,false),""),)</f>
        <v/>
      </c>
      <c r="L547" s="11" t="str">
        <f t="shared" si="5"/>
        <v/>
      </c>
      <c r="M547" s="13"/>
    </row>
    <row r="548">
      <c r="A548" s="15"/>
      <c r="B548" s="6"/>
      <c r="C548" s="14" t="str">
        <f>iferror(vlookup(B548,'📦 ชื่อสินค้า'!A:C,3,false),)</f>
        <v/>
      </c>
      <c r="D548" s="11" t="str">
        <f>iferror(vlookup(B548,'📦 ชื่อสินค้า'!A:D,4,false),"")</f>
        <v/>
      </c>
      <c r="E548" s="16"/>
      <c r="F548" s="8" t="str">
        <f t="shared" si="1"/>
        <v/>
      </c>
      <c r="G548" s="9" t="str">
        <f>IF(LEN(B548)&gt;0,vlookup(B548,'📊 รายงานสินค้าคงเหลือ'!A:G,6,false)*E548,)</f>
        <v/>
      </c>
      <c r="H548" s="9" t="str">
        <f t="shared" si="2"/>
        <v/>
      </c>
      <c r="I548" s="10" t="str">
        <f t="shared" si="3"/>
        <v/>
      </c>
      <c r="J548" s="11" t="str">
        <f t="shared" si="4"/>
        <v/>
      </c>
      <c r="K548" s="11" t="str">
        <f>IFERROR(IF(A548&lt;&gt;"",VLOOKUP(B548,'📦 ชื่อสินค้า'!A:F,6,false),""),)</f>
        <v/>
      </c>
      <c r="L548" s="11" t="str">
        <f t="shared" si="5"/>
        <v/>
      </c>
      <c r="M548" s="13"/>
    </row>
    <row r="549">
      <c r="A549" s="15"/>
      <c r="B549" s="6"/>
      <c r="C549" s="14" t="str">
        <f>iferror(vlookup(B549,'📦 ชื่อสินค้า'!A:C,3,false),)</f>
        <v/>
      </c>
      <c r="D549" s="11" t="str">
        <f>iferror(vlookup(B549,'📦 ชื่อสินค้า'!A:D,4,false),"")</f>
        <v/>
      </c>
      <c r="E549" s="16"/>
      <c r="F549" s="8" t="str">
        <f t="shared" si="1"/>
        <v/>
      </c>
      <c r="G549" s="9" t="str">
        <f>IF(LEN(B549)&gt;0,vlookup(B549,'📊 รายงานสินค้าคงเหลือ'!A:G,6,false)*E549,)</f>
        <v/>
      </c>
      <c r="H549" s="9" t="str">
        <f t="shared" si="2"/>
        <v/>
      </c>
      <c r="I549" s="10" t="str">
        <f t="shared" si="3"/>
        <v/>
      </c>
      <c r="J549" s="11" t="str">
        <f t="shared" si="4"/>
        <v/>
      </c>
      <c r="K549" s="11" t="str">
        <f>IFERROR(IF(A549&lt;&gt;"",VLOOKUP(B549,'📦 ชื่อสินค้า'!A:F,6,false),""),)</f>
        <v/>
      </c>
      <c r="L549" s="11" t="str">
        <f t="shared" si="5"/>
        <v/>
      </c>
      <c r="M549" s="13"/>
    </row>
    <row r="550">
      <c r="A550" s="15"/>
      <c r="B550" s="6"/>
      <c r="C550" s="14" t="str">
        <f>iferror(vlookup(B550,'📦 ชื่อสินค้า'!A:C,3,false),)</f>
        <v/>
      </c>
      <c r="D550" s="11" t="str">
        <f>iferror(vlookup(B550,'📦 ชื่อสินค้า'!A:D,4,false),"")</f>
        <v/>
      </c>
      <c r="E550" s="16"/>
      <c r="F550" s="8" t="str">
        <f t="shared" si="1"/>
        <v/>
      </c>
      <c r="G550" s="9" t="str">
        <f>IF(LEN(B550)&gt;0,vlookup(B550,'📊 รายงานสินค้าคงเหลือ'!A:G,6,false)*E550,)</f>
        <v/>
      </c>
      <c r="H550" s="9" t="str">
        <f t="shared" si="2"/>
        <v/>
      </c>
      <c r="I550" s="10" t="str">
        <f t="shared" si="3"/>
        <v/>
      </c>
      <c r="J550" s="11" t="str">
        <f t="shared" si="4"/>
        <v/>
      </c>
      <c r="K550" s="11" t="str">
        <f>IFERROR(IF(A550&lt;&gt;"",VLOOKUP(B550,'📦 ชื่อสินค้า'!A:F,6,false),""),)</f>
        <v/>
      </c>
      <c r="L550" s="11" t="str">
        <f t="shared" si="5"/>
        <v/>
      </c>
      <c r="M550" s="13"/>
    </row>
    <row r="551">
      <c r="A551" s="15"/>
      <c r="B551" s="6"/>
      <c r="C551" s="14" t="str">
        <f>iferror(vlookup(B551,'📦 ชื่อสินค้า'!A:C,3,false),)</f>
        <v/>
      </c>
      <c r="D551" s="11" t="str">
        <f>iferror(vlookup(B551,'📦 ชื่อสินค้า'!A:D,4,false),"")</f>
        <v/>
      </c>
      <c r="E551" s="16"/>
      <c r="F551" s="8" t="str">
        <f t="shared" si="1"/>
        <v/>
      </c>
      <c r="G551" s="9" t="str">
        <f>IF(LEN(B551)&gt;0,vlookup(B551,'📊 รายงานสินค้าคงเหลือ'!A:G,6,false)*E551,)</f>
        <v/>
      </c>
      <c r="H551" s="9" t="str">
        <f t="shared" si="2"/>
        <v/>
      </c>
      <c r="I551" s="10" t="str">
        <f t="shared" si="3"/>
        <v/>
      </c>
      <c r="J551" s="11" t="str">
        <f t="shared" si="4"/>
        <v/>
      </c>
      <c r="K551" s="11" t="str">
        <f>IFERROR(IF(A551&lt;&gt;"",VLOOKUP(B551,'📦 ชื่อสินค้า'!A:F,6,false),""),)</f>
        <v/>
      </c>
      <c r="L551" s="11" t="str">
        <f t="shared" si="5"/>
        <v/>
      </c>
      <c r="M551" s="13"/>
    </row>
    <row r="552">
      <c r="A552" s="15"/>
      <c r="B552" s="6"/>
      <c r="C552" s="14" t="str">
        <f>iferror(vlookup(B552,'📦 ชื่อสินค้า'!A:C,3,false),)</f>
        <v/>
      </c>
      <c r="D552" s="11" t="str">
        <f>iferror(vlookup(B552,'📦 ชื่อสินค้า'!A:D,4,false),"")</f>
        <v/>
      </c>
      <c r="E552" s="16"/>
      <c r="F552" s="8" t="str">
        <f t="shared" si="1"/>
        <v/>
      </c>
      <c r="G552" s="9" t="str">
        <f>IF(LEN(B552)&gt;0,vlookup(B552,'📊 รายงานสินค้าคงเหลือ'!A:G,6,false)*E552,)</f>
        <v/>
      </c>
      <c r="H552" s="9" t="str">
        <f t="shared" si="2"/>
        <v/>
      </c>
      <c r="I552" s="10" t="str">
        <f t="shared" si="3"/>
        <v/>
      </c>
      <c r="J552" s="11" t="str">
        <f t="shared" si="4"/>
        <v/>
      </c>
      <c r="K552" s="11" t="str">
        <f>IFERROR(IF(A552&lt;&gt;"",VLOOKUP(B552,'📦 ชื่อสินค้า'!A:F,6,false),""),)</f>
        <v/>
      </c>
      <c r="L552" s="11" t="str">
        <f t="shared" si="5"/>
        <v/>
      </c>
      <c r="M552" s="13"/>
    </row>
    <row r="553">
      <c r="A553" s="15"/>
      <c r="B553" s="6"/>
      <c r="C553" s="14" t="str">
        <f>iferror(vlookup(B553,'📦 ชื่อสินค้า'!A:C,3,false),)</f>
        <v/>
      </c>
      <c r="D553" s="11" t="str">
        <f>iferror(vlookup(B553,'📦 ชื่อสินค้า'!A:D,4,false),"")</f>
        <v/>
      </c>
      <c r="E553" s="16"/>
      <c r="F553" s="8" t="str">
        <f t="shared" si="1"/>
        <v/>
      </c>
      <c r="G553" s="9" t="str">
        <f>IF(LEN(B553)&gt;0,vlookup(B553,'📊 รายงานสินค้าคงเหลือ'!A:G,6,false)*E553,)</f>
        <v/>
      </c>
      <c r="H553" s="9" t="str">
        <f t="shared" si="2"/>
        <v/>
      </c>
      <c r="I553" s="10" t="str">
        <f t="shared" si="3"/>
        <v/>
      </c>
      <c r="J553" s="11" t="str">
        <f t="shared" si="4"/>
        <v/>
      </c>
      <c r="K553" s="11" t="str">
        <f>IFERROR(IF(A553&lt;&gt;"",VLOOKUP(B553,'📦 ชื่อสินค้า'!A:F,6,false),""),)</f>
        <v/>
      </c>
      <c r="L553" s="11" t="str">
        <f t="shared" si="5"/>
        <v/>
      </c>
      <c r="M553" s="13"/>
    </row>
    <row r="554">
      <c r="A554" s="15"/>
      <c r="B554" s="6"/>
      <c r="C554" s="14" t="str">
        <f>iferror(vlookup(B554,'📦 ชื่อสินค้า'!A:C,3,false),)</f>
        <v/>
      </c>
      <c r="D554" s="11" t="str">
        <f>iferror(vlookup(B554,'📦 ชื่อสินค้า'!A:D,4,false),"")</f>
        <v/>
      </c>
      <c r="E554" s="16"/>
      <c r="F554" s="8" t="str">
        <f t="shared" si="1"/>
        <v/>
      </c>
      <c r="G554" s="9" t="str">
        <f>IF(LEN(B554)&gt;0,vlookup(B554,'📊 รายงานสินค้าคงเหลือ'!A:G,6,false)*E554,)</f>
        <v/>
      </c>
      <c r="H554" s="9" t="str">
        <f t="shared" si="2"/>
        <v/>
      </c>
      <c r="I554" s="10" t="str">
        <f t="shared" si="3"/>
        <v/>
      </c>
      <c r="J554" s="11" t="str">
        <f t="shared" si="4"/>
        <v/>
      </c>
      <c r="K554" s="11" t="str">
        <f>IFERROR(IF(A554&lt;&gt;"",VLOOKUP(B554,'📦 ชื่อสินค้า'!A:F,6,false),""),)</f>
        <v/>
      </c>
      <c r="L554" s="11" t="str">
        <f t="shared" si="5"/>
        <v/>
      </c>
      <c r="M554" s="13"/>
    </row>
    <row r="555">
      <c r="A555" s="15"/>
      <c r="B555" s="6"/>
      <c r="C555" s="14" t="str">
        <f>iferror(vlookup(B555,'📦 ชื่อสินค้า'!A:C,3,false),)</f>
        <v/>
      </c>
      <c r="D555" s="11" t="str">
        <f>iferror(vlookup(B555,'📦 ชื่อสินค้า'!A:D,4,false),"")</f>
        <v/>
      </c>
      <c r="E555" s="16"/>
      <c r="F555" s="8" t="str">
        <f t="shared" si="1"/>
        <v/>
      </c>
      <c r="G555" s="9" t="str">
        <f>IF(LEN(B555)&gt;0,vlookup(B555,'📊 รายงานสินค้าคงเหลือ'!A:G,6,false)*E555,)</f>
        <v/>
      </c>
      <c r="H555" s="9" t="str">
        <f t="shared" si="2"/>
        <v/>
      </c>
      <c r="I555" s="10" t="str">
        <f t="shared" si="3"/>
        <v/>
      </c>
      <c r="J555" s="11" t="str">
        <f t="shared" si="4"/>
        <v/>
      </c>
      <c r="K555" s="11" t="str">
        <f>IFERROR(IF(A555&lt;&gt;"",VLOOKUP(B555,'📦 ชื่อสินค้า'!A:F,6,false),""),)</f>
        <v/>
      </c>
      <c r="L555" s="11" t="str">
        <f t="shared" si="5"/>
        <v/>
      </c>
      <c r="M555" s="13"/>
    </row>
    <row r="556">
      <c r="A556" s="15"/>
      <c r="B556" s="6"/>
      <c r="C556" s="14" t="str">
        <f>iferror(vlookup(B556,'📦 ชื่อสินค้า'!A:C,3,false),)</f>
        <v/>
      </c>
      <c r="D556" s="11" t="str">
        <f>iferror(vlookup(B556,'📦 ชื่อสินค้า'!A:D,4,false),"")</f>
        <v/>
      </c>
      <c r="E556" s="16"/>
      <c r="F556" s="8" t="str">
        <f t="shared" si="1"/>
        <v/>
      </c>
      <c r="G556" s="9" t="str">
        <f>IF(LEN(B556)&gt;0,vlookup(B556,'📊 รายงานสินค้าคงเหลือ'!A:G,6,false)*E556,)</f>
        <v/>
      </c>
      <c r="H556" s="9" t="str">
        <f t="shared" si="2"/>
        <v/>
      </c>
      <c r="I556" s="10" t="str">
        <f t="shared" si="3"/>
        <v/>
      </c>
      <c r="J556" s="11" t="str">
        <f t="shared" si="4"/>
        <v/>
      </c>
      <c r="K556" s="11" t="str">
        <f>IFERROR(IF(A556&lt;&gt;"",VLOOKUP(B556,'📦 ชื่อสินค้า'!A:F,6,false),""),)</f>
        <v/>
      </c>
      <c r="L556" s="11" t="str">
        <f t="shared" si="5"/>
        <v/>
      </c>
      <c r="M556" s="13"/>
    </row>
    <row r="557">
      <c r="A557" s="15"/>
      <c r="B557" s="6"/>
      <c r="C557" s="14" t="str">
        <f>iferror(vlookup(B557,'📦 ชื่อสินค้า'!A:C,3,false),)</f>
        <v/>
      </c>
      <c r="D557" s="11" t="str">
        <f>iferror(vlookup(B557,'📦 ชื่อสินค้า'!A:D,4,false),"")</f>
        <v/>
      </c>
      <c r="E557" s="16"/>
      <c r="F557" s="8" t="str">
        <f t="shared" si="1"/>
        <v/>
      </c>
      <c r="G557" s="9" t="str">
        <f>IF(LEN(B557)&gt;0,vlookup(B557,'📊 รายงานสินค้าคงเหลือ'!A:G,6,false)*E557,)</f>
        <v/>
      </c>
      <c r="H557" s="9" t="str">
        <f t="shared" si="2"/>
        <v/>
      </c>
      <c r="I557" s="10" t="str">
        <f t="shared" si="3"/>
        <v/>
      </c>
      <c r="J557" s="11" t="str">
        <f t="shared" si="4"/>
        <v/>
      </c>
      <c r="K557" s="11" t="str">
        <f>IFERROR(IF(A557&lt;&gt;"",VLOOKUP(B557,'📦 ชื่อสินค้า'!A:F,6,false),""),)</f>
        <v/>
      </c>
      <c r="L557" s="11" t="str">
        <f t="shared" si="5"/>
        <v/>
      </c>
      <c r="M557" s="13"/>
    </row>
    <row r="558">
      <c r="A558" s="15"/>
      <c r="B558" s="6"/>
      <c r="C558" s="14" t="str">
        <f>iferror(vlookup(B558,'📦 ชื่อสินค้า'!A:C,3,false),)</f>
        <v/>
      </c>
      <c r="D558" s="11" t="str">
        <f>iferror(vlookup(B558,'📦 ชื่อสินค้า'!A:D,4,false),"")</f>
        <v/>
      </c>
      <c r="E558" s="16"/>
      <c r="F558" s="8" t="str">
        <f t="shared" si="1"/>
        <v/>
      </c>
      <c r="G558" s="9" t="str">
        <f>IF(LEN(B558)&gt;0,vlookup(B558,'📊 รายงานสินค้าคงเหลือ'!A:G,6,false)*E558,)</f>
        <v/>
      </c>
      <c r="H558" s="9" t="str">
        <f t="shared" si="2"/>
        <v/>
      </c>
      <c r="I558" s="10" t="str">
        <f t="shared" si="3"/>
        <v/>
      </c>
      <c r="J558" s="11" t="str">
        <f t="shared" si="4"/>
        <v/>
      </c>
      <c r="K558" s="11" t="str">
        <f>IFERROR(IF(A558&lt;&gt;"",VLOOKUP(B558,'📦 ชื่อสินค้า'!A:F,6,false),""),)</f>
        <v/>
      </c>
      <c r="L558" s="11" t="str">
        <f t="shared" si="5"/>
        <v/>
      </c>
      <c r="M558" s="13"/>
    </row>
    <row r="559">
      <c r="A559" s="15"/>
      <c r="B559" s="6"/>
      <c r="C559" s="14" t="str">
        <f>iferror(vlookup(B559,'📦 ชื่อสินค้า'!A:C,3,false),)</f>
        <v/>
      </c>
      <c r="D559" s="11" t="str">
        <f>iferror(vlookup(B559,'📦 ชื่อสินค้า'!A:D,4,false),"")</f>
        <v/>
      </c>
      <c r="E559" s="16"/>
      <c r="F559" s="8" t="str">
        <f t="shared" si="1"/>
        <v/>
      </c>
      <c r="G559" s="9" t="str">
        <f>IF(LEN(B559)&gt;0,vlookup(B559,'📊 รายงานสินค้าคงเหลือ'!A:G,6,false)*E559,)</f>
        <v/>
      </c>
      <c r="H559" s="9" t="str">
        <f t="shared" si="2"/>
        <v/>
      </c>
      <c r="I559" s="10" t="str">
        <f t="shared" si="3"/>
        <v/>
      </c>
      <c r="J559" s="11" t="str">
        <f t="shared" si="4"/>
        <v/>
      </c>
      <c r="K559" s="11" t="str">
        <f>IFERROR(IF(A559&lt;&gt;"",VLOOKUP(B559,'📦 ชื่อสินค้า'!A:F,6,false),""),)</f>
        <v/>
      </c>
      <c r="L559" s="11" t="str">
        <f t="shared" si="5"/>
        <v/>
      </c>
      <c r="M559" s="13"/>
    </row>
    <row r="560">
      <c r="A560" s="15"/>
      <c r="B560" s="6"/>
      <c r="C560" s="14" t="str">
        <f>iferror(vlookup(B560,'📦 ชื่อสินค้า'!A:C,3,false),)</f>
        <v/>
      </c>
      <c r="D560" s="11" t="str">
        <f>iferror(vlookup(B560,'📦 ชื่อสินค้า'!A:D,4,false),"")</f>
        <v/>
      </c>
      <c r="E560" s="16"/>
      <c r="F560" s="8" t="str">
        <f t="shared" si="1"/>
        <v/>
      </c>
      <c r="G560" s="9" t="str">
        <f>IF(LEN(B560)&gt;0,vlookup(B560,'📊 รายงานสินค้าคงเหลือ'!A:G,6,false)*E560,)</f>
        <v/>
      </c>
      <c r="H560" s="9" t="str">
        <f t="shared" si="2"/>
        <v/>
      </c>
      <c r="I560" s="10" t="str">
        <f t="shared" si="3"/>
        <v/>
      </c>
      <c r="J560" s="11" t="str">
        <f t="shared" si="4"/>
        <v/>
      </c>
      <c r="K560" s="11" t="str">
        <f>IFERROR(IF(A560&lt;&gt;"",VLOOKUP(B560,'📦 ชื่อสินค้า'!A:F,6,false),""),)</f>
        <v/>
      </c>
      <c r="L560" s="11" t="str">
        <f t="shared" si="5"/>
        <v/>
      </c>
      <c r="M560" s="13"/>
    </row>
    <row r="561">
      <c r="A561" s="15"/>
      <c r="B561" s="6"/>
      <c r="C561" s="14" t="str">
        <f>iferror(vlookup(B561,'📦 ชื่อสินค้า'!A:C,3,false),)</f>
        <v/>
      </c>
      <c r="D561" s="11" t="str">
        <f>iferror(vlookup(B561,'📦 ชื่อสินค้า'!A:D,4,false),"")</f>
        <v/>
      </c>
      <c r="E561" s="16"/>
      <c r="F561" s="8" t="str">
        <f t="shared" si="1"/>
        <v/>
      </c>
      <c r="G561" s="9" t="str">
        <f>IF(LEN(B561)&gt;0,vlookup(B561,'📊 รายงานสินค้าคงเหลือ'!A:G,6,false)*E561,)</f>
        <v/>
      </c>
      <c r="H561" s="9" t="str">
        <f t="shared" si="2"/>
        <v/>
      </c>
      <c r="I561" s="10" t="str">
        <f t="shared" si="3"/>
        <v/>
      </c>
      <c r="J561" s="11" t="str">
        <f t="shared" si="4"/>
        <v/>
      </c>
      <c r="K561" s="11" t="str">
        <f>IFERROR(IF(A561&lt;&gt;"",VLOOKUP(B561,'📦 ชื่อสินค้า'!A:F,6,false),""),)</f>
        <v/>
      </c>
      <c r="L561" s="11" t="str">
        <f t="shared" si="5"/>
        <v/>
      </c>
      <c r="M561" s="13"/>
    </row>
    <row r="562">
      <c r="A562" s="15"/>
      <c r="B562" s="6"/>
      <c r="C562" s="14" t="str">
        <f>iferror(vlookup(B562,'📦 ชื่อสินค้า'!A:C,3,false),)</f>
        <v/>
      </c>
      <c r="D562" s="11" t="str">
        <f>iferror(vlookup(B562,'📦 ชื่อสินค้า'!A:D,4,false),"")</f>
        <v/>
      </c>
      <c r="E562" s="16"/>
      <c r="F562" s="8" t="str">
        <f t="shared" si="1"/>
        <v/>
      </c>
      <c r="G562" s="9" t="str">
        <f>IF(LEN(B562)&gt;0,vlookup(B562,'📊 รายงานสินค้าคงเหลือ'!A:G,6,false)*E562,)</f>
        <v/>
      </c>
      <c r="H562" s="9" t="str">
        <f t="shared" si="2"/>
        <v/>
      </c>
      <c r="I562" s="10" t="str">
        <f t="shared" si="3"/>
        <v/>
      </c>
      <c r="J562" s="11" t="str">
        <f t="shared" si="4"/>
        <v/>
      </c>
      <c r="K562" s="11" t="str">
        <f>IFERROR(IF(A562&lt;&gt;"",VLOOKUP(B562,'📦 ชื่อสินค้า'!A:F,6,false),""),)</f>
        <v/>
      </c>
      <c r="L562" s="11" t="str">
        <f t="shared" si="5"/>
        <v/>
      </c>
      <c r="M562" s="13"/>
    </row>
    <row r="563">
      <c r="A563" s="15"/>
      <c r="B563" s="6"/>
      <c r="C563" s="14" t="str">
        <f>iferror(vlookup(B563,'📦 ชื่อสินค้า'!A:C,3,false),)</f>
        <v/>
      </c>
      <c r="D563" s="11" t="str">
        <f>iferror(vlookup(B563,'📦 ชื่อสินค้า'!A:D,4,false),"")</f>
        <v/>
      </c>
      <c r="E563" s="16"/>
      <c r="F563" s="8" t="str">
        <f t="shared" si="1"/>
        <v/>
      </c>
      <c r="G563" s="9" t="str">
        <f>IF(LEN(B563)&gt;0,vlookup(B563,'📊 รายงานสินค้าคงเหลือ'!A:G,6,false)*E563,)</f>
        <v/>
      </c>
      <c r="H563" s="9" t="str">
        <f t="shared" si="2"/>
        <v/>
      </c>
      <c r="I563" s="10" t="str">
        <f t="shared" si="3"/>
        <v/>
      </c>
      <c r="J563" s="11" t="str">
        <f t="shared" si="4"/>
        <v/>
      </c>
      <c r="K563" s="11" t="str">
        <f>IFERROR(IF(A563&lt;&gt;"",VLOOKUP(B563,'📦 ชื่อสินค้า'!A:F,6,false),""),)</f>
        <v/>
      </c>
      <c r="L563" s="11" t="str">
        <f t="shared" si="5"/>
        <v/>
      </c>
      <c r="M563" s="13"/>
    </row>
    <row r="564">
      <c r="A564" s="15"/>
      <c r="B564" s="6"/>
      <c r="C564" s="14" t="str">
        <f>iferror(vlookup(B564,'📦 ชื่อสินค้า'!A:C,3,false),)</f>
        <v/>
      </c>
      <c r="D564" s="11" t="str">
        <f>iferror(vlookup(B564,'📦 ชื่อสินค้า'!A:D,4,false),"")</f>
        <v/>
      </c>
      <c r="E564" s="16"/>
      <c r="F564" s="8" t="str">
        <f t="shared" si="1"/>
        <v/>
      </c>
      <c r="G564" s="9" t="str">
        <f>IF(LEN(B564)&gt;0,vlookup(B564,'📊 รายงานสินค้าคงเหลือ'!A:G,6,false)*E564,)</f>
        <v/>
      </c>
      <c r="H564" s="9" t="str">
        <f t="shared" si="2"/>
        <v/>
      </c>
      <c r="I564" s="10" t="str">
        <f t="shared" si="3"/>
        <v/>
      </c>
      <c r="J564" s="11" t="str">
        <f t="shared" si="4"/>
        <v/>
      </c>
      <c r="K564" s="11" t="str">
        <f>IFERROR(IF(A564&lt;&gt;"",VLOOKUP(B564,'📦 ชื่อสินค้า'!A:F,6,false),""),)</f>
        <v/>
      </c>
      <c r="L564" s="11" t="str">
        <f t="shared" si="5"/>
        <v/>
      </c>
      <c r="M564" s="13"/>
    </row>
    <row r="565">
      <c r="A565" s="15"/>
      <c r="B565" s="6"/>
      <c r="C565" s="14" t="str">
        <f>iferror(vlookup(B565,'📦 ชื่อสินค้า'!A:C,3,false),)</f>
        <v/>
      </c>
      <c r="D565" s="11" t="str">
        <f>iferror(vlookup(B565,'📦 ชื่อสินค้า'!A:D,4,false),"")</f>
        <v/>
      </c>
      <c r="E565" s="16"/>
      <c r="F565" s="8" t="str">
        <f t="shared" si="1"/>
        <v/>
      </c>
      <c r="G565" s="9" t="str">
        <f>IF(LEN(B565)&gt;0,vlookup(B565,'📊 รายงานสินค้าคงเหลือ'!A:G,6,false)*E565,)</f>
        <v/>
      </c>
      <c r="H565" s="9" t="str">
        <f t="shared" si="2"/>
        <v/>
      </c>
      <c r="I565" s="10" t="str">
        <f t="shared" si="3"/>
        <v/>
      </c>
      <c r="J565" s="11" t="str">
        <f t="shared" si="4"/>
        <v/>
      </c>
      <c r="K565" s="11" t="str">
        <f>IFERROR(IF(A565&lt;&gt;"",VLOOKUP(B565,'📦 ชื่อสินค้า'!A:F,6,false),""),)</f>
        <v/>
      </c>
      <c r="L565" s="11" t="str">
        <f t="shared" si="5"/>
        <v/>
      </c>
      <c r="M565" s="13"/>
    </row>
    <row r="566">
      <c r="A566" s="15"/>
      <c r="B566" s="6"/>
      <c r="C566" s="14" t="str">
        <f>iferror(vlookup(B566,'📦 ชื่อสินค้า'!A:C,3,false),)</f>
        <v/>
      </c>
      <c r="D566" s="11" t="str">
        <f>iferror(vlookup(B566,'📦 ชื่อสินค้า'!A:D,4,false),"")</f>
        <v/>
      </c>
      <c r="E566" s="16"/>
      <c r="F566" s="8" t="str">
        <f t="shared" si="1"/>
        <v/>
      </c>
      <c r="G566" s="9" t="str">
        <f>IF(LEN(B566)&gt;0,vlookup(B566,'📊 รายงานสินค้าคงเหลือ'!A:G,6,false)*E566,)</f>
        <v/>
      </c>
      <c r="H566" s="9" t="str">
        <f t="shared" si="2"/>
        <v/>
      </c>
      <c r="I566" s="10" t="str">
        <f t="shared" si="3"/>
        <v/>
      </c>
      <c r="J566" s="11" t="str">
        <f t="shared" si="4"/>
        <v/>
      </c>
      <c r="K566" s="11" t="str">
        <f>IFERROR(IF(A566&lt;&gt;"",VLOOKUP(B566,'📦 ชื่อสินค้า'!A:F,6,false),""),)</f>
        <v/>
      </c>
      <c r="L566" s="11" t="str">
        <f t="shared" si="5"/>
        <v/>
      </c>
      <c r="M566" s="13"/>
    </row>
    <row r="567">
      <c r="A567" s="15"/>
      <c r="B567" s="6"/>
      <c r="C567" s="14" t="str">
        <f>iferror(vlookup(B567,'📦 ชื่อสินค้า'!A:C,3,false),)</f>
        <v/>
      </c>
      <c r="D567" s="11" t="str">
        <f>iferror(vlookup(B567,'📦 ชื่อสินค้า'!A:D,4,false),"")</f>
        <v/>
      </c>
      <c r="E567" s="16"/>
      <c r="F567" s="8" t="str">
        <f t="shared" si="1"/>
        <v/>
      </c>
      <c r="G567" s="9" t="str">
        <f>IF(LEN(B567)&gt;0,vlookup(B567,'📊 รายงานสินค้าคงเหลือ'!A:G,6,false)*E567,)</f>
        <v/>
      </c>
      <c r="H567" s="9" t="str">
        <f t="shared" si="2"/>
        <v/>
      </c>
      <c r="I567" s="10" t="str">
        <f t="shared" si="3"/>
        <v/>
      </c>
      <c r="J567" s="11" t="str">
        <f t="shared" si="4"/>
        <v/>
      </c>
      <c r="K567" s="11" t="str">
        <f>IFERROR(IF(A567&lt;&gt;"",VLOOKUP(B567,'📦 ชื่อสินค้า'!A:F,6,false),""),)</f>
        <v/>
      </c>
      <c r="L567" s="11" t="str">
        <f t="shared" si="5"/>
        <v/>
      </c>
      <c r="M567" s="13"/>
    </row>
    <row r="568">
      <c r="A568" s="15"/>
      <c r="B568" s="6"/>
      <c r="C568" s="14" t="str">
        <f>iferror(vlookup(B568,'📦 ชื่อสินค้า'!A:C,3,false),)</f>
        <v/>
      </c>
      <c r="D568" s="11" t="str">
        <f>iferror(vlookup(B568,'📦 ชื่อสินค้า'!A:D,4,false),"")</f>
        <v/>
      </c>
      <c r="E568" s="16"/>
      <c r="F568" s="8" t="str">
        <f t="shared" si="1"/>
        <v/>
      </c>
      <c r="G568" s="9" t="str">
        <f>IF(LEN(B568)&gt;0,vlookup(B568,'📊 รายงานสินค้าคงเหลือ'!A:G,6,false)*E568,)</f>
        <v/>
      </c>
      <c r="H568" s="9" t="str">
        <f t="shared" si="2"/>
        <v/>
      </c>
      <c r="I568" s="10" t="str">
        <f t="shared" si="3"/>
        <v/>
      </c>
      <c r="J568" s="11" t="str">
        <f t="shared" si="4"/>
        <v/>
      </c>
      <c r="K568" s="11" t="str">
        <f>IFERROR(IF(A568&lt;&gt;"",VLOOKUP(B568,'📦 ชื่อสินค้า'!A:F,6,false),""),)</f>
        <v/>
      </c>
      <c r="L568" s="11" t="str">
        <f t="shared" si="5"/>
        <v/>
      </c>
      <c r="M568" s="13"/>
    </row>
    <row r="569">
      <c r="A569" s="15"/>
      <c r="B569" s="6"/>
      <c r="C569" s="14" t="str">
        <f>iferror(vlookup(B569,'📦 ชื่อสินค้า'!A:C,3,false),)</f>
        <v/>
      </c>
      <c r="D569" s="11" t="str">
        <f>iferror(vlookup(B569,'📦 ชื่อสินค้า'!A:D,4,false),"")</f>
        <v/>
      </c>
      <c r="E569" s="16"/>
      <c r="F569" s="8" t="str">
        <f t="shared" si="1"/>
        <v/>
      </c>
      <c r="G569" s="9" t="str">
        <f>IF(LEN(B569)&gt;0,vlookup(B569,'📊 รายงานสินค้าคงเหลือ'!A:G,6,false)*E569,)</f>
        <v/>
      </c>
      <c r="H569" s="9" t="str">
        <f t="shared" si="2"/>
        <v/>
      </c>
      <c r="I569" s="10" t="str">
        <f t="shared" si="3"/>
        <v/>
      </c>
      <c r="J569" s="11" t="str">
        <f t="shared" si="4"/>
        <v/>
      </c>
      <c r="K569" s="11" t="str">
        <f>IFERROR(IF(A569&lt;&gt;"",VLOOKUP(B569,'📦 ชื่อสินค้า'!A:F,6,false),""),)</f>
        <v/>
      </c>
      <c r="L569" s="11" t="str">
        <f t="shared" si="5"/>
        <v/>
      </c>
      <c r="M569" s="13"/>
    </row>
    <row r="570">
      <c r="A570" s="15"/>
      <c r="B570" s="6"/>
      <c r="C570" s="14" t="str">
        <f>iferror(vlookup(B570,'📦 ชื่อสินค้า'!A:C,3,false),)</f>
        <v/>
      </c>
      <c r="D570" s="11" t="str">
        <f>iferror(vlookup(B570,'📦 ชื่อสินค้า'!A:D,4,false),"")</f>
        <v/>
      </c>
      <c r="E570" s="16"/>
      <c r="F570" s="8" t="str">
        <f t="shared" si="1"/>
        <v/>
      </c>
      <c r="G570" s="9" t="str">
        <f>IF(LEN(B570)&gt;0,vlookup(B570,'📊 รายงานสินค้าคงเหลือ'!A:G,6,false)*E570,)</f>
        <v/>
      </c>
      <c r="H570" s="9" t="str">
        <f t="shared" si="2"/>
        <v/>
      </c>
      <c r="I570" s="10" t="str">
        <f t="shared" si="3"/>
        <v/>
      </c>
      <c r="J570" s="11" t="str">
        <f t="shared" si="4"/>
        <v/>
      </c>
      <c r="K570" s="11" t="str">
        <f>IFERROR(IF(A570&lt;&gt;"",VLOOKUP(B570,'📦 ชื่อสินค้า'!A:F,6,false),""),)</f>
        <v/>
      </c>
      <c r="L570" s="11" t="str">
        <f t="shared" si="5"/>
        <v/>
      </c>
      <c r="M570" s="13"/>
    </row>
    <row r="571">
      <c r="A571" s="15"/>
      <c r="B571" s="6"/>
      <c r="C571" s="14" t="str">
        <f>iferror(vlookup(B571,'📦 ชื่อสินค้า'!A:C,3,false),)</f>
        <v/>
      </c>
      <c r="D571" s="11" t="str">
        <f>iferror(vlookup(B571,'📦 ชื่อสินค้า'!A:D,4,false),"")</f>
        <v/>
      </c>
      <c r="E571" s="16"/>
      <c r="F571" s="8" t="str">
        <f t="shared" si="1"/>
        <v/>
      </c>
      <c r="G571" s="9" t="str">
        <f>IF(LEN(B571)&gt;0,vlookup(B571,'📊 รายงานสินค้าคงเหลือ'!A:G,6,false)*E571,)</f>
        <v/>
      </c>
      <c r="H571" s="9" t="str">
        <f t="shared" si="2"/>
        <v/>
      </c>
      <c r="I571" s="10" t="str">
        <f t="shared" si="3"/>
        <v/>
      </c>
      <c r="J571" s="11" t="str">
        <f t="shared" si="4"/>
        <v/>
      </c>
      <c r="K571" s="11" t="str">
        <f>IFERROR(IF(A571&lt;&gt;"",VLOOKUP(B571,'📦 ชื่อสินค้า'!A:F,6,false),""),)</f>
        <v/>
      </c>
      <c r="L571" s="11" t="str">
        <f t="shared" si="5"/>
        <v/>
      </c>
      <c r="M571" s="13"/>
    </row>
    <row r="572">
      <c r="A572" s="15"/>
      <c r="B572" s="6"/>
      <c r="C572" s="14" t="str">
        <f>iferror(vlookup(B572,'📦 ชื่อสินค้า'!A:C,3,false),)</f>
        <v/>
      </c>
      <c r="D572" s="11" t="str">
        <f>iferror(vlookup(B572,'📦 ชื่อสินค้า'!A:D,4,false),"")</f>
        <v/>
      </c>
      <c r="E572" s="16"/>
      <c r="F572" s="8" t="str">
        <f t="shared" si="1"/>
        <v/>
      </c>
      <c r="G572" s="9" t="str">
        <f>IF(LEN(B572)&gt;0,vlookup(B572,'📊 รายงานสินค้าคงเหลือ'!A:G,6,false)*E572,)</f>
        <v/>
      </c>
      <c r="H572" s="9" t="str">
        <f t="shared" si="2"/>
        <v/>
      </c>
      <c r="I572" s="10" t="str">
        <f t="shared" si="3"/>
        <v/>
      </c>
      <c r="J572" s="11" t="str">
        <f t="shared" si="4"/>
        <v/>
      </c>
      <c r="K572" s="11" t="str">
        <f>IFERROR(IF(A572&lt;&gt;"",VLOOKUP(B572,'📦 ชื่อสินค้า'!A:F,6,false),""),)</f>
        <v/>
      </c>
      <c r="L572" s="11" t="str">
        <f t="shared" si="5"/>
        <v/>
      </c>
      <c r="M572" s="13"/>
    </row>
    <row r="573">
      <c r="A573" s="15"/>
      <c r="B573" s="6"/>
      <c r="C573" s="14" t="str">
        <f>iferror(vlookup(B573,'📦 ชื่อสินค้า'!A:C,3,false),)</f>
        <v/>
      </c>
      <c r="D573" s="11" t="str">
        <f>iferror(vlookup(B573,'📦 ชื่อสินค้า'!A:D,4,false),"")</f>
        <v/>
      </c>
      <c r="E573" s="16"/>
      <c r="F573" s="8" t="str">
        <f t="shared" si="1"/>
        <v/>
      </c>
      <c r="G573" s="9" t="str">
        <f>IF(LEN(B573)&gt;0,vlookup(B573,'📊 รายงานสินค้าคงเหลือ'!A:G,6,false)*E573,)</f>
        <v/>
      </c>
      <c r="H573" s="9" t="str">
        <f t="shared" si="2"/>
        <v/>
      </c>
      <c r="I573" s="10" t="str">
        <f t="shared" si="3"/>
        <v/>
      </c>
      <c r="J573" s="11" t="str">
        <f t="shared" si="4"/>
        <v/>
      </c>
      <c r="K573" s="11" t="str">
        <f>IFERROR(IF(A573&lt;&gt;"",VLOOKUP(B573,'📦 ชื่อสินค้า'!A:F,6,false),""),)</f>
        <v/>
      </c>
      <c r="L573" s="11" t="str">
        <f t="shared" si="5"/>
        <v/>
      </c>
      <c r="M573" s="13"/>
    </row>
    <row r="574">
      <c r="A574" s="15"/>
      <c r="B574" s="6"/>
      <c r="C574" s="14" t="str">
        <f>iferror(vlookup(B574,'📦 ชื่อสินค้า'!A:C,3,false),)</f>
        <v/>
      </c>
      <c r="D574" s="11" t="str">
        <f>iferror(vlookup(B574,'📦 ชื่อสินค้า'!A:D,4,false),"")</f>
        <v/>
      </c>
      <c r="E574" s="16"/>
      <c r="F574" s="8" t="str">
        <f t="shared" si="1"/>
        <v/>
      </c>
      <c r="G574" s="9" t="str">
        <f>IF(LEN(B574)&gt;0,vlookup(B574,'📊 รายงานสินค้าคงเหลือ'!A:G,6,false)*E574,)</f>
        <v/>
      </c>
      <c r="H574" s="9" t="str">
        <f t="shared" si="2"/>
        <v/>
      </c>
      <c r="I574" s="10" t="str">
        <f t="shared" si="3"/>
        <v/>
      </c>
      <c r="J574" s="11" t="str">
        <f t="shared" si="4"/>
        <v/>
      </c>
      <c r="K574" s="11" t="str">
        <f>IFERROR(IF(A574&lt;&gt;"",VLOOKUP(B574,'📦 ชื่อสินค้า'!A:F,6,false),""),)</f>
        <v/>
      </c>
      <c r="L574" s="11" t="str">
        <f t="shared" si="5"/>
        <v/>
      </c>
      <c r="M574" s="13"/>
    </row>
    <row r="575">
      <c r="A575" s="15"/>
      <c r="B575" s="6"/>
      <c r="C575" s="14" t="str">
        <f>iferror(vlookup(B575,'📦 ชื่อสินค้า'!A:C,3,false),)</f>
        <v/>
      </c>
      <c r="D575" s="11" t="str">
        <f>iferror(vlookup(B575,'📦 ชื่อสินค้า'!A:D,4,false),"")</f>
        <v/>
      </c>
      <c r="E575" s="16"/>
      <c r="F575" s="8" t="str">
        <f t="shared" si="1"/>
        <v/>
      </c>
      <c r="G575" s="9" t="str">
        <f>IF(LEN(B575)&gt;0,vlookup(B575,'📊 รายงานสินค้าคงเหลือ'!A:G,6,false)*E575,)</f>
        <v/>
      </c>
      <c r="H575" s="9" t="str">
        <f t="shared" si="2"/>
        <v/>
      </c>
      <c r="I575" s="10" t="str">
        <f t="shared" si="3"/>
        <v/>
      </c>
      <c r="J575" s="11" t="str">
        <f t="shared" si="4"/>
        <v/>
      </c>
      <c r="K575" s="11" t="str">
        <f>IFERROR(IF(A575&lt;&gt;"",VLOOKUP(B575,'📦 ชื่อสินค้า'!A:F,6,false),""),)</f>
        <v/>
      </c>
      <c r="L575" s="11" t="str">
        <f t="shared" si="5"/>
        <v/>
      </c>
      <c r="M575" s="13"/>
    </row>
    <row r="576">
      <c r="A576" s="15"/>
      <c r="B576" s="6"/>
      <c r="C576" s="14" t="str">
        <f>iferror(vlookup(B576,'📦 ชื่อสินค้า'!A:C,3,false),)</f>
        <v/>
      </c>
      <c r="D576" s="11" t="str">
        <f>iferror(vlookup(B576,'📦 ชื่อสินค้า'!A:D,4,false),"")</f>
        <v/>
      </c>
      <c r="E576" s="16"/>
      <c r="F576" s="8" t="str">
        <f t="shared" si="1"/>
        <v/>
      </c>
      <c r="G576" s="9" t="str">
        <f>IF(LEN(B576)&gt;0,vlookup(B576,'📊 รายงานสินค้าคงเหลือ'!A:G,6,false)*E576,)</f>
        <v/>
      </c>
      <c r="H576" s="9" t="str">
        <f t="shared" si="2"/>
        <v/>
      </c>
      <c r="I576" s="10" t="str">
        <f t="shared" si="3"/>
        <v/>
      </c>
      <c r="J576" s="11" t="str">
        <f t="shared" si="4"/>
        <v/>
      </c>
      <c r="K576" s="11" t="str">
        <f>IFERROR(IF(A576&lt;&gt;"",VLOOKUP(B576,'📦 ชื่อสินค้า'!A:F,6,false),""),)</f>
        <v/>
      </c>
      <c r="L576" s="11" t="str">
        <f t="shared" si="5"/>
        <v/>
      </c>
      <c r="M576" s="13"/>
    </row>
    <row r="577">
      <c r="A577" s="15"/>
      <c r="B577" s="6"/>
      <c r="C577" s="14" t="str">
        <f>iferror(vlookup(B577,'📦 ชื่อสินค้า'!A:C,3,false),)</f>
        <v/>
      </c>
      <c r="D577" s="11" t="str">
        <f>iferror(vlookup(B577,'📦 ชื่อสินค้า'!A:D,4,false),"")</f>
        <v/>
      </c>
      <c r="E577" s="16"/>
      <c r="F577" s="8" t="str">
        <f t="shared" si="1"/>
        <v/>
      </c>
      <c r="G577" s="9" t="str">
        <f>IF(LEN(B577)&gt;0,vlookup(B577,'📊 รายงานสินค้าคงเหลือ'!A:G,6,false)*E577,)</f>
        <v/>
      </c>
      <c r="H577" s="9" t="str">
        <f t="shared" si="2"/>
        <v/>
      </c>
      <c r="I577" s="10" t="str">
        <f t="shared" si="3"/>
        <v/>
      </c>
      <c r="J577" s="11" t="str">
        <f t="shared" si="4"/>
        <v/>
      </c>
      <c r="K577" s="11" t="str">
        <f>IFERROR(IF(A577&lt;&gt;"",VLOOKUP(B577,'📦 ชื่อสินค้า'!A:F,6,false),""),)</f>
        <v/>
      </c>
      <c r="L577" s="11" t="str">
        <f t="shared" si="5"/>
        <v/>
      </c>
      <c r="M577" s="13"/>
    </row>
    <row r="578">
      <c r="A578" s="15"/>
      <c r="B578" s="6"/>
      <c r="C578" s="14" t="str">
        <f>iferror(vlookup(B578,'📦 ชื่อสินค้า'!A:C,3,false),)</f>
        <v/>
      </c>
      <c r="D578" s="11" t="str">
        <f>iferror(vlookup(B578,'📦 ชื่อสินค้า'!A:D,4,false),"")</f>
        <v/>
      </c>
      <c r="E578" s="16"/>
      <c r="F578" s="8" t="str">
        <f t="shared" si="1"/>
        <v/>
      </c>
      <c r="G578" s="9" t="str">
        <f>IF(LEN(B578)&gt;0,vlookup(B578,'📊 รายงานสินค้าคงเหลือ'!A:G,6,false)*E578,)</f>
        <v/>
      </c>
      <c r="H578" s="9" t="str">
        <f t="shared" si="2"/>
        <v/>
      </c>
      <c r="I578" s="10" t="str">
        <f t="shared" si="3"/>
        <v/>
      </c>
      <c r="J578" s="11" t="str">
        <f t="shared" si="4"/>
        <v/>
      </c>
      <c r="K578" s="11" t="str">
        <f>IFERROR(IF(A578&lt;&gt;"",VLOOKUP(B578,'📦 ชื่อสินค้า'!A:F,6,false),""),)</f>
        <v/>
      </c>
      <c r="L578" s="11" t="str">
        <f t="shared" si="5"/>
        <v/>
      </c>
      <c r="M578" s="13"/>
    </row>
    <row r="579">
      <c r="A579" s="15"/>
      <c r="B579" s="6"/>
      <c r="C579" s="14" t="str">
        <f>iferror(vlookup(B579,'📦 ชื่อสินค้า'!A:C,3,false),)</f>
        <v/>
      </c>
      <c r="D579" s="11" t="str">
        <f>iferror(vlookup(B579,'📦 ชื่อสินค้า'!A:D,4,false),"")</f>
        <v/>
      </c>
      <c r="E579" s="16"/>
      <c r="F579" s="8" t="str">
        <f t="shared" si="1"/>
        <v/>
      </c>
      <c r="G579" s="9" t="str">
        <f>IF(LEN(B579)&gt;0,vlookup(B579,'📊 รายงานสินค้าคงเหลือ'!A:G,6,false)*E579,)</f>
        <v/>
      </c>
      <c r="H579" s="9" t="str">
        <f t="shared" si="2"/>
        <v/>
      </c>
      <c r="I579" s="10" t="str">
        <f t="shared" si="3"/>
        <v/>
      </c>
      <c r="J579" s="11" t="str">
        <f t="shared" si="4"/>
        <v/>
      </c>
      <c r="K579" s="11" t="str">
        <f>IFERROR(IF(A579&lt;&gt;"",VLOOKUP(B579,'📦 ชื่อสินค้า'!A:F,6,false),""),)</f>
        <v/>
      </c>
      <c r="L579" s="11" t="str">
        <f t="shared" si="5"/>
        <v/>
      </c>
      <c r="M579" s="13"/>
    </row>
    <row r="580">
      <c r="A580" s="15"/>
      <c r="B580" s="6"/>
      <c r="C580" s="14" t="str">
        <f>iferror(vlookup(B580,'📦 ชื่อสินค้า'!A:C,3,false),)</f>
        <v/>
      </c>
      <c r="D580" s="11" t="str">
        <f>iferror(vlookup(B580,'📦 ชื่อสินค้า'!A:D,4,false),"")</f>
        <v/>
      </c>
      <c r="E580" s="16"/>
      <c r="F580" s="8" t="str">
        <f t="shared" si="1"/>
        <v/>
      </c>
      <c r="G580" s="9" t="str">
        <f>IF(LEN(B580)&gt;0,vlookup(B580,'📊 รายงานสินค้าคงเหลือ'!A:G,6,false)*E580,)</f>
        <v/>
      </c>
      <c r="H580" s="9" t="str">
        <f t="shared" si="2"/>
        <v/>
      </c>
      <c r="I580" s="10" t="str">
        <f t="shared" si="3"/>
        <v/>
      </c>
      <c r="J580" s="11" t="str">
        <f t="shared" si="4"/>
        <v/>
      </c>
      <c r="K580" s="11" t="str">
        <f>IFERROR(IF(A580&lt;&gt;"",VLOOKUP(B580,'📦 ชื่อสินค้า'!A:F,6,false),""),)</f>
        <v/>
      </c>
      <c r="L580" s="11" t="str">
        <f t="shared" si="5"/>
        <v/>
      </c>
      <c r="M580" s="13"/>
    </row>
    <row r="581">
      <c r="A581" s="15"/>
      <c r="B581" s="6"/>
      <c r="C581" s="14" t="str">
        <f>iferror(vlookup(B581,'📦 ชื่อสินค้า'!A:C,3,false),)</f>
        <v/>
      </c>
      <c r="D581" s="11" t="str">
        <f>iferror(vlookup(B581,'📦 ชื่อสินค้า'!A:D,4,false),"")</f>
        <v/>
      </c>
      <c r="E581" s="16"/>
      <c r="F581" s="8" t="str">
        <f t="shared" si="1"/>
        <v/>
      </c>
      <c r="G581" s="9" t="str">
        <f>IF(LEN(B581)&gt;0,vlookup(B581,'📊 รายงานสินค้าคงเหลือ'!A:G,6,false)*E581,)</f>
        <v/>
      </c>
      <c r="H581" s="9" t="str">
        <f t="shared" si="2"/>
        <v/>
      </c>
      <c r="I581" s="10" t="str">
        <f t="shared" si="3"/>
        <v/>
      </c>
      <c r="J581" s="11" t="str">
        <f t="shared" si="4"/>
        <v/>
      </c>
      <c r="K581" s="11" t="str">
        <f>IFERROR(IF(A581&lt;&gt;"",VLOOKUP(B581,'📦 ชื่อสินค้า'!A:F,6,false),""),)</f>
        <v/>
      </c>
      <c r="L581" s="11" t="str">
        <f t="shared" si="5"/>
        <v/>
      </c>
      <c r="M581" s="13"/>
    </row>
    <row r="582">
      <c r="A582" s="15"/>
      <c r="B582" s="6"/>
      <c r="C582" s="14" t="str">
        <f>iferror(vlookup(B582,'📦 ชื่อสินค้า'!A:C,3,false),)</f>
        <v/>
      </c>
      <c r="D582" s="11" t="str">
        <f>iferror(vlookup(B582,'📦 ชื่อสินค้า'!A:D,4,false),"")</f>
        <v/>
      </c>
      <c r="E582" s="16"/>
      <c r="F582" s="8" t="str">
        <f t="shared" si="1"/>
        <v/>
      </c>
      <c r="G582" s="9" t="str">
        <f>IF(LEN(B582)&gt;0,vlookup(B582,'📊 รายงานสินค้าคงเหลือ'!A:G,6,false)*E582,)</f>
        <v/>
      </c>
      <c r="H582" s="9" t="str">
        <f t="shared" si="2"/>
        <v/>
      </c>
      <c r="I582" s="10" t="str">
        <f t="shared" si="3"/>
        <v/>
      </c>
      <c r="J582" s="11" t="str">
        <f t="shared" si="4"/>
        <v/>
      </c>
      <c r="K582" s="11" t="str">
        <f>IFERROR(IF(A582&lt;&gt;"",VLOOKUP(B582,'📦 ชื่อสินค้า'!A:F,6,false),""),)</f>
        <v/>
      </c>
      <c r="L582" s="11" t="str">
        <f t="shared" si="5"/>
        <v/>
      </c>
      <c r="M582" s="13"/>
    </row>
    <row r="583">
      <c r="A583" s="15"/>
      <c r="B583" s="6"/>
      <c r="C583" s="14" t="str">
        <f>iferror(vlookup(B583,'📦 ชื่อสินค้า'!A:C,3,false),)</f>
        <v/>
      </c>
      <c r="D583" s="11" t="str">
        <f>iferror(vlookup(B583,'📦 ชื่อสินค้า'!A:D,4,false),"")</f>
        <v/>
      </c>
      <c r="E583" s="16"/>
      <c r="F583" s="8" t="str">
        <f t="shared" si="1"/>
        <v/>
      </c>
      <c r="G583" s="9" t="str">
        <f>IF(LEN(B583)&gt;0,vlookup(B583,'📊 รายงานสินค้าคงเหลือ'!A:G,6,false)*E583,)</f>
        <v/>
      </c>
      <c r="H583" s="9" t="str">
        <f t="shared" si="2"/>
        <v/>
      </c>
      <c r="I583" s="10" t="str">
        <f t="shared" si="3"/>
        <v/>
      </c>
      <c r="J583" s="11" t="str">
        <f t="shared" si="4"/>
        <v/>
      </c>
      <c r="K583" s="11" t="str">
        <f>IFERROR(IF(A583&lt;&gt;"",VLOOKUP(B583,'📦 ชื่อสินค้า'!A:F,6,false),""),)</f>
        <v/>
      </c>
      <c r="L583" s="11" t="str">
        <f t="shared" si="5"/>
        <v/>
      </c>
      <c r="M583" s="13"/>
    </row>
    <row r="584">
      <c r="A584" s="15"/>
      <c r="B584" s="6"/>
      <c r="C584" s="14" t="str">
        <f>iferror(vlookup(B584,'📦 ชื่อสินค้า'!A:C,3,false),)</f>
        <v/>
      </c>
      <c r="D584" s="11" t="str">
        <f>iferror(vlookup(B584,'📦 ชื่อสินค้า'!A:D,4,false),"")</f>
        <v/>
      </c>
      <c r="E584" s="16"/>
      <c r="F584" s="8" t="str">
        <f t="shared" si="1"/>
        <v/>
      </c>
      <c r="G584" s="9" t="str">
        <f>IF(LEN(B584)&gt;0,vlookup(B584,'📊 รายงานสินค้าคงเหลือ'!A:G,6,false)*E584,)</f>
        <v/>
      </c>
      <c r="H584" s="9" t="str">
        <f t="shared" si="2"/>
        <v/>
      </c>
      <c r="I584" s="10" t="str">
        <f t="shared" si="3"/>
        <v/>
      </c>
      <c r="J584" s="11" t="str">
        <f t="shared" si="4"/>
        <v/>
      </c>
      <c r="K584" s="11" t="str">
        <f>IFERROR(IF(A584&lt;&gt;"",VLOOKUP(B584,'📦 ชื่อสินค้า'!A:F,6,false),""),)</f>
        <v/>
      </c>
      <c r="L584" s="11" t="str">
        <f t="shared" si="5"/>
        <v/>
      </c>
      <c r="M584" s="13"/>
    </row>
    <row r="585">
      <c r="A585" s="15"/>
      <c r="B585" s="6"/>
      <c r="C585" s="14" t="str">
        <f>iferror(vlookup(B585,'📦 ชื่อสินค้า'!A:C,3,false),)</f>
        <v/>
      </c>
      <c r="D585" s="11" t="str">
        <f>iferror(vlookup(B585,'📦 ชื่อสินค้า'!A:D,4,false),"")</f>
        <v/>
      </c>
      <c r="E585" s="16"/>
      <c r="F585" s="8" t="str">
        <f t="shared" si="1"/>
        <v/>
      </c>
      <c r="G585" s="9" t="str">
        <f>IF(LEN(B585)&gt;0,vlookup(B585,'📊 รายงานสินค้าคงเหลือ'!A:G,6,false)*E585,)</f>
        <v/>
      </c>
      <c r="H585" s="9" t="str">
        <f t="shared" si="2"/>
        <v/>
      </c>
      <c r="I585" s="10" t="str">
        <f t="shared" si="3"/>
        <v/>
      </c>
      <c r="J585" s="11" t="str">
        <f t="shared" si="4"/>
        <v/>
      </c>
      <c r="K585" s="11" t="str">
        <f>IFERROR(IF(A585&lt;&gt;"",VLOOKUP(B585,'📦 ชื่อสินค้า'!A:F,6,false),""),)</f>
        <v/>
      </c>
      <c r="L585" s="11" t="str">
        <f t="shared" si="5"/>
        <v/>
      </c>
      <c r="M585" s="13"/>
    </row>
    <row r="586">
      <c r="A586" s="15"/>
      <c r="B586" s="6"/>
      <c r="C586" s="14" t="str">
        <f>iferror(vlookup(B586,'📦 ชื่อสินค้า'!A:C,3,false),)</f>
        <v/>
      </c>
      <c r="D586" s="11" t="str">
        <f>iferror(vlookup(B586,'📦 ชื่อสินค้า'!A:D,4,false),"")</f>
        <v/>
      </c>
      <c r="E586" s="16"/>
      <c r="F586" s="8" t="str">
        <f t="shared" si="1"/>
        <v/>
      </c>
      <c r="G586" s="9" t="str">
        <f>IF(LEN(B586)&gt;0,vlookup(B586,'📊 รายงานสินค้าคงเหลือ'!A:G,6,false)*E586,)</f>
        <v/>
      </c>
      <c r="H586" s="9" t="str">
        <f t="shared" si="2"/>
        <v/>
      </c>
      <c r="I586" s="10" t="str">
        <f t="shared" si="3"/>
        <v/>
      </c>
      <c r="J586" s="11" t="str">
        <f t="shared" si="4"/>
        <v/>
      </c>
      <c r="K586" s="11" t="str">
        <f>IFERROR(IF(A586&lt;&gt;"",VLOOKUP(B586,'📦 ชื่อสินค้า'!A:F,6,false),""),)</f>
        <v/>
      </c>
      <c r="L586" s="11" t="str">
        <f t="shared" si="5"/>
        <v/>
      </c>
      <c r="M586" s="13"/>
    </row>
    <row r="587">
      <c r="A587" s="15"/>
      <c r="B587" s="6"/>
      <c r="C587" s="14" t="str">
        <f>iferror(vlookup(B587,'📦 ชื่อสินค้า'!A:C,3,false),)</f>
        <v/>
      </c>
      <c r="D587" s="11" t="str">
        <f>iferror(vlookup(B587,'📦 ชื่อสินค้า'!A:D,4,false),"")</f>
        <v/>
      </c>
      <c r="E587" s="16"/>
      <c r="F587" s="8" t="str">
        <f t="shared" si="1"/>
        <v/>
      </c>
      <c r="G587" s="9" t="str">
        <f>IF(LEN(B587)&gt;0,vlookup(B587,'📊 รายงานสินค้าคงเหลือ'!A:G,6,false)*E587,)</f>
        <v/>
      </c>
      <c r="H587" s="9" t="str">
        <f t="shared" si="2"/>
        <v/>
      </c>
      <c r="I587" s="10" t="str">
        <f t="shared" si="3"/>
        <v/>
      </c>
      <c r="J587" s="11" t="str">
        <f t="shared" si="4"/>
        <v/>
      </c>
      <c r="K587" s="11" t="str">
        <f>IFERROR(IF(A587&lt;&gt;"",VLOOKUP(B587,'📦 ชื่อสินค้า'!A:F,6,false),""),)</f>
        <v/>
      </c>
      <c r="L587" s="11" t="str">
        <f t="shared" si="5"/>
        <v/>
      </c>
      <c r="M587" s="13"/>
    </row>
    <row r="588">
      <c r="A588" s="15"/>
      <c r="B588" s="6"/>
      <c r="C588" s="14" t="str">
        <f>iferror(vlookup(B588,'📦 ชื่อสินค้า'!A:C,3,false),)</f>
        <v/>
      </c>
      <c r="D588" s="11" t="str">
        <f>iferror(vlookup(B588,'📦 ชื่อสินค้า'!A:D,4,false),"")</f>
        <v/>
      </c>
      <c r="E588" s="16"/>
      <c r="F588" s="8" t="str">
        <f t="shared" si="1"/>
        <v/>
      </c>
      <c r="G588" s="9" t="str">
        <f>IF(LEN(B588)&gt;0,vlookup(B588,'📊 รายงานสินค้าคงเหลือ'!A:G,6,false)*E588,)</f>
        <v/>
      </c>
      <c r="H588" s="9" t="str">
        <f t="shared" si="2"/>
        <v/>
      </c>
      <c r="I588" s="10" t="str">
        <f t="shared" si="3"/>
        <v/>
      </c>
      <c r="J588" s="11" t="str">
        <f t="shared" si="4"/>
        <v/>
      </c>
      <c r="K588" s="11" t="str">
        <f>IFERROR(IF(A588&lt;&gt;"",VLOOKUP(B588,'📦 ชื่อสินค้า'!A:F,6,false),""),)</f>
        <v/>
      </c>
      <c r="L588" s="11" t="str">
        <f t="shared" si="5"/>
        <v/>
      </c>
      <c r="M588" s="13"/>
    </row>
    <row r="589">
      <c r="A589" s="15"/>
      <c r="B589" s="6"/>
      <c r="C589" s="14" t="str">
        <f>iferror(vlookup(B589,'📦 ชื่อสินค้า'!A:C,3,false),)</f>
        <v/>
      </c>
      <c r="D589" s="11" t="str">
        <f>iferror(vlookup(B589,'📦 ชื่อสินค้า'!A:D,4,false),"")</f>
        <v/>
      </c>
      <c r="E589" s="16"/>
      <c r="F589" s="8" t="str">
        <f t="shared" si="1"/>
        <v/>
      </c>
      <c r="G589" s="9" t="str">
        <f>IF(LEN(B589)&gt;0,vlookup(B589,'📊 รายงานสินค้าคงเหลือ'!A:G,6,false)*E589,)</f>
        <v/>
      </c>
      <c r="H589" s="9" t="str">
        <f t="shared" si="2"/>
        <v/>
      </c>
      <c r="I589" s="10" t="str">
        <f t="shared" si="3"/>
        <v/>
      </c>
      <c r="J589" s="11" t="str">
        <f t="shared" si="4"/>
        <v/>
      </c>
      <c r="K589" s="11" t="str">
        <f>IFERROR(IF(A589&lt;&gt;"",VLOOKUP(B589,'📦 ชื่อสินค้า'!A:F,6,false),""),)</f>
        <v/>
      </c>
      <c r="L589" s="11" t="str">
        <f t="shared" si="5"/>
        <v/>
      </c>
      <c r="M589" s="13"/>
    </row>
    <row r="590">
      <c r="A590" s="15"/>
      <c r="B590" s="6"/>
      <c r="C590" s="14" t="str">
        <f>iferror(vlookup(B590,'📦 ชื่อสินค้า'!A:C,3,false),)</f>
        <v/>
      </c>
      <c r="D590" s="11" t="str">
        <f>iferror(vlookup(B590,'📦 ชื่อสินค้า'!A:D,4,false),"")</f>
        <v/>
      </c>
      <c r="E590" s="16"/>
      <c r="F590" s="8" t="str">
        <f t="shared" si="1"/>
        <v/>
      </c>
      <c r="G590" s="9" t="str">
        <f>IF(LEN(B590)&gt;0,vlookup(B590,'📊 รายงานสินค้าคงเหลือ'!A:G,6,false)*E590,)</f>
        <v/>
      </c>
      <c r="H590" s="9" t="str">
        <f t="shared" si="2"/>
        <v/>
      </c>
      <c r="I590" s="10" t="str">
        <f t="shared" si="3"/>
        <v/>
      </c>
      <c r="J590" s="11" t="str">
        <f t="shared" si="4"/>
        <v/>
      </c>
      <c r="K590" s="11" t="str">
        <f>IFERROR(IF(A590&lt;&gt;"",VLOOKUP(B590,'📦 ชื่อสินค้า'!A:F,6,false),""),)</f>
        <v/>
      </c>
      <c r="L590" s="11" t="str">
        <f t="shared" si="5"/>
        <v/>
      </c>
      <c r="M590" s="13"/>
    </row>
    <row r="591">
      <c r="A591" s="15"/>
      <c r="B591" s="6"/>
      <c r="C591" s="14" t="str">
        <f>iferror(vlookup(B591,'📦 ชื่อสินค้า'!A:C,3,false),)</f>
        <v/>
      </c>
      <c r="D591" s="11" t="str">
        <f>iferror(vlookup(B591,'📦 ชื่อสินค้า'!A:D,4,false),"")</f>
        <v/>
      </c>
      <c r="E591" s="16"/>
      <c r="F591" s="8" t="str">
        <f t="shared" si="1"/>
        <v/>
      </c>
      <c r="G591" s="9" t="str">
        <f>IF(LEN(B591)&gt;0,vlookup(B591,'📊 รายงานสินค้าคงเหลือ'!A:G,6,false)*E591,)</f>
        <v/>
      </c>
      <c r="H591" s="9" t="str">
        <f t="shared" si="2"/>
        <v/>
      </c>
      <c r="I591" s="10" t="str">
        <f t="shared" si="3"/>
        <v/>
      </c>
      <c r="J591" s="11" t="str">
        <f t="shared" si="4"/>
        <v/>
      </c>
      <c r="K591" s="11" t="str">
        <f>IFERROR(IF(A591&lt;&gt;"",VLOOKUP(B591,'📦 ชื่อสินค้า'!A:F,6,false),""),)</f>
        <v/>
      </c>
      <c r="L591" s="11" t="str">
        <f t="shared" si="5"/>
        <v/>
      </c>
      <c r="M591" s="13"/>
    </row>
    <row r="592">
      <c r="A592" s="15"/>
      <c r="B592" s="6"/>
      <c r="C592" s="14" t="str">
        <f>iferror(vlookup(B592,'📦 ชื่อสินค้า'!A:C,3,false),)</f>
        <v/>
      </c>
      <c r="D592" s="11" t="str">
        <f>iferror(vlookup(B592,'📦 ชื่อสินค้า'!A:D,4,false),"")</f>
        <v/>
      </c>
      <c r="E592" s="16"/>
      <c r="F592" s="8" t="str">
        <f t="shared" si="1"/>
        <v/>
      </c>
      <c r="G592" s="9" t="str">
        <f>IF(LEN(B592)&gt;0,vlookup(B592,'📊 รายงานสินค้าคงเหลือ'!A:G,6,false)*E592,)</f>
        <v/>
      </c>
      <c r="H592" s="9" t="str">
        <f t="shared" si="2"/>
        <v/>
      </c>
      <c r="I592" s="10" t="str">
        <f t="shared" si="3"/>
        <v/>
      </c>
      <c r="J592" s="11" t="str">
        <f t="shared" si="4"/>
        <v/>
      </c>
      <c r="K592" s="11" t="str">
        <f>IFERROR(IF(A592&lt;&gt;"",VLOOKUP(B592,'📦 ชื่อสินค้า'!A:F,6,false),""),)</f>
        <v/>
      </c>
      <c r="L592" s="11" t="str">
        <f t="shared" si="5"/>
        <v/>
      </c>
      <c r="M592" s="13"/>
    </row>
    <row r="593">
      <c r="A593" s="15"/>
      <c r="B593" s="6"/>
      <c r="C593" s="14" t="str">
        <f>iferror(vlookup(B593,'📦 ชื่อสินค้า'!A:C,3,false),)</f>
        <v/>
      </c>
      <c r="D593" s="11" t="str">
        <f>iferror(vlookup(B593,'📦 ชื่อสินค้า'!A:D,4,false),"")</f>
        <v/>
      </c>
      <c r="E593" s="16"/>
      <c r="F593" s="8" t="str">
        <f t="shared" si="1"/>
        <v/>
      </c>
      <c r="G593" s="9" t="str">
        <f>IF(LEN(B593)&gt;0,vlookup(B593,'📊 รายงานสินค้าคงเหลือ'!A:G,6,false)*E593,)</f>
        <v/>
      </c>
      <c r="H593" s="9" t="str">
        <f t="shared" si="2"/>
        <v/>
      </c>
      <c r="I593" s="10" t="str">
        <f t="shared" si="3"/>
        <v/>
      </c>
      <c r="J593" s="11" t="str">
        <f t="shared" si="4"/>
        <v/>
      </c>
      <c r="K593" s="11" t="str">
        <f>IFERROR(IF(A593&lt;&gt;"",VLOOKUP(B593,'📦 ชื่อสินค้า'!A:F,6,false),""),)</f>
        <v/>
      </c>
      <c r="L593" s="11" t="str">
        <f t="shared" si="5"/>
        <v/>
      </c>
      <c r="M593" s="13"/>
    </row>
    <row r="594">
      <c r="A594" s="15"/>
      <c r="B594" s="6"/>
      <c r="C594" s="14" t="str">
        <f>iferror(vlookup(B594,'📦 ชื่อสินค้า'!A:C,3,false),)</f>
        <v/>
      </c>
      <c r="D594" s="11" t="str">
        <f>iferror(vlookup(B594,'📦 ชื่อสินค้า'!A:D,4,false),"")</f>
        <v/>
      </c>
      <c r="E594" s="16"/>
      <c r="F594" s="8" t="str">
        <f t="shared" si="1"/>
        <v/>
      </c>
      <c r="G594" s="9" t="str">
        <f>IF(LEN(B594)&gt;0,vlookup(B594,'📊 รายงานสินค้าคงเหลือ'!A:G,6,false)*E594,)</f>
        <v/>
      </c>
      <c r="H594" s="9" t="str">
        <f t="shared" si="2"/>
        <v/>
      </c>
      <c r="I594" s="10" t="str">
        <f t="shared" si="3"/>
        <v/>
      </c>
      <c r="J594" s="11" t="str">
        <f t="shared" si="4"/>
        <v/>
      </c>
      <c r="K594" s="11" t="str">
        <f>IFERROR(IF(A594&lt;&gt;"",VLOOKUP(B594,'📦 ชื่อสินค้า'!A:F,6,false),""),)</f>
        <v/>
      </c>
      <c r="L594" s="11" t="str">
        <f t="shared" si="5"/>
        <v/>
      </c>
      <c r="M594" s="13"/>
    </row>
    <row r="595">
      <c r="A595" s="15"/>
      <c r="B595" s="6"/>
      <c r="C595" s="14" t="str">
        <f>iferror(vlookup(B595,'📦 ชื่อสินค้า'!A:C,3,false),)</f>
        <v/>
      </c>
      <c r="D595" s="11" t="str">
        <f>iferror(vlookup(B595,'📦 ชื่อสินค้า'!A:D,4,false),"")</f>
        <v/>
      </c>
      <c r="E595" s="16"/>
      <c r="F595" s="8" t="str">
        <f t="shared" si="1"/>
        <v/>
      </c>
      <c r="G595" s="9" t="str">
        <f>IF(LEN(B595)&gt;0,vlookup(B595,'📊 รายงานสินค้าคงเหลือ'!A:G,6,false)*E595,)</f>
        <v/>
      </c>
      <c r="H595" s="9" t="str">
        <f t="shared" si="2"/>
        <v/>
      </c>
      <c r="I595" s="10" t="str">
        <f t="shared" si="3"/>
        <v/>
      </c>
      <c r="J595" s="11" t="str">
        <f t="shared" si="4"/>
        <v/>
      </c>
      <c r="K595" s="11" t="str">
        <f>IFERROR(IF(A595&lt;&gt;"",VLOOKUP(B595,'📦 ชื่อสินค้า'!A:F,6,false),""),)</f>
        <v/>
      </c>
      <c r="L595" s="11" t="str">
        <f t="shared" si="5"/>
        <v/>
      </c>
      <c r="M595" s="13"/>
    </row>
    <row r="596">
      <c r="A596" s="15"/>
      <c r="B596" s="6"/>
      <c r="C596" s="14" t="str">
        <f>iferror(vlookup(B596,'📦 ชื่อสินค้า'!A:C,3,false),)</f>
        <v/>
      </c>
      <c r="D596" s="11" t="str">
        <f>iferror(vlookup(B596,'📦 ชื่อสินค้า'!A:D,4,false),"")</f>
        <v/>
      </c>
      <c r="E596" s="16"/>
      <c r="F596" s="8" t="str">
        <f t="shared" si="1"/>
        <v/>
      </c>
      <c r="G596" s="9" t="str">
        <f>IF(LEN(B596)&gt;0,vlookup(B596,'📊 รายงานสินค้าคงเหลือ'!A:G,6,false)*E596,)</f>
        <v/>
      </c>
      <c r="H596" s="9" t="str">
        <f t="shared" si="2"/>
        <v/>
      </c>
      <c r="I596" s="10" t="str">
        <f t="shared" si="3"/>
        <v/>
      </c>
      <c r="J596" s="11" t="str">
        <f t="shared" si="4"/>
        <v/>
      </c>
      <c r="K596" s="11" t="str">
        <f>IFERROR(IF(A596&lt;&gt;"",VLOOKUP(B596,'📦 ชื่อสินค้า'!A:F,6,false),""),)</f>
        <v/>
      </c>
      <c r="L596" s="11" t="str">
        <f t="shared" si="5"/>
        <v/>
      </c>
      <c r="M596" s="13"/>
    </row>
    <row r="597">
      <c r="A597" s="15"/>
      <c r="B597" s="6"/>
      <c r="C597" s="14" t="str">
        <f>iferror(vlookup(B597,'📦 ชื่อสินค้า'!A:C,3,false),)</f>
        <v/>
      </c>
      <c r="D597" s="11" t="str">
        <f>iferror(vlookup(B597,'📦 ชื่อสินค้า'!A:D,4,false),"")</f>
        <v/>
      </c>
      <c r="E597" s="16"/>
      <c r="F597" s="8" t="str">
        <f t="shared" si="1"/>
        <v/>
      </c>
      <c r="G597" s="9" t="str">
        <f>IF(LEN(B597)&gt;0,vlookup(B597,'📊 รายงานสินค้าคงเหลือ'!A:G,6,false)*E597,)</f>
        <v/>
      </c>
      <c r="H597" s="9" t="str">
        <f t="shared" si="2"/>
        <v/>
      </c>
      <c r="I597" s="10" t="str">
        <f t="shared" si="3"/>
        <v/>
      </c>
      <c r="J597" s="11" t="str">
        <f t="shared" si="4"/>
        <v/>
      </c>
      <c r="K597" s="11" t="str">
        <f>IFERROR(IF(A597&lt;&gt;"",VLOOKUP(B597,'📦 ชื่อสินค้า'!A:F,6,false),""),)</f>
        <v/>
      </c>
      <c r="L597" s="11" t="str">
        <f t="shared" si="5"/>
        <v/>
      </c>
      <c r="M597" s="13"/>
    </row>
    <row r="598">
      <c r="A598" s="15"/>
      <c r="B598" s="6"/>
      <c r="C598" s="14" t="str">
        <f>iferror(vlookup(B598,'📦 ชื่อสินค้า'!A:C,3,false),)</f>
        <v/>
      </c>
      <c r="D598" s="11" t="str">
        <f>iferror(vlookup(B598,'📦 ชื่อสินค้า'!A:D,4,false),"")</f>
        <v/>
      </c>
      <c r="E598" s="16"/>
      <c r="F598" s="8" t="str">
        <f t="shared" si="1"/>
        <v/>
      </c>
      <c r="G598" s="9" t="str">
        <f>IF(LEN(B598)&gt;0,vlookup(B598,'📊 รายงานสินค้าคงเหลือ'!A:G,6,false)*E598,)</f>
        <v/>
      </c>
      <c r="H598" s="9" t="str">
        <f t="shared" si="2"/>
        <v/>
      </c>
      <c r="I598" s="10" t="str">
        <f t="shared" si="3"/>
        <v/>
      </c>
      <c r="J598" s="11" t="str">
        <f t="shared" si="4"/>
        <v/>
      </c>
      <c r="K598" s="11" t="str">
        <f>IFERROR(IF(A598&lt;&gt;"",VLOOKUP(B598,'📦 ชื่อสินค้า'!A:F,6,false),""),)</f>
        <v/>
      </c>
      <c r="L598" s="11" t="str">
        <f t="shared" si="5"/>
        <v/>
      </c>
      <c r="M598" s="13"/>
    </row>
    <row r="599">
      <c r="A599" s="15"/>
      <c r="B599" s="6"/>
      <c r="C599" s="14" t="str">
        <f>iferror(vlookup(B599,'📦 ชื่อสินค้า'!A:C,3,false),)</f>
        <v/>
      </c>
      <c r="D599" s="11" t="str">
        <f>iferror(vlookup(B599,'📦 ชื่อสินค้า'!A:D,4,false),"")</f>
        <v/>
      </c>
      <c r="E599" s="16"/>
      <c r="F599" s="8" t="str">
        <f t="shared" si="1"/>
        <v/>
      </c>
      <c r="G599" s="9" t="str">
        <f>IF(LEN(B599)&gt;0,vlookup(B599,'📊 รายงานสินค้าคงเหลือ'!A:G,6,false)*E599,)</f>
        <v/>
      </c>
      <c r="H599" s="9" t="str">
        <f t="shared" si="2"/>
        <v/>
      </c>
      <c r="I599" s="10" t="str">
        <f t="shared" si="3"/>
        <v/>
      </c>
      <c r="J599" s="11" t="str">
        <f t="shared" si="4"/>
        <v/>
      </c>
      <c r="K599" s="11" t="str">
        <f>IFERROR(IF(A599&lt;&gt;"",VLOOKUP(B599,'📦 ชื่อสินค้า'!A:F,6,false),""),)</f>
        <v/>
      </c>
      <c r="L599" s="11" t="str">
        <f t="shared" si="5"/>
        <v/>
      </c>
      <c r="M599" s="13"/>
    </row>
    <row r="600">
      <c r="A600" s="15"/>
      <c r="B600" s="6"/>
      <c r="C600" s="14" t="str">
        <f>iferror(vlookup(B600,'📦 ชื่อสินค้า'!A:C,3,false),)</f>
        <v/>
      </c>
      <c r="D600" s="11" t="str">
        <f>iferror(vlookup(B600,'📦 ชื่อสินค้า'!A:D,4,false),"")</f>
        <v/>
      </c>
      <c r="E600" s="16"/>
      <c r="F600" s="8" t="str">
        <f t="shared" si="1"/>
        <v/>
      </c>
      <c r="G600" s="9" t="str">
        <f>IF(LEN(B600)&gt;0,vlookup(B600,'📊 รายงานสินค้าคงเหลือ'!A:G,6,false)*E600,)</f>
        <v/>
      </c>
      <c r="H600" s="9" t="str">
        <f t="shared" si="2"/>
        <v/>
      </c>
      <c r="I600" s="10" t="str">
        <f t="shared" si="3"/>
        <v/>
      </c>
      <c r="J600" s="11" t="str">
        <f t="shared" si="4"/>
        <v/>
      </c>
      <c r="K600" s="11" t="str">
        <f>IFERROR(IF(A600&lt;&gt;"",VLOOKUP(B600,'📦 ชื่อสินค้า'!A:F,6,false),""),)</f>
        <v/>
      </c>
      <c r="L600" s="11" t="str">
        <f t="shared" si="5"/>
        <v/>
      </c>
      <c r="M600" s="13"/>
    </row>
    <row r="601">
      <c r="A601" s="15"/>
      <c r="B601" s="6"/>
      <c r="C601" s="14" t="str">
        <f>iferror(vlookup(B601,'📦 ชื่อสินค้า'!A:C,3,false),)</f>
        <v/>
      </c>
      <c r="D601" s="11" t="str">
        <f>iferror(vlookup(B601,'📦 ชื่อสินค้า'!A:D,4,false),"")</f>
        <v/>
      </c>
      <c r="E601" s="16"/>
      <c r="F601" s="8" t="str">
        <f t="shared" si="1"/>
        <v/>
      </c>
      <c r="G601" s="9" t="str">
        <f>IF(LEN(B601)&gt;0,vlookup(B601,'📊 รายงานสินค้าคงเหลือ'!A:G,6,false)*E601,)</f>
        <v/>
      </c>
      <c r="H601" s="9" t="str">
        <f t="shared" si="2"/>
        <v/>
      </c>
      <c r="I601" s="10" t="str">
        <f t="shared" si="3"/>
        <v/>
      </c>
      <c r="J601" s="11" t="str">
        <f t="shared" si="4"/>
        <v/>
      </c>
      <c r="K601" s="11" t="str">
        <f>IFERROR(IF(A601&lt;&gt;"",VLOOKUP(B601,'📦 ชื่อสินค้า'!A:F,6,false),""),)</f>
        <v/>
      </c>
      <c r="L601" s="11" t="str">
        <f t="shared" si="5"/>
        <v/>
      </c>
      <c r="M601" s="13"/>
    </row>
    <row r="602">
      <c r="A602" s="15"/>
      <c r="B602" s="6"/>
      <c r="C602" s="14" t="str">
        <f>iferror(vlookup(B602,'📦 ชื่อสินค้า'!A:C,3,false),)</f>
        <v/>
      </c>
      <c r="D602" s="11" t="str">
        <f>iferror(vlookup(B602,'📦 ชื่อสินค้า'!A:D,4,false),"")</f>
        <v/>
      </c>
      <c r="E602" s="16"/>
      <c r="F602" s="8" t="str">
        <f t="shared" si="1"/>
        <v/>
      </c>
      <c r="G602" s="9" t="str">
        <f>IF(LEN(B602)&gt;0,vlookup(B602,'📊 รายงานสินค้าคงเหลือ'!A:G,6,false)*E602,)</f>
        <v/>
      </c>
      <c r="H602" s="9" t="str">
        <f t="shared" si="2"/>
        <v/>
      </c>
      <c r="I602" s="10" t="str">
        <f t="shared" si="3"/>
        <v/>
      </c>
      <c r="J602" s="11" t="str">
        <f t="shared" si="4"/>
        <v/>
      </c>
      <c r="K602" s="11" t="str">
        <f>IFERROR(IF(A602&lt;&gt;"",VLOOKUP(B602,'📦 ชื่อสินค้า'!A:F,6,false),""),)</f>
        <v/>
      </c>
      <c r="L602" s="11" t="str">
        <f t="shared" si="5"/>
        <v/>
      </c>
      <c r="M602" s="13"/>
    </row>
    <row r="603">
      <c r="A603" s="15"/>
      <c r="B603" s="6"/>
      <c r="C603" s="14" t="str">
        <f>iferror(vlookup(B603,'📦 ชื่อสินค้า'!A:C,3,false),)</f>
        <v/>
      </c>
      <c r="D603" s="11" t="str">
        <f>iferror(vlookup(B603,'📦 ชื่อสินค้า'!A:D,4,false),"")</f>
        <v/>
      </c>
      <c r="E603" s="16"/>
      <c r="F603" s="8" t="str">
        <f t="shared" si="1"/>
        <v/>
      </c>
      <c r="G603" s="9" t="str">
        <f>IF(LEN(B603)&gt;0,vlookup(B603,'📊 รายงานสินค้าคงเหลือ'!A:G,6,false)*E603,)</f>
        <v/>
      </c>
      <c r="H603" s="9" t="str">
        <f t="shared" si="2"/>
        <v/>
      </c>
      <c r="I603" s="10" t="str">
        <f t="shared" si="3"/>
        <v/>
      </c>
      <c r="J603" s="11" t="str">
        <f t="shared" si="4"/>
        <v/>
      </c>
      <c r="K603" s="11" t="str">
        <f>IFERROR(IF(A603&lt;&gt;"",VLOOKUP(B603,'📦 ชื่อสินค้า'!A:F,6,false),""),)</f>
        <v/>
      </c>
      <c r="L603" s="11" t="str">
        <f t="shared" si="5"/>
        <v/>
      </c>
      <c r="M603" s="13"/>
    </row>
    <row r="604">
      <c r="A604" s="15"/>
      <c r="B604" s="6"/>
      <c r="C604" s="14" t="str">
        <f>iferror(vlookup(B604,'📦 ชื่อสินค้า'!A:C,3,false),)</f>
        <v/>
      </c>
      <c r="D604" s="11" t="str">
        <f>iferror(vlookup(B604,'📦 ชื่อสินค้า'!A:D,4,false),"")</f>
        <v/>
      </c>
      <c r="E604" s="16"/>
      <c r="F604" s="8" t="str">
        <f t="shared" si="1"/>
        <v/>
      </c>
      <c r="G604" s="9" t="str">
        <f>IF(LEN(B604)&gt;0,vlookup(B604,'📊 รายงานสินค้าคงเหลือ'!A:G,6,false)*E604,)</f>
        <v/>
      </c>
      <c r="H604" s="9" t="str">
        <f t="shared" si="2"/>
        <v/>
      </c>
      <c r="I604" s="10" t="str">
        <f t="shared" si="3"/>
        <v/>
      </c>
      <c r="J604" s="11" t="str">
        <f t="shared" si="4"/>
        <v/>
      </c>
      <c r="K604" s="11" t="str">
        <f>IFERROR(IF(A604&lt;&gt;"",VLOOKUP(B604,'📦 ชื่อสินค้า'!A:F,6,false),""),)</f>
        <v/>
      </c>
      <c r="L604" s="11" t="str">
        <f t="shared" si="5"/>
        <v/>
      </c>
      <c r="M604" s="13"/>
    </row>
    <row r="605">
      <c r="A605" s="15"/>
      <c r="B605" s="6"/>
      <c r="C605" s="14" t="str">
        <f>iferror(vlookup(B605,'📦 ชื่อสินค้า'!A:C,3,false),)</f>
        <v/>
      </c>
      <c r="D605" s="11" t="str">
        <f>iferror(vlookup(B605,'📦 ชื่อสินค้า'!A:D,4,false),"")</f>
        <v/>
      </c>
      <c r="E605" s="16"/>
      <c r="F605" s="8" t="str">
        <f t="shared" si="1"/>
        <v/>
      </c>
      <c r="G605" s="9" t="str">
        <f>IF(LEN(B605)&gt;0,vlookup(B605,'📊 รายงานสินค้าคงเหลือ'!A:G,6,false)*E605,)</f>
        <v/>
      </c>
      <c r="H605" s="9" t="str">
        <f t="shared" si="2"/>
        <v/>
      </c>
      <c r="I605" s="10" t="str">
        <f t="shared" si="3"/>
        <v/>
      </c>
      <c r="J605" s="11" t="str">
        <f t="shared" si="4"/>
        <v/>
      </c>
      <c r="K605" s="11" t="str">
        <f>IFERROR(IF(A605&lt;&gt;"",VLOOKUP(B605,'📦 ชื่อสินค้า'!A:F,6,false),""),)</f>
        <v/>
      </c>
      <c r="L605" s="11" t="str">
        <f t="shared" si="5"/>
        <v/>
      </c>
      <c r="M605" s="13"/>
    </row>
    <row r="606">
      <c r="A606" s="15"/>
      <c r="B606" s="6"/>
      <c r="C606" s="14" t="str">
        <f>iferror(vlookup(B606,'📦 ชื่อสินค้า'!A:C,3,false),)</f>
        <v/>
      </c>
      <c r="D606" s="11" t="str">
        <f>iferror(vlookup(B606,'📦 ชื่อสินค้า'!A:D,4,false),"")</f>
        <v/>
      </c>
      <c r="E606" s="16"/>
      <c r="F606" s="8" t="str">
        <f t="shared" si="1"/>
        <v/>
      </c>
      <c r="G606" s="9" t="str">
        <f>IF(LEN(B606)&gt;0,vlookup(B606,'📊 รายงานสินค้าคงเหลือ'!A:G,6,false)*E606,)</f>
        <v/>
      </c>
      <c r="H606" s="9" t="str">
        <f t="shared" si="2"/>
        <v/>
      </c>
      <c r="I606" s="10" t="str">
        <f t="shared" si="3"/>
        <v/>
      </c>
      <c r="J606" s="11" t="str">
        <f t="shared" si="4"/>
        <v/>
      </c>
      <c r="K606" s="11" t="str">
        <f>IFERROR(IF(A606&lt;&gt;"",VLOOKUP(B606,'📦 ชื่อสินค้า'!A:F,6,false),""),)</f>
        <v/>
      </c>
      <c r="L606" s="11" t="str">
        <f t="shared" si="5"/>
        <v/>
      </c>
      <c r="M606" s="13"/>
    </row>
    <row r="607">
      <c r="A607" s="15"/>
      <c r="B607" s="6"/>
      <c r="C607" s="14" t="str">
        <f>iferror(vlookup(B607,'📦 ชื่อสินค้า'!A:C,3,false),)</f>
        <v/>
      </c>
      <c r="D607" s="11" t="str">
        <f>iferror(vlookup(B607,'📦 ชื่อสินค้า'!A:D,4,false),"")</f>
        <v/>
      </c>
      <c r="E607" s="16"/>
      <c r="F607" s="8" t="str">
        <f t="shared" si="1"/>
        <v/>
      </c>
      <c r="G607" s="9" t="str">
        <f>IF(LEN(B607)&gt;0,vlookup(B607,'📊 รายงานสินค้าคงเหลือ'!A:G,6,false)*E607,)</f>
        <v/>
      </c>
      <c r="H607" s="9" t="str">
        <f t="shared" si="2"/>
        <v/>
      </c>
      <c r="I607" s="10" t="str">
        <f t="shared" si="3"/>
        <v/>
      </c>
      <c r="J607" s="11" t="str">
        <f t="shared" si="4"/>
        <v/>
      </c>
      <c r="K607" s="11" t="str">
        <f>IFERROR(IF(A607&lt;&gt;"",VLOOKUP(B607,'📦 ชื่อสินค้า'!A:F,6,false),""),)</f>
        <v/>
      </c>
      <c r="L607" s="11" t="str">
        <f t="shared" si="5"/>
        <v/>
      </c>
      <c r="M607" s="13"/>
    </row>
    <row r="608">
      <c r="A608" s="15"/>
      <c r="B608" s="6"/>
      <c r="C608" s="14" t="str">
        <f>iferror(vlookup(B608,'📦 ชื่อสินค้า'!A:C,3,false),)</f>
        <v/>
      </c>
      <c r="D608" s="11" t="str">
        <f>iferror(vlookup(B608,'📦 ชื่อสินค้า'!A:D,4,false),"")</f>
        <v/>
      </c>
      <c r="E608" s="16"/>
      <c r="F608" s="8" t="str">
        <f t="shared" si="1"/>
        <v/>
      </c>
      <c r="G608" s="9" t="str">
        <f>IF(LEN(B608)&gt;0,vlookup(B608,'📊 รายงานสินค้าคงเหลือ'!A:G,6,false)*E608,)</f>
        <v/>
      </c>
      <c r="H608" s="9" t="str">
        <f t="shared" si="2"/>
        <v/>
      </c>
      <c r="I608" s="10" t="str">
        <f t="shared" si="3"/>
        <v/>
      </c>
      <c r="J608" s="11" t="str">
        <f t="shared" si="4"/>
        <v/>
      </c>
      <c r="K608" s="11" t="str">
        <f>IFERROR(IF(A608&lt;&gt;"",VLOOKUP(B608,'📦 ชื่อสินค้า'!A:F,6,false),""),)</f>
        <v/>
      </c>
      <c r="L608" s="11" t="str">
        <f t="shared" si="5"/>
        <v/>
      </c>
      <c r="M608" s="13"/>
    </row>
    <row r="609">
      <c r="A609" s="15"/>
      <c r="B609" s="6"/>
      <c r="C609" s="14" t="str">
        <f>iferror(vlookup(B609,'📦 ชื่อสินค้า'!A:C,3,false),)</f>
        <v/>
      </c>
      <c r="D609" s="11" t="str">
        <f>iferror(vlookup(B609,'📦 ชื่อสินค้า'!A:D,4,false),"")</f>
        <v/>
      </c>
      <c r="E609" s="16"/>
      <c r="F609" s="8" t="str">
        <f t="shared" si="1"/>
        <v/>
      </c>
      <c r="G609" s="9" t="str">
        <f>IF(LEN(B609)&gt;0,vlookup(B609,'📊 รายงานสินค้าคงเหลือ'!A:G,6,false)*E609,)</f>
        <v/>
      </c>
      <c r="H609" s="9" t="str">
        <f t="shared" si="2"/>
        <v/>
      </c>
      <c r="I609" s="10" t="str">
        <f t="shared" si="3"/>
        <v/>
      </c>
      <c r="J609" s="11" t="str">
        <f t="shared" si="4"/>
        <v/>
      </c>
      <c r="K609" s="11" t="str">
        <f>IFERROR(IF(A609&lt;&gt;"",VLOOKUP(B609,'📦 ชื่อสินค้า'!A:F,6,false),""),)</f>
        <v/>
      </c>
      <c r="L609" s="11" t="str">
        <f t="shared" si="5"/>
        <v/>
      </c>
      <c r="M609" s="13"/>
    </row>
    <row r="610">
      <c r="A610" s="15"/>
      <c r="B610" s="6"/>
      <c r="C610" s="14" t="str">
        <f>iferror(vlookup(B610,'📦 ชื่อสินค้า'!A:C,3,false),)</f>
        <v/>
      </c>
      <c r="D610" s="11" t="str">
        <f>iferror(vlookup(B610,'📦 ชื่อสินค้า'!A:D,4,false),"")</f>
        <v/>
      </c>
      <c r="E610" s="16"/>
      <c r="F610" s="8" t="str">
        <f t="shared" si="1"/>
        <v/>
      </c>
      <c r="G610" s="9" t="str">
        <f>IF(LEN(B610)&gt;0,vlookup(B610,'📊 รายงานสินค้าคงเหลือ'!A:G,6,false)*E610,)</f>
        <v/>
      </c>
      <c r="H610" s="9" t="str">
        <f t="shared" si="2"/>
        <v/>
      </c>
      <c r="I610" s="10" t="str">
        <f t="shared" si="3"/>
        <v/>
      </c>
      <c r="J610" s="11" t="str">
        <f t="shared" si="4"/>
        <v/>
      </c>
      <c r="K610" s="11" t="str">
        <f>IFERROR(IF(A610&lt;&gt;"",VLOOKUP(B610,'📦 ชื่อสินค้า'!A:F,6,false),""),)</f>
        <v/>
      </c>
      <c r="L610" s="11" t="str">
        <f t="shared" si="5"/>
        <v/>
      </c>
      <c r="M610" s="13"/>
    </row>
    <row r="611">
      <c r="A611" s="15"/>
      <c r="B611" s="6"/>
      <c r="C611" s="14" t="str">
        <f>iferror(vlookup(B611,'📦 ชื่อสินค้า'!A:C,3,false),)</f>
        <v/>
      </c>
      <c r="D611" s="11" t="str">
        <f>iferror(vlookup(B611,'📦 ชื่อสินค้า'!A:D,4,false),"")</f>
        <v/>
      </c>
      <c r="E611" s="16"/>
      <c r="F611" s="8" t="str">
        <f t="shared" si="1"/>
        <v/>
      </c>
      <c r="G611" s="9" t="str">
        <f>IF(LEN(B611)&gt;0,vlookup(B611,'📊 รายงานสินค้าคงเหลือ'!A:G,6,false)*E611,)</f>
        <v/>
      </c>
      <c r="H611" s="9" t="str">
        <f t="shared" si="2"/>
        <v/>
      </c>
      <c r="I611" s="10" t="str">
        <f t="shared" si="3"/>
        <v/>
      </c>
      <c r="J611" s="11" t="str">
        <f t="shared" si="4"/>
        <v/>
      </c>
      <c r="K611" s="11" t="str">
        <f>IFERROR(IF(A611&lt;&gt;"",VLOOKUP(B611,'📦 ชื่อสินค้า'!A:F,6,false),""),)</f>
        <v/>
      </c>
      <c r="L611" s="11" t="str">
        <f t="shared" si="5"/>
        <v/>
      </c>
      <c r="M611" s="13"/>
    </row>
    <row r="612">
      <c r="A612" s="15"/>
      <c r="B612" s="6"/>
      <c r="C612" s="14" t="str">
        <f>iferror(vlookup(B612,'📦 ชื่อสินค้า'!A:C,3,false),)</f>
        <v/>
      </c>
      <c r="D612" s="11" t="str">
        <f>iferror(vlookup(B612,'📦 ชื่อสินค้า'!A:D,4,false),"")</f>
        <v/>
      </c>
      <c r="E612" s="16"/>
      <c r="F612" s="8" t="str">
        <f t="shared" si="1"/>
        <v/>
      </c>
      <c r="G612" s="9" t="str">
        <f>IF(LEN(B612)&gt;0,vlookup(B612,'📊 รายงานสินค้าคงเหลือ'!A:G,6,false)*E612,)</f>
        <v/>
      </c>
      <c r="H612" s="9" t="str">
        <f t="shared" si="2"/>
        <v/>
      </c>
      <c r="I612" s="10" t="str">
        <f t="shared" si="3"/>
        <v/>
      </c>
      <c r="J612" s="11" t="str">
        <f t="shared" si="4"/>
        <v/>
      </c>
      <c r="K612" s="11" t="str">
        <f>IFERROR(IF(A612&lt;&gt;"",VLOOKUP(B612,'📦 ชื่อสินค้า'!A:F,6,false),""),)</f>
        <v/>
      </c>
      <c r="L612" s="11" t="str">
        <f t="shared" si="5"/>
        <v/>
      </c>
      <c r="M612" s="13"/>
    </row>
    <row r="613">
      <c r="A613" s="15"/>
      <c r="B613" s="6"/>
      <c r="C613" s="14" t="str">
        <f>iferror(vlookup(B613,'📦 ชื่อสินค้า'!A:C,3,false),)</f>
        <v/>
      </c>
      <c r="D613" s="11" t="str">
        <f>iferror(vlookup(B613,'📦 ชื่อสินค้า'!A:D,4,false),"")</f>
        <v/>
      </c>
      <c r="E613" s="16"/>
      <c r="F613" s="8" t="str">
        <f t="shared" si="1"/>
        <v/>
      </c>
      <c r="G613" s="9" t="str">
        <f>IF(LEN(B613)&gt;0,vlookup(B613,'📊 รายงานสินค้าคงเหลือ'!A:G,6,false)*E613,)</f>
        <v/>
      </c>
      <c r="H613" s="9" t="str">
        <f t="shared" si="2"/>
        <v/>
      </c>
      <c r="I613" s="10" t="str">
        <f t="shared" si="3"/>
        <v/>
      </c>
      <c r="J613" s="11" t="str">
        <f t="shared" si="4"/>
        <v/>
      </c>
      <c r="K613" s="11" t="str">
        <f>IFERROR(IF(A613&lt;&gt;"",VLOOKUP(B613,'📦 ชื่อสินค้า'!A:F,6,false),""),)</f>
        <v/>
      </c>
      <c r="L613" s="11" t="str">
        <f t="shared" si="5"/>
        <v/>
      </c>
      <c r="M613" s="13"/>
    </row>
    <row r="614">
      <c r="A614" s="15"/>
      <c r="B614" s="6"/>
      <c r="C614" s="14" t="str">
        <f>iferror(vlookup(B614,'📦 ชื่อสินค้า'!A:C,3,false),)</f>
        <v/>
      </c>
      <c r="D614" s="11" t="str">
        <f>iferror(vlookup(B614,'📦 ชื่อสินค้า'!A:D,4,false),"")</f>
        <v/>
      </c>
      <c r="E614" s="16"/>
      <c r="F614" s="8" t="str">
        <f t="shared" si="1"/>
        <v/>
      </c>
      <c r="G614" s="9" t="str">
        <f>IF(LEN(B614)&gt;0,vlookup(B614,'📊 รายงานสินค้าคงเหลือ'!A:G,6,false)*E614,)</f>
        <v/>
      </c>
      <c r="H614" s="9" t="str">
        <f t="shared" si="2"/>
        <v/>
      </c>
      <c r="I614" s="10" t="str">
        <f t="shared" si="3"/>
        <v/>
      </c>
      <c r="J614" s="11" t="str">
        <f t="shared" si="4"/>
        <v/>
      </c>
      <c r="K614" s="11" t="str">
        <f>IFERROR(IF(A614&lt;&gt;"",VLOOKUP(B614,'📦 ชื่อสินค้า'!A:F,6,false),""),)</f>
        <v/>
      </c>
      <c r="L614" s="11" t="str">
        <f t="shared" si="5"/>
        <v/>
      </c>
      <c r="M614" s="13"/>
    </row>
    <row r="615">
      <c r="A615" s="15"/>
      <c r="B615" s="6"/>
      <c r="C615" s="14" t="str">
        <f>iferror(vlookup(B615,'📦 ชื่อสินค้า'!A:C,3,false),)</f>
        <v/>
      </c>
      <c r="D615" s="11" t="str">
        <f>iferror(vlookup(B615,'📦 ชื่อสินค้า'!A:D,4,false),"")</f>
        <v/>
      </c>
      <c r="E615" s="16"/>
      <c r="F615" s="8" t="str">
        <f t="shared" si="1"/>
        <v/>
      </c>
      <c r="G615" s="9" t="str">
        <f>IF(LEN(B615)&gt;0,vlookup(B615,'📊 รายงานสินค้าคงเหลือ'!A:G,6,false)*E615,)</f>
        <v/>
      </c>
      <c r="H615" s="9" t="str">
        <f t="shared" si="2"/>
        <v/>
      </c>
      <c r="I615" s="10" t="str">
        <f t="shared" si="3"/>
        <v/>
      </c>
      <c r="J615" s="11" t="str">
        <f t="shared" si="4"/>
        <v/>
      </c>
      <c r="K615" s="11" t="str">
        <f>IFERROR(IF(A615&lt;&gt;"",VLOOKUP(B615,'📦 ชื่อสินค้า'!A:F,6,false),""),)</f>
        <v/>
      </c>
      <c r="L615" s="11" t="str">
        <f t="shared" si="5"/>
        <v/>
      </c>
      <c r="M615" s="13"/>
    </row>
    <row r="616">
      <c r="A616" s="15"/>
      <c r="B616" s="6"/>
      <c r="C616" s="14" t="str">
        <f>iferror(vlookup(B616,'📦 ชื่อสินค้า'!A:C,3,false),)</f>
        <v/>
      </c>
      <c r="D616" s="11" t="str">
        <f>iferror(vlookup(B616,'📦 ชื่อสินค้า'!A:D,4,false),"")</f>
        <v/>
      </c>
      <c r="E616" s="16"/>
      <c r="F616" s="8" t="str">
        <f t="shared" si="1"/>
        <v/>
      </c>
      <c r="G616" s="9" t="str">
        <f>IF(LEN(B616)&gt;0,vlookup(B616,'📊 รายงานสินค้าคงเหลือ'!A:G,6,false)*E616,)</f>
        <v/>
      </c>
      <c r="H616" s="9" t="str">
        <f t="shared" si="2"/>
        <v/>
      </c>
      <c r="I616" s="10" t="str">
        <f t="shared" si="3"/>
        <v/>
      </c>
      <c r="J616" s="11" t="str">
        <f t="shared" si="4"/>
        <v/>
      </c>
      <c r="K616" s="11" t="str">
        <f>IFERROR(IF(A616&lt;&gt;"",VLOOKUP(B616,'📦 ชื่อสินค้า'!A:F,6,false),""),)</f>
        <v/>
      </c>
      <c r="L616" s="11" t="str">
        <f t="shared" si="5"/>
        <v/>
      </c>
      <c r="M616" s="13"/>
    </row>
    <row r="617">
      <c r="A617" s="15"/>
      <c r="B617" s="6"/>
      <c r="C617" s="14" t="str">
        <f>iferror(vlookup(B617,'📦 ชื่อสินค้า'!A:C,3,false),)</f>
        <v/>
      </c>
      <c r="D617" s="11" t="str">
        <f>iferror(vlookup(B617,'📦 ชื่อสินค้า'!A:D,4,false),"")</f>
        <v/>
      </c>
      <c r="E617" s="16"/>
      <c r="F617" s="8" t="str">
        <f t="shared" si="1"/>
        <v/>
      </c>
      <c r="G617" s="9" t="str">
        <f>IF(LEN(B617)&gt;0,vlookup(B617,'📊 รายงานสินค้าคงเหลือ'!A:G,6,false)*E617,)</f>
        <v/>
      </c>
      <c r="H617" s="9" t="str">
        <f t="shared" si="2"/>
        <v/>
      </c>
      <c r="I617" s="10" t="str">
        <f t="shared" si="3"/>
        <v/>
      </c>
      <c r="J617" s="11" t="str">
        <f t="shared" si="4"/>
        <v/>
      </c>
      <c r="K617" s="11" t="str">
        <f>IFERROR(IF(A617&lt;&gt;"",VLOOKUP(B617,'📦 ชื่อสินค้า'!A:F,6,false),""),)</f>
        <v/>
      </c>
      <c r="L617" s="11" t="str">
        <f t="shared" si="5"/>
        <v/>
      </c>
      <c r="M617" s="13"/>
    </row>
    <row r="618">
      <c r="A618" s="15"/>
      <c r="B618" s="6"/>
      <c r="C618" s="14" t="str">
        <f>iferror(vlookup(B618,'📦 ชื่อสินค้า'!A:C,3,false),)</f>
        <v/>
      </c>
      <c r="D618" s="11" t="str">
        <f>iferror(vlookup(B618,'📦 ชื่อสินค้า'!A:D,4,false),"")</f>
        <v/>
      </c>
      <c r="E618" s="16"/>
      <c r="F618" s="8" t="str">
        <f t="shared" si="1"/>
        <v/>
      </c>
      <c r="G618" s="9" t="str">
        <f>IF(LEN(B618)&gt;0,vlookup(B618,'📊 รายงานสินค้าคงเหลือ'!A:G,6,false)*E618,)</f>
        <v/>
      </c>
      <c r="H618" s="9" t="str">
        <f t="shared" si="2"/>
        <v/>
      </c>
      <c r="I618" s="10" t="str">
        <f t="shared" si="3"/>
        <v/>
      </c>
      <c r="J618" s="11" t="str">
        <f t="shared" si="4"/>
        <v/>
      </c>
      <c r="K618" s="11" t="str">
        <f>IFERROR(IF(A618&lt;&gt;"",VLOOKUP(B618,'📦 ชื่อสินค้า'!A:F,6,false),""),)</f>
        <v/>
      </c>
      <c r="L618" s="11" t="str">
        <f t="shared" si="5"/>
        <v/>
      </c>
      <c r="M618" s="13"/>
    </row>
    <row r="619">
      <c r="A619" s="15"/>
      <c r="B619" s="6"/>
      <c r="C619" s="14" t="str">
        <f>iferror(vlookup(B619,'📦 ชื่อสินค้า'!A:C,3,false),)</f>
        <v/>
      </c>
      <c r="D619" s="11" t="str">
        <f>iferror(vlookup(B619,'📦 ชื่อสินค้า'!A:D,4,false),"")</f>
        <v/>
      </c>
      <c r="E619" s="16"/>
      <c r="F619" s="8" t="str">
        <f t="shared" si="1"/>
        <v/>
      </c>
      <c r="G619" s="9" t="str">
        <f>IF(LEN(B619)&gt;0,vlookup(B619,'📊 รายงานสินค้าคงเหลือ'!A:G,6,false)*E619,)</f>
        <v/>
      </c>
      <c r="H619" s="9" t="str">
        <f t="shared" si="2"/>
        <v/>
      </c>
      <c r="I619" s="10" t="str">
        <f t="shared" si="3"/>
        <v/>
      </c>
      <c r="J619" s="11" t="str">
        <f t="shared" si="4"/>
        <v/>
      </c>
      <c r="K619" s="11" t="str">
        <f>IFERROR(IF(A619&lt;&gt;"",VLOOKUP(B619,'📦 ชื่อสินค้า'!A:F,6,false),""),)</f>
        <v/>
      </c>
      <c r="L619" s="11" t="str">
        <f t="shared" si="5"/>
        <v/>
      </c>
      <c r="M619" s="13"/>
    </row>
    <row r="620">
      <c r="A620" s="15"/>
      <c r="B620" s="6"/>
      <c r="C620" s="14" t="str">
        <f>iferror(vlookup(B620,'📦 ชื่อสินค้า'!A:C,3,false),)</f>
        <v/>
      </c>
      <c r="D620" s="11" t="str">
        <f>iferror(vlookup(B620,'📦 ชื่อสินค้า'!A:D,4,false),"")</f>
        <v/>
      </c>
      <c r="E620" s="16"/>
      <c r="F620" s="8" t="str">
        <f t="shared" si="1"/>
        <v/>
      </c>
      <c r="G620" s="9" t="str">
        <f>IF(LEN(B620)&gt;0,vlookup(B620,'📊 รายงานสินค้าคงเหลือ'!A:G,6,false)*E620,)</f>
        <v/>
      </c>
      <c r="H620" s="9" t="str">
        <f t="shared" si="2"/>
        <v/>
      </c>
      <c r="I620" s="10" t="str">
        <f t="shared" si="3"/>
        <v/>
      </c>
      <c r="J620" s="11" t="str">
        <f t="shared" si="4"/>
        <v/>
      </c>
      <c r="K620" s="11" t="str">
        <f>IFERROR(IF(A620&lt;&gt;"",VLOOKUP(B620,'📦 ชื่อสินค้า'!A:F,6,false),""),)</f>
        <v/>
      </c>
      <c r="L620" s="11" t="str">
        <f t="shared" si="5"/>
        <v/>
      </c>
      <c r="M620" s="13"/>
    </row>
    <row r="621">
      <c r="A621" s="15"/>
      <c r="B621" s="6"/>
      <c r="C621" s="14" t="str">
        <f>iferror(vlookup(B621,'📦 ชื่อสินค้า'!A:C,3,false),)</f>
        <v/>
      </c>
      <c r="D621" s="11" t="str">
        <f>iferror(vlookup(B621,'📦 ชื่อสินค้า'!A:D,4,false),"")</f>
        <v/>
      </c>
      <c r="E621" s="16"/>
      <c r="F621" s="8" t="str">
        <f t="shared" si="1"/>
        <v/>
      </c>
      <c r="G621" s="9" t="str">
        <f>IF(LEN(B621)&gt;0,vlookup(B621,'📊 รายงานสินค้าคงเหลือ'!A:G,6,false)*E621,)</f>
        <v/>
      </c>
      <c r="H621" s="9" t="str">
        <f t="shared" si="2"/>
        <v/>
      </c>
      <c r="I621" s="10" t="str">
        <f t="shared" si="3"/>
        <v/>
      </c>
      <c r="J621" s="11" t="str">
        <f t="shared" si="4"/>
        <v/>
      </c>
      <c r="K621" s="11" t="str">
        <f>IFERROR(IF(A621&lt;&gt;"",VLOOKUP(B621,'📦 ชื่อสินค้า'!A:F,6,false),""),)</f>
        <v/>
      </c>
      <c r="L621" s="11" t="str">
        <f t="shared" si="5"/>
        <v/>
      </c>
      <c r="M621" s="13"/>
    </row>
    <row r="622">
      <c r="A622" s="15"/>
      <c r="B622" s="6"/>
      <c r="C622" s="14" t="str">
        <f>iferror(vlookup(B622,'📦 ชื่อสินค้า'!A:C,3,false),)</f>
        <v/>
      </c>
      <c r="D622" s="11" t="str">
        <f>iferror(vlookup(B622,'📦 ชื่อสินค้า'!A:D,4,false),"")</f>
        <v/>
      </c>
      <c r="E622" s="16"/>
      <c r="F622" s="8" t="str">
        <f t="shared" si="1"/>
        <v/>
      </c>
      <c r="G622" s="9" t="str">
        <f>IF(LEN(B622)&gt;0,vlookup(B622,'📊 รายงานสินค้าคงเหลือ'!A:G,6,false)*E622,)</f>
        <v/>
      </c>
      <c r="H622" s="9" t="str">
        <f t="shared" si="2"/>
        <v/>
      </c>
      <c r="I622" s="10" t="str">
        <f t="shared" si="3"/>
        <v/>
      </c>
      <c r="J622" s="11" t="str">
        <f t="shared" si="4"/>
        <v/>
      </c>
      <c r="K622" s="11" t="str">
        <f>IFERROR(IF(A622&lt;&gt;"",VLOOKUP(B622,'📦 ชื่อสินค้า'!A:F,6,false),""),)</f>
        <v/>
      </c>
      <c r="L622" s="11" t="str">
        <f t="shared" si="5"/>
        <v/>
      </c>
      <c r="M622" s="13"/>
    </row>
    <row r="623">
      <c r="A623" s="15"/>
      <c r="B623" s="6"/>
      <c r="C623" s="14" t="str">
        <f>iferror(vlookup(B623,'📦 ชื่อสินค้า'!A:C,3,false),)</f>
        <v/>
      </c>
      <c r="D623" s="11" t="str">
        <f>iferror(vlookup(B623,'📦 ชื่อสินค้า'!A:D,4,false),"")</f>
        <v/>
      </c>
      <c r="E623" s="16"/>
      <c r="F623" s="8" t="str">
        <f t="shared" si="1"/>
        <v/>
      </c>
      <c r="G623" s="9" t="str">
        <f>IF(LEN(B623)&gt;0,vlookup(B623,'📊 รายงานสินค้าคงเหลือ'!A:G,6,false)*E623,)</f>
        <v/>
      </c>
      <c r="H623" s="9" t="str">
        <f t="shared" si="2"/>
        <v/>
      </c>
      <c r="I623" s="10" t="str">
        <f t="shared" si="3"/>
        <v/>
      </c>
      <c r="J623" s="11" t="str">
        <f t="shared" si="4"/>
        <v/>
      </c>
      <c r="K623" s="11" t="str">
        <f>IFERROR(IF(A623&lt;&gt;"",VLOOKUP(B623,'📦 ชื่อสินค้า'!A:F,6,false),""),)</f>
        <v/>
      </c>
      <c r="L623" s="11" t="str">
        <f t="shared" si="5"/>
        <v/>
      </c>
      <c r="M623" s="13"/>
    </row>
    <row r="624">
      <c r="A624" s="15"/>
      <c r="B624" s="6"/>
      <c r="C624" s="14" t="str">
        <f>iferror(vlookup(B624,'📦 ชื่อสินค้า'!A:C,3,false),)</f>
        <v/>
      </c>
      <c r="D624" s="11" t="str">
        <f>iferror(vlookup(B624,'📦 ชื่อสินค้า'!A:D,4,false),"")</f>
        <v/>
      </c>
      <c r="E624" s="16"/>
      <c r="F624" s="8" t="str">
        <f t="shared" si="1"/>
        <v/>
      </c>
      <c r="G624" s="9" t="str">
        <f>IF(LEN(B624)&gt;0,vlookup(B624,'📊 รายงานสินค้าคงเหลือ'!A:G,6,false)*E624,)</f>
        <v/>
      </c>
      <c r="H624" s="9" t="str">
        <f t="shared" si="2"/>
        <v/>
      </c>
      <c r="I624" s="10" t="str">
        <f t="shared" si="3"/>
        <v/>
      </c>
      <c r="J624" s="11" t="str">
        <f t="shared" si="4"/>
        <v/>
      </c>
      <c r="K624" s="11" t="str">
        <f>IFERROR(IF(A624&lt;&gt;"",VLOOKUP(B624,'📦 ชื่อสินค้า'!A:F,6,false),""),)</f>
        <v/>
      </c>
      <c r="L624" s="11" t="str">
        <f t="shared" si="5"/>
        <v/>
      </c>
      <c r="M624" s="13"/>
    </row>
    <row r="625">
      <c r="A625" s="15"/>
      <c r="B625" s="6"/>
      <c r="C625" s="14" t="str">
        <f>iferror(vlookup(B625,'📦 ชื่อสินค้า'!A:C,3,false),)</f>
        <v/>
      </c>
      <c r="D625" s="11" t="str">
        <f>iferror(vlookup(B625,'📦 ชื่อสินค้า'!A:D,4,false),"")</f>
        <v/>
      </c>
      <c r="E625" s="16"/>
      <c r="F625" s="8" t="str">
        <f t="shared" si="1"/>
        <v/>
      </c>
      <c r="G625" s="9" t="str">
        <f>IF(LEN(B625)&gt;0,vlookup(B625,'📊 รายงานสินค้าคงเหลือ'!A:G,6,false)*E625,)</f>
        <v/>
      </c>
      <c r="H625" s="9" t="str">
        <f t="shared" si="2"/>
        <v/>
      </c>
      <c r="I625" s="10" t="str">
        <f t="shared" si="3"/>
        <v/>
      </c>
      <c r="J625" s="11" t="str">
        <f t="shared" si="4"/>
        <v/>
      </c>
      <c r="K625" s="11" t="str">
        <f>IFERROR(IF(A625&lt;&gt;"",VLOOKUP(B625,'📦 ชื่อสินค้า'!A:F,6,false),""),)</f>
        <v/>
      </c>
      <c r="L625" s="11" t="str">
        <f t="shared" si="5"/>
        <v/>
      </c>
      <c r="M625" s="13"/>
    </row>
    <row r="626">
      <c r="A626" s="15"/>
      <c r="B626" s="6"/>
      <c r="C626" s="14" t="str">
        <f>iferror(vlookup(B626,'📦 ชื่อสินค้า'!A:C,3,false),)</f>
        <v/>
      </c>
      <c r="D626" s="11" t="str">
        <f>iferror(vlookup(B626,'📦 ชื่อสินค้า'!A:D,4,false),"")</f>
        <v/>
      </c>
      <c r="E626" s="16"/>
      <c r="F626" s="8" t="str">
        <f t="shared" si="1"/>
        <v/>
      </c>
      <c r="G626" s="9" t="str">
        <f>IF(LEN(B626)&gt;0,vlookup(B626,'📊 รายงานสินค้าคงเหลือ'!A:G,6,false)*E626,)</f>
        <v/>
      </c>
      <c r="H626" s="9" t="str">
        <f t="shared" si="2"/>
        <v/>
      </c>
      <c r="I626" s="10" t="str">
        <f t="shared" si="3"/>
        <v/>
      </c>
      <c r="J626" s="11" t="str">
        <f t="shared" si="4"/>
        <v/>
      </c>
      <c r="K626" s="11" t="str">
        <f>IFERROR(IF(A626&lt;&gt;"",VLOOKUP(B626,'📦 ชื่อสินค้า'!A:F,6,false),""),)</f>
        <v/>
      </c>
      <c r="L626" s="11" t="str">
        <f t="shared" si="5"/>
        <v/>
      </c>
      <c r="M626" s="13"/>
    </row>
    <row r="627">
      <c r="A627" s="15"/>
      <c r="B627" s="6"/>
      <c r="C627" s="14" t="str">
        <f>iferror(vlookup(B627,'📦 ชื่อสินค้า'!A:C,3,false),)</f>
        <v/>
      </c>
      <c r="D627" s="11" t="str">
        <f>iferror(vlookup(B627,'📦 ชื่อสินค้า'!A:D,4,false),"")</f>
        <v/>
      </c>
      <c r="E627" s="16"/>
      <c r="F627" s="8" t="str">
        <f t="shared" si="1"/>
        <v/>
      </c>
      <c r="G627" s="9" t="str">
        <f>IF(LEN(B627)&gt;0,vlookup(B627,'📊 รายงานสินค้าคงเหลือ'!A:G,6,false)*E627,)</f>
        <v/>
      </c>
      <c r="H627" s="9" t="str">
        <f t="shared" si="2"/>
        <v/>
      </c>
      <c r="I627" s="10" t="str">
        <f t="shared" si="3"/>
        <v/>
      </c>
      <c r="J627" s="11" t="str">
        <f t="shared" si="4"/>
        <v/>
      </c>
      <c r="K627" s="11" t="str">
        <f>IFERROR(IF(A627&lt;&gt;"",VLOOKUP(B627,'📦 ชื่อสินค้า'!A:F,6,false),""),)</f>
        <v/>
      </c>
      <c r="L627" s="11" t="str">
        <f t="shared" si="5"/>
        <v/>
      </c>
      <c r="M627" s="13"/>
    </row>
    <row r="628">
      <c r="A628" s="15"/>
      <c r="B628" s="6"/>
      <c r="C628" s="14" t="str">
        <f>iferror(vlookup(B628,'📦 ชื่อสินค้า'!A:C,3,false),)</f>
        <v/>
      </c>
      <c r="D628" s="11" t="str">
        <f>iferror(vlookup(B628,'📦 ชื่อสินค้า'!A:D,4,false),"")</f>
        <v/>
      </c>
      <c r="E628" s="16"/>
      <c r="F628" s="8" t="str">
        <f t="shared" si="1"/>
        <v/>
      </c>
      <c r="G628" s="9" t="str">
        <f>IF(LEN(B628)&gt;0,vlookup(B628,'📊 รายงานสินค้าคงเหลือ'!A:G,6,false)*E628,)</f>
        <v/>
      </c>
      <c r="H628" s="9" t="str">
        <f t="shared" si="2"/>
        <v/>
      </c>
      <c r="I628" s="10" t="str">
        <f t="shared" si="3"/>
        <v/>
      </c>
      <c r="J628" s="11" t="str">
        <f t="shared" si="4"/>
        <v/>
      </c>
      <c r="K628" s="11" t="str">
        <f>IFERROR(IF(A628&lt;&gt;"",VLOOKUP(B628,'📦 ชื่อสินค้า'!A:F,6,false),""),)</f>
        <v/>
      </c>
      <c r="L628" s="11" t="str">
        <f t="shared" si="5"/>
        <v/>
      </c>
      <c r="M628" s="13"/>
    </row>
    <row r="629">
      <c r="A629" s="15"/>
      <c r="B629" s="6"/>
      <c r="C629" s="14" t="str">
        <f>iferror(vlookup(B629,'📦 ชื่อสินค้า'!A:C,3,false),)</f>
        <v/>
      </c>
      <c r="D629" s="11" t="str">
        <f>iferror(vlookup(B629,'📦 ชื่อสินค้า'!A:D,4,false),"")</f>
        <v/>
      </c>
      <c r="E629" s="16"/>
      <c r="F629" s="8" t="str">
        <f t="shared" si="1"/>
        <v/>
      </c>
      <c r="G629" s="9" t="str">
        <f>IF(LEN(B629)&gt;0,vlookup(B629,'📊 รายงานสินค้าคงเหลือ'!A:G,6,false)*E629,)</f>
        <v/>
      </c>
      <c r="H629" s="9" t="str">
        <f t="shared" si="2"/>
        <v/>
      </c>
      <c r="I629" s="10" t="str">
        <f t="shared" si="3"/>
        <v/>
      </c>
      <c r="J629" s="11" t="str">
        <f t="shared" si="4"/>
        <v/>
      </c>
      <c r="K629" s="11" t="str">
        <f>IFERROR(IF(A629&lt;&gt;"",VLOOKUP(B629,'📦 ชื่อสินค้า'!A:F,6,false),""),)</f>
        <v/>
      </c>
      <c r="L629" s="11" t="str">
        <f t="shared" si="5"/>
        <v/>
      </c>
      <c r="M629" s="13"/>
    </row>
    <row r="630">
      <c r="A630" s="15"/>
      <c r="B630" s="6"/>
      <c r="C630" s="14" t="str">
        <f>iferror(vlookup(B630,'📦 ชื่อสินค้า'!A:C,3,false),)</f>
        <v/>
      </c>
      <c r="D630" s="11" t="str">
        <f>iferror(vlookup(B630,'📦 ชื่อสินค้า'!A:D,4,false),"")</f>
        <v/>
      </c>
      <c r="E630" s="16"/>
      <c r="F630" s="8" t="str">
        <f t="shared" si="1"/>
        <v/>
      </c>
      <c r="G630" s="9" t="str">
        <f>IF(LEN(B630)&gt;0,vlookup(B630,'📊 รายงานสินค้าคงเหลือ'!A:G,6,false)*E630,)</f>
        <v/>
      </c>
      <c r="H630" s="9" t="str">
        <f t="shared" si="2"/>
        <v/>
      </c>
      <c r="I630" s="10" t="str">
        <f t="shared" si="3"/>
        <v/>
      </c>
      <c r="J630" s="11" t="str">
        <f t="shared" si="4"/>
        <v/>
      </c>
      <c r="K630" s="11" t="str">
        <f>IFERROR(IF(A630&lt;&gt;"",VLOOKUP(B630,'📦 ชื่อสินค้า'!A:F,6,false),""),)</f>
        <v/>
      </c>
      <c r="L630" s="11" t="str">
        <f t="shared" si="5"/>
        <v/>
      </c>
      <c r="M630" s="13"/>
    </row>
    <row r="631">
      <c r="A631" s="15"/>
      <c r="B631" s="6"/>
      <c r="C631" s="14" t="str">
        <f>iferror(vlookup(B631,'📦 ชื่อสินค้า'!A:C,3,false),)</f>
        <v/>
      </c>
      <c r="D631" s="11" t="str">
        <f>iferror(vlookup(B631,'📦 ชื่อสินค้า'!A:D,4,false),"")</f>
        <v/>
      </c>
      <c r="E631" s="16"/>
      <c r="F631" s="8" t="str">
        <f t="shared" si="1"/>
        <v/>
      </c>
      <c r="G631" s="9" t="str">
        <f>IF(LEN(B631)&gt;0,vlookup(B631,'📊 รายงานสินค้าคงเหลือ'!A:G,6,false)*E631,)</f>
        <v/>
      </c>
      <c r="H631" s="9" t="str">
        <f t="shared" si="2"/>
        <v/>
      </c>
      <c r="I631" s="10" t="str">
        <f t="shared" si="3"/>
        <v/>
      </c>
      <c r="J631" s="11" t="str">
        <f t="shared" si="4"/>
        <v/>
      </c>
      <c r="K631" s="11" t="str">
        <f>IFERROR(IF(A631&lt;&gt;"",VLOOKUP(B631,'📦 ชื่อสินค้า'!A:F,6,false),""),)</f>
        <v/>
      </c>
      <c r="L631" s="11" t="str">
        <f t="shared" si="5"/>
        <v/>
      </c>
      <c r="M631" s="13"/>
    </row>
    <row r="632">
      <c r="A632" s="15"/>
      <c r="B632" s="6"/>
      <c r="C632" s="14" t="str">
        <f>iferror(vlookup(B632,'📦 ชื่อสินค้า'!A:C,3,false),)</f>
        <v/>
      </c>
      <c r="D632" s="11" t="str">
        <f>iferror(vlookup(B632,'📦 ชื่อสินค้า'!A:D,4,false),"")</f>
        <v/>
      </c>
      <c r="E632" s="16"/>
      <c r="F632" s="8" t="str">
        <f t="shared" si="1"/>
        <v/>
      </c>
      <c r="G632" s="9" t="str">
        <f>IF(LEN(B632)&gt;0,vlookup(B632,'📊 รายงานสินค้าคงเหลือ'!A:G,6,false)*E632,)</f>
        <v/>
      </c>
      <c r="H632" s="9" t="str">
        <f t="shared" si="2"/>
        <v/>
      </c>
      <c r="I632" s="10" t="str">
        <f t="shared" si="3"/>
        <v/>
      </c>
      <c r="J632" s="11" t="str">
        <f t="shared" si="4"/>
        <v/>
      </c>
      <c r="K632" s="11" t="str">
        <f>IFERROR(IF(A632&lt;&gt;"",VLOOKUP(B632,'📦 ชื่อสินค้า'!A:F,6,false),""),)</f>
        <v/>
      </c>
      <c r="L632" s="11" t="str">
        <f t="shared" si="5"/>
        <v/>
      </c>
      <c r="M632" s="13"/>
    </row>
    <row r="633">
      <c r="A633" s="15"/>
      <c r="B633" s="6"/>
      <c r="C633" s="14" t="str">
        <f>iferror(vlookup(B633,'📦 ชื่อสินค้า'!A:C,3,false),)</f>
        <v/>
      </c>
      <c r="D633" s="11" t="str">
        <f>iferror(vlookup(B633,'📦 ชื่อสินค้า'!A:D,4,false),"")</f>
        <v/>
      </c>
      <c r="E633" s="16"/>
      <c r="F633" s="8" t="str">
        <f t="shared" si="1"/>
        <v/>
      </c>
      <c r="G633" s="9" t="str">
        <f>IF(LEN(B633)&gt;0,vlookup(B633,'📊 รายงานสินค้าคงเหลือ'!A:G,6,false)*E633,)</f>
        <v/>
      </c>
      <c r="H633" s="9" t="str">
        <f t="shared" si="2"/>
        <v/>
      </c>
      <c r="I633" s="10" t="str">
        <f t="shared" si="3"/>
        <v/>
      </c>
      <c r="J633" s="11" t="str">
        <f t="shared" si="4"/>
        <v/>
      </c>
      <c r="K633" s="11" t="str">
        <f>IFERROR(IF(A633&lt;&gt;"",VLOOKUP(B633,'📦 ชื่อสินค้า'!A:F,6,false),""),)</f>
        <v/>
      </c>
      <c r="L633" s="11" t="str">
        <f t="shared" si="5"/>
        <v/>
      </c>
      <c r="M633" s="13"/>
    </row>
    <row r="634">
      <c r="A634" s="15"/>
      <c r="B634" s="6"/>
      <c r="C634" s="14" t="str">
        <f>iferror(vlookup(B634,'📦 ชื่อสินค้า'!A:C,3,false),)</f>
        <v/>
      </c>
      <c r="D634" s="11" t="str">
        <f>iferror(vlookup(B634,'📦 ชื่อสินค้า'!A:D,4,false),"")</f>
        <v/>
      </c>
      <c r="E634" s="16"/>
      <c r="F634" s="8" t="str">
        <f t="shared" si="1"/>
        <v/>
      </c>
      <c r="G634" s="9" t="str">
        <f>IF(LEN(B634)&gt;0,vlookup(B634,'📊 รายงานสินค้าคงเหลือ'!A:G,6,false)*E634,)</f>
        <v/>
      </c>
      <c r="H634" s="9" t="str">
        <f t="shared" si="2"/>
        <v/>
      </c>
      <c r="I634" s="10" t="str">
        <f t="shared" si="3"/>
        <v/>
      </c>
      <c r="J634" s="11" t="str">
        <f t="shared" si="4"/>
        <v/>
      </c>
      <c r="K634" s="11" t="str">
        <f>IFERROR(IF(A634&lt;&gt;"",VLOOKUP(B634,'📦 ชื่อสินค้า'!A:F,6,false),""),)</f>
        <v/>
      </c>
      <c r="L634" s="11" t="str">
        <f t="shared" si="5"/>
        <v/>
      </c>
      <c r="M634" s="13"/>
    </row>
    <row r="635">
      <c r="A635" s="15"/>
      <c r="B635" s="6"/>
      <c r="C635" s="14" t="str">
        <f>iferror(vlookup(B635,'📦 ชื่อสินค้า'!A:C,3,false),)</f>
        <v/>
      </c>
      <c r="D635" s="11" t="str">
        <f>iferror(vlookup(B635,'📦 ชื่อสินค้า'!A:D,4,false),"")</f>
        <v/>
      </c>
      <c r="E635" s="16"/>
      <c r="F635" s="8" t="str">
        <f t="shared" si="1"/>
        <v/>
      </c>
      <c r="G635" s="9" t="str">
        <f>IF(LEN(B635)&gt;0,vlookup(B635,'📊 รายงานสินค้าคงเหลือ'!A:G,6,false)*E635,)</f>
        <v/>
      </c>
      <c r="H635" s="9" t="str">
        <f t="shared" si="2"/>
        <v/>
      </c>
      <c r="I635" s="10" t="str">
        <f t="shared" si="3"/>
        <v/>
      </c>
      <c r="J635" s="11" t="str">
        <f t="shared" si="4"/>
        <v/>
      </c>
      <c r="K635" s="11" t="str">
        <f>IFERROR(IF(A635&lt;&gt;"",VLOOKUP(B635,'📦 ชื่อสินค้า'!A:F,6,false),""),)</f>
        <v/>
      </c>
      <c r="L635" s="11" t="str">
        <f t="shared" si="5"/>
        <v/>
      </c>
      <c r="M635" s="13"/>
    </row>
    <row r="636">
      <c r="A636" s="15"/>
      <c r="B636" s="6"/>
      <c r="C636" s="14" t="str">
        <f>iferror(vlookup(B636,'📦 ชื่อสินค้า'!A:C,3,false),)</f>
        <v/>
      </c>
      <c r="D636" s="11" t="str">
        <f>iferror(vlookup(B636,'📦 ชื่อสินค้า'!A:D,4,false),"")</f>
        <v/>
      </c>
      <c r="E636" s="16"/>
      <c r="F636" s="8" t="str">
        <f t="shared" si="1"/>
        <v/>
      </c>
      <c r="G636" s="9" t="str">
        <f>IF(LEN(B636)&gt;0,vlookup(B636,'📊 รายงานสินค้าคงเหลือ'!A:G,6,false)*E636,)</f>
        <v/>
      </c>
      <c r="H636" s="9" t="str">
        <f t="shared" si="2"/>
        <v/>
      </c>
      <c r="I636" s="10" t="str">
        <f t="shared" si="3"/>
        <v/>
      </c>
      <c r="J636" s="11" t="str">
        <f t="shared" si="4"/>
        <v/>
      </c>
      <c r="K636" s="11" t="str">
        <f>IFERROR(IF(A636&lt;&gt;"",VLOOKUP(B636,'📦 ชื่อสินค้า'!A:F,6,false),""),)</f>
        <v/>
      </c>
      <c r="L636" s="11" t="str">
        <f t="shared" si="5"/>
        <v/>
      </c>
      <c r="M636" s="13"/>
    </row>
    <row r="637">
      <c r="A637" s="15"/>
      <c r="B637" s="6"/>
      <c r="C637" s="14" t="str">
        <f>iferror(vlookup(B637,'📦 ชื่อสินค้า'!A:C,3,false),)</f>
        <v/>
      </c>
      <c r="D637" s="11" t="str">
        <f>iferror(vlookup(B637,'📦 ชื่อสินค้า'!A:D,4,false),"")</f>
        <v/>
      </c>
      <c r="E637" s="16"/>
      <c r="F637" s="8" t="str">
        <f t="shared" si="1"/>
        <v/>
      </c>
      <c r="G637" s="9" t="str">
        <f>IF(LEN(B637)&gt;0,vlookup(B637,'📊 รายงานสินค้าคงเหลือ'!A:G,6,false)*E637,)</f>
        <v/>
      </c>
      <c r="H637" s="9" t="str">
        <f t="shared" si="2"/>
        <v/>
      </c>
      <c r="I637" s="10" t="str">
        <f t="shared" si="3"/>
        <v/>
      </c>
      <c r="J637" s="11" t="str">
        <f t="shared" si="4"/>
        <v/>
      </c>
      <c r="K637" s="11" t="str">
        <f>IFERROR(IF(A637&lt;&gt;"",VLOOKUP(B637,'📦 ชื่อสินค้า'!A:F,6,false),""),)</f>
        <v/>
      </c>
      <c r="L637" s="11" t="str">
        <f t="shared" si="5"/>
        <v/>
      </c>
      <c r="M637" s="13"/>
    </row>
    <row r="638">
      <c r="A638" s="15"/>
      <c r="B638" s="6"/>
      <c r="C638" s="14" t="str">
        <f>iferror(vlookup(B638,'📦 ชื่อสินค้า'!A:C,3,false),)</f>
        <v/>
      </c>
      <c r="D638" s="11" t="str">
        <f>iferror(vlookup(B638,'📦 ชื่อสินค้า'!A:D,4,false),"")</f>
        <v/>
      </c>
      <c r="E638" s="16"/>
      <c r="F638" s="8" t="str">
        <f t="shared" si="1"/>
        <v/>
      </c>
      <c r="G638" s="9" t="str">
        <f>IF(LEN(B638)&gt;0,vlookup(B638,'📊 รายงานสินค้าคงเหลือ'!A:G,6,false)*E638,)</f>
        <v/>
      </c>
      <c r="H638" s="9" t="str">
        <f t="shared" si="2"/>
        <v/>
      </c>
      <c r="I638" s="10" t="str">
        <f t="shared" si="3"/>
        <v/>
      </c>
      <c r="J638" s="11" t="str">
        <f t="shared" si="4"/>
        <v/>
      </c>
      <c r="K638" s="11" t="str">
        <f>IFERROR(IF(A638&lt;&gt;"",VLOOKUP(B638,'📦 ชื่อสินค้า'!A:F,6,false),""),)</f>
        <v/>
      </c>
      <c r="L638" s="11" t="str">
        <f t="shared" si="5"/>
        <v/>
      </c>
      <c r="M638" s="13"/>
    </row>
    <row r="639">
      <c r="A639" s="15"/>
      <c r="B639" s="6"/>
      <c r="C639" s="14" t="str">
        <f>iferror(vlookup(B639,'📦 ชื่อสินค้า'!A:C,3,false),)</f>
        <v/>
      </c>
      <c r="D639" s="11" t="str">
        <f>iferror(vlookup(B639,'📦 ชื่อสินค้า'!A:D,4,false),"")</f>
        <v/>
      </c>
      <c r="E639" s="16"/>
      <c r="F639" s="8" t="str">
        <f t="shared" si="1"/>
        <v/>
      </c>
      <c r="G639" s="9" t="str">
        <f>IF(LEN(B639)&gt;0,vlookup(B639,'📊 รายงานสินค้าคงเหลือ'!A:G,6,false)*E639,)</f>
        <v/>
      </c>
      <c r="H639" s="9" t="str">
        <f t="shared" si="2"/>
        <v/>
      </c>
      <c r="I639" s="10" t="str">
        <f t="shared" si="3"/>
        <v/>
      </c>
      <c r="J639" s="11" t="str">
        <f t="shared" si="4"/>
        <v/>
      </c>
      <c r="K639" s="11" t="str">
        <f>IFERROR(IF(A639&lt;&gt;"",VLOOKUP(B639,'📦 ชื่อสินค้า'!A:F,6,false),""),)</f>
        <v/>
      </c>
      <c r="L639" s="11" t="str">
        <f t="shared" si="5"/>
        <v/>
      </c>
      <c r="M639" s="13"/>
    </row>
    <row r="640">
      <c r="A640" s="15"/>
      <c r="B640" s="6"/>
      <c r="C640" s="14" t="str">
        <f>iferror(vlookup(B640,'📦 ชื่อสินค้า'!A:C,3,false),)</f>
        <v/>
      </c>
      <c r="D640" s="11" t="str">
        <f>iferror(vlookup(B640,'📦 ชื่อสินค้า'!A:D,4,false),"")</f>
        <v/>
      </c>
      <c r="E640" s="16"/>
      <c r="F640" s="8" t="str">
        <f t="shared" si="1"/>
        <v/>
      </c>
      <c r="G640" s="9" t="str">
        <f>IF(LEN(B640)&gt;0,vlookup(B640,'📊 รายงานสินค้าคงเหลือ'!A:G,6,false)*E640,)</f>
        <v/>
      </c>
      <c r="H640" s="9" t="str">
        <f t="shared" si="2"/>
        <v/>
      </c>
      <c r="I640" s="10" t="str">
        <f t="shared" si="3"/>
        <v/>
      </c>
      <c r="J640" s="11" t="str">
        <f t="shared" si="4"/>
        <v/>
      </c>
      <c r="K640" s="11" t="str">
        <f>IFERROR(IF(A640&lt;&gt;"",VLOOKUP(B640,'📦 ชื่อสินค้า'!A:F,6,false),""),)</f>
        <v/>
      </c>
      <c r="L640" s="11" t="str">
        <f t="shared" si="5"/>
        <v/>
      </c>
      <c r="M640" s="13"/>
    </row>
    <row r="641">
      <c r="A641" s="15"/>
      <c r="B641" s="6"/>
      <c r="C641" s="14" t="str">
        <f>iferror(vlookup(B641,'📦 ชื่อสินค้า'!A:C,3,false),)</f>
        <v/>
      </c>
      <c r="D641" s="11" t="str">
        <f>iferror(vlookup(B641,'📦 ชื่อสินค้า'!A:D,4,false),"")</f>
        <v/>
      </c>
      <c r="E641" s="16"/>
      <c r="F641" s="8" t="str">
        <f t="shared" si="1"/>
        <v/>
      </c>
      <c r="G641" s="9" t="str">
        <f>IF(LEN(B641)&gt;0,vlookup(B641,'📊 รายงานสินค้าคงเหลือ'!A:G,6,false)*E641,)</f>
        <v/>
      </c>
      <c r="H641" s="9" t="str">
        <f t="shared" si="2"/>
        <v/>
      </c>
      <c r="I641" s="10" t="str">
        <f t="shared" si="3"/>
        <v/>
      </c>
      <c r="J641" s="11" t="str">
        <f t="shared" si="4"/>
        <v/>
      </c>
      <c r="K641" s="11" t="str">
        <f>IFERROR(IF(A641&lt;&gt;"",VLOOKUP(B641,'📦 ชื่อสินค้า'!A:F,6,false),""),)</f>
        <v/>
      </c>
      <c r="L641" s="11" t="str">
        <f t="shared" si="5"/>
        <v/>
      </c>
      <c r="M641" s="13"/>
    </row>
    <row r="642">
      <c r="A642" s="15"/>
      <c r="B642" s="6"/>
      <c r="C642" s="14" t="str">
        <f>iferror(vlookup(B642,'📦 ชื่อสินค้า'!A:C,3,false),)</f>
        <v/>
      </c>
      <c r="D642" s="11" t="str">
        <f>iferror(vlookup(B642,'📦 ชื่อสินค้า'!A:D,4,false),"")</f>
        <v/>
      </c>
      <c r="E642" s="16"/>
      <c r="F642" s="8" t="str">
        <f t="shared" si="1"/>
        <v/>
      </c>
      <c r="G642" s="9" t="str">
        <f>IF(LEN(B642)&gt;0,vlookup(B642,'📊 รายงานสินค้าคงเหลือ'!A:G,6,false)*E642,)</f>
        <v/>
      </c>
      <c r="H642" s="9" t="str">
        <f t="shared" si="2"/>
        <v/>
      </c>
      <c r="I642" s="10" t="str">
        <f t="shared" si="3"/>
        <v/>
      </c>
      <c r="J642" s="11" t="str">
        <f t="shared" si="4"/>
        <v/>
      </c>
      <c r="K642" s="11" t="str">
        <f>IFERROR(IF(A642&lt;&gt;"",VLOOKUP(B642,'📦 ชื่อสินค้า'!A:F,6,false),""),)</f>
        <v/>
      </c>
      <c r="L642" s="11" t="str">
        <f t="shared" si="5"/>
        <v/>
      </c>
      <c r="M642" s="13"/>
    </row>
    <row r="643">
      <c r="A643" s="15"/>
      <c r="B643" s="6"/>
      <c r="C643" s="14" t="str">
        <f>iferror(vlookup(B643,'📦 ชื่อสินค้า'!A:C,3,false),)</f>
        <v/>
      </c>
      <c r="D643" s="11" t="str">
        <f>iferror(vlookup(B643,'📦 ชื่อสินค้า'!A:D,4,false),"")</f>
        <v/>
      </c>
      <c r="E643" s="16"/>
      <c r="F643" s="8" t="str">
        <f t="shared" si="1"/>
        <v/>
      </c>
      <c r="G643" s="9" t="str">
        <f>IF(LEN(B643)&gt;0,vlookup(B643,'📊 รายงานสินค้าคงเหลือ'!A:G,6,false)*E643,)</f>
        <v/>
      </c>
      <c r="H643" s="9" t="str">
        <f t="shared" si="2"/>
        <v/>
      </c>
      <c r="I643" s="10" t="str">
        <f t="shared" si="3"/>
        <v/>
      </c>
      <c r="J643" s="11" t="str">
        <f t="shared" si="4"/>
        <v/>
      </c>
      <c r="K643" s="11" t="str">
        <f>IFERROR(IF(A643&lt;&gt;"",VLOOKUP(B643,'📦 ชื่อสินค้า'!A:F,6,false),""),)</f>
        <v/>
      </c>
      <c r="L643" s="11" t="str">
        <f t="shared" si="5"/>
        <v/>
      </c>
      <c r="M643" s="13"/>
    </row>
    <row r="644">
      <c r="A644" s="15"/>
      <c r="B644" s="6"/>
      <c r="C644" s="14" t="str">
        <f>iferror(vlookup(B644,'📦 ชื่อสินค้า'!A:C,3,false),)</f>
        <v/>
      </c>
      <c r="D644" s="11" t="str">
        <f>iferror(vlookup(B644,'📦 ชื่อสินค้า'!A:D,4,false),"")</f>
        <v/>
      </c>
      <c r="E644" s="16"/>
      <c r="F644" s="8" t="str">
        <f t="shared" si="1"/>
        <v/>
      </c>
      <c r="G644" s="9" t="str">
        <f>IF(LEN(B644)&gt;0,vlookup(B644,'📊 รายงานสินค้าคงเหลือ'!A:G,6,false)*E644,)</f>
        <v/>
      </c>
      <c r="H644" s="9" t="str">
        <f t="shared" si="2"/>
        <v/>
      </c>
      <c r="I644" s="10" t="str">
        <f t="shared" si="3"/>
        <v/>
      </c>
      <c r="J644" s="11" t="str">
        <f t="shared" si="4"/>
        <v/>
      </c>
      <c r="K644" s="11" t="str">
        <f>IFERROR(IF(A644&lt;&gt;"",VLOOKUP(B644,'📦 ชื่อสินค้า'!A:F,6,false),""),)</f>
        <v/>
      </c>
      <c r="L644" s="11" t="str">
        <f t="shared" si="5"/>
        <v/>
      </c>
      <c r="M644" s="13"/>
    </row>
    <row r="645">
      <c r="A645" s="15"/>
      <c r="B645" s="6"/>
      <c r="C645" s="14" t="str">
        <f>iferror(vlookup(B645,'📦 ชื่อสินค้า'!A:C,3,false),)</f>
        <v/>
      </c>
      <c r="D645" s="11" t="str">
        <f>iferror(vlookup(B645,'📦 ชื่อสินค้า'!A:D,4,false),"")</f>
        <v/>
      </c>
      <c r="E645" s="16"/>
      <c r="F645" s="8" t="str">
        <f t="shared" si="1"/>
        <v/>
      </c>
      <c r="G645" s="9" t="str">
        <f>IF(LEN(B645)&gt;0,vlookup(B645,'📊 รายงานสินค้าคงเหลือ'!A:G,6,false)*E645,)</f>
        <v/>
      </c>
      <c r="H645" s="9" t="str">
        <f t="shared" si="2"/>
        <v/>
      </c>
      <c r="I645" s="10" t="str">
        <f t="shared" si="3"/>
        <v/>
      </c>
      <c r="J645" s="11" t="str">
        <f t="shared" si="4"/>
        <v/>
      </c>
      <c r="K645" s="11" t="str">
        <f>IFERROR(IF(A645&lt;&gt;"",VLOOKUP(B645,'📦 ชื่อสินค้า'!A:F,6,false),""),)</f>
        <v/>
      </c>
      <c r="L645" s="11" t="str">
        <f t="shared" si="5"/>
        <v/>
      </c>
      <c r="M645" s="13"/>
    </row>
    <row r="646">
      <c r="A646" s="15"/>
      <c r="B646" s="6"/>
      <c r="C646" s="14" t="str">
        <f>iferror(vlookup(B646,'📦 ชื่อสินค้า'!A:C,3,false),)</f>
        <v/>
      </c>
      <c r="D646" s="11" t="str">
        <f>iferror(vlookup(B646,'📦 ชื่อสินค้า'!A:D,4,false),"")</f>
        <v/>
      </c>
      <c r="E646" s="16"/>
      <c r="F646" s="8" t="str">
        <f t="shared" si="1"/>
        <v/>
      </c>
      <c r="G646" s="9" t="str">
        <f>IF(LEN(B646)&gt;0,vlookup(B646,'📊 รายงานสินค้าคงเหลือ'!A:G,6,false)*E646,)</f>
        <v/>
      </c>
      <c r="H646" s="9" t="str">
        <f t="shared" si="2"/>
        <v/>
      </c>
      <c r="I646" s="10" t="str">
        <f t="shared" si="3"/>
        <v/>
      </c>
      <c r="J646" s="11" t="str">
        <f t="shared" si="4"/>
        <v/>
      </c>
      <c r="K646" s="11" t="str">
        <f>IFERROR(IF(A646&lt;&gt;"",VLOOKUP(B646,'📦 ชื่อสินค้า'!A:F,6,false),""),)</f>
        <v/>
      </c>
      <c r="L646" s="11" t="str">
        <f t="shared" si="5"/>
        <v/>
      </c>
      <c r="M646" s="13"/>
    </row>
    <row r="647">
      <c r="A647" s="15"/>
      <c r="B647" s="6"/>
      <c r="C647" s="14" t="str">
        <f>iferror(vlookup(B647,'📦 ชื่อสินค้า'!A:C,3,false),)</f>
        <v/>
      </c>
      <c r="D647" s="11" t="str">
        <f>iferror(vlookup(B647,'📦 ชื่อสินค้า'!A:D,4,false),"")</f>
        <v/>
      </c>
      <c r="E647" s="16"/>
      <c r="F647" s="8" t="str">
        <f t="shared" si="1"/>
        <v/>
      </c>
      <c r="G647" s="9" t="str">
        <f>IF(LEN(B647)&gt;0,vlookup(B647,'📊 รายงานสินค้าคงเหลือ'!A:G,6,false)*E647,)</f>
        <v/>
      </c>
      <c r="H647" s="9" t="str">
        <f t="shared" si="2"/>
        <v/>
      </c>
      <c r="I647" s="10" t="str">
        <f t="shared" si="3"/>
        <v/>
      </c>
      <c r="J647" s="11" t="str">
        <f t="shared" si="4"/>
        <v/>
      </c>
      <c r="K647" s="11" t="str">
        <f>IFERROR(IF(A647&lt;&gt;"",VLOOKUP(B647,'📦 ชื่อสินค้า'!A:F,6,false),""),)</f>
        <v/>
      </c>
      <c r="L647" s="11" t="str">
        <f t="shared" si="5"/>
        <v/>
      </c>
      <c r="M647" s="13"/>
    </row>
    <row r="648">
      <c r="A648" s="15"/>
      <c r="B648" s="6"/>
      <c r="C648" s="14" t="str">
        <f>iferror(vlookup(B648,'📦 ชื่อสินค้า'!A:C,3,false),)</f>
        <v/>
      </c>
      <c r="D648" s="11" t="str">
        <f>iferror(vlookup(B648,'📦 ชื่อสินค้า'!A:D,4,false),"")</f>
        <v/>
      </c>
      <c r="E648" s="16"/>
      <c r="F648" s="8" t="str">
        <f t="shared" si="1"/>
        <v/>
      </c>
      <c r="G648" s="9" t="str">
        <f>IF(LEN(B648)&gt;0,vlookup(B648,'📊 รายงานสินค้าคงเหลือ'!A:G,6,false)*E648,)</f>
        <v/>
      </c>
      <c r="H648" s="9" t="str">
        <f t="shared" si="2"/>
        <v/>
      </c>
      <c r="I648" s="10" t="str">
        <f t="shared" si="3"/>
        <v/>
      </c>
      <c r="J648" s="11" t="str">
        <f t="shared" si="4"/>
        <v/>
      </c>
      <c r="K648" s="11" t="str">
        <f>IFERROR(IF(A648&lt;&gt;"",VLOOKUP(B648,'📦 ชื่อสินค้า'!A:F,6,false),""),)</f>
        <v/>
      </c>
      <c r="L648" s="11" t="str">
        <f t="shared" si="5"/>
        <v/>
      </c>
      <c r="M648" s="13"/>
    </row>
    <row r="649">
      <c r="A649" s="15"/>
      <c r="B649" s="6"/>
      <c r="C649" s="14" t="str">
        <f>iferror(vlookup(B649,'📦 ชื่อสินค้า'!A:C,3,false),)</f>
        <v/>
      </c>
      <c r="D649" s="11" t="str">
        <f>iferror(vlookup(B649,'📦 ชื่อสินค้า'!A:D,4,false),"")</f>
        <v/>
      </c>
      <c r="E649" s="16"/>
      <c r="F649" s="8" t="str">
        <f t="shared" si="1"/>
        <v/>
      </c>
      <c r="G649" s="9" t="str">
        <f>IF(LEN(B649)&gt;0,vlookup(B649,'📊 รายงานสินค้าคงเหลือ'!A:G,6,false)*E649,)</f>
        <v/>
      </c>
      <c r="H649" s="9" t="str">
        <f t="shared" si="2"/>
        <v/>
      </c>
      <c r="I649" s="10" t="str">
        <f t="shared" si="3"/>
        <v/>
      </c>
      <c r="J649" s="11" t="str">
        <f t="shared" si="4"/>
        <v/>
      </c>
      <c r="K649" s="11" t="str">
        <f>IFERROR(IF(A649&lt;&gt;"",VLOOKUP(B649,'📦 ชื่อสินค้า'!A:F,6,false),""),)</f>
        <v/>
      </c>
      <c r="L649" s="11" t="str">
        <f t="shared" si="5"/>
        <v/>
      </c>
      <c r="M649" s="13"/>
    </row>
    <row r="650">
      <c r="A650" s="15"/>
      <c r="B650" s="6"/>
      <c r="C650" s="14" t="str">
        <f>iferror(vlookup(B650,'📦 ชื่อสินค้า'!A:C,3,false),)</f>
        <v/>
      </c>
      <c r="D650" s="11" t="str">
        <f>iferror(vlookup(B650,'📦 ชื่อสินค้า'!A:D,4,false),"")</f>
        <v/>
      </c>
      <c r="E650" s="16"/>
      <c r="F650" s="8" t="str">
        <f t="shared" si="1"/>
        <v/>
      </c>
      <c r="G650" s="9" t="str">
        <f>IF(LEN(B650)&gt;0,vlookup(B650,'📊 รายงานสินค้าคงเหลือ'!A:G,6,false)*E650,)</f>
        <v/>
      </c>
      <c r="H650" s="9" t="str">
        <f t="shared" si="2"/>
        <v/>
      </c>
      <c r="I650" s="10" t="str">
        <f t="shared" si="3"/>
        <v/>
      </c>
      <c r="J650" s="11" t="str">
        <f t="shared" si="4"/>
        <v/>
      </c>
      <c r="K650" s="11" t="str">
        <f>IFERROR(IF(A650&lt;&gt;"",VLOOKUP(B650,'📦 ชื่อสินค้า'!A:F,6,false),""),)</f>
        <v/>
      </c>
      <c r="L650" s="11" t="str">
        <f t="shared" si="5"/>
        <v/>
      </c>
      <c r="M650" s="13"/>
    </row>
    <row r="651">
      <c r="A651" s="15"/>
      <c r="B651" s="6"/>
      <c r="C651" s="14" t="str">
        <f>iferror(vlookup(B651,'📦 ชื่อสินค้า'!A:C,3,false),)</f>
        <v/>
      </c>
      <c r="D651" s="11" t="str">
        <f>iferror(vlookup(B651,'📦 ชื่อสินค้า'!A:D,4,false),"")</f>
        <v/>
      </c>
      <c r="E651" s="16"/>
      <c r="F651" s="8" t="str">
        <f t="shared" si="1"/>
        <v/>
      </c>
      <c r="G651" s="9" t="str">
        <f>IF(LEN(B651)&gt;0,vlookup(B651,'📊 รายงานสินค้าคงเหลือ'!A:G,6,false)*E651,)</f>
        <v/>
      </c>
      <c r="H651" s="9" t="str">
        <f t="shared" si="2"/>
        <v/>
      </c>
      <c r="I651" s="10" t="str">
        <f t="shared" si="3"/>
        <v/>
      </c>
      <c r="J651" s="11" t="str">
        <f t="shared" si="4"/>
        <v/>
      </c>
      <c r="K651" s="11" t="str">
        <f>IFERROR(IF(A651&lt;&gt;"",VLOOKUP(B651,'📦 ชื่อสินค้า'!A:F,6,false),""),)</f>
        <v/>
      </c>
      <c r="L651" s="11" t="str">
        <f t="shared" si="5"/>
        <v/>
      </c>
      <c r="M651" s="13"/>
    </row>
    <row r="652">
      <c r="A652" s="15"/>
      <c r="B652" s="6"/>
      <c r="C652" s="14" t="str">
        <f>iferror(vlookup(B652,'📦 ชื่อสินค้า'!A:C,3,false),)</f>
        <v/>
      </c>
      <c r="D652" s="11" t="str">
        <f>iferror(vlookup(B652,'📦 ชื่อสินค้า'!A:D,4,false),"")</f>
        <v/>
      </c>
      <c r="E652" s="16"/>
      <c r="F652" s="8" t="str">
        <f t="shared" si="1"/>
        <v/>
      </c>
      <c r="G652" s="9" t="str">
        <f>IF(LEN(B652)&gt;0,vlookup(B652,'📊 รายงานสินค้าคงเหลือ'!A:G,6,false)*E652,)</f>
        <v/>
      </c>
      <c r="H652" s="9" t="str">
        <f t="shared" si="2"/>
        <v/>
      </c>
      <c r="I652" s="10" t="str">
        <f t="shared" si="3"/>
        <v/>
      </c>
      <c r="J652" s="11" t="str">
        <f t="shared" si="4"/>
        <v/>
      </c>
      <c r="K652" s="11" t="str">
        <f>IFERROR(IF(A652&lt;&gt;"",VLOOKUP(B652,'📦 ชื่อสินค้า'!A:F,6,false),""),)</f>
        <v/>
      </c>
      <c r="L652" s="11" t="str">
        <f t="shared" si="5"/>
        <v/>
      </c>
      <c r="M652" s="13"/>
    </row>
    <row r="653">
      <c r="A653" s="15"/>
      <c r="B653" s="6"/>
      <c r="C653" s="14" t="str">
        <f>iferror(vlookup(B653,'📦 ชื่อสินค้า'!A:C,3,false),)</f>
        <v/>
      </c>
      <c r="D653" s="11" t="str">
        <f>iferror(vlookup(B653,'📦 ชื่อสินค้า'!A:D,4,false),"")</f>
        <v/>
      </c>
      <c r="E653" s="16"/>
      <c r="F653" s="8" t="str">
        <f t="shared" si="1"/>
        <v/>
      </c>
      <c r="G653" s="9" t="str">
        <f>IF(LEN(B653)&gt;0,vlookup(B653,'📊 รายงานสินค้าคงเหลือ'!A:G,6,false)*E653,)</f>
        <v/>
      </c>
      <c r="H653" s="9" t="str">
        <f t="shared" si="2"/>
        <v/>
      </c>
      <c r="I653" s="10" t="str">
        <f t="shared" si="3"/>
        <v/>
      </c>
      <c r="J653" s="11" t="str">
        <f t="shared" si="4"/>
        <v/>
      </c>
      <c r="K653" s="11" t="str">
        <f>IFERROR(IF(A653&lt;&gt;"",VLOOKUP(B653,'📦 ชื่อสินค้า'!A:F,6,false),""),)</f>
        <v/>
      </c>
      <c r="L653" s="11" t="str">
        <f t="shared" si="5"/>
        <v/>
      </c>
      <c r="M653" s="13"/>
    </row>
    <row r="654">
      <c r="A654" s="15"/>
      <c r="B654" s="6"/>
      <c r="C654" s="14" t="str">
        <f>iferror(vlookup(B654,'📦 ชื่อสินค้า'!A:C,3,false),)</f>
        <v/>
      </c>
      <c r="D654" s="11" t="str">
        <f>iferror(vlookup(B654,'📦 ชื่อสินค้า'!A:D,4,false),"")</f>
        <v/>
      </c>
      <c r="E654" s="16"/>
      <c r="F654" s="8" t="str">
        <f t="shared" si="1"/>
        <v/>
      </c>
      <c r="G654" s="9" t="str">
        <f>IF(LEN(B654)&gt;0,vlookup(B654,'📊 รายงานสินค้าคงเหลือ'!A:G,6,false)*E654,)</f>
        <v/>
      </c>
      <c r="H654" s="9" t="str">
        <f t="shared" si="2"/>
        <v/>
      </c>
      <c r="I654" s="10" t="str">
        <f t="shared" si="3"/>
        <v/>
      </c>
      <c r="J654" s="11" t="str">
        <f t="shared" si="4"/>
        <v/>
      </c>
      <c r="K654" s="11" t="str">
        <f>IFERROR(IF(A654&lt;&gt;"",VLOOKUP(B654,'📦 ชื่อสินค้า'!A:F,6,false),""),)</f>
        <v/>
      </c>
      <c r="L654" s="11" t="str">
        <f t="shared" si="5"/>
        <v/>
      </c>
      <c r="M654" s="13"/>
    </row>
    <row r="655">
      <c r="A655" s="15"/>
      <c r="B655" s="6"/>
      <c r="C655" s="14" t="str">
        <f>iferror(vlookup(B655,'📦 ชื่อสินค้า'!A:C,3,false),)</f>
        <v/>
      </c>
      <c r="D655" s="11" t="str">
        <f>iferror(vlookup(B655,'📦 ชื่อสินค้า'!A:D,4,false),"")</f>
        <v/>
      </c>
      <c r="E655" s="16"/>
      <c r="F655" s="8" t="str">
        <f t="shared" si="1"/>
        <v/>
      </c>
      <c r="G655" s="9" t="str">
        <f>IF(LEN(B655)&gt;0,vlookup(B655,'📊 รายงานสินค้าคงเหลือ'!A:G,6,false)*E655,)</f>
        <v/>
      </c>
      <c r="H655" s="9" t="str">
        <f t="shared" si="2"/>
        <v/>
      </c>
      <c r="I655" s="10" t="str">
        <f t="shared" si="3"/>
        <v/>
      </c>
      <c r="J655" s="11" t="str">
        <f t="shared" si="4"/>
        <v/>
      </c>
      <c r="K655" s="11" t="str">
        <f>IFERROR(IF(A655&lt;&gt;"",VLOOKUP(B655,'📦 ชื่อสินค้า'!A:F,6,false),""),)</f>
        <v/>
      </c>
      <c r="L655" s="11" t="str">
        <f t="shared" si="5"/>
        <v/>
      </c>
      <c r="M655" s="13"/>
    </row>
    <row r="656">
      <c r="A656" s="15"/>
      <c r="B656" s="6"/>
      <c r="C656" s="14" t="str">
        <f>iferror(vlookup(B656,'📦 ชื่อสินค้า'!A:C,3,false),)</f>
        <v/>
      </c>
      <c r="D656" s="11" t="str">
        <f>iferror(vlookup(B656,'📦 ชื่อสินค้า'!A:D,4,false),"")</f>
        <v/>
      </c>
      <c r="E656" s="16"/>
      <c r="F656" s="8" t="str">
        <f t="shared" si="1"/>
        <v/>
      </c>
      <c r="G656" s="9" t="str">
        <f>IF(LEN(B656)&gt;0,vlookup(B656,'📊 รายงานสินค้าคงเหลือ'!A:G,6,false)*E656,)</f>
        <v/>
      </c>
      <c r="H656" s="9" t="str">
        <f t="shared" si="2"/>
        <v/>
      </c>
      <c r="I656" s="10" t="str">
        <f t="shared" si="3"/>
        <v/>
      </c>
      <c r="J656" s="11" t="str">
        <f t="shared" si="4"/>
        <v/>
      </c>
      <c r="K656" s="11" t="str">
        <f>IFERROR(IF(A656&lt;&gt;"",VLOOKUP(B656,'📦 ชื่อสินค้า'!A:F,6,false),""),)</f>
        <v/>
      </c>
      <c r="L656" s="11" t="str">
        <f t="shared" si="5"/>
        <v/>
      </c>
      <c r="M656" s="13"/>
    </row>
    <row r="657">
      <c r="A657" s="15"/>
      <c r="B657" s="6"/>
      <c r="C657" s="14" t="str">
        <f>iferror(vlookup(B657,'📦 ชื่อสินค้า'!A:C,3,false),)</f>
        <v/>
      </c>
      <c r="D657" s="11" t="str">
        <f>iferror(vlookup(B657,'📦 ชื่อสินค้า'!A:D,4,false),"")</f>
        <v/>
      </c>
      <c r="E657" s="16"/>
      <c r="F657" s="8" t="str">
        <f t="shared" si="1"/>
        <v/>
      </c>
      <c r="G657" s="9" t="str">
        <f>IF(LEN(B657)&gt;0,vlookup(B657,'📊 รายงานสินค้าคงเหลือ'!A:G,6,false)*E657,)</f>
        <v/>
      </c>
      <c r="H657" s="9" t="str">
        <f t="shared" si="2"/>
        <v/>
      </c>
      <c r="I657" s="10" t="str">
        <f t="shared" si="3"/>
        <v/>
      </c>
      <c r="J657" s="11" t="str">
        <f t="shared" si="4"/>
        <v/>
      </c>
      <c r="K657" s="11" t="str">
        <f>IFERROR(IF(A657&lt;&gt;"",VLOOKUP(B657,'📦 ชื่อสินค้า'!A:F,6,false),""),)</f>
        <v/>
      </c>
      <c r="L657" s="11" t="str">
        <f t="shared" si="5"/>
        <v/>
      </c>
      <c r="M657" s="13"/>
    </row>
    <row r="658">
      <c r="A658" s="15"/>
      <c r="B658" s="6"/>
      <c r="C658" s="14" t="str">
        <f>iferror(vlookup(B658,'📦 ชื่อสินค้า'!A:C,3,false),)</f>
        <v/>
      </c>
      <c r="D658" s="11" t="str">
        <f>iferror(vlookup(B658,'📦 ชื่อสินค้า'!A:D,4,false),"")</f>
        <v/>
      </c>
      <c r="E658" s="16"/>
      <c r="F658" s="8" t="str">
        <f t="shared" si="1"/>
        <v/>
      </c>
      <c r="G658" s="9" t="str">
        <f>IF(LEN(B658)&gt;0,vlookup(B658,'📊 รายงานสินค้าคงเหลือ'!A:G,6,false)*E658,)</f>
        <v/>
      </c>
      <c r="H658" s="9" t="str">
        <f t="shared" si="2"/>
        <v/>
      </c>
      <c r="I658" s="10" t="str">
        <f t="shared" si="3"/>
        <v/>
      </c>
      <c r="J658" s="11" t="str">
        <f t="shared" si="4"/>
        <v/>
      </c>
      <c r="K658" s="11" t="str">
        <f>IFERROR(IF(A658&lt;&gt;"",VLOOKUP(B658,'📦 ชื่อสินค้า'!A:F,6,false),""),)</f>
        <v/>
      </c>
      <c r="L658" s="11" t="str">
        <f t="shared" si="5"/>
        <v/>
      </c>
      <c r="M658" s="13"/>
    </row>
    <row r="659">
      <c r="A659" s="15"/>
      <c r="B659" s="6"/>
      <c r="C659" s="14" t="str">
        <f>iferror(vlookup(B659,'📦 ชื่อสินค้า'!A:C,3,false),)</f>
        <v/>
      </c>
      <c r="D659" s="11" t="str">
        <f>iferror(vlookup(B659,'📦 ชื่อสินค้า'!A:D,4,false),"")</f>
        <v/>
      </c>
      <c r="E659" s="16"/>
      <c r="F659" s="8" t="str">
        <f t="shared" si="1"/>
        <v/>
      </c>
      <c r="G659" s="9" t="str">
        <f>IF(LEN(B659)&gt;0,vlookup(B659,'📊 รายงานสินค้าคงเหลือ'!A:G,6,false)*E659,)</f>
        <v/>
      </c>
      <c r="H659" s="9" t="str">
        <f t="shared" si="2"/>
        <v/>
      </c>
      <c r="I659" s="10" t="str">
        <f t="shared" si="3"/>
        <v/>
      </c>
      <c r="J659" s="11" t="str">
        <f t="shared" si="4"/>
        <v/>
      </c>
      <c r="K659" s="11" t="str">
        <f>IFERROR(IF(A659&lt;&gt;"",VLOOKUP(B659,'📦 ชื่อสินค้า'!A:F,6,false),""),)</f>
        <v/>
      </c>
      <c r="L659" s="11" t="str">
        <f t="shared" si="5"/>
        <v/>
      </c>
      <c r="M659" s="13"/>
    </row>
    <row r="660">
      <c r="A660" s="15"/>
      <c r="B660" s="6"/>
      <c r="C660" s="14" t="str">
        <f>iferror(vlookup(B660,'📦 ชื่อสินค้า'!A:C,3,false),)</f>
        <v/>
      </c>
      <c r="D660" s="11" t="str">
        <f>iferror(vlookup(B660,'📦 ชื่อสินค้า'!A:D,4,false),"")</f>
        <v/>
      </c>
      <c r="E660" s="16"/>
      <c r="F660" s="8" t="str">
        <f t="shared" si="1"/>
        <v/>
      </c>
      <c r="G660" s="9" t="str">
        <f>IF(LEN(B660)&gt;0,vlookup(B660,'📊 รายงานสินค้าคงเหลือ'!A:G,6,false)*E660,)</f>
        <v/>
      </c>
      <c r="H660" s="9" t="str">
        <f t="shared" si="2"/>
        <v/>
      </c>
      <c r="I660" s="10" t="str">
        <f t="shared" si="3"/>
        <v/>
      </c>
      <c r="J660" s="11" t="str">
        <f t="shared" si="4"/>
        <v/>
      </c>
      <c r="K660" s="11" t="str">
        <f>IFERROR(IF(A660&lt;&gt;"",VLOOKUP(B660,'📦 ชื่อสินค้า'!A:F,6,false),""),)</f>
        <v/>
      </c>
      <c r="L660" s="11" t="str">
        <f t="shared" si="5"/>
        <v/>
      </c>
      <c r="M660" s="13"/>
    </row>
    <row r="661">
      <c r="A661" s="15"/>
      <c r="B661" s="6"/>
      <c r="C661" s="14" t="str">
        <f>iferror(vlookup(B661,'📦 ชื่อสินค้า'!A:C,3,false),)</f>
        <v/>
      </c>
      <c r="D661" s="11" t="str">
        <f>iferror(vlookup(B661,'📦 ชื่อสินค้า'!A:D,4,false),"")</f>
        <v/>
      </c>
      <c r="E661" s="16"/>
      <c r="F661" s="8" t="str">
        <f t="shared" si="1"/>
        <v/>
      </c>
      <c r="G661" s="9" t="str">
        <f>IF(LEN(B661)&gt;0,vlookup(B661,'📊 รายงานสินค้าคงเหลือ'!A:G,6,false)*E661,)</f>
        <v/>
      </c>
      <c r="H661" s="9" t="str">
        <f t="shared" si="2"/>
        <v/>
      </c>
      <c r="I661" s="10" t="str">
        <f t="shared" si="3"/>
        <v/>
      </c>
      <c r="J661" s="11" t="str">
        <f t="shared" si="4"/>
        <v/>
      </c>
      <c r="K661" s="11" t="str">
        <f>IFERROR(IF(A661&lt;&gt;"",VLOOKUP(B661,'📦 ชื่อสินค้า'!A:F,6,false),""),)</f>
        <v/>
      </c>
      <c r="L661" s="11" t="str">
        <f t="shared" si="5"/>
        <v/>
      </c>
      <c r="M661" s="13"/>
    </row>
    <row r="662">
      <c r="A662" s="15"/>
      <c r="B662" s="6"/>
      <c r="C662" s="14" t="str">
        <f>iferror(vlookup(B662,'📦 ชื่อสินค้า'!A:C,3,false),)</f>
        <v/>
      </c>
      <c r="D662" s="11" t="str">
        <f>iferror(vlookup(B662,'📦 ชื่อสินค้า'!A:D,4,false),"")</f>
        <v/>
      </c>
      <c r="E662" s="16"/>
      <c r="F662" s="8" t="str">
        <f t="shared" si="1"/>
        <v/>
      </c>
      <c r="G662" s="9" t="str">
        <f>IF(LEN(B662)&gt;0,vlookup(B662,'📊 รายงานสินค้าคงเหลือ'!A:G,6,false)*E662,)</f>
        <v/>
      </c>
      <c r="H662" s="9" t="str">
        <f t="shared" si="2"/>
        <v/>
      </c>
      <c r="I662" s="10" t="str">
        <f t="shared" si="3"/>
        <v/>
      </c>
      <c r="J662" s="11" t="str">
        <f t="shared" si="4"/>
        <v/>
      </c>
      <c r="K662" s="11" t="str">
        <f>IFERROR(IF(A662&lt;&gt;"",VLOOKUP(B662,'📦 ชื่อสินค้า'!A:F,6,false),""),)</f>
        <v/>
      </c>
      <c r="L662" s="11" t="str">
        <f t="shared" si="5"/>
        <v/>
      </c>
      <c r="M662" s="13"/>
    </row>
    <row r="663">
      <c r="A663" s="15"/>
      <c r="B663" s="6"/>
      <c r="C663" s="14" t="str">
        <f>iferror(vlookup(B663,'📦 ชื่อสินค้า'!A:C,3,false),)</f>
        <v/>
      </c>
      <c r="D663" s="11" t="str">
        <f>iferror(vlookup(B663,'📦 ชื่อสินค้า'!A:D,4,false),"")</f>
        <v/>
      </c>
      <c r="E663" s="16"/>
      <c r="F663" s="8" t="str">
        <f t="shared" si="1"/>
        <v/>
      </c>
      <c r="G663" s="9" t="str">
        <f>IF(LEN(B663)&gt;0,vlookup(B663,'📊 รายงานสินค้าคงเหลือ'!A:G,6,false)*E663,)</f>
        <v/>
      </c>
      <c r="H663" s="9" t="str">
        <f t="shared" si="2"/>
        <v/>
      </c>
      <c r="I663" s="10" t="str">
        <f t="shared" si="3"/>
        <v/>
      </c>
      <c r="J663" s="11" t="str">
        <f t="shared" si="4"/>
        <v/>
      </c>
      <c r="K663" s="11" t="str">
        <f>IFERROR(IF(A663&lt;&gt;"",VLOOKUP(B663,'📦 ชื่อสินค้า'!A:F,6,false),""),)</f>
        <v/>
      </c>
      <c r="L663" s="11" t="str">
        <f t="shared" si="5"/>
        <v/>
      </c>
      <c r="M663" s="13"/>
    </row>
    <row r="664">
      <c r="A664" s="15"/>
      <c r="B664" s="6"/>
      <c r="C664" s="14" t="str">
        <f>iferror(vlookup(B664,'📦 ชื่อสินค้า'!A:C,3,false),)</f>
        <v/>
      </c>
      <c r="D664" s="11" t="str">
        <f>iferror(vlookup(B664,'📦 ชื่อสินค้า'!A:D,4,false),"")</f>
        <v/>
      </c>
      <c r="E664" s="16"/>
      <c r="F664" s="8" t="str">
        <f t="shared" si="1"/>
        <v/>
      </c>
      <c r="G664" s="9" t="str">
        <f>IF(LEN(B664)&gt;0,vlookup(B664,'📊 รายงานสินค้าคงเหลือ'!A:G,6,false)*E664,)</f>
        <v/>
      </c>
      <c r="H664" s="9" t="str">
        <f t="shared" si="2"/>
        <v/>
      </c>
      <c r="I664" s="10" t="str">
        <f t="shared" si="3"/>
        <v/>
      </c>
      <c r="J664" s="11" t="str">
        <f t="shared" si="4"/>
        <v/>
      </c>
      <c r="K664" s="11" t="str">
        <f>IFERROR(IF(A664&lt;&gt;"",VLOOKUP(B664,'📦 ชื่อสินค้า'!A:F,6,false),""),)</f>
        <v/>
      </c>
      <c r="L664" s="11" t="str">
        <f t="shared" si="5"/>
        <v/>
      </c>
      <c r="M664" s="13"/>
    </row>
    <row r="665">
      <c r="A665" s="15"/>
      <c r="B665" s="6"/>
      <c r="C665" s="14" t="str">
        <f>iferror(vlookup(B665,'📦 ชื่อสินค้า'!A:C,3,false),)</f>
        <v/>
      </c>
      <c r="D665" s="11" t="str">
        <f>iferror(vlookup(B665,'📦 ชื่อสินค้า'!A:D,4,false),"")</f>
        <v/>
      </c>
      <c r="E665" s="16"/>
      <c r="F665" s="8" t="str">
        <f t="shared" si="1"/>
        <v/>
      </c>
      <c r="G665" s="9" t="str">
        <f>IF(LEN(B665)&gt;0,vlookup(B665,'📊 รายงานสินค้าคงเหลือ'!A:G,6,false)*E665,)</f>
        <v/>
      </c>
      <c r="H665" s="9" t="str">
        <f t="shared" si="2"/>
        <v/>
      </c>
      <c r="I665" s="10" t="str">
        <f t="shared" si="3"/>
        <v/>
      </c>
      <c r="J665" s="11" t="str">
        <f t="shared" si="4"/>
        <v/>
      </c>
      <c r="K665" s="11" t="str">
        <f>IFERROR(IF(A665&lt;&gt;"",VLOOKUP(B665,'📦 ชื่อสินค้า'!A:F,6,false),""),)</f>
        <v/>
      </c>
      <c r="L665" s="11" t="str">
        <f t="shared" si="5"/>
        <v/>
      </c>
      <c r="M665" s="13"/>
    </row>
    <row r="666">
      <c r="A666" s="15"/>
      <c r="B666" s="6"/>
      <c r="C666" s="14" t="str">
        <f>iferror(vlookup(B666,'📦 ชื่อสินค้า'!A:C,3,false),)</f>
        <v/>
      </c>
      <c r="D666" s="11" t="str">
        <f>iferror(vlookup(B666,'📦 ชื่อสินค้า'!A:D,4,false),"")</f>
        <v/>
      </c>
      <c r="E666" s="16"/>
      <c r="F666" s="8" t="str">
        <f t="shared" si="1"/>
        <v/>
      </c>
      <c r="G666" s="9" t="str">
        <f>IF(LEN(B666)&gt;0,vlookup(B666,'📊 รายงานสินค้าคงเหลือ'!A:G,6,false)*E666,)</f>
        <v/>
      </c>
      <c r="H666" s="9" t="str">
        <f t="shared" si="2"/>
        <v/>
      </c>
      <c r="I666" s="10" t="str">
        <f t="shared" si="3"/>
        <v/>
      </c>
      <c r="J666" s="11" t="str">
        <f t="shared" si="4"/>
        <v/>
      </c>
      <c r="K666" s="11" t="str">
        <f>IFERROR(IF(A666&lt;&gt;"",VLOOKUP(B666,'📦 ชื่อสินค้า'!A:F,6,false),""),)</f>
        <v/>
      </c>
      <c r="L666" s="11" t="str">
        <f t="shared" si="5"/>
        <v/>
      </c>
      <c r="M666" s="13"/>
    </row>
    <row r="667">
      <c r="A667" s="15"/>
      <c r="B667" s="6"/>
      <c r="C667" s="14" t="str">
        <f>iferror(vlookup(B667,'📦 ชื่อสินค้า'!A:C,3,false),)</f>
        <v/>
      </c>
      <c r="D667" s="11" t="str">
        <f>iferror(vlookup(B667,'📦 ชื่อสินค้า'!A:D,4,false),"")</f>
        <v/>
      </c>
      <c r="E667" s="16"/>
      <c r="F667" s="8" t="str">
        <f t="shared" si="1"/>
        <v/>
      </c>
      <c r="G667" s="9" t="str">
        <f>IF(LEN(B667)&gt;0,vlookup(B667,'📊 รายงานสินค้าคงเหลือ'!A:G,6,false)*E667,)</f>
        <v/>
      </c>
      <c r="H667" s="9" t="str">
        <f t="shared" si="2"/>
        <v/>
      </c>
      <c r="I667" s="10" t="str">
        <f t="shared" si="3"/>
        <v/>
      </c>
      <c r="J667" s="11" t="str">
        <f t="shared" si="4"/>
        <v/>
      </c>
      <c r="K667" s="11" t="str">
        <f>IFERROR(IF(A667&lt;&gt;"",VLOOKUP(B667,'📦 ชื่อสินค้า'!A:F,6,false),""),)</f>
        <v/>
      </c>
      <c r="L667" s="11" t="str">
        <f t="shared" si="5"/>
        <v/>
      </c>
      <c r="M667" s="13"/>
    </row>
    <row r="668">
      <c r="A668" s="15"/>
      <c r="B668" s="6"/>
      <c r="C668" s="14" t="str">
        <f>iferror(vlookup(B668,'📦 ชื่อสินค้า'!A:C,3,false),)</f>
        <v/>
      </c>
      <c r="D668" s="11" t="str">
        <f>iferror(vlookup(B668,'📦 ชื่อสินค้า'!A:D,4,false),"")</f>
        <v/>
      </c>
      <c r="E668" s="16"/>
      <c r="F668" s="8" t="str">
        <f t="shared" si="1"/>
        <v/>
      </c>
      <c r="G668" s="9" t="str">
        <f>IF(LEN(B668)&gt;0,vlookup(B668,'📊 รายงานสินค้าคงเหลือ'!A:G,6,false)*E668,)</f>
        <v/>
      </c>
      <c r="H668" s="9" t="str">
        <f t="shared" si="2"/>
        <v/>
      </c>
      <c r="I668" s="10" t="str">
        <f t="shared" si="3"/>
        <v/>
      </c>
      <c r="J668" s="11" t="str">
        <f t="shared" si="4"/>
        <v/>
      </c>
      <c r="K668" s="11" t="str">
        <f>IFERROR(IF(A668&lt;&gt;"",VLOOKUP(B668,'📦 ชื่อสินค้า'!A:F,6,false),""),)</f>
        <v/>
      </c>
      <c r="L668" s="11" t="str">
        <f t="shared" si="5"/>
        <v/>
      </c>
      <c r="M668" s="13"/>
    </row>
    <row r="669">
      <c r="A669" s="15"/>
      <c r="B669" s="6"/>
      <c r="C669" s="14" t="str">
        <f>iferror(vlookup(B669,'📦 ชื่อสินค้า'!A:C,3,false),)</f>
        <v/>
      </c>
      <c r="D669" s="11" t="str">
        <f>iferror(vlookup(B669,'📦 ชื่อสินค้า'!A:D,4,false),"")</f>
        <v/>
      </c>
      <c r="E669" s="16"/>
      <c r="F669" s="8" t="str">
        <f t="shared" si="1"/>
        <v/>
      </c>
      <c r="G669" s="9" t="str">
        <f>IF(LEN(B669)&gt;0,vlookup(B669,'📊 รายงานสินค้าคงเหลือ'!A:G,6,false)*E669,)</f>
        <v/>
      </c>
      <c r="H669" s="9" t="str">
        <f t="shared" si="2"/>
        <v/>
      </c>
      <c r="I669" s="10" t="str">
        <f t="shared" si="3"/>
        <v/>
      </c>
      <c r="J669" s="11" t="str">
        <f t="shared" si="4"/>
        <v/>
      </c>
      <c r="K669" s="11" t="str">
        <f>IFERROR(IF(A669&lt;&gt;"",VLOOKUP(B669,'📦 ชื่อสินค้า'!A:F,6,false),""),)</f>
        <v/>
      </c>
      <c r="L669" s="11" t="str">
        <f t="shared" si="5"/>
        <v/>
      </c>
      <c r="M669" s="13"/>
    </row>
    <row r="670">
      <c r="A670" s="15"/>
      <c r="B670" s="6"/>
      <c r="C670" s="14" t="str">
        <f>iferror(vlookup(B670,'📦 ชื่อสินค้า'!A:C,3,false),)</f>
        <v/>
      </c>
      <c r="D670" s="11" t="str">
        <f>iferror(vlookup(B670,'📦 ชื่อสินค้า'!A:D,4,false),"")</f>
        <v/>
      </c>
      <c r="E670" s="16"/>
      <c r="F670" s="8" t="str">
        <f t="shared" si="1"/>
        <v/>
      </c>
      <c r="G670" s="9" t="str">
        <f>IF(LEN(B670)&gt;0,vlookup(B670,'📊 รายงานสินค้าคงเหลือ'!A:G,6,false)*E670,)</f>
        <v/>
      </c>
      <c r="H670" s="9" t="str">
        <f t="shared" si="2"/>
        <v/>
      </c>
      <c r="I670" s="10" t="str">
        <f t="shared" si="3"/>
        <v/>
      </c>
      <c r="J670" s="11" t="str">
        <f t="shared" si="4"/>
        <v/>
      </c>
      <c r="K670" s="11" t="str">
        <f>IFERROR(IF(A670&lt;&gt;"",VLOOKUP(B670,'📦 ชื่อสินค้า'!A:F,6,false),""),)</f>
        <v/>
      </c>
      <c r="L670" s="11" t="str">
        <f t="shared" si="5"/>
        <v/>
      </c>
      <c r="M670" s="13"/>
    </row>
    <row r="671">
      <c r="A671" s="15"/>
      <c r="B671" s="6"/>
      <c r="C671" s="14" t="str">
        <f>iferror(vlookup(B671,'📦 ชื่อสินค้า'!A:C,3,false),)</f>
        <v/>
      </c>
      <c r="D671" s="11" t="str">
        <f>iferror(vlookup(B671,'📦 ชื่อสินค้า'!A:D,4,false),"")</f>
        <v/>
      </c>
      <c r="E671" s="16"/>
      <c r="F671" s="8" t="str">
        <f t="shared" si="1"/>
        <v/>
      </c>
      <c r="G671" s="9" t="str">
        <f>IF(LEN(B671)&gt;0,vlookup(B671,'📊 รายงานสินค้าคงเหลือ'!A:G,6,false)*E671,)</f>
        <v/>
      </c>
      <c r="H671" s="9" t="str">
        <f t="shared" si="2"/>
        <v/>
      </c>
      <c r="I671" s="10" t="str">
        <f t="shared" si="3"/>
        <v/>
      </c>
      <c r="J671" s="11" t="str">
        <f t="shared" si="4"/>
        <v/>
      </c>
      <c r="K671" s="11" t="str">
        <f>IFERROR(IF(A671&lt;&gt;"",VLOOKUP(B671,'📦 ชื่อสินค้า'!A:F,6,false),""),)</f>
        <v/>
      </c>
      <c r="L671" s="11" t="str">
        <f t="shared" si="5"/>
        <v/>
      </c>
      <c r="M671" s="13"/>
    </row>
    <row r="672">
      <c r="A672" s="15"/>
      <c r="B672" s="6"/>
      <c r="C672" s="14" t="str">
        <f>iferror(vlookup(B672,'📦 ชื่อสินค้า'!A:C,3,false),)</f>
        <v/>
      </c>
      <c r="D672" s="11" t="str">
        <f>iferror(vlookup(B672,'📦 ชื่อสินค้า'!A:D,4,false),"")</f>
        <v/>
      </c>
      <c r="E672" s="16"/>
      <c r="F672" s="8" t="str">
        <f t="shared" si="1"/>
        <v/>
      </c>
      <c r="G672" s="9" t="str">
        <f>IF(LEN(B672)&gt;0,vlookup(B672,'📊 รายงานสินค้าคงเหลือ'!A:G,6,false)*E672,)</f>
        <v/>
      </c>
      <c r="H672" s="9" t="str">
        <f t="shared" si="2"/>
        <v/>
      </c>
      <c r="I672" s="10" t="str">
        <f t="shared" si="3"/>
        <v/>
      </c>
      <c r="J672" s="11" t="str">
        <f t="shared" si="4"/>
        <v/>
      </c>
      <c r="K672" s="11" t="str">
        <f>IFERROR(IF(A672&lt;&gt;"",VLOOKUP(B672,'📦 ชื่อสินค้า'!A:F,6,false),""),)</f>
        <v/>
      </c>
      <c r="L672" s="11" t="str">
        <f t="shared" si="5"/>
        <v/>
      </c>
      <c r="M672" s="13"/>
    </row>
    <row r="673">
      <c r="A673" s="15"/>
      <c r="B673" s="6"/>
      <c r="C673" s="14" t="str">
        <f>iferror(vlookup(B673,'📦 ชื่อสินค้า'!A:C,3,false),)</f>
        <v/>
      </c>
      <c r="D673" s="11" t="str">
        <f>iferror(vlookup(B673,'📦 ชื่อสินค้า'!A:D,4,false),"")</f>
        <v/>
      </c>
      <c r="E673" s="16"/>
      <c r="F673" s="8" t="str">
        <f t="shared" si="1"/>
        <v/>
      </c>
      <c r="G673" s="9" t="str">
        <f>IF(LEN(B673)&gt;0,vlookup(B673,'📊 รายงานสินค้าคงเหลือ'!A:G,6,false)*E673,)</f>
        <v/>
      </c>
      <c r="H673" s="9" t="str">
        <f t="shared" si="2"/>
        <v/>
      </c>
      <c r="I673" s="10" t="str">
        <f t="shared" si="3"/>
        <v/>
      </c>
      <c r="J673" s="11" t="str">
        <f t="shared" si="4"/>
        <v/>
      </c>
      <c r="K673" s="11" t="str">
        <f>IFERROR(IF(A673&lt;&gt;"",VLOOKUP(B673,'📦 ชื่อสินค้า'!A:F,6,false),""),)</f>
        <v/>
      </c>
      <c r="L673" s="11" t="str">
        <f t="shared" si="5"/>
        <v/>
      </c>
      <c r="M673" s="13"/>
    </row>
    <row r="674">
      <c r="A674" s="15"/>
      <c r="B674" s="6"/>
      <c r="C674" s="14" t="str">
        <f>iferror(vlookup(B674,'📦 ชื่อสินค้า'!A:C,3,false),)</f>
        <v/>
      </c>
      <c r="D674" s="11" t="str">
        <f>iferror(vlookup(B674,'📦 ชื่อสินค้า'!A:D,4,false),"")</f>
        <v/>
      </c>
      <c r="E674" s="16"/>
      <c r="F674" s="8" t="str">
        <f t="shared" si="1"/>
        <v/>
      </c>
      <c r="G674" s="9" t="str">
        <f>IF(LEN(B674)&gt;0,vlookup(B674,'📊 รายงานสินค้าคงเหลือ'!A:G,6,false)*E674,)</f>
        <v/>
      </c>
      <c r="H674" s="9" t="str">
        <f t="shared" si="2"/>
        <v/>
      </c>
      <c r="I674" s="10" t="str">
        <f t="shared" si="3"/>
        <v/>
      </c>
      <c r="J674" s="11" t="str">
        <f t="shared" si="4"/>
        <v/>
      </c>
      <c r="K674" s="11" t="str">
        <f>IFERROR(IF(A674&lt;&gt;"",VLOOKUP(B674,'📦 ชื่อสินค้า'!A:F,6,false),""),)</f>
        <v/>
      </c>
      <c r="L674" s="11" t="str">
        <f t="shared" si="5"/>
        <v/>
      </c>
      <c r="M674" s="13"/>
    </row>
    <row r="675">
      <c r="A675" s="15"/>
      <c r="B675" s="6"/>
      <c r="C675" s="14" t="str">
        <f>iferror(vlookup(B675,'📦 ชื่อสินค้า'!A:C,3,false),)</f>
        <v/>
      </c>
      <c r="D675" s="11" t="str">
        <f>iferror(vlookup(B675,'📦 ชื่อสินค้า'!A:D,4,false),"")</f>
        <v/>
      </c>
      <c r="E675" s="16"/>
      <c r="F675" s="8" t="str">
        <f t="shared" si="1"/>
        <v/>
      </c>
      <c r="G675" s="9" t="str">
        <f>IF(LEN(B675)&gt;0,vlookup(B675,'📊 รายงานสินค้าคงเหลือ'!A:G,6,false)*E675,)</f>
        <v/>
      </c>
      <c r="H675" s="9" t="str">
        <f t="shared" si="2"/>
        <v/>
      </c>
      <c r="I675" s="10" t="str">
        <f t="shared" si="3"/>
        <v/>
      </c>
      <c r="J675" s="11" t="str">
        <f t="shared" si="4"/>
        <v/>
      </c>
      <c r="K675" s="11" t="str">
        <f>IFERROR(IF(A675&lt;&gt;"",VLOOKUP(B675,'📦 ชื่อสินค้า'!A:F,6,false),""),)</f>
        <v/>
      </c>
      <c r="L675" s="11" t="str">
        <f t="shared" si="5"/>
        <v/>
      </c>
      <c r="M675" s="13"/>
    </row>
    <row r="676">
      <c r="A676" s="15"/>
      <c r="B676" s="6"/>
      <c r="C676" s="14" t="str">
        <f>iferror(vlookup(B676,'📦 ชื่อสินค้า'!A:C,3,false),)</f>
        <v/>
      </c>
      <c r="D676" s="11" t="str">
        <f>iferror(vlookup(B676,'📦 ชื่อสินค้า'!A:D,4,false),"")</f>
        <v/>
      </c>
      <c r="E676" s="16"/>
      <c r="F676" s="8" t="str">
        <f t="shared" si="1"/>
        <v/>
      </c>
      <c r="G676" s="9" t="str">
        <f>IF(LEN(B676)&gt;0,vlookup(B676,'📊 รายงานสินค้าคงเหลือ'!A:G,6,false)*E676,)</f>
        <v/>
      </c>
      <c r="H676" s="9" t="str">
        <f t="shared" si="2"/>
        <v/>
      </c>
      <c r="I676" s="10" t="str">
        <f t="shared" si="3"/>
        <v/>
      </c>
      <c r="J676" s="11" t="str">
        <f t="shared" si="4"/>
        <v/>
      </c>
      <c r="K676" s="11" t="str">
        <f>IFERROR(IF(A676&lt;&gt;"",VLOOKUP(B676,'📦 ชื่อสินค้า'!A:F,6,false),""),)</f>
        <v/>
      </c>
      <c r="L676" s="11" t="str">
        <f t="shared" si="5"/>
        <v/>
      </c>
      <c r="M676" s="13"/>
    </row>
    <row r="677">
      <c r="A677" s="15"/>
      <c r="B677" s="6"/>
      <c r="C677" s="14" t="str">
        <f>iferror(vlookup(B677,'📦 ชื่อสินค้า'!A:C,3,false),)</f>
        <v/>
      </c>
      <c r="D677" s="11" t="str">
        <f>iferror(vlookup(B677,'📦 ชื่อสินค้า'!A:D,4,false),"")</f>
        <v/>
      </c>
      <c r="E677" s="16"/>
      <c r="F677" s="8" t="str">
        <f t="shared" si="1"/>
        <v/>
      </c>
      <c r="G677" s="9" t="str">
        <f>IF(LEN(B677)&gt;0,vlookup(B677,'📊 รายงานสินค้าคงเหลือ'!A:G,6,false)*E677,)</f>
        <v/>
      </c>
      <c r="H677" s="9" t="str">
        <f t="shared" si="2"/>
        <v/>
      </c>
      <c r="I677" s="10" t="str">
        <f t="shared" si="3"/>
        <v/>
      </c>
      <c r="J677" s="11" t="str">
        <f t="shared" si="4"/>
        <v/>
      </c>
      <c r="K677" s="11" t="str">
        <f>IFERROR(IF(A677&lt;&gt;"",VLOOKUP(B677,'📦 ชื่อสินค้า'!A:F,6,false),""),)</f>
        <v/>
      </c>
      <c r="L677" s="11" t="str">
        <f t="shared" si="5"/>
        <v/>
      </c>
      <c r="M677" s="13"/>
    </row>
    <row r="678">
      <c r="A678" s="15"/>
      <c r="B678" s="6"/>
      <c r="C678" s="14" t="str">
        <f>iferror(vlookup(B678,'📦 ชื่อสินค้า'!A:C,3,false),)</f>
        <v/>
      </c>
      <c r="D678" s="11" t="str">
        <f>iferror(vlookup(B678,'📦 ชื่อสินค้า'!A:D,4,false),"")</f>
        <v/>
      </c>
      <c r="E678" s="16"/>
      <c r="F678" s="8" t="str">
        <f t="shared" si="1"/>
        <v/>
      </c>
      <c r="G678" s="9" t="str">
        <f>IF(LEN(B678)&gt;0,vlookup(B678,'📊 รายงานสินค้าคงเหลือ'!A:G,6,false)*E678,)</f>
        <v/>
      </c>
      <c r="H678" s="9" t="str">
        <f t="shared" si="2"/>
        <v/>
      </c>
      <c r="I678" s="10" t="str">
        <f t="shared" si="3"/>
        <v/>
      </c>
      <c r="J678" s="11" t="str">
        <f t="shared" si="4"/>
        <v/>
      </c>
      <c r="K678" s="11" t="str">
        <f>IFERROR(IF(A678&lt;&gt;"",VLOOKUP(B678,'📦 ชื่อสินค้า'!A:F,6,false),""),)</f>
        <v/>
      </c>
      <c r="L678" s="11" t="str">
        <f t="shared" si="5"/>
        <v/>
      </c>
      <c r="M678" s="13"/>
    </row>
    <row r="679">
      <c r="A679" s="15"/>
      <c r="B679" s="6"/>
      <c r="C679" s="14" t="str">
        <f>iferror(vlookup(B679,'📦 ชื่อสินค้า'!A:C,3,false),)</f>
        <v/>
      </c>
      <c r="D679" s="11" t="str">
        <f>iferror(vlookup(B679,'📦 ชื่อสินค้า'!A:D,4,false),"")</f>
        <v/>
      </c>
      <c r="E679" s="16"/>
      <c r="F679" s="8" t="str">
        <f t="shared" si="1"/>
        <v/>
      </c>
      <c r="G679" s="9" t="str">
        <f>IF(LEN(B679)&gt;0,vlookup(B679,'📊 รายงานสินค้าคงเหลือ'!A:G,6,false)*E679,)</f>
        <v/>
      </c>
      <c r="H679" s="9" t="str">
        <f t="shared" si="2"/>
        <v/>
      </c>
      <c r="I679" s="10" t="str">
        <f t="shared" si="3"/>
        <v/>
      </c>
      <c r="J679" s="11" t="str">
        <f t="shared" si="4"/>
        <v/>
      </c>
      <c r="K679" s="11" t="str">
        <f>IFERROR(IF(A679&lt;&gt;"",VLOOKUP(B679,'📦 ชื่อสินค้า'!A:F,6,false),""),)</f>
        <v/>
      </c>
      <c r="L679" s="11" t="str">
        <f t="shared" si="5"/>
        <v/>
      </c>
      <c r="M679" s="13"/>
    </row>
    <row r="680">
      <c r="A680" s="15"/>
      <c r="B680" s="6"/>
      <c r="C680" s="14" t="str">
        <f>iferror(vlookup(B680,'📦 ชื่อสินค้า'!A:C,3,false),)</f>
        <v/>
      </c>
      <c r="D680" s="11" t="str">
        <f>iferror(vlookup(B680,'📦 ชื่อสินค้า'!A:D,4,false),"")</f>
        <v/>
      </c>
      <c r="E680" s="16"/>
      <c r="F680" s="8" t="str">
        <f t="shared" si="1"/>
        <v/>
      </c>
      <c r="G680" s="9" t="str">
        <f>IF(LEN(B680)&gt;0,vlookup(B680,'📊 รายงานสินค้าคงเหลือ'!A:G,6,false)*E680,)</f>
        <v/>
      </c>
      <c r="H680" s="9" t="str">
        <f t="shared" si="2"/>
        <v/>
      </c>
      <c r="I680" s="10" t="str">
        <f t="shared" si="3"/>
        <v/>
      </c>
      <c r="J680" s="11" t="str">
        <f t="shared" si="4"/>
        <v/>
      </c>
      <c r="K680" s="11" t="str">
        <f>IFERROR(IF(A680&lt;&gt;"",VLOOKUP(B680,'📦 ชื่อสินค้า'!A:F,6,false),""),)</f>
        <v/>
      </c>
      <c r="L680" s="11" t="str">
        <f t="shared" si="5"/>
        <v/>
      </c>
      <c r="M680" s="13"/>
    </row>
    <row r="681">
      <c r="A681" s="15"/>
      <c r="B681" s="6"/>
      <c r="C681" s="14" t="str">
        <f>iferror(vlookup(B681,'📦 ชื่อสินค้า'!A:C,3,false),)</f>
        <v/>
      </c>
      <c r="D681" s="11" t="str">
        <f>iferror(vlookup(B681,'📦 ชื่อสินค้า'!A:D,4,false),"")</f>
        <v/>
      </c>
      <c r="E681" s="16"/>
      <c r="F681" s="8" t="str">
        <f t="shared" si="1"/>
        <v/>
      </c>
      <c r="G681" s="9" t="str">
        <f>IF(LEN(B681)&gt;0,vlookup(B681,'📊 รายงานสินค้าคงเหลือ'!A:G,6,false)*E681,)</f>
        <v/>
      </c>
      <c r="H681" s="9" t="str">
        <f t="shared" si="2"/>
        <v/>
      </c>
      <c r="I681" s="10" t="str">
        <f t="shared" si="3"/>
        <v/>
      </c>
      <c r="J681" s="11" t="str">
        <f t="shared" si="4"/>
        <v/>
      </c>
      <c r="K681" s="11" t="str">
        <f>IFERROR(IF(A681&lt;&gt;"",VLOOKUP(B681,'📦 ชื่อสินค้า'!A:F,6,false),""),)</f>
        <v/>
      </c>
      <c r="L681" s="11" t="str">
        <f t="shared" si="5"/>
        <v/>
      </c>
      <c r="M681" s="13"/>
    </row>
    <row r="682">
      <c r="A682" s="15"/>
      <c r="B682" s="6"/>
      <c r="C682" s="14" t="str">
        <f>iferror(vlookup(B682,'📦 ชื่อสินค้า'!A:C,3,false),)</f>
        <v/>
      </c>
      <c r="D682" s="11" t="str">
        <f>iferror(vlookup(B682,'📦 ชื่อสินค้า'!A:D,4,false),"")</f>
        <v/>
      </c>
      <c r="E682" s="16"/>
      <c r="F682" s="8" t="str">
        <f t="shared" si="1"/>
        <v/>
      </c>
      <c r="G682" s="9" t="str">
        <f>IF(LEN(B682)&gt;0,vlookup(B682,'📊 รายงานสินค้าคงเหลือ'!A:G,6,false)*E682,)</f>
        <v/>
      </c>
      <c r="H682" s="9" t="str">
        <f t="shared" si="2"/>
        <v/>
      </c>
      <c r="I682" s="10" t="str">
        <f t="shared" si="3"/>
        <v/>
      </c>
      <c r="J682" s="11" t="str">
        <f t="shared" si="4"/>
        <v/>
      </c>
      <c r="K682" s="11" t="str">
        <f>IFERROR(IF(A682&lt;&gt;"",VLOOKUP(B682,'📦 ชื่อสินค้า'!A:F,6,false),""),)</f>
        <v/>
      </c>
      <c r="L682" s="11" t="str">
        <f t="shared" si="5"/>
        <v/>
      </c>
      <c r="M682" s="13"/>
    </row>
    <row r="683">
      <c r="A683" s="15"/>
      <c r="B683" s="6"/>
      <c r="C683" s="14" t="str">
        <f>iferror(vlookup(B683,'📦 ชื่อสินค้า'!A:C,3,false),)</f>
        <v/>
      </c>
      <c r="D683" s="11" t="str">
        <f>iferror(vlookup(B683,'📦 ชื่อสินค้า'!A:D,4,false),"")</f>
        <v/>
      </c>
      <c r="E683" s="16"/>
      <c r="F683" s="8" t="str">
        <f t="shared" si="1"/>
        <v/>
      </c>
      <c r="G683" s="9" t="str">
        <f>IF(LEN(B683)&gt;0,vlookup(B683,'📊 รายงานสินค้าคงเหลือ'!A:G,6,false)*E683,)</f>
        <v/>
      </c>
      <c r="H683" s="9" t="str">
        <f t="shared" si="2"/>
        <v/>
      </c>
      <c r="I683" s="10" t="str">
        <f t="shared" si="3"/>
        <v/>
      </c>
      <c r="J683" s="11" t="str">
        <f t="shared" si="4"/>
        <v/>
      </c>
      <c r="K683" s="11" t="str">
        <f>IFERROR(IF(A683&lt;&gt;"",VLOOKUP(B683,'📦 ชื่อสินค้า'!A:F,6,false),""),)</f>
        <v/>
      </c>
      <c r="L683" s="11" t="str">
        <f t="shared" si="5"/>
        <v/>
      </c>
      <c r="M683" s="13"/>
    </row>
    <row r="684">
      <c r="A684" s="15"/>
      <c r="B684" s="6"/>
      <c r="C684" s="14" t="str">
        <f>iferror(vlookup(B684,'📦 ชื่อสินค้า'!A:C,3,false),)</f>
        <v/>
      </c>
      <c r="D684" s="11" t="str">
        <f>iferror(vlookup(B684,'📦 ชื่อสินค้า'!A:D,4,false),"")</f>
        <v/>
      </c>
      <c r="E684" s="16"/>
      <c r="F684" s="8" t="str">
        <f t="shared" si="1"/>
        <v/>
      </c>
      <c r="G684" s="9" t="str">
        <f>IF(LEN(B684)&gt;0,vlookup(B684,'📊 รายงานสินค้าคงเหลือ'!A:G,6,false)*E684,)</f>
        <v/>
      </c>
      <c r="H684" s="9" t="str">
        <f t="shared" si="2"/>
        <v/>
      </c>
      <c r="I684" s="10" t="str">
        <f t="shared" si="3"/>
        <v/>
      </c>
      <c r="J684" s="11" t="str">
        <f t="shared" si="4"/>
        <v/>
      </c>
      <c r="K684" s="11" t="str">
        <f>IFERROR(IF(A684&lt;&gt;"",VLOOKUP(B684,'📦 ชื่อสินค้า'!A:F,6,false),""),)</f>
        <v/>
      </c>
      <c r="L684" s="11" t="str">
        <f t="shared" si="5"/>
        <v/>
      </c>
      <c r="M684" s="13"/>
    </row>
    <row r="685">
      <c r="A685" s="15"/>
      <c r="B685" s="6"/>
      <c r="C685" s="14" t="str">
        <f>iferror(vlookup(B685,'📦 ชื่อสินค้า'!A:C,3,false),)</f>
        <v/>
      </c>
      <c r="D685" s="11" t="str">
        <f>iferror(vlookup(B685,'📦 ชื่อสินค้า'!A:D,4,false),"")</f>
        <v/>
      </c>
      <c r="E685" s="16"/>
      <c r="F685" s="8" t="str">
        <f t="shared" si="1"/>
        <v/>
      </c>
      <c r="G685" s="9" t="str">
        <f>IF(LEN(B685)&gt;0,vlookup(B685,'📊 รายงานสินค้าคงเหลือ'!A:G,6,false)*E685,)</f>
        <v/>
      </c>
      <c r="H685" s="9" t="str">
        <f t="shared" si="2"/>
        <v/>
      </c>
      <c r="I685" s="10" t="str">
        <f t="shared" si="3"/>
        <v/>
      </c>
      <c r="J685" s="11" t="str">
        <f t="shared" si="4"/>
        <v/>
      </c>
      <c r="K685" s="11" t="str">
        <f>IFERROR(IF(A685&lt;&gt;"",VLOOKUP(B685,'📦 ชื่อสินค้า'!A:F,6,false),""),)</f>
        <v/>
      </c>
      <c r="L685" s="11" t="str">
        <f t="shared" si="5"/>
        <v/>
      </c>
      <c r="M685" s="13"/>
    </row>
    <row r="686">
      <c r="A686" s="15"/>
      <c r="B686" s="6"/>
      <c r="C686" s="14" t="str">
        <f>iferror(vlookup(B686,'📦 ชื่อสินค้า'!A:C,3,false),)</f>
        <v/>
      </c>
      <c r="D686" s="11" t="str">
        <f>iferror(vlookup(B686,'📦 ชื่อสินค้า'!A:D,4,false),"")</f>
        <v/>
      </c>
      <c r="E686" s="16"/>
      <c r="F686" s="8" t="str">
        <f t="shared" si="1"/>
        <v/>
      </c>
      <c r="G686" s="9" t="str">
        <f>IF(LEN(B686)&gt;0,vlookup(B686,'📊 รายงานสินค้าคงเหลือ'!A:G,6,false)*E686,)</f>
        <v/>
      </c>
      <c r="H686" s="9" t="str">
        <f t="shared" si="2"/>
        <v/>
      </c>
      <c r="I686" s="10" t="str">
        <f t="shared" si="3"/>
        <v/>
      </c>
      <c r="J686" s="11" t="str">
        <f t="shared" si="4"/>
        <v/>
      </c>
      <c r="K686" s="11" t="str">
        <f>IFERROR(IF(A686&lt;&gt;"",VLOOKUP(B686,'📦 ชื่อสินค้า'!A:F,6,false),""),)</f>
        <v/>
      </c>
      <c r="L686" s="11" t="str">
        <f t="shared" si="5"/>
        <v/>
      </c>
      <c r="M686" s="13"/>
    </row>
    <row r="687">
      <c r="A687" s="15"/>
      <c r="B687" s="6"/>
      <c r="C687" s="14" t="str">
        <f>iferror(vlookup(B687,'📦 ชื่อสินค้า'!A:C,3,false),)</f>
        <v/>
      </c>
      <c r="D687" s="11" t="str">
        <f>iferror(vlookup(B687,'📦 ชื่อสินค้า'!A:D,4,false),"")</f>
        <v/>
      </c>
      <c r="E687" s="16"/>
      <c r="F687" s="8" t="str">
        <f t="shared" si="1"/>
        <v/>
      </c>
      <c r="G687" s="9" t="str">
        <f>IF(LEN(B687)&gt;0,vlookup(B687,'📊 รายงานสินค้าคงเหลือ'!A:G,6,false)*E687,)</f>
        <v/>
      </c>
      <c r="H687" s="9" t="str">
        <f t="shared" si="2"/>
        <v/>
      </c>
      <c r="I687" s="10" t="str">
        <f t="shared" si="3"/>
        <v/>
      </c>
      <c r="J687" s="11" t="str">
        <f t="shared" si="4"/>
        <v/>
      </c>
      <c r="K687" s="11" t="str">
        <f>IFERROR(IF(A687&lt;&gt;"",VLOOKUP(B687,'📦 ชื่อสินค้า'!A:F,6,false),""),)</f>
        <v/>
      </c>
      <c r="L687" s="11" t="str">
        <f t="shared" si="5"/>
        <v/>
      </c>
      <c r="M687" s="13"/>
    </row>
    <row r="688">
      <c r="A688" s="15"/>
      <c r="B688" s="6"/>
      <c r="C688" s="14" t="str">
        <f>iferror(vlookup(B688,'📦 ชื่อสินค้า'!A:C,3,false),)</f>
        <v/>
      </c>
      <c r="D688" s="11" t="str">
        <f>iferror(vlookup(B688,'📦 ชื่อสินค้า'!A:D,4,false),"")</f>
        <v/>
      </c>
      <c r="E688" s="16"/>
      <c r="F688" s="8" t="str">
        <f t="shared" si="1"/>
        <v/>
      </c>
      <c r="G688" s="9" t="str">
        <f>IF(LEN(B688)&gt;0,vlookup(B688,'📊 รายงานสินค้าคงเหลือ'!A:G,6,false)*E688,)</f>
        <v/>
      </c>
      <c r="H688" s="9" t="str">
        <f t="shared" si="2"/>
        <v/>
      </c>
      <c r="I688" s="10" t="str">
        <f t="shared" si="3"/>
        <v/>
      </c>
      <c r="J688" s="11" t="str">
        <f t="shared" si="4"/>
        <v/>
      </c>
      <c r="K688" s="11" t="str">
        <f>IFERROR(IF(A688&lt;&gt;"",VLOOKUP(B688,'📦 ชื่อสินค้า'!A:F,6,false),""),)</f>
        <v/>
      </c>
      <c r="L688" s="11" t="str">
        <f t="shared" si="5"/>
        <v/>
      </c>
      <c r="M688" s="13"/>
    </row>
    <row r="689">
      <c r="A689" s="15"/>
      <c r="B689" s="6"/>
      <c r="C689" s="14" t="str">
        <f>iferror(vlookup(B689,'📦 ชื่อสินค้า'!A:C,3,false),)</f>
        <v/>
      </c>
      <c r="D689" s="11" t="str">
        <f>iferror(vlookup(B689,'📦 ชื่อสินค้า'!A:D,4,false),"")</f>
        <v/>
      </c>
      <c r="E689" s="16"/>
      <c r="F689" s="8" t="str">
        <f t="shared" si="1"/>
        <v/>
      </c>
      <c r="G689" s="9" t="str">
        <f>IF(LEN(B689)&gt;0,vlookup(B689,'📊 รายงานสินค้าคงเหลือ'!A:G,6,false)*E689,)</f>
        <v/>
      </c>
      <c r="H689" s="9" t="str">
        <f t="shared" si="2"/>
        <v/>
      </c>
      <c r="I689" s="10" t="str">
        <f t="shared" si="3"/>
        <v/>
      </c>
      <c r="J689" s="11" t="str">
        <f t="shared" si="4"/>
        <v/>
      </c>
      <c r="K689" s="11" t="str">
        <f>IFERROR(IF(A689&lt;&gt;"",VLOOKUP(B689,'📦 ชื่อสินค้า'!A:F,6,false),""),)</f>
        <v/>
      </c>
      <c r="L689" s="11" t="str">
        <f t="shared" si="5"/>
        <v/>
      </c>
      <c r="M689" s="13"/>
    </row>
    <row r="690">
      <c r="A690" s="15"/>
      <c r="B690" s="6"/>
      <c r="C690" s="14" t="str">
        <f>iferror(vlookup(B690,'📦 ชื่อสินค้า'!A:C,3,false),)</f>
        <v/>
      </c>
      <c r="D690" s="11" t="str">
        <f>iferror(vlookup(B690,'📦 ชื่อสินค้า'!A:D,4,false),"")</f>
        <v/>
      </c>
      <c r="E690" s="16"/>
      <c r="F690" s="8" t="str">
        <f t="shared" si="1"/>
        <v/>
      </c>
      <c r="G690" s="9" t="str">
        <f>IF(LEN(B690)&gt;0,vlookup(B690,'📊 รายงานสินค้าคงเหลือ'!A:G,6,false)*E690,)</f>
        <v/>
      </c>
      <c r="H690" s="9" t="str">
        <f t="shared" si="2"/>
        <v/>
      </c>
      <c r="I690" s="10" t="str">
        <f t="shared" si="3"/>
        <v/>
      </c>
      <c r="J690" s="11" t="str">
        <f t="shared" si="4"/>
        <v/>
      </c>
      <c r="K690" s="11" t="str">
        <f>IFERROR(IF(A690&lt;&gt;"",VLOOKUP(B690,'📦 ชื่อสินค้า'!A:F,6,false),""),)</f>
        <v/>
      </c>
      <c r="L690" s="11" t="str">
        <f t="shared" si="5"/>
        <v/>
      </c>
      <c r="M690" s="13"/>
    </row>
    <row r="691">
      <c r="A691" s="15"/>
      <c r="B691" s="6"/>
      <c r="C691" s="14" t="str">
        <f>iferror(vlookup(B691,'📦 ชื่อสินค้า'!A:C,3,false),)</f>
        <v/>
      </c>
      <c r="D691" s="11" t="str">
        <f>iferror(vlookup(B691,'📦 ชื่อสินค้า'!A:D,4,false),"")</f>
        <v/>
      </c>
      <c r="E691" s="16"/>
      <c r="F691" s="8" t="str">
        <f t="shared" si="1"/>
        <v/>
      </c>
      <c r="G691" s="9" t="str">
        <f>IF(LEN(B691)&gt;0,vlookup(B691,'📊 รายงานสินค้าคงเหลือ'!A:G,6,false)*E691,)</f>
        <v/>
      </c>
      <c r="H691" s="9" t="str">
        <f t="shared" si="2"/>
        <v/>
      </c>
      <c r="I691" s="10" t="str">
        <f t="shared" si="3"/>
        <v/>
      </c>
      <c r="J691" s="11" t="str">
        <f t="shared" si="4"/>
        <v/>
      </c>
      <c r="K691" s="11" t="str">
        <f>IFERROR(IF(A691&lt;&gt;"",VLOOKUP(B691,'📦 ชื่อสินค้า'!A:F,6,false),""),)</f>
        <v/>
      </c>
      <c r="L691" s="11" t="str">
        <f t="shared" si="5"/>
        <v/>
      </c>
      <c r="M691" s="13"/>
    </row>
    <row r="692">
      <c r="A692" s="15"/>
      <c r="B692" s="6"/>
      <c r="C692" s="14" t="str">
        <f>iferror(vlookup(B692,'📦 ชื่อสินค้า'!A:C,3,false),)</f>
        <v/>
      </c>
      <c r="D692" s="11" t="str">
        <f>iferror(vlookup(B692,'📦 ชื่อสินค้า'!A:D,4,false),"")</f>
        <v/>
      </c>
      <c r="E692" s="16"/>
      <c r="F692" s="8" t="str">
        <f t="shared" si="1"/>
        <v/>
      </c>
      <c r="G692" s="9" t="str">
        <f>IF(LEN(B692)&gt;0,vlookup(B692,'📊 รายงานสินค้าคงเหลือ'!A:G,6,false)*E692,)</f>
        <v/>
      </c>
      <c r="H692" s="9" t="str">
        <f t="shared" si="2"/>
        <v/>
      </c>
      <c r="I692" s="10" t="str">
        <f t="shared" si="3"/>
        <v/>
      </c>
      <c r="J692" s="11" t="str">
        <f t="shared" si="4"/>
        <v/>
      </c>
      <c r="K692" s="11" t="str">
        <f>IFERROR(IF(A692&lt;&gt;"",VLOOKUP(B692,'📦 ชื่อสินค้า'!A:F,6,false),""),)</f>
        <v/>
      </c>
      <c r="L692" s="11" t="str">
        <f t="shared" si="5"/>
        <v/>
      </c>
      <c r="M692" s="13"/>
    </row>
    <row r="693">
      <c r="A693" s="15"/>
      <c r="B693" s="6"/>
      <c r="C693" s="14" t="str">
        <f>iferror(vlookup(B693,'📦 ชื่อสินค้า'!A:C,3,false),)</f>
        <v/>
      </c>
      <c r="D693" s="11" t="str">
        <f>iferror(vlookup(B693,'📦 ชื่อสินค้า'!A:D,4,false),"")</f>
        <v/>
      </c>
      <c r="E693" s="16"/>
      <c r="F693" s="8" t="str">
        <f t="shared" si="1"/>
        <v/>
      </c>
      <c r="G693" s="9" t="str">
        <f>IF(LEN(B693)&gt;0,vlookup(B693,'📊 รายงานสินค้าคงเหลือ'!A:G,6,false)*E693,)</f>
        <v/>
      </c>
      <c r="H693" s="9" t="str">
        <f t="shared" si="2"/>
        <v/>
      </c>
      <c r="I693" s="10" t="str">
        <f t="shared" si="3"/>
        <v/>
      </c>
      <c r="J693" s="11" t="str">
        <f t="shared" si="4"/>
        <v/>
      </c>
      <c r="K693" s="11" t="str">
        <f>IFERROR(IF(A693&lt;&gt;"",VLOOKUP(B693,'📦 ชื่อสินค้า'!A:F,6,false),""),)</f>
        <v/>
      </c>
      <c r="L693" s="11" t="str">
        <f t="shared" si="5"/>
        <v/>
      </c>
      <c r="M693" s="13"/>
    </row>
    <row r="694">
      <c r="A694" s="15"/>
      <c r="B694" s="6"/>
      <c r="C694" s="14" t="str">
        <f>iferror(vlookup(B694,'📦 ชื่อสินค้า'!A:C,3,false),)</f>
        <v/>
      </c>
      <c r="D694" s="11" t="str">
        <f>iferror(vlookup(B694,'📦 ชื่อสินค้า'!A:D,4,false),"")</f>
        <v/>
      </c>
      <c r="E694" s="16"/>
      <c r="F694" s="8" t="str">
        <f t="shared" si="1"/>
        <v/>
      </c>
      <c r="G694" s="9" t="str">
        <f>IF(LEN(B694)&gt;0,vlookup(B694,'📊 รายงานสินค้าคงเหลือ'!A:G,6,false)*E694,)</f>
        <v/>
      </c>
      <c r="H694" s="9" t="str">
        <f t="shared" si="2"/>
        <v/>
      </c>
      <c r="I694" s="10" t="str">
        <f t="shared" si="3"/>
        <v/>
      </c>
      <c r="J694" s="11" t="str">
        <f t="shared" si="4"/>
        <v/>
      </c>
      <c r="K694" s="11" t="str">
        <f>IFERROR(IF(A694&lt;&gt;"",VLOOKUP(B694,'📦 ชื่อสินค้า'!A:F,6,false),""),)</f>
        <v/>
      </c>
      <c r="L694" s="11" t="str">
        <f t="shared" si="5"/>
        <v/>
      </c>
      <c r="M694" s="13"/>
    </row>
    <row r="695">
      <c r="A695" s="15"/>
      <c r="B695" s="6"/>
      <c r="C695" s="14" t="str">
        <f>iferror(vlookup(B695,'📦 ชื่อสินค้า'!A:C,3,false),)</f>
        <v/>
      </c>
      <c r="D695" s="11" t="str">
        <f>iferror(vlookup(B695,'📦 ชื่อสินค้า'!A:D,4,false),"")</f>
        <v/>
      </c>
      <c r="E695" s="16"/>
      <c r="F695" s="8" t="str">
        <f t="shared" si="1"/>
        <v/>
      </c>
      <c r="G695" s="9" t="str">
        <f>IF(LEN(B695)&gt;0,vlookup(B695,'📊 รายงานสินค้าคงเหลือ'!A:G,6,false)*E695,)</f>
        <v/>
      </c>
      <c r="H695" s="9" t="str">
        <f t="shared" si="2"/>
        <v/>
      </c>
      <c r="I695" s="10" t="str">
        <f t="shared" si="3"/>
        <v/>
      </c>
      <c r="J695" s="11" t="str">
        <f t="shared" si="4"/>
        <v/>
      </c>
      <c r="K695" s="11" t="str">
        <f>IFERROR(IF(A695&lt;&gt;"",VLOOKUP(B695,'📦 ชื่อสินค้า'!A:F,6,false),""),)</f>
        <v/>
      </c>
      <c r="L695" s="11" t="str">
        <f t="shared" si="5"/>
        <v/>
      </c>
      <c r="M695" s="13"/>
    </row>
    <row r="696">
      <c r="A696" s="15"/>
      <c r="B696" s="6"/>
      <c r="C696" s="14" t="str">
        <f>iferror(vlookup(B696,'📦 ชื่อสินค้า'!A:C,3,false),)</f>
        <v/>
      </c>
      <c r="D696" s="11" t="str">
        <f>iferror(vlookup(B696,'📦 ชื่อสินค้า'!A:D,4,false),"")</f>
        <v/>
      </c>
      <c r="E696" s="16"/>
      <c r="F696" s="8" t="str">
        <f t="shared" si="1"/>
        <v/>
      </c>
      <c r="G696" s="9" t="str">
        <f>IF(LEN(B696)&gt;0,vlookup(B696,'📊 รายงานสินค้าคงเหลือ'!A:G,6,false)*E696,)</f>
        <v/>
      </c>
      <c r="H696" s="9" t="str">
        <f t="shared" si="2"/>
        <v/>
      </c>
      <c r="I696" s="10" t="str">
        <f t="shared" si="3"/>
        <v/>
      </c>
      <c r="J696" s="11" t="str">
        <f t="shared" si="4"/>
        <v/>
      </c>
      <c r="K696" s="11" t="str">
        <f>IFERROR(IF(A696&lt;&gt;"",VLOOKUP(B696,'📦 ชื่อสินค้า'!A:F,6,false),""),)</f>
        <v/>
      </c>
      <c r="L696" s="11" t="str">
        <f t="shared" si="5"/>
        <v/>
      </c>
      <c r="M696" s="13"/>
    </row>
    <row r="697">
      <c r="A697" s="15"/>
      <c r="B697" s="6"/>
      <c r="C697" s="14" t="str">
        <f>iferror(vlookup(B697,'📦 ชื่อสินค้า'!A:C,3,false),)</f>
        <v/>
      </c>
      <c r="D697" s="11" t="str">
        <f>iferror(vlookup(B697,'📦 ชื่อสินค้า'!A:D,4,false),"")</f>
        <v/>
      </c>
      <c r="E697" s="16"/>
      <c r="F697" s="8" t="str">
        <f t="shared" si="1"/>
        <v/>
      </c>
      <c r="G697" s="9" t="str">
        <f>IF(LEN(B697)&gt;0,vlookup(B697,'📊 รายงานสินค้าคงเหลือ'!A:G,6,false)*E697,)</f>
        <v/>
      </c>
      <c r="H697" s="9" t="str">
        <f t="shared" si="2"/>
        <v/>
      </c>
      <c r="I697" s="10" t="str">
        <f t="shared" si="3"/>
        <v/>
      </c>
      <c r="J697" s="11" t="str">
        <f t="shared" si="4"/>
        <v/>
      </c>
      <c r="K697" s="11" t="str">
        <f>IFERROR(IF(A697&lt;&gt;"",VLOOKUP(B697,'📦 ชื่อสินค้า'!A:F,6,false),""),)</f>
        <v/>
      </c>
      <c r="L697" s="11" t="str">
        <f t="shared" si="5"/>
        <v/>
      </c>
      <c r="M697" s="13"/>
    </row>
    <row r="698">
      <c r="A698" s="15"/>
      <c r="B698" s="6"/>
      <c r="C698" s="14" t="str">
        <f>iferror(vlookup(B698,'📦 ชื่อสินค้า'!A:C,3,false),)</f>
        <v/>
      </c>
      <c r="D698" s="11" t="str">
        <f>iferror(vlookup(B698,'📦 ชื่อสินค้า'!A:D,4,false),"")</f>
        <v/>
      </c>
      <c r="E698" s="16"/>
      <c r="F698" s="8" t="str">
        <f t="shared" si="1"/>
        <v/>
      </c>
      <c r="G698" s="9" t="str">
        <f>IF(LEN(B698)&gt;0,vlookup(B698,'📊 รายงานสินค้าคงเหลือ'!A:G,6,false)*E698,)</f>
        <v/>
      </c>
      <c r="H698" s="9" t="str">
        <f t="shared" si="2"/>
        <v/>
      </c>
      <c r="I698" s="10" t="str">
        <f t="shared" si="3"/>
        <v/>
      </c>
      <c r="J698" s="11" t="str">
        <f t="shared" si="4"/>
        <v/>
      </c>
      <c r="K698" s="11" t="str">
        <f>IFERROR(IF(A698&lt;&gt;"",VLOOKUP(B698,'📦 ชื่อสินค้า'!A:F,6,false),""),)</f>
        <v/>
      </c>
      <c r="L698" s="11" t="str">
        <f t="shared" si="5"/>
        <v/>
      </c>
      <c r="M698" s="13"/>
    </row>
    <row r="699">
      <c r="A699" s="15"/>
      <c r="B699" s="6"/>
      <c r="C699" s="14" t="str">
        <f>iferror(vlookup(B699,'📦 ชื่อสินค้า'!A:C,3,false),)</f>
        <v/>
      </c>
      <c r="D699" s="11" t="str">
        <f>iferror(vlookup(B699,'📦 ชื่อสินค้า'!A:D,4,false),"")</f>
        <v/>
      </c>
      <c r="E699" s="16"/>
      <c r="F699" s="8" t="str">
        <f t="shared" si="1"/>
        <v/>
      </c>
      <c r="G699" s="9" t="str">
        <f>IF(LEN(B699)&gt;0,vlookup(B699,'📊 รายงานสินค้าคงเหลือ'!A:G,6,false)*E699,)</f>
        <v/>
      </c>
      <c r="H699" s="9" t="str">
        <f t="shared" si="2"/>
        <v/>
      </c>
      <c r="I699" s="10" t="str">
        <f t="shared" si="3"/>
        <v/>
      </c>
      <c r="J699" s="11" t="str">
        <f t="shared" si="4"/>
        <v/>
      </c>
      <c r="K699" s="11" t="str">
        <f>IFERROR(IF(A699&lt;&gt;"",VLOOKUP(B699,'📦 ชื่อสินค้า'!A:F,6,false),""),)</f>
        <v/>
      </c>
      <c r="L699" s="11" t="str">
        <f t="shared" si="5"/>
        <v/>
      </c>
      <c r="M699" s="13"/>
    </row>
    <row r="700">
      <c r="A700" s="15"/>
      <c r="B700" s="6"/>
      <c r="C700" s="14" t="str">
        <f>iferror(vlookup(B700,'📦 ชื่อสินค้า'!A:C,3,false),)</f>
        <v/>
      </c>
      <c r="D700" s="11" t="str">
        <f>iferror(vlookup(B700,'📦 ชื่อสินค้า'!A:D,4,false),"")</f>
        <v/>
      </c>
      <c r="E700" s="16"/>
      <c r="F700" s="8" t="str">
        <f t="shared" si="1"/>
        <v/>
      </c>
      <c r="G700" s="9" t="str">
        <f>IF(LEN(B700)&gt;0,vlookup(B700,'📊 รายงานสินค้าคงเหลือ'!A:G,6,false)*E700,)</f>
        <v/>
      </c>
      <c r="H700" s="9" t="str">
        <f t="shared" si="2"/>
        <v/>
      </c>
      <c r="I700" s="10" t="str">
        <f t="shared" si="3"/>
        <v/>
      </c>
      <c r="J700" s="11" t="str">
        <f t="shared" si="4"/>
        <v/>
      </c>
      <c r="K700" s="11" t="str">
        <f>IFERROR(IF(A700&lt;&gt;"",VLOOKUP(B700,'📦 ชื่อสินค้า'!A:F,6,false),""),)</f>
        <v/>
      </c>
      <c r="L700" s="11" t="str">
        <f t="shared" si="5"/>
        <v/>
      </c>
      <c r="M700" s="13"/>
    </row>
    <row r="701">
      <c r="A701" s="15"/>
      <c r="B701" s="6"/>
      <c r="C701" s="14" t="str">
        <f>iferror(vlookup(B701,'📦 ชื่อสินค้า'!A:C,3,false),)</f>
        <v/>
      </c>
      <c r="D701" s="11" t="str">
        <f>iferror(vlookup(B701,'📦 ชื่อสินค้า'!A:D,4,false),"")</f>
        <v/>
      </c>
      <c r="E701" s="16"/>
      <c r="F701" s="8" t="str">
        <f t="shared" si="1"/>
        <v/>
      </c>
      <c r="G701" s="9" t="str">
        <f>IF(LEN(B701)&gt;0,vlookup(B701,'📊 รายงานสินค้าคงเหลือ'!A:G,6,false)*E701,)</f>
        <v/>
      </c>
      <c r="H701" s="9" t="str">
        <f t="shared" si="2"/>
        <v/>
      </c>
      <c r="I701" s="10" t="str">
        <f t="shared" si="3"/>
        <v/>
      </c>
      <c r="J701" s="11" t="str">
        <f t="shared" si="4"/>
        <v/>
      </c>
      <c r="K701" s="11" t="str">
        <f>IFERROR(IF(A701&lt;&gt;"",VLOOKUP(B701,'📦 ชื่อสินค้า'!A:F,6,false),""),)</f>
        <v/>
      </c>
      <c r="L701" s="11" t="str">
        <f t="shared" si="5"/>
        <v/>
      </c>
      <c r="M701" s="13"/>
    </row>
    <row r="702">
      <c r="A702" s="15"/>
      <c r="B702" s="6"/>
      <c r="C702" s="14" t="str">
        <f>iferror(vlookup(B702,'📦 ชื่อสินค้า'!A:C,3,false),)</f>
        <v/>
      </c>
      <c r="D702" s="11" t="str">
        <f>iferror(vlookup(B702,'📦 ชื่อสินค้า'!A:D,4,false),"")</f>
        <v/>
      </c>
      <c r="E702" s="16"/>
      <c r="F702" s="8" t="str">
        <f t="shared" si="1"/>
        <v/>
      </c>
      <c r="G702" s="9" t="str">
        <f>IF(LEN(B702)&gt;0,vlookup(B702,'📊 รายงานสินค้าคงเหลือ'!A:G,6,false)*E702,)</f>
        <v/>
      </c>
      <c r="H702" s="9" t="str">
        <f t="shared" si="2"/>
        <v/>
      </c>
      <c r="I702" s="10" t="str">
        <f t="shared" si="3"/>
        <v/>
      </c>
      <c r="J702" s="11" t="str">
        <f t="shared" si="4"/>
        <v/>
      </c>
      <c r="K702" s="11" t="str">
        <f>IFERROR(IF(A702&lt;&gt;"",VLOOKUP(B702,'📦 ชื่อสินค้า'!A:F,6,false),""),)</f>
        <v/>
      </c>
      <c r="L702" s="11" t="str">
        <f t="shared" si="5"/>
        <v/>
      </c>
      <c r="M702" s="13"/>
    </row>
    <row r="703">
      <c r="A703" s="15"/>
      <c r="B703" s="6"/>
      <c r="C703" s="14" t="str">
        <f>iferror(vlookup(B703,'📦 ชื่อสินค้า'!A:C,3,false),)</f>
        <v/>
      </c>
      <c r="D703" s="11" t="str">
        <f>iferror(vlookup(B703,'📦 ชื่อสินค้า'!A:D,4,false),"")</f>
        <v/>
      </c>
      <c r="E703" s="16"/>
      <c r="F703" s="8" t="str">
        <f t="shared" si="1"/>
        <v/>
      </c>
      <c r="G703" s="9" t="str">
        <f>IF(LEN(B703)&gt;0,vlookup(B703,'📊 รายงานสินค้าคงเหลือ'!A:G,6,false)*E703,)</f>
        <v/>
      </c>
      <c r="H703" s="9" t="str">
        <f t="shared" si="2"/>
        <v/>
      </c>
      <c r="I703" s="10" t="str">
        <f t="shared" si="3"/>
        <v/>
      </c>
      <c r="J703" s="11" t="str">
        <f t="shared" si="4"/>
        <v/>
      </c>
      <c r="K703" s="11" t="str">
        <f>IFERROR(IF(A703&lt;&gt;"",VLOOKUP(B703,'📦 ชื่อสินค้า'!A:F,6,false),""),)</f>
        <v/>
      </c>
      <c r="L703" s="11" t="str">
        <f t="shared" si="5"/>
        <v/>
      </c>
      <c r="M703" s="13"/>
    </row>
    <row r="704">
      <c r="A704" s="15"/>
      <c r="B704" s="6"/>
      <c r="C704" s="14" t="str">
        <f>iferror(vlookup(B704,'📦 ชื่อสินค้า'!A:C,3,false),)</f>
        <v/>
      </c>
      <c r="D704" s="11" t="str">
        <f>iferror(vlookup(B704,'📦 ชื่อสินค้า'!A:D,4,false),"")</f>
        <v/>
      </c>
      <c r="E704" s="16"/>
      <c r="F704" s="8" t="str">
        <f t="shared" si="1"/>
        <v/>
      </c>
      <c r="G704" s="9" t="str">
        <f>IF(LEN(B704)&gt;0,vlookup(B704,'📊 รายงานสินค้าคงเหลือ'!A:G,6,false)*E704,)</f>
        <v/>
      </c>
      <c r="H704" s="9" t="str">
        <f t="shared" si="2"/>
        <v/>
      </c>
      <c r="I704" s="10" t="str">
        <f t="shared" si="3"/>
        <v/>
      </c>
      <c r="J704" s="11" t="str">
        <f t="shared" si="4"/>
        <v/>
      </c>
      <c r="K704" s="11" t="str">
        <f>IFERROR(IF(A704&lt;&gt;"",VLOOKUP(B704,'📦 ชื่อสินค้า'!A:F,6,false),""),)</f>
        <v/>
      </c>
      <c r="L704" s="11" t="str">
        <f t="shared" si="5"/>
        <v/>
      </c>
      <c r="M704" s="13"/>
    </row>
    <row r="705">
      <c r="A705" s="15"/>
      <c r="B705" s="6"/>
      <c r="C705" s="14" t="str">
        <f>iferror(vlookup(B705,'📦 ชื่อสินค้า'!A:C,3,false),)</f>
        <v/>
      </c>
      <c r="D705" s="11" t="str">
        <f>iferror(vlookup(B705,'📦 ชื่อสินค้า'!A:D,4,false),"")</f>
        <v/>
      </c>
      <c r="E705" s="16"/>
      <c r="F705" s="8" t="str">
        <f t="shared" si="1"/>
        <v/>
      </c>
      <c r="G705" s="9" t="str">
        <f>IF(LEN(B705)&gt;0,vlookup(B705,'📊 รายงานสินค้าคงเหลือ'!A:G,6,false)*E705,)</f>
        <v/>
      </c>
      <c r="H705" s="9" t="str">
        <f t="shared" si="2"/>
        <v/>
      </c>
      <c r="I705" s="10" t="str">
        <f t="shared" si="3"/>
        <v/>
      </c>
      <c r="J705" s="11" t="str">
        <f t="shared" si="4"/>
        <v/>
      </c>
      <c r="K705" s="11" t="str">
        <f>IFERROR(IF(A705&lt;&gt;"",VLOOKUP(B705,'📦 ชื่อสินค้า'!A:F,6,false),""),)</f>
        <v/>
      </c>
      <c r="L705" s="11" t="str">
        <f t="shared" si="5"/>
        <v/>
      </c>
      <c r="M705" s="13"/>
    </row>
    <row r="706">
      <c r="A706" s="15"/>
      <c r="B706" s="6"/>
      <c r="C706" s="14" t="str">
        <f>iferror(vlookup(B706,'📦 ชื่อสินค้า'!A:C,3,false),)</f>
        <v/>
      </c>
      <c r="D706" s="11" t="str">
        <f>iferror(vlookup(B706,'📦 ชื่อสินค้า'!A:D,4,false),"")</f>
        <v/>
      </c>
      <c r="E706" s="16"/>
      <c r="F706" s="8" t="str">
        <f t="shared" si="1"/>
        <v/>
      </c>
      <c r="G706" s="9" t="str">
        <f>IF(LEN(B706)&gt;0,vlookup(B706,'📊 รายงานสินค้าคงเหลือ'!A:G,6,false)*E706,)</f>
        <v/>
      </c>
      <c r="H706" s="9" t="str">
        <f t="shared" si="2"/>
        <v/>
      </c>
      <c r="I706" s="10" t="str">
        <f t="shared" si="3"/>
        <v/>
      </c>
      <c r="J706" s="11" t="str">
        <f t="shared" si="4"/>
        <v/>
      </c>
      <c r="K706" s="11" t="str">
        <f>IFERROR(IF(A706&lt;&gt;"",VLOOKUP(B706,'📦 ชื่อสินค้า'!A:F,6,false),""),)</f>
        <v/>
      </c>
      <c r="L706" s="11" t="str">
        <f t="shared" si="5"/>
        <v/>
      </c>
      <c r="M706" s="13"/>
    </row>
    <row r="707">
      <c r="A707" s="15"/>
      <c r="B707" s="6"/>
      <c r="C707" s="14" t="str">
        <f>iferror(vlookup(B707,'📦 ชื่อสินค้า'!A:C,3,false),)</f>
        <v/>
      </c>
      <c r="D707" s="11" t="str">
        <f>iferror(vlookup(B707,'📦 ชื่อสินค้า'!A:D,4,false),"")</f>
        <v/>
      </c>
      <c r="E707" s="16"/>
      <c r="F707" s="8" t="str">
        <f t="shared" si="1"/>
        <v/>
      </c>
      <c r="G707" s="9" t="str">
        <f>IF(LEN(B707)&gt;0,vlookup(B707,'📊 รายงานสินค้าคงเหลือ'!A:G,6,false)*E707,)</f>
        <v/>
      </c>
      <c r="H707" s="9" t="str">
        <f t="shared" si="2"/>
        <v/>
      </c>
      <c r="I707" s="10" t="str">
        <f t="shared" si="3"/>
        <v/>
      </c>
      <c r="J707" s="11" t="str">
        <f t="shared" si="4"/>
        <v/>
      </c>
      <c r="K707" s="11" t="str">
        <f>IFERROR(IF(A707&lt;&gt;"",VLOOKUP(B707,'📦 ชื่อสินค้า'!A:F,6,false),""),)</f>
        <v/>
      </c>
      <c r="L707" s="11" t="str">
        <f t="shared" si="5"/>
        <v/>
      </c>
      <c r="M707" s="13"/>
    </row>
    <row r="708">
      <c r="A708" s="15"/>
      <c r="B708" s="6"/>
      <c r="C708" s="14" t="str">
        <f>iferror(vlookup(B708,'📦 ชื่อสินค้า'!A:C,3,false),)</f>
        <v/>
      </c>
      <c r="D708" s="11" t="str">
        <f>iferror(vlookup(B708,'📦 ชื่อสินค้า'!A:D,4,false),"")</f>
        <v/>
      </c>
      <c r="E708" s="16"/>
      <c r="F708" s="8" t="str">
        <f t="shared" si="1"/>
        <v/>
      </c>
      <c r="G708" s="9" t="str">
        <f>IF(LEN(B708)&gt;0,vlookup(B708,'📊 รายงานสินค้าคงเหลือ'!A:G,6,false)*E708,)</f>
        <v/>
      </c>
      <c r="H708" s="9" t="str">
        <f t="shared" si="2"/>
        <v/>
      </c>
      <c r="I708" s="10" t="str">
        <f t="shared" si="3"/>
        <v/>
      </c>
      <c r="J708" s="11" t="str">
        <f t="shared" si="4"/>
        <v/>
      </c>
      <c r="K708" s="11" t="str">
        <f>IFERROR(IF(A708&lt;&gt;"",VLOOKUP(B708,'📦 ชื่อสินค้า'!A:F,6,false),""),)</f>
        <v/>
      </c>
      <c r="L708" s="11" t="str">
        <f t="shared" si="5"/>
        <v/>
      </c>
      <c r="M708" s="13"/>
    </row>
    <row r="709">
      <c r="A709" s="15"/>
      <c r="B709" s="6"/>
      <c r="C709" s="14" t="str">
        <f>iferror(vlookup(B709,'📦 ชื่อสินค้า'!A:C,3,false),)</f>
        <v/>
      </c>
      <c r="D709" s="11" t="str">
        <f>iferror(vlookup(B709,'📦 ชื่อสินค้า'!A:D,4,false),"")</f>
        <v/>
      </c>
      <c r="E709" s="16"/>
      <c r="F709" s="8" t="str">
        <f t="shared" si="1"/>
        <v/>
      </c>
      <c r="G709" s="9" t="str">
        <f>IF(LEN(B709)&gt;0,vlookup(B709,'📊 รายงานสินค้าคงเหลือ'!A:G,6,false)*E709,)</f>
        <v/>
      </c>
      <c r="H709" s="9" t="str">
        <f t="shared" si="2"/>
        <v/>
      </c>
      <c r="I709" s="10" t="str">
        <f t="shared" si="3"/>
        <v/>
      </c>
      <c r="J709" s="11" t="str">
        <f t="shared" si="4"/>
        <v/>
      </c>
      <c r="K709" s="11" t="str">
        <f>IFERROR(IF(A709&lt;&gt;"",VLOOKUP(B709,'📦 ชื่อสินค้า'!A:F,6,false),""),)</f>
        <v/>
      </c>
      <c r="L709" s="11" t="str">
        <f t="shared" si="5"/>
        <v/>
      </c>
      <c r="M709" s="13"/>
    </row>
    <row r="710">
      <c r="A710" s="15"/>
      <c r="B710" s="6"/>
      <c r="C710" s="14" t="str">
        <f>iferror(vlookup(B710,'📦 ชื่อสินค้า'!A:C,3,false),)</f>
        <v/>
      </c>
      <c r="D710" s="11" t="str">
        <f>iferror(vlookup(B710,'📦 ชื่อสินค้า'!A:D,4,false),"")</f>
        <v/>
      </c>
      <c r="E710" s="16"/>
      <c r="F710" s="8" t="str">
        <f t="shared" si="1"/>
        <v/>
      </c>
      <c r="G710" s="9" t="str">
        <f>IF(LEN(B710)&gt;0,vlookup(B710,'📊 รายงานสินค้าคงเหลือ'!A:G,6,false)*E710,)</f>
        <v/>
      </c>
      <c r="H710" s="9" t="str">
        <f t="shared" si="2"/>
        <v/>
      </c>
      <c r="I710" s="10" t="str">
        <f t="shared" si="3"/>
        <v/>
      </c>
      <c r="J710" s="11" t="str">
        <f t="shared" si="4"/>
        <v/>
      </c>
      <c r="K710" s="11" t="str">
        <f>IFERROR(IF(A710&lt;&gt;"",VLOOKUP(B710,'📦 ชื่อสินค้า'!A:F,6,false),""),)</f>
        <v/>
      </c>
      <c r="L710" s="11" t="str">
        <f t="shared" si="5"/>
        <v/>
      </c>
      <c r="M710" s="13"/>
    </row>
    <row r="711">
      <c r="A711" s="15"/>
      <c r="B711" s="6"/>
      <c r="C711" s="14" t="str">
        <f>iferror(vlookup(B711,'📦 ชื่อสินค้า'!A:C,3,false),)</f>
        <v/>
      </c>
      <c r="D711" s="11" t="str">
        <f>iferror(vlookup(B711,'📦 ชื่อสินค้า'!A:D,4,false),"")</f>
        <v/>
      </c>
      <c r="E711" s="16"/>
      <c r="F711" s="8" t="str">
        <f t="shared" si="1"/>
        <v/>
      </c>
      <c r="G711" s="9" t="str">
        <f>IF(LEN(B711)&gt;0,vlookup(B711,'📊 รายงานสินค้าคงเหลือ'!A:G,6,false)*E711,)</f>
        <v/>
      </c>
      <c r="H711" s="9" t="str">
        <f t="shared" si="2"/>
        <v/>
      </c>
      <c r="I711" s="10" t="str">
        <f t="shared" si="3"/>
        <v/>
      </c>
      <c r="J711" s="11" t="str">
        <f t="shared" si="4"/>
        <v/>
      </c>
      <c r="K711" s="11" t="str">
        <f>IFERROR(IF(A711&lt;&gt;"",VLOOKUP(B711,'📦 ชื่อสินค้า'!A:F,6,false),""),)</f>
        <v/>
      </c>
      <c r="L711" s="11" t="str">
        <f t="shared" si="5"/>
        <v/>
      </c>
      <c r="M711" s="13"/>
    </row>
    <row r="712">
      <c r="A712" s="15"/>
      <c r="B712" s="6"/>
      <c r="C712" s="14" t="str">
        <f>iferror(vlookup(B712,'📦 ชื่อสินค้า'!A:C,3,false),)</f>
        <v/>
      </c>
      <c r="D712" s="11" t="str">
        <f>iferror(vlookup(B712,'📦 ชื่อสินค้า'!A:D,4,false),"")</f>
        <v/>
      </c>
      <c r="E712" s="16"/>
      <c r="F712" s="8" t="str">
        <f t="shared" si="1"/>
        <v/>
      </c>
      <c r="G712" s="9" t="str">
        <f>IF(LEN(B712)&gt;0,vlookup(B712,'📊 รายงานสินค้าคงเหลือ'!A:G,6,false)*E712,)</f>
        <v/>
      </c>
      <c r="H712" s="9" t="str">
        <f t="shared" si="2"/>
        <v/>
      </c>
      <c r="I712" s="10" t="str">
        <f t="shared" si="3"/>
        <v/>
      </c>
      <c r="J712" s="11" t="str">
        <f t="shared" si="4"/>
        <v/>
      </c>
      <c r="K712" s="11" t="str">
        <f>IFERROR(IF(A712&lt;&gt;"",VLOOKUP(B712,'📦 ชื่อสินค้า'!A:F,6,false),""),)</f>
        <v/>
      </c>
      <c r="L712" s="11" t="str">
        <f t="shared" si="5"/>
        <v/>
      </c>
      <c r="M712" s="13"/>
    </row>
    <row r="713">
      <c r="A713" s="15"/>
      <c r="B713" s="6"/>
      <c r="C713" s="14" t="str">
        <f>iferror(vlookup(B713,'📦 ชื่อสินค้า'!A:C,3,false),)</f>
        <v/>
      </c>
      <c r="D713" s="11" t="str">
        <f>iferror(vlookup(B713,'📦 ชื่อสินค้า'!A:D,4,false),"")</f>
        <v/>
      </c>
      <c r="E713" s="16"/>
      <c r="F713" s="8" t="str">
        <f t="shared" si="1"/>
        <v/>
      </c>
      <c r="G713" s="9" t="str">
        <f>IF(LEN(B713)&gt;0,vlookup(B713,'📊 รายงานสินค้าคงเหลือ'!A:G,6,false)*E713,)</f>
        <v/>
      </c>
      <c r="H713" s="9" t="str">
        <f t="shared" si="2"/>
        <v/>
      </c>
      <c r="I713" s="10" t="str">
        <f t="shared" si="3"/>
        <v/>
      </c>
      <c r="J713" s="11" t="str">
        <f t="shared" si="4"/>
        <v/>
      </c>
      <c r="K713" s="11" t="str">
        <f>IFERROR(IF(A713&lt;&gt;"",VLOOKUP(B713,'📦 ชื่อสินค้า'!A:F,6,false),""),)</f>
        <v/>
      </c>
      <c r="L713" s="11" t="str">
        <f t="shared" si="5"/>
        <v/>
      </c>
      <c r="M713" s="13"/>
    </row>
    <row r="714">
      <c r="A714" s="15"/>
      <c r="B714" s="6"/>
      <c r="C714" s="14" t="str">
        <f>iferror(vlookup(B714,'📦 ชื่อสินค้า'!A:C,3,false),)</f>
        <v/>
      </c>
      <c r="D714" s="11" t="str">
        <f>iferror(vlookup(B714,'📦 ชื่อสินค้า'!A:D,4,false),"")</f>
        <v/>
      </c>
      <c r="E714" s="16"/>
      <c r="F714" s="8" t="str">
        <f t="shared" si="1"/>
        <v/>
      </c>
      <c r="G714" s="9" t="str">
        <f>IF(LEN(B714)&gt;0,vlookup(B714,'📊 รายงานสินค้าคงเหลือ'!A:G,6,false)*E714,)</f>
        <v/>
      </c>
      <c r="H714" s="9" t="str">
        <f t="shared" si="2"/>
        <v/>
      </c>
      <c r="I714" s="10" t="str">
        <f t="shared" si="3"/>
        <v/>
      </c>
      <c r="J714" s="11" t="str">
        <f t="shared" si="4"/>
        <v/>
      </c>
      <c r="K714" s="11" t="str">
        <f>IFERROR(IF(A714&lt;&gt;"",VLOOKUP(B714,'📦 ชื่อสินค้า'!A:F,6,false),""),)</f>
        <v/>
      </c>
      <c r="L714" s="11" t="str">
        <f t="shared" si="5"/>
        <v/>
      </c>
      <c r="M714" s="13"/>
    </row>
    <row r="715">
      <c r="A715" s="15"/>
      <c r="B715" s="6"/>
      <c r="C715" s="14" t="str">
        <f>iferror(vlookup(B715,'📦 ชื่อสินค้า'!A:C,3,false),)</f>
        <v/>
      </c>
      <c r="D715" s="11" t="str">
        <f>iferror(vlookup(B715,'📦 ชื่อสินค้า'!A:D,4,false),"")</f>
        <v/>
      </c>
      <c r="E715" s="16"/>
      <c r="F715" s="8" t="str">
        <f t="shared" si="1"/>
        <v/>
      </c>
      <c r="G715" s="9" t="str">
        <f>IF(LEN(B715)&gt;0,vlookup(B715,'📊 รายงานสินค้าคงเหลือ'!A:G,6,false)*E715,)</f>
        <v/>
      </c>
      <c r="H715" s="9" t="str">
        <f t="shared" si="2"/>
        <v/>
      </c>
      <c r="I715" s="10" t="str">
        <f t="shared" si="3"/>
        <v/>
      </c>
      <c r="J715" s="11" t="str">
        <f t="shared" si="4"/>
        <v/>
      </c>
      <c r="K715" s="11" t="str">
        <f>IFERROR(IF(A715&lt;&gt;"",VLOOKUP(B715,'📦 ชื่อสินค้า'!A:F,6,false),""),)</f>
        <v/>
      </c>
      <c r="L715" s="11" t="str">
        <f t="shared" si="5"/>
        <v/>
      </c>
      <c r="M715" s="13"/>
    </row>
    <row r="716">
      <c r="A716" s="15"/>
      <c r="B716" s="6"/>
      <c r="C716" s="14" t="str">
        <f>iferror(vlookup(B716,'📦 ชื่อสินค้า'!A:C,3,false),)</f>
        <v/>
      </c>
      <c r="D716" s="11" t="str">
        <f>iferror(vlookup(B716,'📦 ชื่อสินค้า'!A:D,4,false),"")</f>
        <v/>
      </c>
      <c r="E716" s="16"/>
      <c r="F716" s="8" t="str">
        <f t="shared" si="1"/>
        <v/>
      </c>
      <c r="G716" s="9" t="str">
        <f>IF(LEN(B716)&gt;0,vlookup(B716,'📊 รายงานสินค้าคงเหลือ'!A:G,6,false)*E716,)</f>
        <v/>
      </c>
      <c r="H716" s="9" t="str">
        <f t="shared" si="2"/>
        <v/>
      </c>
      <c r="I716" s="10" t="str">
        <f t="shared" si="3"/>
        <v/>
      </c>
      <c r="J716" s="11" t="str">
        <f t="shared" si="4"/>
        <v/>
      </c>
      <c r="K716" s="11" t="str">
        <f>IFERROR(IF(A716&lt;&gt;"",VLOOKUP(B716,'📦 ชื่อสินค้า'!A:F,6,false),""),)</f>
        <v/>
      </c>
      <c r="L716" s="11" t="str">
        <f t="shared" si="5"/>
        <v/>
      </c>
      <c r="M716" s="13"/>
    </row>
    <row r="717">
      <c r="A717" s="15"/>
      <c r="B717" s="6"/>
      <c r="C717" s="14" t="str">
        <f>iferror(vlookup(B717,'📦 ชื่อสินค้า'!A:C,3,false),)</f>
        <v/>
      </c>
      <c r="D717" s="11" t="str">
        <f>iferror(vlookup(B717,'📦 ชื่อสินค้า'!A:D,4,false),"")</f>
        <v/>
      </c>
      <c r="E717" s="16"/>
      <c r="F717" s="8" t="str">
        <f t="shared" si="1"/>
        <v/>
      </c>
      <c r="G717" s="9" t="str">
        <f>IF(LEN(B717)&gt;0,vlookup(B717,'📊 รายงานสินค้าคงเหลือ'!A:G,6,false)*E717,)</f>
        <v/>
      </c>
      <c r="H717" s="9" t="str">
        <f t="shared" si="2"/>
        <v/>
      </c>
      <c r="I717" s="10" t="str">
        <f t="shared" si="3"/>
        <v/>
      </c>
      <c r="J717" s="11" t="str">
        <f t="shared" si="4"/>
        <v/>
      </c>
      <c r="K717" s="11" t="str">
        <f>IFERROR(IF(A717&lt;&gt;"",VLOOKUP(B717,'📦 ชื่อสินค้า'!A:F,6,false),""),)</f>
        <v/>
      </c>
      <c r="L717" s="11" t="str">
        <f t="shared" si="5"/>
        <v/>
      </c>
      <c r="M717" s="13"/>
    </row>
    <row r="718">
      <c r="A718" s="15"/>
      <c r="B718" s="6"/>
      <c r="C718" s="14" t="str">
        <f>iferror(vlookup(B718,'📦 ชื่อสินค้า'!A:C,3,false),)</f>
        <v/>
      </c>
      <c r="D718" s="11" t="str">
        <f>iferror(vlookup(B718,'📦 ชื่อสินค้า'!A:D,4,false),"")</f>
        <v/>
      </c>
      <c r="E718" s="16"/>
      <c r="F718" s="8" t="str">
        <f t="shared" si="1"/>
        <v/>
      </c>
      <c r="G718" s="9" t="str">
        <f>IF(LEN(B718)&gt;0,vlookup(B718,'📊 รายงานสินค้าคงเหลือ'!A:G,6,false)*E718,)</f>
        <v/>
      </c>
      <c r="H718" s="9" t="str">
        <f t="shared" si="2"/>
        <v/>
      </c>
      <c r="I718" s="10" t="str">
        <f t="shared" si="3"/>
        <v/>
      </c>
      <c r="J718" s="11" t="str">
        <f t="shared" si="4"/>
        <v/>
      </c>
      <c r="K718" s="11" t="str">
        <f>IFERROR(IF(A718&lt;&gt;"",VLOOKUP(B718,'📦 ชื่อสินค้า'!A:F,6,false),""),)</f>
        <v/>
      </c>
      <c r="L718" s="11" t="str">
        <f t="shared" si="5"/>
        <v/>
      </c>
      <c r="M718" s="13"/>
    </row>
    <row r="719">
      <c r="A719" s="15"/>
      <c r="B719" s="6"/>
      <c r="C719" s="14" t="str">
        <f>iferror(vlookup(B719,'📦 ชื่อสินค้า'!A:C,3,false),)</f>
        <v/>
      </c>
      <c r="D719" s="11" t="str">
        <f>iferror(vlookup(B719,'📦 ชื่อสินค้า'!A:D,4,false),"")</f>
        <v/>
      </c>
      <c r="E719" s="16"/>
      <c r="F719" s="8" t="str">
        <f t="shared" si="1"/>
        <v/>
      </c>
      <c r="G719" s="9" t="str">
        <f>IF(LEN(B719)&gt;0,vlookup(B719,'📊 รายงานสินค้าคงเหลือ'!A:G,6,false)*E719,)</f>
        <v/>
      </c>
      <c r="H719" s="9" t="str">
        <f t="shared" si="2"/>
        <v/>
      </c>
      <c r="I719" s="10" t="str">
        <f t="shared" si="3"/>
        <v/>
      </c>
      <c r="J719" s="11" t="str">
        <f t="shared" si="4"/>
        <v/>
      </c>
      <c r="K719" s="11" t="str">
        <f>IFERROR(IF(A719&lt;&gt;"",VLOOKUP(B719,'📦 ชื่อสินค้า'!A:F,6,false),""),)</f>
        <v/>
      </c>
      <c r="L719" s="11" t="str">
        <f t="shared" si="5"/>
        <v/>
      </c>
      <c r="M719" s="13"/>
    </row>
    <row r="720">
      <c r="A720" s="15"/>
      <c r="B720" s="6"/>
      <c r="C720" s="14" t="str">
        <f>iferror(vlookup(B720,'📦 ชื่อสินค้า'!A:C,3,false),)</f>
        <v/>
      </c>
      <c r="D720" s="11" t="str">
        <f>iferror(vlookup(B720,'📦 ชื่อสินค้า'!A:D,4,false),"")</f>
        <v/>
      </c>
      <c r="E720" s="16"/>
      <c r="F720" s="8" t="str">
        <f t="shared" si="1"/>
        <v/>
      </c>
      <c r="G720" s="9" t="str">
        <f>IF(LEN(B720)&gt;0,vlookup(B720,'📊 รายงานสินค้าคงเหลือ'!A:G,6,false)*E720,)</f>
        <v/>
      </c>
      <c r="H720" s="9" t="str">
        <f t="shared" si="2"/>
        <v/>
      </c>
      <c r="I720" s="10" t="str">
        <f t="shared" si="3"/>
        <v/>
      </c>
      <c r="J720" s="11" t="str">
        <f t="shared" si="4"/>
        <v/>
      </c>
      <c r="K720" s="11" t="str">
        <f>IFERROR(IF(A720&lt;&gt;"",VLOOKUP(B720,'📦 ชื่อสินค้า'!A:F,6,false),""),)</f>
        <v/>
      </c>
      <c r="L720" s="11" t="str">
        <f t="shared" si="5"/>
        <v/>
      </c>
      <c r="M720" s="13"/>
    </row>
    <row r="721">
      <c r="A721" s="15"/>
      <c r="B721" s="6"/>
      <c r="C721" s="14" t="str">
        <f>iferror(vlookup(B721,'📦 ชื่อสินค้า'!A:C,3,false),)</f>
        <v/>
      </c>
      <c r="D721" s="11" t="str">
        <f>iferror(vlookup(B721,'📦 ชื่อสินค้า'!A:D,4,false),"")</f>
        <v/>
      </c>
      <c r="E721" s="16"/>
      <c r="F721" s="8" t="str">
        <f t="shared" si="1"/>
        <v/>
      </c>
      <c r="G721" s="9" t="str">
        <f>IF(LEN(B721)&gt;0,vlookup(B721,'📊 รายงานสินค้าคงเหลือ'!A:G,6,false)*E721,)</f>
        <v/>
      </c>
      <c r="H721" s="9" t="str">
        <f t="shared" si="2"/>
        <v/>
      </c>
      <c r="I721" s="10" t="str">
        <f t="shared" si="3"/>
        <v/>
      </c>
      <c r="J721" s="11" t="str">
        <f t="shared" si="4"/>
        <v/>
      </c>
      <c r="K721" s="11" t="str">
        <f>IFERROR(IF(A721&lt;&gt;"",VLOOKUP(B721,'📦 ชื่อสินค้า'!A:F,6,false),""),)</f>
        <v/>
      </c>
      <c r="L721" s="11" t="str">
        <f t="shared" si="5"/>
        <v/>
      </c>
      <c r="M721" s="13"/>
    </row>
    <row r="722">
      <c r="A722" s="15"/>
      <c r="B722" s="6"/>
      <c r="C722" s="14" t="str">
        <f>iferror(vlookup(B722,'📦 ชื่อสินค้า'!A:C,3,false),)</f>
        <v/>
      </c>
      <c r="D722" s="11" t="str">
        <f>iferror(vlookup(B722,'📦 ชื่อสินค้า'!A:D,4,false),"")</f>
        <v/>
      </c>
      <c r="E722" s="16"/>
      <c r="F722" s="8" t="str">
        <f t="shared" si="1"/>
        <v/>
      </c>
      <c r="G722" s="9" t="str">
        <f>IF(LEN(B722)&gt;0,vlookup(B722,'📊 รายงานสินค้าคงเหลือ'!A:G,6,false)*E722,)</f>
        <v/>
      </c>
      <c r="H722" s="9" t="str">
        <f t="shared" si="2"/>
        <v/>
      </c>
      <c r="I722" s="10" t="str">
        <f t="shared" si="3"/>
        <v/>
      </c>
      <c r="J722" s="11" t="str">
        <f t="shared" si="4"/>
        <v/>
      </c>
      <c r="K722" s="11" t="str">
        <f>IFERROR(IF(A722&lt;&gt;"",VLOOKUP(B722,'📦 ชื่อสินค้า'!A:F,6,false),""),)</f>
        <v/>
      </c>
      <c r="L722" s="11" t="str">
        <f t="shared" si="5"/>
        <v/>
      </c>
      <c r="M722" s="13"/>
    </row>
    <row r="723">
      <c r="A723" s="15"/>
      <c r="B723" s="6"/>
      <c r="C723" s="14" t="str">
        <f>iferror(vlookup(B723,'📦 ชื่อสินค้า'!A:C,3,false),)</f>
        <v/>
      </c>
      <c r="D723" s="11" t="str">
        <f>iferror(vlookup(B723,'📦 ชื่อสินค้า'!A:D,4,false),"")</f>
        <v/>
      </c>
      <c r="E723" s="16"/>
      <c r="F723" s="8" t="str">
        <f t="shared" si="1"/>
        <v/>
      </c>
      <c r="G723" s="9" t="str">
        <f>IF(LEN(B723)&gt;0,vlookup(B723,'📊 รายงานสินค้าคงเหลือ'!A:G,6,false)*E723,)</f>
        <v/>
      </c>
      <c r="H723" s="9" t="str">
        <f t="shared" si="2"/>
        <v/>
      </c>
      <c r="I723" s="10" t="str">
        <f t="shared" si="3"/>
        <v/>
      </c>
      <c r="J723" s="11" t="str">
        <f t="shared" si="4"/>
        <v/>
      </c>
      <c r="K723" s="11" t="str">
        <f>IFERROR(IF(A723&lt;&gt;"",VLOOKUP(B723,'📦 ชื่อสินค้า'!A:F,6,false),""),)</f>
        <v/>
      </c>
      <c r="L723" s="11" t="str">
        <f t="shared" si="5"/>
        <v/>
      </c>
      <c r="M723" s="13"/>
    </row>
    <row r="724">
      <c r="A724" s="15"/>
      <c r="B724" s="6"/>
      <c r="C724" s="14" t="str">
        <f>iferror(vlookup(B724,'📦 ชื่อสินค้า'!A:C,3,false),)</f>
        <v/>
      </c>
      <c r="D724" s="11" t="str">
        <f>iferror(vlookup(B724,'📦 ชื่อสินค้า'!A:D,4,false),"")</f>
        <v/>
      </c>
      <c r="E724" s="16"/>
      <c r="F724" s="8" t="str">
        <f t="shared" si="1"/>
        <v/>
      </c>
      <c r="G724" s="9" t="str">
        <f>IF(LEN(B724)&gt;0,vlookup(B724,'📊 รายงานสินค้าคงเหลือ'!A:G,6,false)*E724,)</f>
        <v/>
      </c>
      <c r="H724" s="9" t="str">
        <f t="shared" si="2"/>
        <v/>
      </c>
      <c r="I724" s="10" t="str">
        <f t="shared" si="3"/>
        <v/>
      </c>
      <c r="J724" s="11" t="str">
        <f t="shared" si="4"/>
        <v/>
      </c>
      <c r="K724" s="11" t="str">
        <f>IFERROR(IF(A724&lt;&gt;"",VLOOKUP(B724,'📦 ชื่อสินค้า'!A:F,6,false),""),)</f>
        <v/>
      </c>
      <c r="L724" s="11" t="str">
        <f t="shared" si="5"/>
        <v/>
      </c>
      <c r="M724" s="13"/>
    </row>
    <row r="725">
      <c r="A725" s="15"/>
      <c r="B725" s="6"/>
      <c r="C725" s="14" t="str">
        <f>iferror(vlookup(B725,'📦 ชื่อสินค้า'!A:C,3,false),)</f>
        <v/>
      </c>
      <c r="D725" s="11" t="str">
        <f>iferror(vlookup(B725,'📦 ชื่อสินค้า'!A:D,4,false),"")</f>
        <v/>
      </c>
      <c r="E725" s="16"/>
      <c r="F725" s="8" t="str">
        <f t="shared" si="1"/>
        <v/>
      </c>
      <c r="G725" s="9" t="str">
        <f>IF(LEN(B725)&gt;0,vlookup(B725,'📊 รายงานสินค้าคงเหลือ'!A:G,6,false)*E725,)</f>
        <v/>
      </c>
      <c r="H725" s="9" t="str">
        <f t="shared" si="2"/>
        <v/>
      </c>
      <c r="I725" s="10" t="str">
        <f t="shared" si="3"/>
        <v/>
      </c>
      <c r="J725" s="11" t="str">
        <f t="shared" si="4"/>
        <v/>
      </c>
      <c r="K725" s="11" t="str">
        <f>IFERROR(IF(A725&lt;&gt;"",VLOOKUP(B725,'📦 ชื่อสินค้า'!A:F,6,false),""),)</f>
        <v/>
      </c>
      <c r="L725" s="11" t="str">
        <f t="shared" si="5"/>
        <v/>
      </c>
      <c r="M725" s="13"/>
    </row>
    <row r="726">
      <c r="A726" s="15"/>
      <c r="B726" s="6"/>
      <c r="C726" s="14" t="str">
        <f>iferror(vlookup(B726,'📦 ชื่อสินค้า'!A:C,3,false),)</f>
        <v/>
      </c>
      <c r="D726" s="11" t="str">
        <f>iferror(vlookup(B726,'📦 ชื่อสินค้า'!A:D,4,false),"")</f>
        <v/>
      </c>
      <c r="E726" s="16"/>
      <c r="F726" s="8" t="str">
        <f t="shared" si="1"/>
        <v/>
      </c>
      <c r="G726" s="9" t="str">
        <f>IF(LEN(B726)&gt;0,vlookup(B726,'📊 รายงานสินค้าคงเหลือ'!A:G,6,false)*E726,)</f>
        <v/>
      </c>
      <c r="H726" s="9" t="str">
        <f t="shared" si="2"/>
        <v/>
      </c>
      <c r="I726" s="10" t="str">
        <f t="shared" si="3"/>
        <v/>
      </c>
      <c r="J726" s="11" t="str">
        <f t="shared" si="4"/>
        <v/>
      </c>
      <c r="K726" s="11" t="str">
        <f>IFERROR(IF(A726&lt;&gt;"",VLOOKUP(B726,'📦 ชื่อสินค้า'!A:F,6,false),""),)</f>
        <v/>
      </c>
      <c r="L726" s="11" t="str">
        <f t="shared" si="5"/>
        <v/>
      </c>
      <c r="M726" s="13"/>
    </row>
    <row r="727">
      <c r="A727" s="15"/>
      <c r="B727" s="6"/>
      <c r="C727" s="14" t="str">
        <f>iferror(vlookup(B727,'📦 ชื่อสินค้า'!A:C,3,false),)</f>
        <v/>
      </c>
      <c r="D727" s="11" t="str">
        <f>iferror(vlookup(B727,'📦 ชื่อสินค้า'!A:D,4,false),"")</f>
        <v/>
      </c>
      <c r="E727" s="16"/>
      <c r="F727" s="8" t="str">
        <f t="shared" si="1"/>
        <v/>
      </c>
      <c r="G727" s="9" t="str">
        <f>IF(LEN(B727)&gt;0,vlookup(B727,'📊 รายงานสินค้าคงเหลือ'!A:G,6,false)*E727,)</f>
        <v/>
      </c>
      <c r="H727" s="9" t="str">
        <f t="shared" si="2"/>
        <v/>
      </c>
      <c r="I727" s="10" t="str">
        <f t="shared" si="3"/>
        <v/>
      </c>
      <c r="J727" s="11" t="str">
        <f t="shared" si="4"/>
        <v/>
      </c>
      <c r="K727" s="11" t="str">
        <f>IFERROR(IF(A727&lt;&gt;"",VLOOKUP(B727,'📦 ชื่อสินค้า'!A:F,6,false),""),)</f>
        <v/>
      </c>
      <c r="L727" s="11" t="str">
        <f t="shared" si="5"/>
        <v/>
      </c>
      <c r="M727" s="13"/>
    </row>
    <row r="728">
      <c r="A728" s="15"/>
      <c r="B728" s="6"/>
      <c r="C728" s="14" t="str">
        <f>iferror(vlookup(B728,'📦 ชื่อสินค้า'!A:C,3,false),)</f>
        <v/>
      </c>
      <c r="D728" s="11" t="str">
        <f>iferror(vlookup(B728,'📦 ชื่อสินค้า'!A:D,4,false),"")</f>
        <v/>
      </c>
      <c r="E728" s="16"/>
      <c r="F728" s="8" t="str">
        <f t="shared" si="1"/>
        <v/>
      </c>
      <c r="G728" s="9" t="str">
        <f>IF(LEN(B728)&gt;0,vlookup(B728,'📊 รายงานสินค้าคงเหลือ'!A:G,6,false)*E728,)</f>
        <v/>
      </c>
      <c r="H728" s="9" t="str">
        <f t="shared" si="2"/>
        <v/>
      </c>
      <c r="I728" s="10" t="str">
        <f t="shared" si="3"/>
        <v/>
      </c>
      <c r="J728" s="11" t="str">
        <f t="shared" si="4"/>
        <v/>
      </c>
      <c r="K728" s="11" t="str">
        <f>IFERROR(IF(A728&lt;&gt;"",VLOOKUP(B728,'📦 ชื่อสินค้า'!A:F,6,false),""),)</f>
        <v/>
      </c>
      <c r="L728" s="11" t="str">
        <f t="shared" si="5"/>
        <v/>
      </c>
      <c r="M728" s="13"/>
    </row>
    <row r="729">
      <c r="A729" s="15"/>
      <c r="B729" s="6"/>
      <c r="C729" s="14" t="str">
        <f>iferror(vlookup(B729,'📦 ชื่อสินค้า'!A:C,3,false),)</f>
        <v/>
      </c>
      <c r="D729" s="11" t="str">
        <f>iferror(vlookup(B729,'📦 ชื่อสินค้า'!A:D,4,false),"")</f>
        <v/>
      </c>
      <c r="E729" s="16"/>
      <c r="F729" s="8" t="str">
        <f t="shared" si="1"/>
        <v/>
      </c>
      <c r="G729" s="9" t="str">
        <f>IF(LEN(B729)&gt;0,vlookup(B729,'📊 รายงานสินค้าคงเหลือ'!A:G,6,false)*E729,)</f>
        <v/>
      </c>
      <c r="H729" s="9" t="str">
        <f t="shared" si="2"/>
        <v/>
      </c>
      <c r="I729" s="10" t="str">
        <f t="shared" si="3"/>
        <v/>
      </c>
      <c r="J729" s="11" t="str">
        <f t="shared" si="4"/>
        <v/>
      </c>
      <c r="K729" s="11" t="str">
        <f>IFERROR(IF(A729&lt;&gt;"",VLOOKUP(B729,'📦 ชื่อสินค้า'!A:F,6,false),""),)</f>
        <v/>
      </c>
      <c r="L729" s="11" t="str">
        <f t="shared" si="5"/>
        <v/>
      </c>
      <c r="M729" s="13"/>
    </row>
    <row r="730">
      <c r="A730" s="15"/>
      <c r="B730" s="6"/>
      <c r="C730" s="14" t="str">
        <f>iferror(vlookup(B730,'📦 ชื่อสินค้า'!A:C,3,false),)</f>
        <v/>
      </c>
      <c r="D730" s="11" t="str">
        <f>iferror(vlookup(B730,'📦 ชื่อสินค้า'!A:D,4,false),"")</f>
        <v/>
      </c>
      <c r="E730" s="16"/>
      <c r="F730" s="8" t="str">
        <f t="shared" si="1"/>
        <v/>
      </c>
      <c r="G730" s="9" t="str">
        <f>IF(LEN(B730)&gt;0,vlookup(B730,'📊 รายงานสินค้าคงเหลือ'!A:G,6,false)*E730,)</f>
        <v/>
      </c>
      <c r="H730" s="9" t="str">
        <f t="shared" si="2"/>
        <v/>
      </c>
      <c r="I730" s="10" t="str">
        <f t="shared" si="3"/>
        <v/>
      </c>
      <c r="J730" s="11" t="str">
        <f t="shared" si="4"/>
        <v/>
      </c>
      <c r="K730" s="11" t="str">
        <f>IFERROR(IF(A730&lt;&gt;"",VLOOKUP(B730,'📦 ชื่อสินค้า'!A:F,6,false),""),)</f>
        <v/>
      </c>
      <c r="L730" s="11" t="str">
        <f t="shared" si="5"/>
        <v/>
      </c>
      <c r="M730" s="13"/>
    </row>
    <row r="731">
      <c r="A731" s="15"/>
      <c r="B731" s="6"/>
      <c r="C731" s="14" t="str">
        <f>iferror(vlookup(B731,'📦 ชื่อสินค้า'!A:C,3,false),)</f>
        <v/>
      </c>
      <c r="D731" s="11" t="str">
        <f>iferror(vlookup(B731,'📦 ชื่อสินค้า'!A:D,4,false),"")</f>
        <v/>
      </c>
      <c r="E731" s="16"/>
      <c r="F731" s="8" t="str">
        <f t="shared" si="1"/>
        <v/>
      </c>
      <c r="G731" s="9" t="str">
        <f>IF(LEN(B731)&gt;0,vlookup(B731,'📊 รายงานสินค้าคงเหลือ'!A:G,6,false)*E731,)</f>
        <v/>
      </c>
      <c r="H731" s="9" t="str">
        <f t="shared" si="2"/>
        <v/>
      </c>
      <c r="I731" s="10" t="str">
        <f t="shared" si="3"/>
        <v/>
      </c>
      <c r="J731" s="11" t="str">
        <f t="shared" si="4"/>
        <v/>
      </c>
      <c r="K731" s="11" t="str">
        <f>IFERROR(IF(A731&lt;&gt;"",VLOOKUP(B731,'📦 ชื่อสินค้า'!A:F,6,false),""),)</f>
        <v/>
      </c>
      <c r="L731" s="11" t="str">
        <f t="shared" si="5"/>
        <v/>
      </c>
      <c r="M731" s="13"/>
    </row>
    <row r="732">
      <c r="A732" s="15"/>
      <c r="B732" s="6"/>
      <c r="C732" s="14" t="str">
        <f>iferror(vlookup(B732,'📦 ชื่อสินค้า'!A:C,3,false),)</f>
        <v/>
      </c>
      <c r="D732" s="11" t="str">
        <f>iferror(vlookup(B732,'📦 ชื่อสินค้า'!A:D,4,false),"")</f>
        <v/>
      </c>
      <c r="E732" s="16"/>
      <c r="F732" s="8" t="str">
        <f t="shared" si="1"/>
        <v/>
      </c>
      <c r="G732" s="9" t="str">
        <f>IF(LEN(B732)&gt;0,vlookup(B732,'📊 รายงานสินค้าคงเหลือ'!A:G,6,false)*E732,)</f>
        <v/>
      </c>
      <c r="H732" s="9" t="str">
        <f t="shared" si="2"/>
        <v/>
      </c>
      <c r="I732" s="10" t="str">
        <f t="shared" si="3"/>
        <v/>
      </c>
      <c r="J732" s="11" t="str">
        <f t="shared" si="4"/>
        <v/>
      </c>
      <c r="K732" s="11" t="str">
        <f>IFERROR(IF(A732&lt;&gt;"",VLOOKUP(B732,'📦 ชื่อสินค้า'!A:F,6,false),""),)</f>
        <v/>
      </c>
      <c r="L732" s="11" t="str">
        <f t="shared" si="5"/>
        <v/>
      </c>
      <c r="M732" s="13"/>
    </row>
    <row r="733">
      <c r="A733" s="15"/>
      <c r="B733" s="6"/>
      <c r="C733" s="14" t="str">
        <f>iferror(vlookup(B733,'📦 ชื่อสินค้า'!A:C,3,false),)</f>
        <v/>
      </c>
      <c r="D733" s="11" t="str">
        <f>iferror(vlookup(B733,'📦 ชื่อสินค้า'!A:D,4,false),"")</f>
        <v/>
      </c>
      <c r="E733" s="16"/>
      <c r="F733" s="8" t="str">
        <f t="shared" si="1"/>
        <v/>
      </c>
      <c r="G733" s="9" t="str">
        <f>IF(LEN(B733)&gt;0,vlookup(B733,'📊 รายงานสินค้าคงเหลือ'!A:G,6,false)*E733,)</f>
        <v/>
      </c>
      <c r="H733" s="9" t="str">
        <f t="shared" si="2"/>
        <v/>
      </c>
      <c r="I733" s="10" t="str">
        <f t="shared" si="3"/>
        <v/>
      </c>
      <c r="J733" s="11" t="str">
        <f t="shared" si="4"/>
        <v/>
      </c>
      <c r="K733" s="11" t="str">
        <f>IFERROR(IF(A733&lt;&gt;"",VLOOKUP(B733,'📦 ชื่อสินค้า'!A:F,6,false),""),)</f>
        <v/>
      </c>
      <c r="L733" s="11" t="str">
        <f t="shared" si="5"/>
        <v/>
      </c>
      <c r="M733" s="13"/>
    </row>
    <row r="734">
      <c r="A734" s="15"/>
      <c r="B734" s="6"/>
      <c r="C734" s="14" t="str">
        <f>iferror(vlookup(B734,'📦 ชื่อสินค้า'!A:C,3,false),)</f>
        <v/>
      </c>
      <c r="D734" s="11" t="str">
        <f>iferror(vlookup(B734,'📦 ชื่อสินค้า'!A:D,4,false),"")</f>
        <v/>
      </c>
      <c r="E734" s="16"/>
      <c r="F734" s="8" t="str">
        <f t="shared" si="1"/>
        <v/>
      </c>
      <c r="G734" s="9" t="str">
        <f>IF(LEN(B734)&gt;0,vlookup(B734,'📊 รายงานสินค้าคงเหลือ'!A:G,6,false)*E734,)</f>
        <v/>
      </c>
      <c r="H734" s="9" t="str">
        <f t="shared" si="2"/>
        <v/>
      </c>
      <c r="I734" s="10" t="str">
        <f t="shared" si="3"/>
        <v/>
      </c>
      <c r="J734" s="11" t="str">
        <f t="shared" si="4"/>
        <v/>
      </c>
      <c r="K734" s="11" t="str">
        <f>IFERROR(IF(A734&lt;&gt;"",VLOOKUP(B734,'📦 ชื่อสินค้า'!A:F,6,false),""),)</f>
        <v/>
      </c>
      <c r="L734" s="11" t="str">
        <f t="shared" si="5"/>
        <v/>
      </c>
      <c r="M734" s="13"/>
    </row>
    <row r="735">
      <c r="A735" s="15"/>
      <c r="B735" s="6"/>
      <c r="C735" s="14" t="str">
        <f>iferror(vlookup(B735,'📦 ชื่อสินค้า'!A:C,3,false),)</f>
        <v/>
      </c>
      <c r="D735" s="11" t="str">
        <f>iferror(vlookup(B735,'📦 ชื่อสินค้า'!A:D,4,false),"")</f>
        <v/>
      </c>
      <c r="E735" s="16"/>
      <c r="F735" s="8" t="str">
        <f t="shared" si="1"/>
        <v/>
      </c>
      <c r="G735" s="9" t="str">
        <f>IF(LEN(B735)&gt;0,vlookup(B735,'📊 รายงานสินค้าคงเหลือ'!A:G,6,false)*E735,)</f>
        <v/>
      </c>
      <c r="H735" s="9" t="str">
        <f t="shared" si="2"/>
        <v/>
      </c>
      <c r="I735" s="10" t="str">
        <f t="shared" si="3"/>
        <v/>
      </c>
      <c r="J735" s="11" t="str">
        <f t="shared" si="4"/>
        <v/>
      </c>
      <c r="K735" s="11" t="str">
        <f>IFERROR(IF(A735&lt;&gt;"",VLOOKUP(B735,'📦 ชื่อสินค้า'!A:F,6,false),""),)</f>
        <v/>
      </c>
      <c r="L735" s="11" t="str">
        <f t="shared" si="5"/>
        <v/>
      </c>
      <c r="M735" s="13"/>
    </row>
    <row r="736">
      <c r="A736" s="15"/>
      <c r="B736" s="6"/>
      <c r="C736" s="14" t="str">
        <f>iferror(vlookup(B736,'📦 ชื่อสินค้า'!A:C,3,false),)</f>
        <v/>
      </c>
      <c r="D736" s="11" t="str">
        <f>iferror(vlookup(B736,'📦 ชื่อสินค้า'!A:D,4,false),"")</f>
        <v/>
      </c>
      <c r="E736" s="16"/>
      <c r="F736" s="8" t="str">
        <f t="shared" si="1"/>
        <v/>
      </c>
      <c r="G736" s="9" t="str">
        <f>IF(LEN(B736)&gt;0,vlookup(B736,'📊 รายงานสินค้าคงเหลือ'!A:G,6,false)*E736,)</f>
        <v/>
      </c>
      <c r="H736" s="9" t="str">
        <f t="shared" si="2"/>
        <v/>
      </c>
      <c r="I736" s="10" t="str">
        <f t="shared" si="3"/>
        <v/>
      </c>
      <c r="J736" s="11" t="str">
        <f t="shared" si="4"/>
        <v/>
      </c>
      <c r="K736" s="11" t="str">
        <f>IFERROR(IF(A736&lt;&gt;"",VLOOKUP(B736,'📦 ชื่อสินค้า'!A:F,6,false),""),)</f>
        <v/>
      </c>
      <c r="L736" s="11" t="str">
        <f t="shared" si="5"/>
        <v/>
      </c>
      <c r="M736" s="13"/>
    </row>
    <row r="737">
      <c r="A737" s="15"/>
      <c r="B737" s="6"/>
      <c r="C737" s="14" t="str">
        <f>iferror(vlookup(B737,'📦 ชื่อสินค้า'!A:C,3,false),)</f>
        <v/>
      </c>
      <c r="D737" s="11" t="str">
        <f>iferror(vlookup(B737,'📦 ชื่อสินค้า'!A:D,4,false),"")</f>
        <v/>
      </c>
      <c r="E737" s="16"/>
      <c r="F737" s="8" t="str">
        <f t="shared" si="1"/>
        <v/>
      </c>
      <c r="G737" s="9" t="str">
        <f>IF(LEN(B737)&gt;0,vlookup(B737,'📊 รายงานสินค้าคงเหลือ'!A:G,6,false)*E737,)</f>
        <v/>
      </c>
      <c r="H737" s="9" t="str">
        <f t="shared" si="2"/>
        <v/>
      </c>
      <c r="I737" s="10" t="str">
        <f t="shared" si="3"/>
        <v/>
      </c>
      <c r="J737" s="11" t="str">
        <f t="shared" si="4"/>
        <v/>
      </c>
      <c r="K737" s="11" t="str">
        <f>IFERROR(IF(A737&lt;&gt;"",VLOOKUP(B737,'📦 ชื่อสินค้า'!A:F,6,false),""),)</f>
        <v/>
      </c>
      <c r="L737" s="11" t="str">
        <f t="shared" si="5"/>
        <v/>
      </c>
      <c r="M737" s="13"/>
    </row>
    <row r="738">
      <c r="A738" s="15"/>
      <c r="B738" s="6"/>
      <c r="C738" s="14" t="str">
        <f>iferror(vlookup(B738,'📦 ชื่อสินค้า'!A:C,3,false),)</f>
        <v/>
      </c>
      <c r="D738" s="11" t="str">
        <f>iferror(vlookup(B738,'📦 ชื่อสินค้า'!A:D,4,false),"")</f>
        <v/>
      </c>
      <c r="E738" s="16"/>
      <c r="F738" s="8" t="str">
        <f t="shared" si="1"/>
        <v/>
      </c>
      <c r="G738" s="9" t="str">
        <f>IF(LEN(B738)&gt;0,vlookup(B738,'📊 รายงานสินค้าคงเหลือ'!A:G,6,false)*E738,)</f>
        <v/>
      </c>
      <c r="H738" s="9" t="str">
        <f t="shared" si="2"/>
        <v/>
      </c>
      <c r="I738" s="10" t="str">
        <f t="shared" si="3"/>
        <v/>
      </c>
      <c r="J738" s="11" t="str">
        <f t="shared" si="4"/>
        <v/>
      </c>
      <c r="K738" s="11" t="str">
        <f>IFERROR(IF(A738&lt;&gt;"",VLOOKUP(B738,'📦 ชื่อสินค้า'!A:F,6,false),""),)</f>
        <v/>
      </c>
      <c r="L738" s="11" t="str">
        <f t="shared" si="5"/>
        <v/>
      </c>
      <c r="M738" s="13"/>
    </row>
    <row r="739">
      <c r="A739" s="15"/>
      <c r="B739" s="6"/>
      <c r="C739" s="14" t="str">
        <f>iferror(vlookup(B739,'📦 ชื่อสินค้า'!A:C,3,false),)</f>
        <v/>
      </c>
      <c r="D739" s="11" t="str">
        <f>iferror(vlookup(B739,'📦 ชื่อสินค้า'!A:D,4,false),"")</f>
        <v/>
      </c>
      <c r="E739" s="16"/>
      <c r="F739" s="8" t="str">
        <f t="shared" si="1"/>
        <v/>
      </c>
      <c r="G739" s="9" t="str">
        <f>IF(LEN(B739)&gt;0,vlookup(B739,'📊 รายงานสินค้าคงเหลือ'!A:G,6,false)*E739,)</f>
        <v/>
      </c>
      <c r="H739" s="9" t="str">
        <f t="shared" si="2"/>
        <v/>
      </c>
      <c r="I739" s="10" t="str">
        <f t="shared" si="3"/>
        <v/>
      </c>
      <c r="J739" s="11" t="str">
        <f t="shared" si="4"/>
        <v/>
      </c>
      <c r="K739" s="11" t="str">
        <f>IFERROR(IF(A739&lt;&gt;"",VLOOKUP(B739,'📦 ชื่อสินค้า'!A:F,6,false),""),)</f>
        <v/>
      </c>
      <c r="L739" s="11" t="str">
        <f t="shared" si="5"/>
        <v/>
      </c>
      <c r="M739" s="13"/>
    </row>
    <row r="740">
      <c r="A740" s="15"/>
      <c r="B740" s="6"/>
      <c r="C740" s="14" t="str">
        <f>iferror(vlookup(B740,'📦 ชื่อสินค้า'!A:C,3,false),)</f>
        <v/>
      </c>
      <c r="D740" s="11" t="str">
        <f>iferror(vlookup(B740,'📦 ชื่อสินค้า'!A:D,4,false),"")</f>
        <v/>
      </c>
      <c r="E740" s="16"/>
      <c r="F740" s="8" t="str">
        <f t="shared" si="1"/>
        <v/>
      </c>
      <c r="G740" s="9" t="str">
        <f>IF(LEN(B740)&gt;0,vlookup(B740,'📊 รายงานสินค้าคงเหลือ'!A:G,6,false)*E740,)</f>
        <v/>
      </c>
      <c r="H740" s="9" t="str">
        <f t="shared" si="2"/>
        <v/>
      </c>
      <c r="I740" s="10" t="str">
        <f t="shared" si="3"/>
        <v/>
      </c>
      <c r="J740" s="11" t="str">
        <f t="shared" si="4"/>
        <v/>
      </c>
      <c r="K740" s="11" t="str">
        <f>IFERROR(IF(A740&lt;&gt;"",VLOOKUP(B740,'📦 ชื่อสินค้า'!A:F,6,false),""),)</f>
        <v/>
      </c>
      <c r="L740" s="11" t="str">
        <f t="shared" si="5"/>
        <v/>
      </c>
      <c r="M740" s="13"/>
    </row>
    <row r="741">
      <c r="A741" s="15"/>
      <c r="B741" s="6"/>
      <c r="C741" s="14" t="str">
        <f>iferror(vlookup(B741,'📦 ชื่อสินค้า'!A:C,3,false),)</f>
        <v/>
      </c>
      <c r="D741" s="11" t="str">
        <f>iferror(vlookup(B741,'📦 ชื่อสินค้า'!A:D,4,false),"")</f>
        <v/>
      </c>
      <c r="E741" s="16"/>
      <c r="F741" s="8" t="str">
        <f t="shared" si="1"/>
        <v/>
      </c>
      <c r="G741" s="9" t="str">
        <f>IF(LEN(B741)&gt;0,vlookup(B741,'📊 รายงานสินค้าคงเหลือ'!A:G,6,false)*E741,)</f>
        <v/>
      </c>
      <c r="H741" s="9" t="str">
        <f t="shared" si="2"/>
        <v/>
      </c>
      <c r="I741" s="10" t="str">
        <f t="shared" si="3"/>
        <v/>
      </c>
      <c r="J741" s="11" t="str">
        <f t="shared" si="4"/>
        <v/>
      </c>
      <c r="K741" s="11" t="str">
        <f>IFERROR(IF(A741&lt;&gt;"",VLOOKUP(B741,'📦 ชื่อสินค้า'!A:F,6,false),""),)</f>
        <v/>
      </c>
      <c r="L741" s="11" t="str">
        <f t="shared" si="5"/>
        <v/>
      </c>
      <c r="M741" s="13"/>
    </row>
    <row r="742">
      <c r="A742" s="15"/>
      <c r="B742" s="6"/>
      <c r="C742" s="14" t="str">
        <f>iferror(vlookup(B742,'📦 ชื่อสินค้า'!A:C,3,false),)</f>
        <v/>
      </c>
      <c r="D742" s="11" t="str">
        <f>iferror(vlookup(B742,'📦 ชื่อสินค้า'!A:D,4,false),"")</f>
        <v/>
      </c>
      <c r="E742" s="16"/>
      <c r="F742" s="8" t="str">
        <f t="shared" si="1"/>
        <v/>
      </c>
      <c r="G742" s="9" t="str">
        <f>IF(LEN(B742)&gt;0,vlookup(B742,'📊 รายงานสินค้าคงเหลือ'!A:G,6,false)*E742,)</f>
        <v/>
      </c>
      <c r="H742" s="9" t="str">
        <f t="shared" si="2"/>
        <v/>
      </c>
      <c r="I742" s="10" t="str">
        <f t="shared" si="3"/>
        <v/>
      </c>
      <c r="J742" s="11" t="str">
        <f t="shared" si="4"/>
        <v/>
      </c>
      <c r="K742" s="11" t="str">
        <f>IFERROR(IF(A742&lt;&gt;"",VLOOKUP(B742,'📦 ชื่อสินค้า'!A:F,6,false),""),)</f>
        <v/>
      </c>
      <c r="L742" s="11" t="str">
        <f t="shared" si="5"/>
        <v/>
      </c>
      <c r="M742" s="13"/>
    </row>
    <row r="743">
      <c r="A743" s="15"/>
      <c r="B743" s="6"/>
      <c r="C743" s="14" t="str">
        <f>iferror(vlookup(B743,'📦 ชื่อสินค้า'!A:C,3,false),)</f>
        <v/>
      </c>
      <c r="D743" s="11" t="str">
        <f>iferror(vlookup(B743,'📦 ชื่อสินค้า'!A:D,4,false),"")</f>
        <v/>
      </c>
      <c r="E743" s="16"/>
      <c r="F743" s="8" t="str">
        <f t="shared" si="1"/>
        <v/>
      </c>
      <c r="G743" s="9" t="str">
        <f>IF(LEN(B743)&gt;0,vlookup(B743,'📊 รายงานสินค้าคงเหลือ'!A:G,6,false)*E743,)</f>
        <v/>
      </c>
      <c r="H743" s="9" t="str">
        <f t="shared" si="2"/>
        <v/>
      </c>
      <c r="I743" s="10" t="str">
        <f t="shared" si="3"/>
        <v/>
      </c>
      <c r="J743" s="11" t="str">
        <f t="shared" si="4"/>
        <v/>
      </c>
      <c r="K743" s="11" t="str">
        <f>IFERROR(IF(A743&lt;&gt;"",VLOOKUP(B743,'📦 ชื่อสินค้า'!A:F,6,false),""),)</f>
        <v/>
      </c>
      <c r="L743" s="11" t="str">
        <f t="shared" si="5"/>
        <v/>
      </c>
      <c r="M743" s="13"/>
    </row>
    <row r="744">
      <c r="A744" s="15"/>
      <c r="B744" s="6"/>
      <c r="C744" s="14" t="str">
        <f>iferror(vlookup(B744,'📦 ชื่อสินค้า'!A:C,3,false),)</f>
        <v/>
      </c>
      <c r="D744" s="11" t="str">
        <f>iferror(vlookup(B744,'📦 ชื่อสินค้า'!A:D,4,false),"")</f>
        <v/>
      </c>
      <c r="E744" s="16"/>
      <c r="F744" s="8" t="str">
        <f t="shared" si="1"/>
        <v/>
      </c>
      <c r="G744" s="9" t="str">
        <f>IF(LEN(B744)&gt;0,vlookup(B744,'📊 รายงานสินค้าคงเหลือ'!A:G,6,false)*E744,)</f>
        <v/>
      </c>
      <c r="H744" s="9" t="str">
        <f t="shared" si="2"/>
        <v/>
      </c>
      <c r="I744" s="10" t="str">
        <f t="shared" si="3"/>
        <v/>
      </c>
      <c r="J744" s="11" t="str">
        <f t="shared" si="4"/>
        <v/>
      </c>
      <c r="K744" s="11" t="str">
        <f>IFERROR(IF(A744&lt;&gt;"",VLOOKUP(B744,'📦 ชื่อสินค้า'!A:F,6,false),""),)</f>
        <v/>
      </c>
      <c r="L744" s="11" t="str">
        <f t="shared" si="5"/>
        <v/>
      </c>
      <c r="M744" s="13"/>
    </row>
    <row r="745">
      <c r="A745" s="15"/>
      <c r="B745" s="6"/>
      <c r="C745" s="14" t="str">
        <f>iferror(vlookup(B745,'📦 ชื่อสินค้า'!A:C,3,false),)</f>
        <v/>
      </c>
      <c r="D745" s="11" t="str">
        <f>iferror(vlookup(B745,'📦 ชื่อสินค้า'!A:D,4,false),"")</f>
        <v/>
      </c>
      <c r="E745" s="16"/>
      <c r="F745" s="8" t="str">
        <f t="shared" si="1"/>
        <v/>
      </c>
      <c r="G745" s="9" t="str">
        <f>IF(LEN(B745)&gt;0,vlookup(B745,'📊 รายงานสินค้าคงเหลือ'!A:G,6,false)*E745,)</f>
        <v/>
      </c>
      <c r="H745" s="9" t="str">
        <f t="shared" si="2"/>
        <v/>
      </c>
      <c r="I745" s="10" t="str">
        <f t="shared" si="3"/>
        <v/>
      </c>
      <c r="J745" s="11" t="str">
        <f t="shared" si="4"/>
        <v/>
      </c>
      <c r="K745" s="11" t="str">
        <f>IFERROR(IF(A745&lt;&gt;"",VLOOKUP(B745,'📦 ชื่อสินค้า'!A:F,6,false),""),)</f>
        <v/>
      </c>
      <c r="L745" s="11" t="str">
        <f t="shared" si="5"/>
        <v/>
      </c>
      <c r="M745" s="13"/>
    </row>
    <row r="746">
      <c r="A746" s="15"/>
      <c r="B746" s="6"/>
      <c r="C746" s="14" t="str">
        <f>iferror(vlookup(B746,'📦 ชื่อสินค้า'!A:C,3,false),)</f>
        <v/>
      </c>
      <c r="D746" s="11" t="str">
        <f>iferror(vlookup(B746,'📦 ชื่อสินค้า'!A:D,4,false),"")</f>
        <v/>
      </c>
      <c r="E746" s="16"/>
      <c r="F746" s="8" t="str">
        <f t="shared" si="1"/>
        <v/>
      </c>
      <c r="G746" s="9" t="str">
        <f>IF(LEN(B746)&gt;0,vlookup(B746,'📊 รายงานสินค้าคงเหลือ'!A:G,6,false)*E746,)</f>
        <v/>
      </c>
      <c r="H746" s="9" t="str">
        <f t="shared" si="2"/>
        <v/>
      </c>
      <c r="I746" s="10" t="str">
        <f t="shared" si="3"/>
        <v/>
      </c>
      <c r="J746" s="11" t="str">
        <f t="shared" si="4"/>
        <v/>
      </c>
      <c r="K746" s="11" t="str">
        <f>IFERROR(IF(A746&lt;&gt;"",VLOOKUP(B746,'📦 ชื่อสินค้า'!A:F,6,false),""),)</f>
        <v/>
      </c>
      <c r="L746" s="11" t="str">
        <f t="shared" si="5"/>
        <v/>
      </c>
      <c r="M746" s="13"/>
    </row>
    <row r="747">
      <c r="A747" s="15"/>
      <c r="B747" s="6"/>
      <c r="C747" s="14" t="str">
        <f>iferror(vlookup(B747,'📦 ชื่อสินค้า'!A:C,3,false),)</f>
        <v/>
      </c>
      <c r="D747" s="11" t="str">
        <f>iferror(vlookup(B747,'📦 ชื่อสินค้า'!A:D,4,false),"")</f>
        <v/>
      </c>
      <c r="E747" s="16"/>
      <c r="F747" s="8" t="str">
        <f t="shared" si="1"/>
        <v/>
      </c>
      <c r="G747" s="9" t="str">
        <f>IF(LEN(B747)&gt;0,vlookup(B747,'📊 รายงานสินค้าคงเหลือ'!A:G,6,false)*E747,)</f>
        <v/>
      </c>
      <c r="H747" s="9" t="str">
        <f t="shared" si="2"/>
        <v/>
      </c>
      <c r="I747" s="10" t="str">
        <f t="shared" si="3"/>
        <v/>
      </c>
      <c r="J747" s="11" t="str">
        <f t="shared" si="4"/>
        <v/>
      </c>
      <c r="K747" s="11" t="str">
        <f>IFERROR(IF(A747&lt;&gt;"",VLOOKUP(B747,'📦 ชื่อสินค้า'!A:F,6,false),""),)</f>
        <v/>
      </c>
      <c r="L747" s="11" t="str">
        <f t="shared" si="5"/>
        <v/>
      </c>
      <c r="M747" s="13"/>
    </row>
    <row r="748">
      <c r="A748" s="15"/>
      <c r="B748" s="6"/>
      <c r="C748" s="14" t="str">
        <f>iferror(vlookup(B748,'📦 ชื่อสินค้า'!A:C,3,false),)</f>
        <v/>
      </c>
      <c r="D748" s="11" t="str">
        <f>iferror(vlookup(B748,'📦 ชื่อสินค้า'!A:D,4,false),"")</f>
        <v/>
      </c>
      <c r="E748" s="16"/>
      <c r="F748" s="8" t="str">
        <f t="shared" si="1"/>
        <v/>
      </c>
      <c r="G748" s="9" t="str">
        <f>IF(LEN(B748)&gt;0,vlookup(B748,'📊 รายงานสินค้าคงเหลือ'!A:G,6,false)*E748,)</f>
        <v/>
      </c>
      <c r="H748" s="9" t="str">
        <f t="shared" si="2"/>
        <v/>
      </c>
      <c r="I748" s="10" t="str">
        <f t="shared" si="3"/>
        <v/>
      </c>
      <c r="J748" s="11" t="str">
        <f t="shared" si="4"/>
        <v/>
      </c>
      <c r="K748" s="11" t="str">
        <f>IFERROR(IF(A748&lt;&gt;"",VLOOKUP(B748,'📦 ชื่อสินค้า'!A:F,6,false),""),)</f>
        <v/>
      </c>
      <c r="L748" s="11" t="str">
        <f t="shared" si="5"/>
        <v/>
      </c>
      <c r="M748" s="13"/>
    </row>
    <row r="749">
      <c r="A749" s="15"/>
      <c r="B749" s="6"/>
      <c r="C749" s="14" t="str">
        <f>iferror(vlookup(B749,'📦 ชื่อสินค้า'!A:C,3,false),)</f>
        <v/>
      </c>
      <c r="D749" s="11" t="str">
        <f>iferror(vlookup(B749,'📦 ชื่อสินค้า'!A:D,4,false),"")</f>
        <v/>
      </c>
      <c r="E749" s="16"/>
      <c r="F749" s="8" t="str">
        <f t="shared" si="1"/>
        <v/>
      </c>
      <c r="G749" s="9" t="str">
        <f>IF(LEN(B749)&gt;0,vlookup(B749,'📊 รายงานสินค้าคงเหลือ'!A:G,6,false)*E749,)</f>
        <v/>
      </c>
      <c r="H749" s="9" t="str">
        <f t="shared" si="2"/>
        <v/>
      </c>
      <c r="I749" s="10" t="str">
        <f t="shared" si="3"/>
        <v/>
      </c>
      <c r="J749" s="11" t="str">
        <f t="shared" si="4"/>
        <v/>
      </c>
      <c r="K749" s="11" t="str">
        <f>IFERROR(IF(A749&lt;&gt;"",VLOOKUP(B749,'📦 ชื่อสินค้า'!A:F,6,false),""),)</f>
        <v/>
      </c>
      <c r="L749" s="11" t="str">
        <f t="shared" si="5"/>
        <v/>
      </c>
      <c r="M749" s="13"/>
    </row>
    <row r="750">
      <c r="A750" s="15"/>
      <c r="B750" s="6"/>
      <c r="C750" s="14" t="str">
        <f>iferror(vlookup(B750,'📦 ชื่อสินค้า'!A:C,3,false),)</f>
        <v/>
      </c>
      <c r="D750" s="11" t="str">
        <f>iferror(vlookup(B750,'📦 ชื่อสินค้า'!A:D,4,false),"")</f>
        <v/>
      </c>
      <c r="E750" s="16"/>
      <c r="F750" s="8" t="str">
        <f t="shared" si="1"/>
        <v/>
      </c>
      <c r="G750" s="9" t="str">
        <f>IF(LEN(B750)&gt;0,vlookup(B750,'📊 รายงานสินค้าคงเหลือ'!A:G,6,false)*E750,)</f>
        <v/>
      </c>
      <c r="H750" s="9" t="str">
        <f t="shared" si="2"/>
        <v/>
      </c>
      <c r="I750" s="10" t="str">
        <f t="shared" si="3"/>
        <v/>
      </c>
      <c r="J750" s="11" t="str">
        <f t="shared" si="4"/>
        <v/>
      </c>
      <c r="K750" s="11" t="str">
        <f>IFERROR(IF(A750&lt;&gt;"",VLOOKUP(B750,'📦 ชื่อสินค้า'!A:F,6,false),""),)</f>
        <v/>
      </c>
      <c r="L750" s="11" t="str">
        <f t="shared" si="5"/>
        <v/>
      </c>
      <c r="M750" s="13"/>
    </row>
    <row r="751">
      <c r="A751" s="15"/>
      <c r="B751" s="6"/>
      <c r="C751" s="14" t="str">
        <f>iferror(vlookup(B751,'📦 ชื่อสินค้า'!A:C,3,false),)</f>
        <v/>
      </c>
      <c r="D751" s="11" t="str">
        <f>iferror(vlookup(B751,'📦 ชื่อสินค้า'!A:D,4,false),"")</f>
        <v/>
      </c>
      <c r="E751" s="16"/>
      <c r="F751" s="8" t="str">
        <f t="shared" si="1"/>
        <v/>
      </c>
      <c r="G751" s="9" t="str">
        <f>IF(LEN(B751)&gt;0,vlookup(B751,'📊 รายงานสินค้าคงเหลือ'!A:G,6,false)*E751,)</f>
        <v/>
      </c>
      <c r="H751" s="9" t="str">
        <f t="shared" si="2"/>
        <v/>
      </c>
      <c r="I751" s="10" t="str">
        <f t="shared" si="3"/>
        <v/>
      </c>
      <c r="J751" s="11" t="str">
        <f t="shared" si="4"/>
        <v/>
      </c>
      <c r="K751" s="11" t="str">
        <f>IFERROR(IF(A751&lt;&gt;"",VLOOKUP(B751,'📦 ชื่อสินค้า'!A:F,6,false),""),)</f>
        <v/>
      </c>
      <c r="L751" s="11" t="str">
        <f t="shared" si="5"/>
        <v/>
      </c>
      <c r="M751" s="13"/>
    </row>
    <row r="752">
      <c r="A752" s="15"/>
      <c r="B752" s="6"/>
      <c r="C752" s="14" t="str">
        <f>iferror(vlookup(B752,'📦 ชื่อสินค้า'!A:C,3,false),)</f>
        <v/>
      </c>
      <c r="D752" s="11" t="str">
        <f>iferror(vlookup(B752,'📦 ชื่อสินค้า'!A:D,4,false),"")</f>
        <v/>
      </c>
      <c r="E752" s="16"/>
      <c r="F752" s="8" t="str">
        <f t="shared" si="1"/>
        <v/>
      </c>
      <c r="G752" s="9" t="str">
        <f>IF(LEN(B752)&gt;0,vlookup(B752,'📊 รายงานสินค้าคงเหลือ'!A:G,6,false)*E752,)</f>
        <v/>
      </c>
      <c r="H752" s="9" t="str">
        <f t="shared" si="2"/>
        <v/>
      </c>
      <c r="I752" s="10" t="str">
        <f t="shared" si="3"/>
        <v/>
      </c>
      <c r="J752" s="11" t="str">
        <f t="shared" si="4"/>
        <v/>
      </c>
      <c r="K752" s="11" t="str">
        <f>IFERROR(IF(A752&lt;&gt;"",VLOOKUP(B752,'📦 ชื่อสินค้า'!A:F,6,false),""),)</f>
        <v/>
      </c>
      <c r="L752" s="11" t="str">
        <f t="shared" si="5"/>
        <v/>
      </c>
      <c r="M752" s="13"/>
    </row>
    <row r="753">
      <c r="A753" s="15"/>
      <c r="B753" s="6"/>
      <c r="C753" s="14" t="str">
        <f>iferror(vlookup(B753,'📦 ชื่อสินค้า'!A:C,3,false),)</f>
        <v/>
      </c>
      <c r="D753" s="11" t="str">
        <f>iferror(vlookup(B753,'📦 ชื่อสินค้า'!A:D,4,false),"")</f>
        <v/>
      </c>
      <c r="E753" s="16"/>
      <c r="F753" s="8" t="str">
        <f t="shared" si="1"/>
        <v/>
      </c>
      <c r="G753" s="9" t="str">
        <f>IF(LEN(B753)&gt;0,vlookup(B753,'📊 รายงานสินค้าคงเหลือ'!A:G,6,false)*E753,)</f>
        <v/>
      </c>
      <c r="H753" s="9" t="str">
        <f t="shared" si="2"/>
        <v/>
      </c>
      <c r="I753" s="10" t="str">
        <f t="shared" si="3"/>
        <v/>
      </c>
      <c r="J753" s="11" t="str">
        <f t="shared" si="4"/>
        <v/>
      </c>
      <c r="K753" s="11" t="str">
        <f>IFERROR(IF(A753&lt;&gt;"",VLOOKUP(B753,'📦 ชื่อสินค้า'!A:F,6,false),""),)</f>
        <v/>
      </c>
      <c r="L753" s="11" t="str">
        <f t="shared" si="5"/>
        <v/>
      </c>
      <c r="M753" s="13"/>
    </row>
    <row r="754">
      <c r="A754" s="15"/>
      <c r="B754" s="6"/>
      <c r="C754" s="14" t="str">
        <f>iferror(vlookup(B754,'📦 ชื่อสินค้า'!A:C,3,false),)</f>
        <v/>
      </c>
      <c r="D754" s="11" t="str">
        <f>iferror(vlookup(B754,'📦 ชื่อสินค้า'!A:D,4,false),"")</f>
        <v/>
      </c>
      <c r="E754" s="16"/>
      <c r="F754" s="8" t="str">
        <f t="shared" si="1"/>
        <v/>
      </c>
      <c r="G754" s="9" t="str">
        <f>IF(LEN(B754)&gt;0,vlookup(B754,'📊 รายงานสินค้าคงเหลือ'!A:G,6,false)*E754,)</f>
        <v/>
      </c>
      <c r="H754" s="9" t="str">
        <f t="shared" si="2"/>
        <v/>
      </c>
      <c r="I754" s="10" t="str">
        <f t="shared" si="3"/>
        <v/>
      </c>
      <c r="J754" s="11" t="str">
        <f t="shared" si="4"/>
        <v/>
      </c>
      <c r="K754" s="11" t="str">
        <f>IFERROR(IF(A754&lt;&gt;"",VLOOKUP(B754,'📦 ชื่อสินค้า'!A:F,6,false),""),)</f>
        <v/>
      </c>
      <c r="L754" s="11" t="str">
        <f t="shared" si="5"/>
        <v/>
      </c>
      <c r="M754" s="13"/>
    </row>
    <row r="755">
      <c r="A755" s="15"/>
      <c r="B755" s="6"/>
      <c r="C755" s="14" t="str">
        <f>iferror(vlookup(B755,'📦 ชื่อสินค้า'!A:C,3,false),)</f>
        <v/>
      </c>
      <c r="D755" s="11" t="str">
        <f>iferror(vlookup(B755,'📦 ชื่อสินค้า'!A:D,4,false),"")</f>
        <v/>
      </c>
      <c r="E755" s="16"/>
      <c r="F755" s="8" t="str">
        <f t="shared" si="1"/>
        <v/>
      </c>
      <c r="G755" s="9" t="str">
        <f>IF(LEN(B755)&gt;0,vlookup(B755,'📊 รายงานสินค้าคงเหลือ'!A:G,6,false)*E755,)</f>
        <v/>
      </c>
      <c r="H755" s="9" t="str">
        <f t="shared" si="2"/>
        <v/>
      </c>
      <c r="I755" s="10" t="str">
        <f t="shared" si="3"/>
        <v/>
      </c>
      <c r="J755" s="11" t="str">
        <f t="shared" si="4"/>
        <v/>
      </c>
      <c r="K755" s="11" t="str">
        <f>IFERROR(IF(A755&lt;&gt;"",VLOOKUP(B755,'📦 ชื่อสินค้า'!A:F,6,false),""),)</f>
        <v/>
      </c>
      <c r="L755" s="11" t="str">
        <f t="shared" si="5"/>
        <v/>
      </c>
      <c r="M755" s="13"/>
    </row>
    <row r="756">
      <c r="A756" s="15"/>
      <c r="B756" s="6"/>
      <c r="C756" s="14" t="str">
        <f>iferror(vlookup(B756,'📦 ชื่อสินค้า'!A:C,3,false),)</f>
        <v/>
      </c>
      <c r="D756" s="11" t="str">
        <f>iferror(vlookup(B756,'📦 ชื่อสินค้า'!A:D,4,false),"")</f>
        <v/>
      </c>
      <c r="E756" s="16"/>
      <c r="F756" s="8" t="str">
        <f t="shared" si="1"/>
        <v/>
      </c>
      <c r="G756" s="9" t="str">
        <f>IF(LEN(B756)&gt;0,vlookup(B756,'📊 รายงานสินค้าคงเหลือ'!A:G,6,false)*E756,)</f>
        <v/>
      </c>
      <c r="H756" s="9" t="str">
        <f t="shared" si="2"/>
        <v/>
      </c>
      <c r="I756" s="10" t="str">
        <f t="shared" si="3"/>
        <v/>
      </c>
      <c r="J756" s="11" t="str">
        <f t="shared" si="4"/>
        <v/>
      </c>
      <c r="K756" s="11" t="str">
        <f>IFERROR(IF(A756&lt;&gt;"",VLOOKUP(B756,'📦 ชื่อสินค้า'!A:F,6,false),""),)</f>
        <v/>
      </c>
      <c r="L756" s="11" t="str">
        <f t="shared" si="5"/>
        <v/>
      </c>
      <c r="M756" s="13"/>
    </row>
    <row r="757">
      <c r="A757" s="15"/>
      <c r="B757" s="6"/>
      <c r="C757" s="14" t="str">
        <f>iferror(vlookup(B757,'📦 ชื่อสินค้า'!A:C,3,false),)</f>
        <v/>
      </c>
      <c r="D757" s="11" t="str">
        <f>iferror(vlookup(B757,'📦 ชื่อสินค้า'!A:D,4,false),"")</f>
        <v/>
      </c>
      <c r="E757" s="16"/>
      <c r="F757" s="8" t="str">
        <f t="shared" si="1"/>
        <v/>
      </c>
      <c r="G757" s="9" t="str">
        <f>IF(LEN(B757)&gt;0,vlookup(B757,'📊 รายงานสินค้าคงเหลือ'!A:G,6,false)*E757,)</f>
        <v/>
      </c>
      <c r="H757" s="9" t="str">
        <f t="shared" si="2"/>
        <v/>
      </c>
      <c r="I757" s="10" t="str">
        <f t="shared" si="3"/>
        <v/>
      </c>
      <c r="J757" s="11" t="str">
        <f t="shared" si="4"/>
        <v/>
      </c>
      <c r="K757" s="11" t="str">
        <f>IFERROR(IF(A757&lt;&gt;"",VLOOKUP(B757,'📦 ชื่อสินค้า'!A:F,6,false),""),)</f>
        <v/>
      </c>
      <c r="L757" s="11" t="str">
        <f t="shared" si="5"/>
        <v/>
      </c>
      <c r="M757" s="13"/>
    </row>
    <row r="758">
      <c r="A758" s="15"/>
      <c r="B758" s="6"/>
      <c r="C758" s="14" t="str">
        <f>iferror(vlookup(B758,'📦 ชื่อสินค้า'!A:C,3,false),)</f>
        <v/>
      </c>
      <c r="D758" s="11" t="str">
        <f>iferror(vlookup(B758,'📦 ชื่อสินค้า'!A:D,4,false),"")</f>
        <v/>
      </c>
      <c r="E758" s="16"/>
      <c r="F758" s="8" t="str">
        <f t="shared" si="1"/>
        <v/>
      </c>
      <c r="G758" s="9" t="str">
        <f>IF(LEN(B758)&gt;0,vlookup(B758,'📊 รายงานสินค้าคงเหลือ'!A:G,6,false)*E758,)</f>
        <v/>
      </c>
      <c r="H758" s="9" t="str">
        <f t="shared" si="2"/>
        <v/>
      </c>
      <c r="I758" s="10" t="str">
        <f t="shared" si="3"/>
        <v/>
      </c>
      <c r="J758" s="11" t="str">
        <f t="shared" si="4"/>
        <v/>
      </c>
      <c r="K758" s="11" t="str">
        <f>IFERROR(IF(A758&lt;&gt;"",VLOOKUP(B758,'📦 ชื่อสินค้า'!A:F,6,false),""),)</f>
        <v/>
      </c>
      <c r="L758" s="11" t="str">
        <f t="shared" si="5"/>
        <v/>
      </c>
      <c r="M758" s="13"/>
    </row>
    <row r="759">
      <c r="A759" s="15"/>
      <c r="B759" s="6"/>
      <c r="C759" s="14" t="str">
        <f>iferror(vlookup(B759,'📦 ชื่อสินค้า'!A:C,3,false),)</f>
        <v/>
      </c>
      <c r="D759" s="11" t="str">
        <f>iferror(vlookup(B759,'📦 ชื่อสินค้า'!A:D,4,false),"")</f>
        <v/>
      </c>
      <c r="E759" s="16"/>
      <c r="F759" s="8" t="str">
        <f t="shared" si="1"/>
        <v/>
      </c>
      <c r="G759" s="9" t="str">
        <f>IF(LEN(B759)&gt;0,vlookup(B759,'📊 รายงานสินค้าคงเหลือ'!A:G,6,false)*E759,)</f>
        <v/>
      </c>
      <c r="H759" s="9" t="str">
        <f t="shared" si="2"/>
        <v/>
      </c>
      <c r="I759" s="10" t="str">
        <f t="shared" si="3"/>
        <v/>
      </c>
      <c r="J759" s="11" t="str">
        <f t="shared" si="4"/>
        <v/>
      </c>
      <c r="K759" s="11" t="str">
        <f>IFERROR(IF(A759&lt;&gt;"",VLOOKUP(B759,'📦 ชื่อสินค้า'!A:F,6,false),""),)</f>
        <v/>
      </c>
      <c r="L759" s="11" t="str">
        <f t="shared" si="5"/>
        <v/>
      </c>
      <c r="M759" s="13"/>
    </row>
    <row r="760">
      <c r="A760" s="15"/>
      <c r="B760" s="6"/>
      <c r="C760" s="14" t="str">
        <f>iferror(vlookup(B760,'📦 ชื่อสินค้า'!A:C,3,false),)</f>
        <v/>
      </c>
      <c r="D760" s="11" t="str">
        <f>iferror(vlookup(B760,'📦 ชื่อสินค้า'!A:D,4,false),"")</f>
        <v/>
      </c>
      <c r="E760" s="16"/>
      <c r="F760" s="8" t="str">
        <f t="shared" si="1"/>
        <v/>
      </c>
      <c r="G760" s="9" t="str">
        <f>IF(LEN(B760)&gt;0,vlookup(B760,'📊 รายงานสินค้าคงเหลือ'!A:G,6,false)*E760,)</f>
        <v/>
      </c>
      <c r="H760" s="9" t="str">
        <f t="shared" si="2"/>
        <v/>
      </c>
      <c r="I760" s="10" t="str">
        <f t="shared" si="3"/>
        <v/>
      </c>
      <c r="J760" s="11" t="str">
        <f t="shared" si="4"/>
        <v/>
      </c>
      <c r="K760" s="11" t="str">
        <f>IFERROR(IF(A760&lt;&gt;"",VLOOKUP(B760,'📦 ชื่อสินค้า'!A:F,6,false),""),)</f>
        <v/>
      </c>
      <c r="L760" s="11" t="str">
        <f t="shared" si="5"/>
        <v/>
      </c>
      <c r="M760" s="13"/>
    </row>
    <row r="761">
      <c r="A761" s="15"/>
      <c r="B761" s="6"/>
      <c r="C761" s="14" t="str">
        <f>iferror(vlookup(B761,'📦 ชื่อสินค้า'!A:C,3,false),)</f>
        <v/>
      </c>
      <c r="D761" s="11" t="str">
        <f>iferror(vlookup(B761,'📦 ชื่อสินค้า'!A:D,4,false),"")</f>
        <v/>
      </c>
      <c r="E761" s="16"/>
      <c r="F761" s="8" t="str">
        <f t="shared" si="1"/>
        <v/>
      </c>
      <c r="G761" s="9" t="str">
        <f>IF(LEN(B761)&gt;0,vlookup(B761,'📊 รายงานสินค้าคงเหลือ'!A:G,6,false)*E761,)</f>
        <v/>
      </c>
      <c r="H761" s="9" t="str">
        <f t="shared" si="2"/>
        <v/>
      </c>
      <c r="I761" s="10" t="str">
        <f t="shared" si="3"/>
        <v/>
      </c>
      <c r="J761" s="11" t="str">
        <f t="shared" si="4"/>
        <v/>
      </c>
      <c r="K761" s="11" t="str">
        <f>IFERROR(IF(A761&lt;&gt;"",VLOOKUP(B761,'📦 ชื่อสินค้า'!A:F,6,false),""),)</f>
        <v/>
      </c>
      <c r="L761" s="11" t="str">
        <f t="shared" si="5"/>
        <v/>
      </c>
      <c r="M761" s="13"/>
    </row>
    <row r="762">
      <c r="A762" s="15"/>
      <c r="B762" s="6"/>
      <c r="C762" s="14" t="str">
        <f>iferror(vlookup(B762,'📦 ชื่อสินค้า'!A:C,3,false),)</f>
        <v/>
      </c>
      <c r="D762" s="11" t="str">
        <f>iferror(vlookup(B762,'📦 ชื่อสินค้า'!A:D,4,false),"")</f>
        <v/>
      </c>
      <c r="E762" s="16"/>
      <c r="F762" s="8" t="str">
        <f t="shared" si="1"/>
        <v/>
      </c>
      <c r="G762" s="9" t="str">
        <f>IF(LEN(B762)&gt;0,vlookup(B762,'📊 รายงานสินค้าคงเหลือ'!A:G,6,false)*E762,)</f>
        <v/>
      </c>
      <c r="H762" s="9" t="str">
        <f t="shared" si="2"/>
        <v/>
      </c>
      <c r="I762" s="10" t="str">
        <f t="shared" si="3"/>
        <v/>
      </c>
      <c r="J762" s="11" t="str">
        <f t="shared" si="4"/>
        <v/>
      </c>
      <c r="K762" s="11" t="str">
        <f>IFERROR(IF(A762&lt;&gt;"",VLOOKUP(B762,'📦 ชื่อสินค้า'!A:F,6,false),""),)</f>
        <v/>
      </c>
      <c r="L762" s="11" t="str">
        <f t="shared" si="5"/>
        <v/>
      </c>
      <c r="M762" s="13"/>
    </row>
    <row r="763">
      <c r="A763" s="15"/>
      <c r="B763" s="6"/>
      <c r="C763" s="14" t="str">
        <f>iferror(vlookup(B763,'📦 ชื่อสินค้า'!A:C,3,false),)</f>
        <v/>
      </c>
      <c r="D763" s="11" t="str">
        <f>iferror(vlookup(B763,'📦 ชื่อสินค้า'!A:D,4,false),"")</f>
        <v/>
      </c>
      <c r="E763" s="16"/>
      <c r="F763" s="8" t="str">
        <f t="shared" si="1"/>
        <v/>
      </c>
      <c r="G763" s="9" t="str">
        <f>IF(LEN(B763)&gt;0,vlookup(B763,'📊 รายงานสินค้าคงเหลือ'!A:G,6,false)*E763,)</f>
        <v/>
      </c>
      <c r="H763" s="9" t="str">
        <f t="shared" si="2"/>
        <v/>
      </c>
      <c r="I763" s="10" t="str">
        <f t="shared" si="3"/>
        <v/>
      </c>
      <c r="J763" s="11" t="str">
        <f t="shared" si="4"/>
        <v/>
      </c>
      <c r="K763" s="11" t="str">
        <f>IFERROR(IF(A763&lt;&gt;"",VLOOKUP(B763,'📦 ชื่อสินค้า'!A:F,6,false),""),)</f>
        <v/>
      </c>
      <c r="L763" s="11" t="str">
        <f t="shared" si="5"/>
        <v/>
      </c>
      <c r="M763" s="13"/>
    </row>
    <row r="764">
      <c r="A764" s="15"/>
      <c r="B764" s="6"/>
      <c r="C764" s="14" t="str">
        <f>iferror(vlookup(B764,'📦 ชื่อสินค้า'!A:C,3,false),)</f>
        <v/>
      </c>
      <c r="D764" s="11" t="str">
        <f>iferror(vlookup(B764,'📦 ชื่อสินค้า'!A:D,4,false),"")</f>
        <v/>
      </c>
      <c r="E764" s="16"/>
      <c r="F764" s="8" t="str">
        <f t="shared" si="1"/>
        <v/>
      </c>
      <c r="G764" s="9" t="str">
        <f>IF(LEN(B764)&gt;0,vlookup(B764,'📊 รายงานสินค้าคงเหลือ'!A:G,6,false)*E764,)</f>
        <v/>
      </c>
      <c r="H764" s="9" t="str">
        <f t="shared" si="2"/>
        <v/>
      </c>
      <c r="I764" s="10" t="str">
        <f t="shared" si="3"/>
        <v/>
      </c>
      <c r="J764" s="11" t="str">
        <f t="shared" si="4"/>
        <v/>
      </c>
      <c r="K764" s="11" t="str">
        <f>IFERROR(IF(A764&lt;&gt;"",VLOOKUP(B764,'📦 ชื่อสินค้า'!A:F,6,false),""),)</f>
        <v/>
      </c>
      <c r="L764" s="11" t="str">
        <f t="shared" si="5"/>
        <v/>
      </c>
      <c r="M764" s="13"/>
    </row>
    <row r="765">
      <c r="A765" s="15"/>
      <c r="B765" s="6"/>
      <c r="C765" s="14" t="str">
        <f>iferror(vlookup(B765,'📦 ชื่อสินค้า'!A:C,3,false),)</f>
        <v/>
      </c>
      <c r="D765" s="11" t="str">
        <f>iferror(vlookup(B765,'📦 ชื่อสินค้า'!A:D,4,false),"")</f>
        <v/>
      </c>
      <c r="E765" s="16"/>
      <c r="F765" s="8" t="str">
        <f t="shared" si="1"/>
        <v/>
      </c>
      <c r="G765" s="9" t="str">
        <f>IF(LEN(B765)&gt;0,vlookup(B765,'📊 รายงานสินค้าคงเหลือ'!A:G,6,false)*E765,)</f>
        <v/>
      </c>
      <c r="H765" s="9" t="str">
        <f t="shared" si="2"/>
        <v/>
      </c>
      <c r="I765" s="10" t="str">
        <f t="shared" si="3"/>
        <v/>
      </c>
      <c r="J765" s="11" t="str">
        <f t="shared" si="4"/>
        <v/>
      </c>
      <c r="K765" s="11" t="str">
        <f>IFERROR(IF(A765&lt;&gt;"",VLOOKUP(B765,'📦 ชื่อสินค้า'!A:F,6,false),""),)</f>
        <v/>
      </c>
      <c r="L765" s="11" t="str">
        <f t="shared" si="5"/>
        <v/>
      </c>
      <c r="M765" s="13"/>
    </row>
    <row r="766">
      <c r="A766" s="15"/>
      <c r="B766" s="6"/>
      <c r="C766" s="14" t="str">
        <f>iferror(vlookup(B766,'📦 ชื่อสินค้า'!A:C,3,false),)</f>
        <v/>
      </c>
      <c r="D766" s="11" t="str">
        <f>iferror(vlookup(B766,'📦 ชื่อสินค้า'!A:D,4,false),"")</f>
        <v/>
      </c>
      <c r="E766" s="16"/>
      <c r="F766" s="8" t="str">
        <f t="shared" si="1"/>
        <v/>
      </c>
      <c r="G766" s="9" t="str">
        <f>IF(LEN(B766)&gt;0,vlookup(B766,'📊 รายงานสินค้าคงเหลือ'!A:G,6,false)*E766,)</f>
        <v/>
      </c>
      <c r="H766" s="9" t="str">
        <f t="shared" si="2"/>
        <v/>
      </c>
      <c r="I766" s="10" t="str">
        <f t="shared" si="3"/>
        <v/>
      </c>
      <c r="J766" s="11" t="str">
        <f t="shared" si="4"/>
        <v/>
      </c>
      <c r="K766" s="11" t="str">
        <f>IFERROR(IF(A766&lt;&gt;"",VLOOKUP(B766,'📦 ชื่อสินค้า'!A:F,6,false),""),)</f>
        <v/>
      </c>
      <c r="L766" s="11" t="str">
        <f t="shared" si="5"/>
        <v/>
      </c>
      <c r="M766" s="13"/>
    </row>
    <row r="767">
      <c r="A767" s="15"/>
      <c r="B767" s="6"/>
      <c r="C767" s="14" t="str">
        <f>iferror(vlookup(B767,'📦 ชื่อสินค้า'!A:C,3,false),)</f>
        <v/>
      </c>
      <c r="D767" s="11" t="str">
        <f>iferror(vlookup(B767,'📦 ชื่อสินค้า'!A:D,4,false),"")</f>
        <v/>
      </c>
      <c r="E767" s="16"/>
      <c r="F767" s="8" t="str">
        <f t="shared" si="1"/>
        <v/>
      </c>
      <c r="G767" s="9" t="str">
        <f>IF(LEN(B767)&gt;0,vlookup(B767,'📊 รายงานสินค้าคงเหลือ'!A:G,6,false)*E767,)</f>
        <v/>
      </c>
      <c r="H767" s="9" t="str">
        <f t="shared" si="2"/>
        <v/>
      </c>
      <c r="I767" s="10" t="str">
        <f t="shared" si="3"/>
        <v/>
      </c>
      <c r="J767" s="11" t="str">
        <f t="shared" si="4"/>
        <v/>
      </c>
      <c r="K767" s="11" t="str">
        <f>IFERROR(IF(A767&lt;&gt;"",VLOOKUP(B767,'📦 ชื่อสินค้า'!A:F,6,false),""),)</f>
        <v/>
      </c>
      <c r="L767" s="11" t="str">
        <f t="shared" si="5"/>
        <v/>
      </c>
      <c r="M767" s="13"/>
    </row>
    <row r="768">
      <c r="A768" s="15"/>
      <c r="B768" s="6"/>
      <c r="C768" s="14" t="str">
        <f>iferror(vlookup(B768,'📦 ชื่อสินค้า'!A:C,3,false),)</f>
        <v/>
      </c>
      <c r="D768" s="11" t="str">
        <f>iferror(vlookup(B768,'📦 ชื่อสินค้า'!A:D,4,false),"")</f>
        <v/>
      </c>
      <c r="E768" s="16"/>
      <c r="F768" s="8" t="str">
        <f t="shared" si="1"/>
        <v/>
      </c>
      <c r="G768" s="9" t="str">
        <f>IF(LEN(B768)&gt;0,vlookup(B768,'📊 รายงานสินค้าคงเหลือ'!A:G,6,false)*E768,)</f>
        <v/>
      </c>
      <c r="H768" s="9" t="str">
        <f t="shared" si="2"/>
        <v/>
      </c>
      <c r="I768" s="10" t="str">
        <f t="shared" si="3"/>
        <v/>
      </c>
      <c r="J768" s="11" t="str">
        <f t="shared" si="4"/>
        <v/>
      </c>
      <c r="K768" s="11" t="str">
        <f>IFERROR(IF(A768&lt;&gt;"",VLOOKUP(B768,'📦 ชื่อสินค้า'!A:F,6,false),""),)</f>
        <v/>
      </c>
      <c r="L768" s="11" t="str">
        <f t="shared" si="5"/>
        <v/>
      </c>
      <c r="M768" s="13"/>
    </row>
    <row r="769">
      <c r="A769" s="15"/>
      <c r="B769" s="6"/>
      <c r="C769" s="14" t="str">
        <f>iferror(vlookup(B769,'📦 ชื่อสินค้า'!A:C,3,false),)</f>
        <v/>
      </c>
      <c r="D769" s="11" t="str">
        <f>iferror(vlookup(B769,'📦 ชื่อสินค้า'!A:D,4,false),"")</f>
        <v/>
      </c>
      <c r="E769" s="16"/>
      <c r="F769" s="8" t="str">
        <f t="shared" si="1"/>
        <v/>
      </c>
      <c r="G769" s="9" t="str">
        <f>IF(LEN(B769)&gt;0,vlookup(B769,'📊 รายงานสินค้าคงเหลือ'!A:G,6,false)*E769,)</f>
        <v/>
      </c>
      <c r="H769" s="9" t="str">
        <f t="shared" si="2"/>
        <v/>
      </c>
      <c r="I769" s="10" t="str">
        <f t="shared" si="3"/>
        <v/>
      </c>
      <c r="J769" s="11" t="str">
        <f t="shared" si="4"/>
        <v/>
      </c>
      <c r="K769" s="11" t="str">
        <f>IFERROR(IF(A769&lt;&gt;"",VLOOKUP(B769,'📦 ชื่อสินค้า'!A:F,6,false),""),)</f>
        <v/>
      </c>
      <c r="L769" s="11" t="str">
        <f t="shared" si="5"/>
        <v/>
      </c>
      <c r="M769" s="13"/>
    </row>
    <row r="770">
      <c r="A770" s="15"/>
      <c r="B770" s="6"/>
      <c r="C770" s="14" t="str">
        <f>iferror(vlookup(B770,'📦 ชื่อสินค้า'!A:C,3,false),)</f>
        <v/>
      </c>
      <c r="D770" s="11" t="str">
        <f>iferror(vlookup(B770,'📦 ชื่อสินค้า'!A:D,4,false),"")</f>
        <v/>
      </c>
      <c r="E770" s="16"/>
      <c r="F770" s="8" t="str">
        <f t="shared" si="1"/>
        <v/>
      </c>
      <c r="G770" s="9" t="str">
        <f>IF(LEN(B770)&gt;0,vlookup(B770,'📊 รายงานสินค้าคงเหลือ'!A:G,6,false)*E770,)</f>
        <v/>
      </c>
      <c r="H770" s="9" t="str">
        <f t="shared" si="2"/>
        <v/>
      </c>
      <c r="I770" s="10" t="str">
        <f t="shared" si="3"/>
        <v/>
      </c>
      <c r="J770" s="11" t="str">
        <f t="shared" si="4"/>
        <v/>
      </c>
      <c r="K770" s="11" t="str">
        <f>IFERROR(IF(A770&lt;&gt;"",VLOOKUP(B770,'📦 ชื่อสินค้า'!A:F,6,false),""),)</f>
        <v/>
      </c>
      <c r="L770" s="11" t="str">
        <f t="shared" si="5"/>
        <v/>
      </c>
      <c r="M770" s="13"/>
    </row>
    <row r="771">
      <c r="A771" s="15"/>
      <c r="B771" s="6"/>
      <c r="C771" s="14" t="str">
        <f>iferror(vlookup(B771,'📦 ชื่อสินค้า'!A:C,3,false),)</f>
        <v/>
      </c>
      <c r="D771" s="11" t="str">
        <f>iferror(vlookup(B771,'📦 ชื่อสินค้า'!A:D,4,false),"")</f>
        <v/>
      </c>
      <c r="E771" s="16"/>
      <c r="F771" s="8" t="str">
        <f t="shared" si="1"/>
        <v/>
      </c>
      <c r="G771" s="9" t="str">
        <f>IF(LEN(B771)&gt;0,vlookup(B771,'📊 รายงานสินค้าคงเหลือ'!A:G,6,false)*E771,)</f>
        <v/>
      </c>
      <c r="H771" s="9" t="str">
        <f t="shared" si="2"/>
        <v/>
      </c>
      <c r="I771" s="10" t="str">
        <f t="shared" si="3"/>
        <v/>
      </c>
      <c r="J771" s="11" t="str">
        <f t="shared" si="4"/>
        <v/>
      </c>
      <c r="K771" s="11" t="str">
        <f>IFERROR(IF(A771&lt;&gt;"",VLOOKUP(B771,'📦 ชื่อสินค้า'!A:F,6,false),""),)</f>
        <v/>
      </c>
      <c r="L771" s="11" t="str">
        <f t="shared" si="5"/>
        <v/>
      </c>
      <c r="M771" s="13"/>
    </row>
    <row r="772">
      <c r="A772" s="15"/>
      <c r="B772" s="6"/>
      <c r="C772" s="14" t="str">
        <f>iferror(vlookup(B772,'📦 ชื่อสินค้า'!A:C,3,false),)</f>
        <v/>
      </c>
      <c r="D772" s="11" t="str">
        <f>iferror(vlookup(B772,'📦 ชื่อสินค้า'!A:D,4,false),"")</f>
        <v/>
      </c>
      <c r="E772" s="16"/>
      <c r="F772" s="8" t="str">
        <f t="shared" si="1"/>
        <v/>
      </c>
      <c r="G772" s="9" t="str">
        <f>IF(LEN(B772)&gt;0,vlookup(B772,'📊 รายงานสินค้าคงเหลือ'!A:G,6,false)*E772,)</f>
        <v/>
      </c>
      <c r="H772" s="9" t="str">
        <f t="shared" si="2"/>
        <v/>
      </c>
      <c r="I772" s="10" t="str">
        <f t="shared" si="3"/>
        <v/>
      </c>
      <c r="J772" s="11" t="str">
        <f t="shared" si="4"/>
        <v/>
      </c>
      <c r="K772" s="11" t="str">
        <f>IFERROR(IF(A772&lt;&gt;"",VLOOKUP(B772,'📦 ชื่อสินค้า'!A:F,6,false),""),)</f>
        <v/>
      </c>
      <c r="L772" s="11" t="str">
        <f t="shared" si="5"/>
        <v/>
      </c>
      <c r="M772" s="13"/>
    </row>
    <row r="773">
      <c r="A773" s="15"/>
      <c r="B773" s="6"/>
      <c r="C773" s="14" t="str">
        <f>iferror(vlookup(B773,'📦 ชื่อสินค้า'!A:C,3,false),)</f>
        <v/>
      </c>
      <c r="D773" s="11" t="str">
        <f>iferror(vlookup(B773,'📦 ชื่อสินค้า'!A:D,4,false),"")</f>
        <v/>
      </c>
      <c r="E773" s="16"/>
      <c r="F773" s="8" t="str">
        <f t="shared" si="1"/>
        <v/>
      </c>
      <c r="G773" s="9" t="str">
        <f>IF(LEN(B773)&gt;0,vlookup(B773,'📊 รายงานสินค้าคงเหลือ'!A:G,6,false)*E773,)</f>
        <v/>
      </c>
      <c r="H773" s="9" t="str">
        <f t="shared" si="2"/>
        <v/>
      </c>
      <c r="I773" s="10" t="str">
        <f t="shared" si="3"/>
        <v/>
      </c>
      <c r="J773" s="11" t="str">
        <f t="shared" si="4"/>
        <v/>
      </c>
      <c r="K773" s="11" t="str">
        <f>IFERROR(IF(A773&lt;&gt;"",VLOOKUP(B773,'📦 ชื่อสินค้า'!A:F,6,false),""),)</f>
        <v/>
      </c>
      <c r="L773" s="11" t="str">
        <f t="shared" si="5"/>
        <v/>
      </c>
      <c r="M773" s="13"/>
    </row>
    <row r="774">
      <c r="A774" s="15"/>
      <c r="B774" s="6"/>
      <c r="C774" s="14" t="str">
        <f>iferror(vlookup(B774,'📦 ชื่อสินค้า'!A:C,3,false),)</f>
        <v/>
      </c>
      <c r="D774" s="11" t="str">
        <f>iferror(vlookup(B774,'📦 ชื่อสินค้า'!A:D,4,false),"")</f>
        <v/>
      </c>
      <c r="E774" s="16"/>
      <c r="F774" s="8" t="str">
        <f t="shared" si="1"/>
        <v/>
      </c>
      <c r="G774" s="9" t="str">
        <f>IF(LEN(B774)&gt;0,vlookup(B774,'📊 รายงานสินค้าคงเหลือ'!A:G,6,false)*E774,)</f>
        <v/>
      </c>
      <c r="H774" s="9" t="str">
        <f t="shared" si="2"/>
        <v/>
      </c>
      <c r="I774" s="10" t="str">
        <f t="shared" si="3"/>
        <v/>
      </c>
      <c r="J774" s="11" t="str">
        <f t="shared" si="4"/>
        <v/>
      </c>
      <c r="K774" s="11" t="str">
        <f>IFERROR(IF(A774&lt;&gt;"",VLOOKUP(B774,'📦 ชื่อสินค้า'!A:F,6,false),""),)</f>
        <v/>
      </c>
      <c r="L774" s="11" t="str">
        <f t="shared" si="5"/>
        <v/>
      </c>
      <c r="M774" s="13"/>
    </row>
    <row r="775">
      <c r="A775" s="15"/>
      <c r="B775" s="6"/>
      <c r="C775" s="14" t="str">
        <f>iferror(vlookup(B775,'📦 ชื่อสินค้า'!A:C,3,false),)</f>
        <v/>
      </c>
      <c r="D775" s="11" t="str">
        <f>iferror(vlookup(B775,'📦 ชื่อสินค้า'!A:D,4,false),"")</f>
        <v/>
      </c>
      <c r="E775" s="16"/>
      <c r="F775" s="8" t="str">
        <f t="shared" si="1"/>
        <v/>
      </c>
      <c r="G775" s="9" t="str">
        <f>IF(LEN(B775)&gt;0,vlookup(B775,'📊 รายงานสินค้าคงเหลือ'!A:G,6,false)*E775,)</f>
        <v/>
      </c>
      <c r="H775" s="9" t="str">
        <f t="shared" si="2"/>
        <v/>
      </c>
      <c r="I775" s="10" t="str">
        <f t="shared" si="3"/>
        <v/>
      </c>
      <c r="J775" s="11" t="str">
        <f t="shared" si="4"/>
        <v/>
      </c>
      <c r="K775" s="11" t="str">
        <f>IFERROR(IF(A775&lt;&gt;"",VLOOKUP(B775,'📦 ชื่อสินค้า'!A:F,6,false),""),)</f>
        <v/>
      </c>
      <c r="L775" s="11" t="str">
        <f t="shared" si="5"/>
        <v/>
      </c>
      <c r="M775" s="13"/>
    </row>
    <row r="776">
      <c r="A776" s="15"/>
      <c r="B776" s="6"/>
      <c r="C776" s="14" t="str">
        <f>iferror(vlookup(B776,'📦 ชื่อสินค้า'!A:C,3,false),)</f>
        <v/>
      </c>
      <c r="D776" s="11" t="str">
        <f>iferror(vlookup(B776,'📦 ชื่อสินค้า'!A:D,4,false),"")</f>
        <v/>
      </c>
      <c r="E776" s="16"/>
      <c r="F776" s="8" t="str">
        <f t="shared" si="1"/>
        <v/>
      </c>
      <c r="G776" s="9" t="str">
        <f>IF(LEN(B776)&gt;0,vlookup(B776,'📊 รายงานสินค้าคงเหลือ'!A:G,6,false)*E776,)</f>
        <v/>
      </c>
      <c r="H776" s="9" t="str">
        <f t="shared" si="2"/>
        <v/>
      </c>
      <c r="I776" s="10" t="str">
        <f t="shared" si="3"/>
        <v/>
      </c>
      <c r="J776" s="11" t="str">
        <f t="shared" si="4"/>
        <v/>
      </c>
      <c r="K776" s="11" t="str">
        <f>IFERROR(IF(A776&lt;&gt;"",VLOOKUP(B776,'📦 ชื่อสินค้า'!A:F,6,false),""),)</f>
        <v/>
      </c>
      <c r="L776" s="11" t="str">
        <f t="shared" si="5"/>
        <v/>
      </c>
      <c r="M776" s="13"/>
    </row>
    <row r="777">
      <c r="A777" s="15"/>
      <c r="B777" s="6"/>
      <c r="C777" s="14" t="str">
        <f>iferror(vlookup(B777,'📦 ชื่อสินค้า'!A:C,3,false),)</f>
        <v/>
      </c>
      <c r="D777" s="11" t="str">
        <f>iferror(vlookup(B777,'📦 ชื่อสินค้า'!A:D,4,false),"")</f>
        <v/>
      </c>
      <c r="E777" s="16"/>
      <c r="F777" s="8" t="str">
        <f t="shared" si="1"/>
        <v/>
      </c>
      <c r="G777" s="9" t="str">
        <f>IF(LEN(B777)&gt;0,vlookup(B777,'📊 รายงานสินค้าคงเหลือ'!A:G,6,false)*E777,)</f>
        <v/>
      </c>
      <c r="H777" s="9" t="str">
        <f t="shared" si="2"/>
        <v/>
      </c>
      <c r="I777" s="10" t="str">
        <f t="shared" si="3"/>
        <v/>
      </c>
      <c r="J777" s="11" t="str">
        <f t="shared" si="4"/>
        <v/>
      </c>
      <c r="K777" s="11" t="str">
        <f>IFERROR(IF(A777&lt;&gt;"",VLOOKUP(B777,'📦 ชื่อสินค้า'!A:F,6,false),""),)</f>
        <v/>
      </c>
      <c r="L777" s="11" t="str">
        <f t="shared" si="5"/>
        <v/>
      </c>
      <c r="M777" s="13"/>
    </row>
    <row r="778">
      <c r="A778" s="15"/>
      <c r="B778" s="6"/>
      <c r="C778" s="14" t="str">
        <f>iferror(vlookup(B778,'📦 ชื่อสินค้า'!A:C,3,false),)</f>
        <v/>
      </c>
      <c r="D778" s="11" t="str">
        <f>iferror(vlookup(B778,'📦 ชื่อสินค้า'!A:D,4,false),"")</f>
        <v/>
      </c>
      <c r="E778" s="16"/>
      <c r="F778" s="8" t="str">
        <f t="shared" si="1"/>
        <v/>
      </c>
      <c r="G778" s="9" t="str">
        <f>IF(LEN(B778)&gt;0,vlookup(B778,'📊 รายงานสินค้าคงเหลือ'!A:G,6,false)*E778,)</f>
        <v/>
      </c>
      <c r="H778" s="9" t="str">
        <f t="shared" si="2"/>
        <v/>
      </c>
      <c r="I778" s="10" t="str">
        <f t="shared" si="3"/>
        <v/>
      </c>
      <c r="J778" s="11" t="str">
        <f t="shared" si="4"/>
        <v/>
      </c>
      <c r="K778" s="11" t="str">
        <f>IFERROR(IF(A778&lt;&gt;"",VLOOKUP(B778,'📦 ชื่อสินค้า'!A:F,6,false),""),)</f>
        <v/>
      </c>
      <c r="L778" s="11" t="str">
        <f t="shared" si="5"/>
        <v/>
      </c>
      <c r="M778" s="13"/>
    </row>
    <row r="779">
      <c r="A779" s="15"/>
      <c r="B779" s="6"/>
      <c r="C779" s="14" t="str">
        <f>iferror(vlookup(B779,'📦 ชื่อสินค้า'!A:C,3,false),)</f>
        <v/>
      </c>
      <c r="D779" s="11" t="str">
        <f>iferror(vlookup(B779,'📦 ชื่อสินค้า'!A:D,4,false),"")</f>
        <v/>
      </c>
      <c r="E779" s="16"/>
      <c r="F779" s="8" t="str">
        <f t="shared" si="1"/>
        <v/>
      </c>
      <c r="G779" s="9" t="str">
        <f>IF(LEN(B779)&gt;0,vlookup(B779,'📊 รายงานสินค้าคงเหลือ'!A:G,6,false)*E779,)</f>
        <v/>
      </c>
      <c r="H779" s="9" t="str">
        <f t="shared" si="2"/>
        <v/>
      </c>
      <c r="I779" s="10" t="str">
        <f t="shared" si="3"/>
        <v/>
      </c>
      <c r="J779" s="11" t="str">
        <f t="shared" si="4"/>
        <v/>
      </c>
      <c r="K779" s="11" t="str">
        <f>IFERROR(IF(A779&lt;&gt;"",VLOOKUP(B779,'📦 ชื่อสินค้า'!A:F,6,false),""),)</f>
        <v/>
      </c>
      <c r="L779" s="11" t="str">
        <f t="shared" si="5"/>
        <v/>
      </c>
      <c r="M779" s="13"/>
    </row>
    <row r="780">
      <c r="A780" s="15"/>
      <c r="B780" s="6"/>
      <c r="C780" s="14" t="str">
        <f>iferror(vlookup(B780,'📦 ชื่อสินค้า'!A:C,3,false),)</f>
        <v/>
      </c>
      <c r="D780" s="11" t="str">
        <f>iferror(vlookup(B780,'📦 ชื่อสินค้า'!A:D,4,false),"")</f>
        <v/>
      </c>
      <c r="E780" s="16"/>
      <c r="F780" s="8" t="str">
        <f t="shared" si="1"/>
        <v/>
      </c>
      <c r="G780" s="9" t="str">
        <f>IF(LEN(B780)&gt;0,vlookup(B780,'📊 รายงานสินค้าคงเหลือ'!A:G,6,false)*E780,)</f>
        <v/>
      </c>
      <c r="H780" s="9" t="str">
        <f t="shared" si="2"/>
        <v/>
      </c>
      <c r="I780" s="10" t="str">
        <f t="shared" si="3"/>
        <v/>
      </c>
      <c r="J780" s="11" t="str">
        <f t="shared" si="4"/>
        <v/>
      </c>
      <c r="K780" s="11" t="str">
        <f>IFERROR(IF(A780&lt;&gt;"",VLOOKUP(B780,'📦 ชื่อสินค้า'!A:F,6,false),""),)</f>
        <v/>
      </c>
      <c r="L780" s="11" t="str">
        <f t="shared" si="5"/>
        <v/>
      </c>
      <c r="M780" s="13"/>
    </row>
    <row r="781">
      <c r="A781" s="15"/>
      <c r="B781" s="6"/>
      <c r="C781" s="14" t="str">
        <f>iferror(vlookup(B781,'📦 ชื่อสินค้า'!A:C,3,false),)</f>
        <v/>
      </c>
      <c r="D781" s="11" t="str">
        <f>iferror(vlookup(B781,'📦 ชื่อสินค้า'!A:D,4,false),"")</f>
        <v/>
      </c>
      <c r="E781" s="16"/>
      <c r="F781" s="8" t="str">
        <f t="shared" si="1"/>
        <v/>
      </c>
      <c r="G781" s="9" t="str">
        <f>IF(LEN(B781)&gt;0,vlookup(B781,'📊 รายงานสินค้าคงเหลือ'!A:G,6,false)*E781,)</f>
        <v/>
      </c>
      <c r="H781" s="9" t="str">
        <f t="shared" si="2"/>
        <v/>
      </c>
      <c r="I781" s="10" t="str">
        <f t="shared" si="3"/>
        <v/>
      </c>
      <c r="J781" s="11" t="str">
        <f t="shared" si="4"/>
        <v/>
      </c>
      <c r="K781" s="11" t="str">
        <f>IFERROR(IF(A781&lt;&gt;"",VLOOKUP(B781,'📦 ชื่อสินค้า'!A:F,6,false),""),)</f>
        <v/>
      </c>
      <c r="L781" s="11" t="str">
        <f t="shared" si="5"/>
        <v/>
      </c>
      <c r="M781" s="13"/>
    </row>
    <row r="782">
      <c r="A782" s="15"/>
      <c r="B782" s="6"/>
      <c r="C782" s="14" t="str">
        <f>iferror(vlookup(B782,'📦 ชื่อสินค้า'!A:C,3,false),)</f>
        <v/>
      </c>
      <c r="D782" s="11" t="str">
        <f>iferror(vlookup(B782,'📦 ชื่อสินค้า'!A:D,4,false),"")</f>
        <v/>
      </c>
      <c r="E782" s="16"/>
      <c r="F782" s="8" t="str">
        <f t="shared" si="1"/>
        <v/>
      </c>
      <c r="G782" s="9" t="str">
        <f>IF(LEN(B782)&gt;0,vlookup(B782,'📊 รายงานสินค้าคงเหลือ'!A:G,6,false)*E782,)</f>
        <v/>
      </c>
      <c r="H782" s="9" t="str">
        <f t="shared" si="2"/>
        <v/>
      </c>
      <c r="I782" s="10" t="str">
        <f t="shared" si="3"/>
        <v/>
      </c>
      <c r="J782" s="11" t="str">
        <f t="shared" si="4"/>
        <v/>
      </c>
      <c r="K782" s="11" t="str">
        <f>IFERROR(IF(A782&lt;&gt;"",VLOOKUP(B782,'📦 ชื่อสินค้า'!A:F,6,false),""),)</f>
        <v/>
      </c>
      <c r="L782" s="11" t="str">
        <f t="shared" si="5"/>
        <v/>
      </c>
      <c r="M782" s="13"/>
    </row>
    <row r="783">
      <c r="A783" s="15"/>
      <c r="B783" s="6"/>
      <c r="C783" s="14" t="str">
        <f>iferror(vlookup(B783,'📦 ชื่อสินค้า'!A:C,3,false),)</f>
        <v/>
      </c>
      <c r="D783" s="11" t="str">
        <f>iferror(vlookup(B783,'📦 ชื่อสินค้า'!A:D,4,false),"")</f>
        <v/>
      </c>
      <c r="E783" s="16"/>
      <c r="F783" s="8" t="str">
        <f t="shared" si="1"/>
        <v/>
      </c>
      <c r="G783" s="9" t="str">
        <f>IF(LEN(B783)&gt;0,vlookup(B783,'📊 รายงานสินค้าคงเหลือ'!A:G,6,false)*E783,)</f>
        <v/>
      </c>
      <c r="H783" s="9" t="str">
        <f t="shared" si="2"/>
        <v/>
      </c>
      <c r="I783" s="10" t="str">
        <f t="shared" si="3"/>
        <v/>
      </c>
      <c r="J783" s="11" t="str">
        <f t="shared" si="4"/>
        <v/>
      </c>
      <c r="K783" s="11" t="str">
        <f>IFERROR(IF(A783&lt;&gt;"",VLOOKUP(B783,'📦 ชื่อสินค้า'!A:F,6,false),""),)</f>
        <v/>
      </c>
      <c r="L783" s="11" t="str">
        <f t="shared" si="5"/>
        <v/>
      </c>
      <c r="M783" s="13"/>
    </row>
    <row r="784">
      <c r="A784" s="15"/>
      <c r="B784" s="6"/>
      <c r="C784" s="14" t="str">
        <f>iferror(vlookup(B784,'📦 ชื่อสินค้า'!A:C,3,false),)</f>
        <v/>
      </c>
      <c r="D784" s="11" t="str">
        <f>iferror(vlookup(B784,'📦 ชื่อสินค้า'!A:D,4,false),"")</f>
        <v/>
      </c>
      <c r="E784" s="16"/>
      <c r="F784" s="8" t="str">
        <f t="shared" si="1"/>
        <v/>
      </c>
      <c r="G784" s="9" t="str">
        <f>IF(LEN(B784)&gt;0,vlookup(B784,'📊 รายงานสินค้าคงเหลือ'!A:G,6,false)*E784,)</f>
        <v/>
      </c>
      <c r="H784" s="9" t="str">
        <f t="shared" si="2"/>
        <v/>
      </c>
      <c r="I784" s="10" t="str">
        <f t="shared" si="3"/>
        <v/>
      </c>
      <c r="J784" s="11" t="str">
        <f t="shared" si="4"/>
        <v/>
      </c>
      <c r="K784" s="11" t="str">
        <f>IFERROR(IF(A784&lt;&gt;"",VLOOKUP(B784,'📦 ชื่อสินค้า'!A:F,6,false),""),)</f>
        <v/>
      </c>
      <c r="L784" s="11" t="str">
        <f t="shared" si="5"/>
        <v/>
      </c>
      <c r="M784" s="13"/>
    </row>
    <row r="785">
      <c r="A785" s="15"/>
      <c r="B785" s="6"/>
      <c r="C785" s="14" t="str">
        <f>iferror(vlookup(B785,'📦 ชื่อสินค้า'!A:C,3,false),)</f>
        <v/>
      </c>
      <c r="D785" s="11" t="str">
        <f>iferror(vlookup(B785,'📦 ชื่อสินค้า'!A:D,4,false),"")</f>
        <v/>
      </c>
      <c r="E785" s="16"/>
      <c r="F785" s="8" t="str">
        <f t="shared" si="1"/>
        <v/>
      </c>
      <c r="G785" s="9" t="str">
        <f>IF(LEN(B785)&gt;0,vlookup(B785,'📊 รายงานสินค้าคงเหลือ'!A:G,6,false)*E785,)</f>
        <v/>
      </c>
      <c r="H785" s="9" t="str">
        <f t="shared" si="2"/>
        <v/>
      </c>
      <c r="I785" s="10" t="str">
        <f t="shared" si="3"/>
        <v/>
      </c>
      <c r="J785" s="11" t="str">
        <f t="shared" si="4"/>
        <v/>
      </c>
      <c r="K785" s="11" t="str">
        <f>IFERROR(IF(A785&lt;&gt;"",VLOOKUP(B785,'📦 ชื่อสินค้า'!A:F,6,false),""),)</f>
        <v/>
      </c>
      <c r="L785" s="11" t="str">
        <f t="shared" si="5"/>
        <v/>
      </c>
      <c r="M785" s="13"/>
    </row>
    <row r="786">
      <c r="A786" s="15"/>
      <c r="B786" s="6"/>
      <c r="C786" s="14" t="str">
        <f>iferror(vlookup(B786,'📦 ชื่อสินค้า'!A:C,3,false),)</f>
        <v/>
      </c>
      <c r="D786" s="11" t="str">
        <f>iferror(vlookup(B786,'📦 ชื่อสินค้า'!A:D,4,false),"")</f>
        <v/>
      </c>
      <c r="E786" s="16"/>
      <c r="F786" s="8" t="str">
        <f t="shared" si="1"/>
        <v/>
      </c>
      <c r="G786" s="9" t="str">
        <f>IF(LEN(B786)&gt;0,vlookup(B786,'📊 รายงานสินค้าคงเหลือ'!A:G,6,false)*E786,)</f>
        <v/>
      </c>
      <c r="H786" s="9" t="str">
        <f t="shared" si="2"/>
        <v/>
      </c>
      <c r="I786" s="10" t="str">
        <f t="shared" si="3"/>
        <v/>
      </c>
      <c r="J786" s="11" t="str">
        <f t="shared" si="4"/>
        <v/>
      </c>
      <c r="K786" s="11" t="str">
        <f>IFERROR(IF(A786&lt;&gt;"",VLOOKUP(B786,'📦 ชื่อสินค้า'!A:F,6,false),""),)</f>
        <v/>
      </c>
      <c r="L786" s="11" t="str">
        <f t="shared" si="5"/>
        <v/>
      </c>
      <c r="M786" s="13"/>
    </row>
    <row r="787">
      <c r="A787" s="15"/>
      <c r="B787" s="6"/>
      <c r="C787" s="14" t="str">
        <f>iferror(vlookup(B787,'📦 ชื่อสินค้า'!A:C,3,false),)</f>
        <v/>
      </c>
      <c r="D787" s="11" t="str">
        <f>iferror(vlookup(B787,'📦 ชื่อสินค้า'!A:D,4,false),"")</f>
        <v/>
      </c>
      <c r="E787" s="16"/>
      <c r="F787" s="8" t="str">
        <f t="shared" si="1"/>
        <v/>
      </c>
      <c r="G787" s="9" t="str">
        <f>IF(LEN(B787)&gt;0,vlookup(B787,'📊 รายงานสินค้าคงเหลือ'!A:G,6,false)*E787,)</f>
        <v/>
      </c>
      <c r="H787" s="9" t="str">
        <f t="shared" si="2"/>
        <v/>
      </c>
      <c r="I787" s="10" t="str">
        <f t="shared" si="3"/>
        <v/>
      </c>
      <c r="J787" s="11" t="str">
        <f t="shared" si="4"/>
        <v/>
      </c>
      <c r="K787" s="11" t="str">
        <f>IFERROR(IF(A787&lt;&gt;"",VLOOKUP(B787,'📦 ชื่อสินค้า'!A:F,6,false),""),)</f>
        <v/>
      </c>
      <c r="L787" s="11" t="str">
        <f t="shared" si="5"/>
        <v/>
      </c>
      <c r="M787" s="13"/>
    </row>
    <row r="788">
      <c r="A788" s="15"/>
      <c r="B788" s="6"/>
      <c r="C788" s="14" t="str">
        <f>iferror(vlookup(B788,'📦 ชื่อสินค้า'!A:C,3,false),)</f>
        <v/>
      </c>
      <c r="D788" s="11" t="str">
        <f>iferror(vlookup(B788,'📦 ชื่อสินค้า'!A:D,4,false),"")</f>
        <v/>
      </c>
      <c r="E788" s="16"/>
      <c r="F788" s="8" t="str">
        <f t="shared" si="1"/>
        <v/>
      </c>
      <c r="G788" s="9" t="str">
        <f>IF(LEN(B788)&gt;0,vlookup(B788,'📊 รายงานสินค้าคงเหลือ'!A:G,6,false)*E788,)</f>
        <v/>
      </c>
      <c r="H788" s="9" t="str">
        <f t="shared" si="2"/>
        <v/>
      </c>
      <c r="I788" s="10" t="str">
        <f t="shared" si="3"/>
        <v/>
      </c>
      <c r="J788" s="11" t="str">
        <f t="shared" si="4"/>
        <v/>
      </c>
      <c r="K788" s="11" t="str">
        <f>IFERROR(IF(A788&lt;&gt;"",VLOOKUP(B788,'📦 ชื่อสินค้า'!A:F,6,false),""),)</f>
        <v/>
      </c>
      <c r="L788" s="11" t="str">
        <f t="shared" si="5"/>
        <v/>
      </c>
      <c r="M788" s="13"/>
    </row>
    <row r="789">
      <c r="A789" s="15"/>
      <c r="B789" s="6"/>
      <c r="C789" s="14" t="str">
        <f>iferror(vlookup(B789,'📦 ชื่อสินค้า'!A:C,3,false),)</f>
        <v/>
      </c>
      <c r="D789" s="11" t="str">
        <f>iferror(vlookup(B789,'📦 ชื่อสินค้า'!A:D,4,false),"")</f>
        <v/>
      </c>
      <c r="E789" s="16"/>
      <c r="F789" s="8" t="str">
        <f t="shared" si="1"/>
        <v/>
      </c>
      <c r="G789" s="9" t="str">
        <f>IF(LEN(B789)&gt;0,vlookup(B789,'📊 รายงานสินค้าคงเหลือ'!A:G,6,false)*E789,)</f>
        <v/>
      </c>
      <c r="H789" s="9" t="str">
        <f t="shared" si="2"/>
        <v/>
      </c>
      <c r="I789" s="10" t="str">
        <f t="shared" si="3"/>
        <v/>
      </c>
      <c r="J789" s="11" t="str">
        <f t="shared" si="4"/>
        <v/>
      </c>
      <c r="K789" s="11" t="str">
        <f>IFERROR(IF(A789&lt;&gt;"",VLOOKUP(B789,'📦 ชื่อสินค้า'!A:F,6,false),""),)</f>
        <v/>
      </c>
      <c r="L789" s="11" t="str">
        <f t="shared" si="5"/>
        <v/>
      </c>
      <c r="M789" s="13"/>
    </row>
    <row r="790">
      <c r="A790" s="15"/>
      <c r="B790" s="6"/>
      <c r="C790" s="14" t="str">
        <f>iferror(vlookup(B790,'📦 ชื่อสินค้า'!A:C,3,false),)</f>
        <v/>
      </c>
      <c r="D790" s="11" t="str">
        <f>iferror(vlookup(B790,'📦 ชื่อสินค้า'!A:D,4,false),"")</f>
        <v/>
      </c>
      <c r="E790" s="16"/>
      <c r="F790" s="8" t="str">
        <f t="shared" si="1"/>
        <v/>
      </c>
      <c r="G790" s="9" t="str">
        <f>IF(LEN(B790)&gt;0,vlookup(B790,'📊 รายงานสินค้าคงเหลือ'!A:G,6,false)*E790,)</f>
        <v/>
      </c>
      <c r="H790" s="9" t="str">
        <f t="shared" si="2"/>
        <v/>
      </c>
      <c r="I790" s="10" t="str">
        <f t="shared" si="3"/>
        <v/>
      </c>
      <c r="J790" s="11" t="str">
        <f t="shared" si="4"/>
        <v/>
      </c>
      <c r="K790" s="11" t="str">
        <f>IFERROR(IF(A790&lt;&gt;"",VLOOKUP(B790,'📦 ชื่อสินค้า'!A:F,6,false),""),)</f>
        <v/>
      </c>
      <c r="L790" s="11" t="str">
        <f t="shared" si="5"/>
        <v/>
      </c>
      <c r="M790" s="13"/>
    </row>
    <row r="791">
      <c r="A791" s="15"/>
      <c r="B791" s="6"/>
      <c r="C791" s="14" t="str">
        <f>iferror(vlookup(B791,'📦 ชื่อสินค้า'!A:C,3,false),)</f>
        <v/>
      </c>
      <c r="D791" s="11" t="str">
        <f>iferror(vlookup(B791,'📦 ชื่อสินค้า'!A:D,4,false),"")</f>
        <v/>
      </c>
      <c r="E791" s="16"/>
      <c r="F791" s="8" t="str">
        <f t="shared" si="1"/>
        <v/>
      </c>
      <c r="G791" s="9" t="str">
        <f>IF(LEN(B791)&gt;0,vlookup(B791,'📊 รายงานสินค้าคงเหลือ'!A:G,6,false)*E791,)</f>
        <v/>
      </c>
      <c r="H791" s="9" t="str">
        <f t="shared" si="2"/>
        <v/>
      </c>
      <c r="I791" s="10" t="str">
        <f t="shared" si="3"/>
        <v/>
      </c>
      <c r="J791" s="11" t="str">
        <f t="shared" si="4"/>
        <v/>
      </c>
      <c r="K791" s="11" t="str">
        <f>IFERROR(IF(A791&lt;&gt;"",VLOOKUP(B791,'📦 ชื่อสินค้า'!A:F,6,false),""),)</f>
        <v/>
      </c>
      <c r="L791" s="11" t="str">
        <f t="shared" si="5"/>
        <v/>
      </c>
      <c r="M791" s="13"/>
    </row>
    <row r="792">
      <c r="A792" s="15"/>
      <c r="B792" s="6"/>
      <c r="C792" s="14" t="str">
        <f>iferror(vlookup(B792,'📦 ชื่อสินค้า'!A:C,3,false),)</f>
        <v/>
      </c>
      <c r="D792" s="11" t="str">
        <f>iferror(vlookup(B792,'📦 ชื่อสินค้า'!A:D,4,false),"")</f>
        <v/>
      </c>
      <c r="E792" s="16"/>
      <c r="F792" s="8" t="str">
        <f t="shared" si="1"/>
        <v/>
      </c>
      <c r="G792" s="9" t="str">
        <f>IF(LEN(B792)&gt;0,vlookup(B792,'📊 รายงานสินค้าคงเหลือ'!A:G,6,false)*E792,)</f>
        <v/>
      </c>
      <c r="H792" s="9" t="str">
        <f t="shared" si="2"/>
        <v/>
      </c>
      <c r="I792" s="10" t="str">
        <f t="shared" si="3"/>
        <v/>
      </c>
      <c r="J792" s="11" t="str">
        <f t="shared" si="4"/>
        <v/>
      </c>
      <c r="K792" s="11" t="str">
        <f>IFERROR(IF(A792&lt;&gt;"",VLOOKUP(B792,'📦 ชื่อสินค้า'!A:F,6,false),""),)</f>
        <v/>
      </c>
      <c r="L792" s="11" t="str">
        <f t="shared" si="5"/>
        <v/>
      </c>
      <c r="M792" s="13"/>
    </row>
    <row r="793">
      <c r="A793" s="15"/>
      <c r="B793" s="6"/>
      <c r="C793" s="14" t="str">
        <f>iferror(vlookup(B793,'📦 ชื่อสินค้า'!A:C,3,false),)</f>
        <v/>
      </c>
      <c r="D793" s="11" t="str">
        <f>iferror(vlookup(B793,'📦 ชื่อสินค้า'!A:D,4,false),"")</f>
        <v/>
      </c>
      <c r="E793" s="16"/>
      <c r="F793" s="8" t="str">
        <f t="shared" si="1"/>
        <v/>
      </c>
      <c r="G793" s="9" t="str">
        <f>IF(LEN(B793)&gt;0,vlookup(B793,'📊 รายงานสินค้าคงเหลือ'!A:G,6,false)*E793,)</f>
        <v/>
      </c>
      <c r="H793" s="9" t="str">
        <f t="shared" si="2"/>
        <v/>
      </c>
      <c r="I793" s="10" t="str">
        <f t="shared" si="3"/>
        <v/>
      </c>
      <c r="J793" s="11" t="str">
        <f t="shared" si="4"/>
        <v/>
      </c>
      <c r="K793" s="11" t="str">
        <f>IFERROR(IF(A793&lt;&gt;"",VLOOKUP(B793,'📦 ชื่อสินค้า'!A:F,6,false),""),)</f>
        <v/>
      </c>
      <c r="L793" s="11" t="str">
        <f t="shared" si="5"/>
        <v/>
      </c>
      <c r="M793" s="13"/>
    </row>
    <row r="794">
      <c r="A794" s="15"/>
      <c r="B794" s="6"/>
      <c r="C794" s="14" t="str">
        <f>iferror(vlookup(B794,'📦 ชื่อสินค้า'!A:C,3,false),)</f>
        <v/>
      </c>
      <c r="D794" s="11" t="str">
        <f>iferror(vlookup(B794,'📦 ชื่อสินค้า'!A:D,4,false),"")</f>
        <v/>
      </c>
      <c r="E794" s="16"/>
      <c r="F794" s="8" t="str">
        <f t="shared" si="1"/>
        <v/>
      </c>
      <c r="G794" s="9" t="str">
        <f>IF(LEN(B794)&gt;0,vlookup(B794,'📊 รายงานสินค้าคงเหลือ'!A:G,6,false)*E794,)</f>
        <v/>
      </c>
      <c r="H794" s="9" t="str">
        <f t="shared" si="2"/>
        <v/>
      </c>
      <c r="I794" s="10" t="str">
        <f t="shared" si="3"/>
        <v/>
      </c>
      <c r="J794" s="11" t="str">
        <f t="shared" si="4"/>
        <v/>
      </c>
      <c r="K794" s="11" t="str">
        <f>IFERROR(IF(A794&lt;&gt;"",VLOOKUP(B794,'📦 ชื่อสินค้า'!A:F,6,false),""),)</f>
        <v/>
      </c>
      <c r="L794" s="11" t="str">
        <f t="shared" si="5"/>
        <v/>
      </c>
      <c r="M794" s="13"/>
    </row>
    <row r="795">
      <c r="A795" s="15"/>
      <c r="B795" s="6"/>
      <c r="C795" s="14" t="str">
        <f>iferror(vlookup(B795,'📦 ชื่อสินค้า'!A:C,3,false),)</f>
        <v/>
      </c>
      <c r="D795" s="11" t="str">
        <f>iferror(vlookup(B795,'📦 ชื่อสินค้า'!A:D,4,false),"")</f>
        <v/>
      </c>
      <c r="E795" s="16"/>
      <c r="F795" s="8" t="str">
        <f t="shared" si="1"/>
        <v/>
      </c>
      <c r="G795" s="9" t="str">
        <f>IF(LEN(B795)&gt;0,vlookup(B795,'📊 รายงานสินค้าคงเหลือ'!A:G,6,false)*E795,)</f>
        <v/>
      </c>
      <c r="H795" s="9" t="str">
        <f t="shared" si="2"/>
        <v/>
      </c>
      <c r="I795" s="10" t="str">
        <f t="shared" si="3"/>
        <v/>
      </c>
      <c r="J795" s="11" t="str">
        <f t="shared" si="4"/>
        <v/>
      </c>
      <c r="K795" s="11" t="str">
        <f>IFERROR(IF(A795&lt;&gt;"",VLOOKUP(B795,'📦 ชื่อสินค้า'!A:F,6,false),""),)</f>
        <v/>
      </c>
      <c r="L795" s="11" t="str">
        <f t="shared" si="5"/>
        <v/>
      </c>
      <c r="M795" s="13"/>
    </row>
    <row r="796">
      <c r="A796" s="15"/>
      <c r="B796" s="6"/>
      <c r="C796" s="14" t="str">
        <f>iferror(vlookup(B796,'📦 ชื่อสินค้า'!A:C,3,false),)</f>
        <v/>
      </c>
      <c r="D796" s="11" t="str">
        <f>iferror(vlookup(B796,'📦 ชื่อสินค้า'!A:D,4,false),"")</f>
        <v/>
      </c>
      <c r="E796" s="16"/>
      <c r="F796" s="8" t="str">
        <f t="shared" si="1"/>
        <v/>
      </c>
      <c r="G796" s="9" t="str">
        <f>IF(LEN(B796)&gt;0,vlookup(B796,'📊 รายงานสินค้าคงเหลือ'!A:G,6,false)*E796,)</f>
        <v/>
      </c>
      <c r="H796" s="9" t="str">
        <f t="shared" si="2"/>
        <v/>
      </c>
      <c r="I796" s="10" t="str">
        <f t="shared" si="3"/>
        <v/>
      </c>
      <c r="J796" s="11" t="str">
        <f t="shared" si="4"/>
        <v/>
      </c>
      <c r="K796" s="11" t="str">
        <f>IFERROR(IF(A796&lt;&gt;"",VLOOKUP(B796,'📦 ชื่อสินค้า'!A:F,6,false),""),)</f>
        <v/>
      </c>
      <c r="L796" s="11" t="str">
        <f t="shared" si="5"/>
        <v/>
      </c>
      <c r="M796" s="13"/>
    </row>
    <row r="797">
      <c r="A797" s="15"/>
      <c r="B797" s="6"/>
      <c r="C797" s="14" t="str">
        <f>iferror(vlookup(B797,'📦 ชื่อสินค้า'!A:C,3,false),)</f>
        <v/>
      </c>
      <c r="D797" s="11" t="str">
        <f>iferror(vlookup(B797,'📦 ชื่อสินค้า'!A:D,4,false),"")</f>
        <v/>
      </c>
      <c r="E797" s="16"/>
      <c r="F797" s="8" t="str">
        <f t="shared" si="1"/>
        <v/>
      </c>
      <c r="G797" s="9" t="str">
        <f>IF(LEN(B797)&gt;0,vlookup(B797,'📊 รายงานสินค้าคงเหลือ'!A:G,6,false)*E797,)</f>
        <v/>
      </c>
      <c r="H797" s="9" t="str">
        <f t="shared" si="2"/>
        <v/>
      </c>
      <c r="I797" s="10" t="str">
        <f t="shared" si="3"/>
        <v/>
      </c>
      <c r="J797" s="11" t="str">
        <f t="shared" si="4"/>
        <v/>
      </c>
      <c r="K797" s="11" t="str">
        <f>IFERROR(IF(A797&lt;&gt;"",VLOOKUP(B797,'📦 ชื่อสินค้า'!A:F,6,false),""),)</f>
        <v/>
      </c>
      <c r="L797" s="11" t="str">
        <f t="shared" si="5"/>
        <v/>
      </c>
      <c r="M797" s="13"/>
    </row>
    <row r="798">
      <c r="A798" s="15"/>
      <c r="B798" s="6"/>
      <c r="C798" s="14" t="str">
        <f>iferror(vlookup(B798,'📦 ชื่อสินค้า'!A:C,3,false),)</f>
        <v/>
      </c>
      <c r="D798" s="11" t="str">
        <f>iferror(vlookup(B798,'📦 ชื่อสินค้า'!A:D,4,false),"")</f>
        <v/>
      </c>
      <c r="E798" s="16"/>
      <c r="F798" s="8" t="str">
        <f t="shared" si="1"/>
        <v/>
      </c>
      <c r="G798" s="9" t="str">
        <f>IF(LEN(B798)&gt;0,vlookup(B798,'📊 รายงานสินค้าคงเหลือ'!A:G,6,false)*E798,)</f>
        <v/>
      </c>
      <c r="H798" s="9" t="str">
        <f t="shared" si="2"/>
        <v/>
      </c>
      <c r="I798" s="10" t="str">
        <f t="shared" si="3"/>
        <v/>
      </c>
      <c r="J798" s="11" t="str">
        <f t="shared" si="4"/>
        <v/>
      </c>
      <c r="K798" s="11" t="str">
        <f>IFERROR(IF(A798&lt;&gt;"",VLOOKUP(B798,'📦 ชื่อสินค้า'!A:F,6,false),""),)</f>
        <v/>
      </c>
      <c r="L798" s="11" t="str">
        <f t="shared" si="5"/>
        <v/>
      </c>
      <c r="M798" s="13"/>
    </row>
    <row r="799">
      <c r="A799" s="15"/>
      <c r="B799" s="6"/>
      <c r="C799" s="14" t="str">
        <f>iferror(vlookup(B799,'📦 ชื่อสินค้า'!A:C,3,false),)</f>
        <v/>
      </c>
      <c r="D799" s="11" t="str">
        <f>iferror(vlookup(B799,'📦 ชื่อสินค้า'!A:D,4,false),"")</f>
        <v/>
      </c>
      <c r="E799" s="16"/>
      <c r="F799" s="8" t="str">
        <f t="shared" si="1"/>
        <v/>
      </c>
      <c r="G799" s="9" t="str">
        <f>IF(LEN(B799)&gt;0,vlookup(B799,'📊 รายงานสินค้าคงเหลือ'!A:G,6,false)*E799,)</f>
        <v/>
      </c>
      <c r="H799" s="9" t="str">
        <f t="shared" si="2"/>
        <v/>
      </c>
      <c r="I799" s="10" t="str">
        <f t="shared" si="3"/>
        <v/>
      </c>
      <c r="J799" s="11" t="str">
        <f t="shared" si="4"/>
        <v/>
      </c>
      <c r="K799" s="11" t="str">
        <f>IFERROR(IF(A799&lt;&gt;"",VLOOKUP(B799,'📦 ชื่อสินค้า'!A:F,6,false),""),)</f>
        <v/>
      </c>
      <c r="L799" s="11" t="str">
        <f t="shared" si="5"/>
        <v/>
      </c>
      <c r="M799" s="13"/>
    </row>
    <row r="800">
      <c r="A800" s="15"/>
      <c r="B800" s="6"/>
      <c r="C800" s="14" t="str">
        <f>iferror(vlookup(B800,'📦 ชื่อสินค้า'!A:C,3,false),)</f>
        <v/>
      </c>
      <c r="D800" s="11" t="str">
        <f>iferror(vlookup(B800,'📦 ชื่อสินค้า'!A:D,4,false),"")</f>
        <v/>
      </c>
      <c r="E800" s="16"/>
      <c r="F800" s="8" t="str">
        <f t="shared" si="1"/>
        <v/>
      </c>
      <c r="G800" s="9" t="str">
        <f>IF(LEN(B800)&gt;0,vlookup(B800,'📊 รายงานสินค้าคงเหลือ'!A:G,6,false)*E800,)</f>
        <v/>
      </c>
      <c r="H800" s="9" t="str">
        <f t="shared" si="2"/>
        <v/>
      </c>
      <c r="I800" s="10" t="str">
        <f t="shared" si="3"/>
        <v/>
      </c>
      <c r="J800" s="11" t="str">
        <f t="shared" si="4"/>
        <v/>
      </c>
      <c r="K800" s="11" t="str">
        <f>IFERROR(IF(A800&lt;&gt;"",VLOOKUP(B800,'📦 ชื่อสินค้า'!A:F,6,false),""),)</f>
        <v/>
      </c>
      <c r="L800" s="11" t="str">
        <f t="shared" si="5"/>
        <v/>
      </c>
      <c r="M800" s="13"/>
    </row>
    <row r="801">
      <c r="A801" s="15"/>
      <c r="B801" s="6"/>
      <c r="C801" s="14" t="str">
        <f>iferror(vlookup(B801,'📦 ชื่อสินค้า'!A:C,3,false),)</f>
        <v/>
      </c>
      <c r="D801" s="11" t="str">
        <f>iferror(vlookup(B801,'📦 ชื่อสินค้า'!A:D,4,false),"")</f>
        <v/>
      </c>
      <c r="E801" s="16"/>
      <c r="F801" s="8" t="str">
        <f t="shared" si="1"/>
        <v/>
      </c>
      <c r="G801" s="9" t="str">
        <f>IF(LEN(B801)&gt;0,vlookup(B801,'📊 รายงานสินค้าคงเหลือ'!A:G,6,false)*E801,)</f>
        <v/>
      </c>
      <c r="H801" s="9" t="str">
        <f t="shared" si="2"/>
        <v/>
      </c>
      <c r="I801" s="10" t="str">
        <f t="shared" si="3"/>
        <v/>
      </c>
      <c r="J801" s="11" t="str">
        <f t="shared" si="4"/>
        <v/>
      </c>
      <c r="K801" s="11" t="str">
        <f>IFERROR(IF(A801&lt;&gt;"",VLOOKUP(B801,'📦 ชื่อสินค้า'!A:F,6,false),""),)</f>
        <v/>
      </c>
      <c r="L801" s="11" t="str">
        <f t="shared" si="5"/>
        <v/>
      </c>
      <c r="M801" s="13"/>
    </row>
    <row r="802">
      <c r="A802" s="15"/>
      <c r="B802" s="6"/>
      <c r="C802" s="14" t="str">
        <f>iferror(vlookup(B802,'📦 ชื่อสินค้า'!A:C,3,false),)</f>
        <v/>
      </c>
      <c r="D802" s="11" t="str">
        <f>iferror(vlookup(B802,'📦 ชื่อสินค้า'!A:D,4,false),"")</f>
        <v/>
      </c>
      <c r="E802" s="16"/>
      <c r="F802" s="8" t="str">
        <f t="shared" si="1"/>
        <v/>
      </c>
      <c r="G802" s="9" t="str">
        <f>IF(LEN(B802)&gt;0,vlookup(B802,'📊 รายงานสินค้าคงเหลือ'!A:G,6,false)*E802,)</f>
        <v/>
      </c>
      <c r="H802" s="9" t="str">
        <f t="shared" si="2"/>
        <v/>
      </c>
      <c r="I802" s="10" t="str">
        <f t="shared" si="3"/>
        <v/>
      </c>
      <c r="J802" s="11" t="str">
        <f t="shared" si="4"/>
        <v/>
      </c>
      <c r="K802" s="11" t="str">
        <f>IFERROR(IF(A802&lt;&gt;"",VLOOKUP(B802,'📦 ชื่อสินค้า'!A:F,6,false),""),)</f>
        <v/>
      </c>
      <c r="L802" s="11" t="str">
        <f t="shared" si="5"/>
        <v/>
      </c>
      <c r="M802" s="13"/>
    </row>
    <row r="803">
      <c r="A803" s="15"/>
      <c r="B803" s="6"/>
      <c r="C803" s="14" t="str">
        <f>iferror(vlookup(B803,'📦 ชื่อสินค้า'!A:C,3,false),)</f>
        <v/>
      </c>
      <c r="D803" s="11" t="str">
        <f>iferror(vlookup(B803,'📦 ชื่อสินค้า'!A:D,4,false),"")</f>
        <v/>
      </c>
      <c r="E803" s="16"/>
      <c r="F803" s="8" t="str">
        <f t="shared" si="1"/>
        <v/>
      </c>
      <c r="G803" s="9" t="str">
        <f>IF(LEN(B803)&gt;0,vlookup(B803,'📊 รายงานสินค้าคงเหลือ'!A:G,6,false)*E803,)</f>
        <v/>
      </c>
      <c r="H803" s="9" t="str">
        <f t="shared" si="2"/>
        <v/>
      </c>
      <c r="I803" s="10" t="str">
        <f t="shared" si="3"/>
        <v/>
      </c>
      <c r="J803" s="11" t="str">
        <f t="shared" si="4"/>
        <v/>
      </c>
      <c r="K803" s="11" t="str">
        <f>IFERROR(IF(A803&lt;&gt;"",VLOOKUP(B803,'📦 ชื่อสินค้า'!A:F,6,false),""),)</f>
        <v/>
      </c>
      <c r="L803" s="11" t="str">
        <f t="shared" si="5"/>
        <v/>
      </c>
      <c r="M803" s="13"/>
    </row>
    <row r="804">
      <c r="A804" s="15"/>
      <c r="B804" s="6"/>
      <c r="C804" s="14" t="str">
        <f>iferror(vlookup(B804,'📦 ชื่อสินค้า'!A:C,3,false),)</f>
        <v/>
      </c>
      <c r="D804" s="11" t="str">
        <f>iferror(vlookup(B804,'📦 ชื่อสินค้า'!A:D,4,false),"")</f>
        <v/>
      </c>
      <c r="E804" s="16"/>
      <c r="F804" s="8" t="str">
        <f t="shared" si="1"/>
        <v/>
      </c>
      <c r="G804" s="9" t="str">
        <f>IF(LEN(B804)&gt;0,vlookup(B804,'📊 รายงานสินค้าคงเหลือ'!A:G,6,false)*E804,)</f>
        <v/>
      </c>
      <c r="H804" s="9" t="str">
        <f t="shared" si="2"/>
        <v/>
      </c>
      <c r="I804" s="10" t="str">
        <f t="shared" si="3"/>
        <v/>
      </c>
      <c r="J804" s="11" t="str">
        <f t="shared" si="4"/>
        <v/>
      </c>
      <c r="K804" s="11" t="str">
        <f>IFERROR(IF(A804&lt;&gt;"",VLOOKUP(B804,'📦 ชื่อสินค้า'!A:F,6,false),""),)</f>
        <v/>
      </c>
      <c r="L804" s="11" t="str">
        <f t="shared" si="5"/>
        <v/>
      </c>
      <c r="M804" s="13"/>
    </row>
    <row r="805">
      <c r="A805" s="15"/>
      <c r="B805" s="6"/>
      <c r="C805" s="14" t="str">
        <f>iferror(vlookup(B805,'📦 ชื่อสินค้า'!A:C,3,false),)</f>
        <v/>
      </c>
      <c r="D805" s="11" t="str">
        <f>iferror(vlookup(B805,'📦 ชื่อสินค้า'!A:D,4,false),"")</f>
        <v/>
      </c>
      <c r="E805" s="16"/>
      <c r="F805" s="8" t="str">
        <f t="shared" si="1"/>
        <v/>
      </c>
      <c r="G805" s="9" t="str">
        <f>IF(LEN(B805)&gt;0,vlookup(B805,'📊 รายงานสินค้าคงเหลือ'!A:G,6,false)*E805,)</f>
        <v/>
      </c>
      <c r="H805" s="9" t="str">
        <f t="shared" si="2"/>
        <v/>
      </c>
      <c r="I805" s="10" t="str">
        <f t="shared" si="3"/>
        <v/>
      </c>
      <c r="J805" s="11" t="str">
        <f t="shared" si="4"/>
        <v/>
      </c>
      <c r="K805" s="11" t="str">
        <f>IFERROR(IF(A805&lt;&gt;"",VLOOKUP(B805,'📦 ชื่อสินค้า'!A:F,6,false),""),)</f>
        <v/>
      </c>
      <c r="L805" s="11" t="str">
        <f t="shared" si="5"/>
        <v/>
      </c>
      <c r="M805" s="13"/>
    </row>
    <row r="806">
      <c r="A806" s="15"/>
      <c r="B806" s="6"/>
      <c r="C806" s="14" t="str">
        <f>iferror(vlookup(B806,'📦 ชื่อสินค้า'!A:C,3,false),)</f>
        <v/>
      </c>
      <c r="D806" s="11" t="str">
        <f>iferror(vlookup(B806,'📦 ชื่อสินค้า'!A:D,4,false),"")</f>
        <v/>
      </c>
      <c r="E806" s="16"/>
      <c r="F806" s="8" t="str">
        <f t="shared" si="1"/>
        <v/>
      </c>
      <c r="G806" s="9" t="str">
        <f>IF(LEN(B806)&gt;0,vlookup(B806,'📊 รายงานสินค้าคงเหลือ'!A:G,6,false)*E806,)</f>
        <v/>
      </c>
      <c r="H806" s="9" t="str">
        <f t="shared" si="2"/>
        <v/>
      </c>
      <c r="I806" s="10" t="str">
        <f t="shared" si="3"/>
        <v/>
      </c>
      <c r="J806" s="11" t="str">
        <f t="shared" si="4"/>
        <v/>
      </c>
      <c r="K806" s="11" t="str">
        <f>IFERROR(IF(A806&lt;&gt;"",VLOOKUP(B806,'📦 ชื่อสินค้า'!A:F,6,false),""),)</f>
        <v/>
      </c>
      <c r="L806" s="11" t="str">
        <f t="shared" si="5"/>
        <v/>
      </c>
      <c r="M806" s="13"/>
    </row>
    <row r="807">
      <c r="A807" s="15"/>
      <c r="B807" s="6"/>
      <c r="C807" s="14" t="str">
        <f>iferror(vlookup(B807,'📦 ชื่อสินค้า'!A:C,3,false),)</f>
        <v/>
      </c>
      <c r="D807" s="11" t="str">
        <f>iferror(vlookup(B807,'📦 ชื่อสินค้า'!A:D,4,false),"")</f>
        <v/>
      </c>
      <c r="E807" s="16"/>
      <c r="F807" s="8" t="str">
        <f t="shared" si="1"/>
        <v/>
      </c>
      <c r="G807" s="9" t="str">
        <f>IF(LEN(B807)&gt;0,vlookup(B807,'📊 รายงานสินค้าคงเหลือ'!A:G,6,false)*E807,)</f>
        <v/>
      </c>
      <c r="H807" s="9" t="str">
        <f t="shared" si="2"/>
        <v/>
      </c>
      <c r="I807" s="10" t="str">
        <f t="shared" si="3"/>
        <v/>
      </c>
      <c r="J807" s="11" t="str">
        <f t="shared" si="4"/>
        <v/>
      </c>
      <c r="K807" s="11" t="str">
        <f>IFERROR(IF(A807&lt;&gt;"",VLOOKUP(B807,'📦 ชื่อสินค้า'!A:F,6,false),""),)</f>
        <v/>
      </c>
      <c r="L807" s="11" t="str">
        <f t="shared" si="5"/>
        <v/>
      </c>
      <c r="M807" s="13"/>
    </row>
    <row r="808">
      <c r="A808" s="15"/>
      <c r="B808" s="6"/>
      <c r="C808" s="14" t="str">
        <f>iferror(vlookup(B808,'📦 ชื่อสินค้า'!A:C,3,false),)</f>
        <v/>
      </c>
      <c r="D808" s="11" t="str">
        <f>iferror(vlookup(B808,'📦 ชื่อสินค้า'!A:D,4,false),"")</f>
        <v/>
      </c>
      <c r="E808" s="16"/>
      <c r="F808" s="8" t="str">
        <f t="shared" si="1"/>
        <v/>
      </c>
      <c r="G808" s="9" t="str">
        <f>IF(LEN(B808)&gt;0,vlookup(B808,'📊 รายงานสินค้าคงเหลือ'!A:G,6,false)*E808,)</f>
        <v/>
      </c>
      <c r="H808" s="9" t="str">
        <f t="shared" si="2"/>
        <v/>
      </c>
      <c r="I808" s="10" t="str">
        <f t="shared" si="3"/>
        <v/>
      </c>
      <c r="J808" s="11" t="str">
        <f t="shared" si="4"/>
        <v/>
      </c>
      <c r="K808" s="11" t="str">
        <f>IFERROR(IF(A808&lt;&gt;"",VLOOKUP(B808,'📦 ชื่อสินค้า'!A:F,6,false),""),)</f>
        <v/>
      </c>
      <c r="L808" s="11" t="str">
        <f t="shared" si="5"/>
        <v/>
      </c>
      <c r="M808" s="13"/>
    </row>
    <row r="809">
      <c r="A809" s="15"/>
      <c r="B809" s="6"/>
      <c r="C809" s="14" t="str">
        <f>iferror(vlookup(B809,'📦 ชื่อสินค้า'!A:C,3,false),)</f>
        <v/>
      </c>
      <c r="D809" s="11" t="str">
        <f>iferror(vlookup(B809,'📦 ชื่อสินค้า'!A:D,4,false),"")</f>
        <v/>
      </c>
      <c r="E809" s="16"/>
      <c r="F809" s="8" t="str">
        <f t="shared" si="1"/>
        <v/>
      </c>
      <c r="G809" s="9" t="str">
        <f>IF(LEN(B809)&gt;0,vlookup(B809,'📊 รายงานสินค้าคงเหลือ'!A:G,6,false)*E809,)</f>
        <v/>
      </c>
      <c r="H809" s="9" t="str">
        <f t="shared" si="2"/>
        <v/>
      </c>
      <c r="I809" s="10" t="str">
        <f t="shared" si="3"/>
        <v/>
      </c>
      <c r="J809" s="11" t="str">
        <f t="shared" si="4"/>
        <v/>
      </c>
      <c r="K809" s="11" t="str">
        <f>IFERROR(IF(A809&lt;&gt;"",VLOOKUP(B809,'📦 ชื่อสินค้า'!A:F,6,false),""),)</f>
        <v/>
      </c>
      <c r="L809" s="11" t="str">
        <f t="shared" si="5"/>
        <v/>
      </c>
      <c r="M809" s="13"/>
    </row>
    <row r="810">
      <c r="A810" s="15"/>
      <c r="B810" s="6"/>
      <c r="C810" s="14" t="str">
        <f>iferror(vlookup(B810,'📦 ชื่อสินค้า'!A:C,3,false),)</f>
        <v/>
      </c>
      <c r="D810" s="11" t="str">
        <f>iferror(vlookup(B810,'📦 ชื่อสินค้า'!A:D,4,false),"")</f>
        <v/>
      </c>
      <c r="E810" s="16"/>
      <c r="F810" s="8" t="str">
        <f t="shared" si="1"/>
        <v/>
      </c>
      <c r="G810" s="9" t="str">
        <f>IF(LEN(B810)&gt;0,vlookup(B810,'📊 รายงานสินค้าคงเหลือ'!A:G,6,false)*E810,)</f>
        <v/>
      </c>
      <c r="H810" s="9" t="str">
        <f t="shared" si="2"/>
        <v/>
      </c>
      <c r="I810" s="10" t="str">
        <f t="shared" si="3"/>
        <v/>
      </c>
      <c r="J810" s="11" t="str">
        <f t="shared" si="4"/>
        <v/>
      </c>
      <c r="K810" s="11" t="str">
        <f>IFERROR(IF(A810&lt;&gt;"",VLOOKUP(B810,'📦 ชื่อสินค้า'!A:F,6,false),""),)</f>
        <v/>
      </c>
      <c r="L810" s="11" t="str">
        <f t="shared" si="5"/>
        <v/>
      </c>
      <c r="M810" s="13"/>
    </row>
    <row r="811">
      <c r="A811" s="15"/>
      <c r="B811" s="6"/>
      <c r="C811" s="14" t="str">
        <f>iferror(vlookup(B811,'📦 ชื่อสินค้า'!A:C,3,false),)</f>
        <v/>
      </c>
      <c r="D811" s="11" t="str">
        <f>iferror(vlookup(B811,'📦 ชื่อสินค้า'!A:D,4,false),"")</f>
        <v/>
      </c>
      <c r="E811" s="16"/>
      <c r="F811" s="8" t="str">
        <f t="shared" si="1"/>
        <v/>
      </c>
      <c r="G811" s="9" t="str">
        <f>IF(LEN(B811)&gt;0,vlookup(B811,'📊 รายงานสินค้าคงเหลือ'!A:G,6,false)*E811,)</f>
        <v/>
      </c>
      <c r="H811" s="9" t="str">
        <f t="shared" si="2"/>
        <v/>
      </c>
      <c r="I811" s="10" t="str">
        <f t="shared" si="3"/>
        <v/>
      </c>
      <c r="J811" s="11" t="str">
        <f t="shared" si="4"/>
        <v/>
      </c>
      <c r="K811" s="11" t="str">
        <f>IFERROR(IF(A811&lt;&gt;"",VLOOKUP(B811,'📦 ชื่อสินค้า'!A:F,6,false),""),)</f>
        <v/>
      </c>
      <c r="L811" s="11" t="str">
        <f t="shared" si="5"/>
        <v/>
      </c>
      <c r="M811" s="13"/>
    </row>
    <row r="812">
      <c r="A812" s="15"/>
      <c r="B812" s="6"/>
      <c r="C812" s="14" t="str">
        <f>iferror(vlookup(B812,'📦 ชื่อสินค้า'!A:C,3,false),)</f>
        <v/>
      </c>
      <c r="D812" s="11" t="str">
        <f>iferror(vlookup(B812,'📦 ชื่อสินค้า'!A:D,4,false),"")</f>
        <v/>
      </c>
      <c r="E812" s="16"/>
      <c r="F812" s="8" t="str">
        <f t="shared" si="1"/>
        <v/>
      </c>
      <c r="G812" s="9" t="str">
        <f>IF(LEN(B812)&gt;0,vlookup(B812,'📊 รายงานสินค้าคงเหลือ'!A:G,6,false)*E812,)</f>
        <v/>
      </c>
      <c r="H812" s="9" t="str">
        <f t="shared" si="2"/>
        <v/>
      </c>
      <c r="I812" s="10" t="str">
        <f t="shared" si="3"/>
        <v/>
      </c>
      <c r="J812" s="11" t="str">
        <f t="shared" si="4"/>
        <v/>
      </c>
      <c r="K812" s="11" t="str">
        <f>IFERROR(IF(A812&lt;&gt;"",VLOOKUP(B812,'📦 ชื่อสินค้า'!A:F,6,false),""),)</f>
        <v/>
      </c>
      <c r="L812" s="11" t="str">
        <f t="shared" si="5"/>
        <v/>
      </c>
      <c r="M812" s="13"/>
    </row>
    <row r="813">
      <c r="A813" s="15"/>
      <c r="B813" s="6"/>
      <c r="C813" s="14" t="str">
        <f>iferror(vlookup(B813,'📦 ชื่อสินค้า'!A:C,3,false),)</f>
        <v/>
      </c>
      <c r="D813" s="11" t="str">
        <f>iferror(vlookup(B813,'📦 ชื่อสินค้า'!A:D,4,false),"")</f>
        <v/>
      </c>
      <c r="E813" s="16"/>
      <c r="F813" s="8" t="str">
        <f t="shared" si="1"/>
        <v/>
      </c>
      <c r="G813" s="9" t="str">
        <f>IF(LEN(B813)&gt;0,vlookup(B813,'📊 รายงานสินค้าคงเหลือ'!A:G,6,false)*E813,)</f>
        <v/>
      </c>
      <c r="H813" s="9" t="str">
        <f t="shared" si="2"/>
        <v/>
      </c>
      <c r="I813" s="10" t="str">
        <f t="shared" si="3"/>
        <v/>
      </c>
      <c r="J813" s="11" t="str">
        <f t="shared" si="4"/>
        <v/>
      </c>
      <c r="K813" s="11" t="str">
        <f>IFERROR(IF(A813&lt;&gt;"",VLOOKUP(B813,'📦 ชื่อสินค้า'!A:F,6,false),""),)</f>
        <v/>
      </c>
      <c r="L813" s="11" t="str">
        <f t="shared" si="5"/>
        <v/>
      </c>
      <c r="M813" s="13"/>
    </row>
    <row r="814">
      <c r="A814" s="15"/>
      <c r="B814" s="6"/>
      <c r="C814" s="14" t="str">
        <f>iferror(vlookup(B814,'📦 ชื่อสินค้า'!A:C,3,false),)</f>
        <v/>
      </c>
      <c r="D814" s="11" t="str">
        <f>iferror(vlookup(B814,'📦 ชื่อสินค้า'!A:D,4,false),"")</f>
        <v/>
      </c>
      <c r="E814" s="16"/>
      <c r="F814" s="8" t="str">
        <f t="shared" si="1"/>
        <v/>
      </c>
      <c r="G814" s="9" t="str">
        <f>IF(LEN(B814)&gt;0,vlookup(B814,'📊 รายงานสินค้าคงเหลือ'!A:G,6,false)*E814,)</f>
        <v/>
      </c>
      <c r="H814" s="9" t="str">
        <f t="shared" si="2"/>
        <v/>
      </c>
      <c r="I814" s="10" t="str">
        <f t="shared" si="3"/>
        <v/>
      </c>
      <c r="J814" s="11" t="str">
        <f t="shared" si="4"/>
        <v/>
      </c>
      <c r="K814" s="11" t="str">
        <f>IFERROR(IF(A814&lt;&gt;"",VLOOKUP(B814,'📦 ชื่อสินค้า'!A:F,6,false),""),)</f>
        <v/>
      </c>
      <c r="L814" s="11" t="str">
        <f t="shared" si="5"/>
        <v/>
      </c>
      <c r="M814" s="13"/>
    </row>
    <row r="815">
      <c r="A815" s="15"/>
      <c r="B815" s="6"/>
      <c r="C815" s="14" t="str">
        <f>iferror(vlookup(B815,'📦 ชื่อสินค้า'!A:C,3,false),)</f>
        <v/>
      </c>
      <c r="D815" s="11" t="str">
        <f>iferror(vlookup(B815,'📦 ชื่อสินค้า'!A:D,4,false),"")</f>
        <v/>
      </c>
      <c r="E815" s="16"/>
      <c r="F815" s="8" t="str">
        <f t="shared" si="1"/>
        <v/>
      </c>
      <c r="G815" s="9" t="str">
        <f>IF(LEN(B815)&gt;0,vlookup(B815,'📊 รายงานสินค้าคงเหลือ'!A:G,6,false)*E815,)</f>
        <v/>
      </c>
      <c r="H815" s="9" t="str">
        <f t="shared" si="2"/>
        <v/>
      </c>
      <c r="I815" s="10" t="str">
        <f t="shared" si="3"/>
        <v/>
      </c>
      <c r="J815" s="11" t="str">
        <f t="shared" si="4"/>
        <v/>
      </c>
      <c r="K815" s="11" t="str">
        <f>IFERROR(IF(A815&lt;&gt;"",VLOOKUP(B815,'📦 ชื่อสินค้า'!A:F,6,false),""),)</f>
        <v/>
      </c>
      <c r="L815" s="11" t="str">
        <f t="shared" si="5"/>
        <v/>
      </c>
      <c r="M815" s="13"/>
    </row>
    <row r="816">
      <c r="A816" s="15"/>
      <c r="B816" s="6"/>
      <c r="C816" s="14" t="str">
        <f>iferror(vlookup(B816,'📦 ชื่อสินค้า'!A:C,3,false),)</f>
        <v/>
      </c>
      <c r="D816" s="11" t="str">
        <f>iferror(vlookup(B816,'📦 ชื่อสินค้า'!A:D,4,false),"")</f>
        <v/>
      </c>
      <c r="E816" s="16"/>
      <c r="F816" s="8" t="str">
        <f t="shared" si="1"/>
        <v/>
      </c>
      <c r="G816" s="9" t="str">
        <f>IF(LEN(B816)&gt;0,vlookup(B816,'📊 รายงานสินค้าคงเหลือ'!A:G,6,false)*E816,)</f>
        <v/>
      </c>
      <c r="H816" s="9" t="str">
        <f t="shared" si="2"/>
        <v/>
      </c>
      <c r="I816" s="10" t="str">
        <f t="shared" si="3"/>
        <v/>
      </c>
      <c r="J816" s="11" t="str">
        <f t="shared" si="4"/>
        <v/>
      </c>
      <c r="K816" s="11" t="str">
        <f>IFERROR(IF(A816&lt;&gt;"",VLOOKUP(B816,'📦 ชื่อสินค้า'!A:F,6,false),""),)</f>
        <v/>
      </c>
      <c r="L816" s="11" t="str">
        <f t="shared" si="5"/>
        <v/>
      </c>
      <c r="M816" s="13"/>
    </row>
    <row r="817">
      <c r="A817" s="15"/>
      <c r="B817" s="6"/>
      <c r="C817" s="14" t="str">
        <f>iferror(vlookup(B817,'📦 ชื่อสินค้า'!A:C,3,false),)</f>
        <v/>
      </c>
      <c r="D817" s="11" t="str">
        <f>iferror(vlookup(B817,'📦 ชื่อสินค้า'!A:D,4,false),"")</f>
        <v/>
      </c>
      <c r="E817" s="16"/>
      <c r="F817" s="8" t="str">
        <f t="shared" si="1"/>
        <v/>
      </c>
      <c r="G817" s="9" t="str">
        <f>IF(LEN(B817)&gt;0,vlookup(B817,'📊 รายงานสินค้าคงเหลือ'!A:G,6,false)*E817,)</f>
        <v/>
      </c>
      <c r="H817" s="9" t="str">
        <f t="shared" si="2"/>
        <v/>
      </c>
      <c r="I817" s="10" t="str">
        <f t="shared" si="3"/>
        <v/>
      </c>
      <c r="J817" s="11" t="str">
        <f t="shared" si="4"/>
        <v/>
      </c>
      <c r="K817" s="11" t="str">
        <f>IFERROR(IF(A817&lt;&gt;"",VLOOKUP(B817,'📦 ชื่อสินค้า'!A:F,6,false),""),)</f>
        <v/>
      </c>
      <c r="L817" s="11" t="str">
        <f t="shared" si="5"/>
        <v/>
      </c>
      <c r="M817" s="13"/>
    </row>
    <row r="818">
      <c r="A818" s="15"/>
      <c r="B818" s="6"/>
      <c r="C818" s="14" t="str">
        <f>iferror(vlookup(B818,'📦 ชื่อสินค้า'!A:C,3,false),)</f>
        <v/>
      </c>
      <c r="D818" s="11" t="str">
        <f>iferror(vlookup(B818,'📦 ชื่อสินค้า'!A:D,4,false),"")</f>
        <v/>
      </c>
      <c r="E818" s="16"/>
      <c r="F818" s="8" t="str">
        <f t="shared" si="1"/>
        <v/>
      </c>
      <c r="G818" s="9" t="str">
        <f>IF(LEN(B818)&gt;0,vlookup(B818,'📊 รายงานสินค้าคงเหลือ'!A:G,6,false)*E818,)</f>
        <v/>
      </c>
      <c r="H818" s="9" t="str">
        <f t="shared" si="2"/>
        <v/>
      </c>
      <c r="I818" s="10" t="str">
        <f t="shared" si="3"/>
        <v/>
      </c>
      <c r="J818" s="11" t="str">
        <f t="shared" si="4"/>
        <v/>
      </c>
      <c r="K818" s="11" t="str">
        <f>IFERROR(IF(A818&lt;&gt;"",VLOOKUP(B818,'📦 ชื่อสินค้า'!A:F,6,false),""),)</f>
        <v/>
      </c>
      <c r="L818" s="11" t="str">
        <f t="shared" si="5"/>
        <v/>
      </c>
      <c r="M818" s="13"/>
    </row>
    <row r="819">
      <c r="A819" s="15"/>
      <c r="B819" s="6"/>
      <c r="C819" s="14" t="str">
        <f>iferror(vlookup(B819,'📦 ชื่อสินค้า'!A:C,3,false),)</f>
        <v/>
      </c>
      <c r="D819" s="11" t="str">
        <f>iferror(vlookup(B819,'📦 ชื่อสินค้า'!A:D,4,false),"")</f>
        <v/>
      </c>
      <c r="E819" s="16"/>
      <c r="F819" s="8" t="str">
        <f t="shared" si="1"/>
        <v/>
      </c>
      <c r="G819" s="9" t="str">
        <f>IF(LEN(B819)&gt;0,vlookup(B819,'📊 รายงานสินค้าคงเหลือ'!A:G,6,false)*E819,)</f>
        <v/>
      </c>
      <c r="H819" s="9" t="str">
        <f t="shared" si="2"/>
        <v/>
      </c>
      <c r="I819" s="10" t="str">
        <f t="shared" si="3"/>
        <v/>
      </c>
      <c r="J819" s="11" t="str">
        <f t="shared" si="4"/>
        <v/>
      </c>
      <c r="K819" s="11" t="str">
        <f>IFERROR(IF(A819&lt;&gt;"",VLOOKUP(B819,'📦 ชื่อสินค้า'!A:F,6,false),""),)</f>
        <v/>
      </c>
      <c r="L819" s="11" t="str">
        <f t="shared" si="5"/>
        <v/>
      </c>
      <c r="M819" s="13"/>
    </row>
    <row r="820">
      <c r="A820" s="15"/>
      <c r="B820" s="6"/>
      <c r="C820" s="14" t="str">
        <f>iferror(vlookup(B820,'📦 ชื่อสินค้า'!A:C,3,false),)</f>
        <v/>
      </c>
      <c r="D820" s="11" t="str">
        <f>iferror(vlookup(B820,'📦 ชื่อสินค้า'!A:D,4,false),"")</f>
        <v/>
      </c>
      <c r="E820" s="16"/>
      <c r="F820" s="8" t="str">
        <f t="shared" si="1"/>
        <v/>
      </c>
      <c r="G820" s="9" t="str">
        <f>IF(LEN(B820)&gt;0,vlookup(B820,'📊 รายงานสินค้าคงเหลือ'!A:G,6,false)*E820,)</f>
        <v/>
      </c>
      <c r="H820" s="9" t="str">
        <f t="shared" si="2"/>
        <v/>
      </c>
      <c r="I820" s="10" t="str">
        <f t="shared" si="3"/>
        <v/>
      </c>
      <c r="J820" s="11" t="str">
        <f t="shared" si="4"/>
        <v/>
      </c>
      <c r="K820" s="11" t="str">
        <f>IFERROR(IF(A820&lt;&gt;"",VLOOKUP(B820,'📦 ชื่อสินค้า'!A:F,6,false),""),)</f>
        <v/>
      </c>
      <c r="L820" s="11" t="str">
        <f t="shared" si="5"/>
        <v/>
      </c>
      <c r="M820" s="13"/>
    </row>
    <row r="821">
      <c r="A821" s="15"/>
      <c r="B821" s="6"/>
      <c r="C821" s="14" t="str">
        <f>iferror(vlookup(B821,'📦 ชื่อสินค้า'!A:C,3,false),)</f>
        <v/>
      </c>
      <c r="D821" s="11" t="str">
        <f>iferror(vlookup(B821,'📦 ชื่อสินค้า'!A:D,4,false),"")</f>
        <v/>
      </c>
      <c r="E821" s="16"/>
      <c r="F821" s="8" t="str">
        <f t="shared" si="1"/>
        <v/>
      </c>
      <c r="G821" s="9" t="str">
        <f>IF(LEN(B821)&gt;0,vlookup(B821,'📊 รายงานสินค้าคงเหลือ'!A:G,6,false)*E821,)</f>
        <v/>
      </c>
      <c r="H821" s="9" t="str">
        <f t="shared" si="2"/>
        <v/>
      </c>
      <c r="I821" s="10" t="str">
        <f t="shared" si="3"/>
        <v/>
      </c>
      <c r="J821" s="11" t="str">
        <f t="shared" si="4"/>
        <v/>
      </c>
      <c r="K821" s="11" t="str">
        <f>IFERROR(IF(A821&lt;&gt;"",VLOOKUP(B821,'📦 ชื่อสินค้า'!A:F,6,false),""),)</f>
        <v/>
      </c>
      <c r="L821" s="11" t="str">
        <f t="shared" si="5"/>
        <v/>
      </c>
      <c r="M821" s="13"/>
    </row>
    <row r="822">
      <c r="A822" s="15"/>
      <c r="B822" s="6"/>
      <c r="C822" s="14" t="str">
        <f>iferror(vlookup(B822,'📦 ชื่อสินค้า'!A:C,3,false),)</f>
        <v/>
      </c>
      <c r="D822" s="11" t="str">
        <f>iferror(vlookup(B822,'📦 ชื่อสินค้า'!A:D,4,false),"")</f>
        <v/>
      </c>
      <c r="E822" s="16"/>
      <c r="F822" s="8" t="str">
        <f t="shared" si="1"/>
        <v/>
      </c>
      <c r="G822" s="9" t="str">
        <f>IF(LEN(B822)&gt;0,vlookup(B822,'📊 รายงานสินค้าคงเหลือ'!A:G,6,false)*E822,)</f>
        <v/>
      </c>
      <c r="H822" s="9" t="str">
        <f t="shared" si="2"/>
        <v/>
      </c>
      <c r="I822" s="10" t="str">
        <f t="shared" si="3"/>
        <v/>
      </c>
      <c r="J822" s="11" t="str">
        <f t="shared" si="4"/>
        <v/>
      </c>
      <c r="K822" s="11" t="str">
        <f>IFERROR(IF(A822&lt;&gt;"",VLOOKUP(B822,'📦 ชื่อสินค้า'!A:F,6,false),""),)</f>
        <v/>
      </c>
      <c r="L822" s="11" t="str">
        <f t="shared" si="5"/>
        <v/>
      </c>
      <c r="M822" s="13"/>
    </row>
    <row r="823">
      <c r="A823" s="15"/>
      <c r="B823" s="6"/>
      <c r="C823" s="14" t="str">
        <f>iferror(vlookup(B823,'📦 ชื่อสินค้า'!A:C,3,false),)</f>
        <v/>
      </c>
      <c r="D823" s="11" t="str">
        <f>iferror(vlookup(B823,'📦 ชื่อสินค้า'!A:D,4,false),"")</f>
        <v/>
      </c>
      <c r="E823" s="16"/>
      <c r="F823" s="8" t="str">
        <f t="shared" si="1"/>
        <v/>
      </c>
      <c r="G823" s="9" t="str">
        <f>IF(LEN(B823)&gt;0,vlookup(B823,'📊 รายงานสินค้าคงเหลือ'!A:G,6,false)*E823,)</f>
        <v/>
      </c>
      <c r="H823" s="9" t="str">
        <f t="shared" si="2"/>
        <v/>
      </c>
      <c r="I823" s="10" t="str">
        <f t="shared" si="3"/>
        <v/>
      </c>
      <c r="J823" s="11" t="str">
        <f t="shared" si="4"/>
        <v/>
      </c>
      <c r="K823" s="11" t="str">
        <f>IFERROR(IF(A823&lt;&gt;"",VLOOKUP(B823,'📦 ชื่อสินค้า'!A:F,6,false),""),)</f>
        <v/>
      </c>
      <c r="L823" s="11" t="str">
        <f t="shared" si="5"/>
        <v/>
      </c>
      <c r="M823" s="13"/>
    </row>
    <row r="824">
      <c r="A824" s="15"/>
      <c r="B824" s="6"/>
      <c r="C824" s="14" t="str">
        <f>iferror(vlookup(B824,'📦 ชื่อสินค้า'!A:C,3,false),)</f>
        <v/>
      </c>
      <c r="D824" s="11" t="str">
        <f>iferror(vlookup(B824,'📦 ชื่อสินค้า'!A:D,4,false),"")</f>
        <v/>
      </c>
      <c r="E824" s="16"/>
      <c r="F824" s="8" t="str">
        <f t="shared" si="1"/>
        <v/>
      </c>
      <c r="G824" s="9" t="str">
        <f>IF(LEN(B824)&gt;0,vlookup(B824,'📊 รายงานสินค้าคงเหลือ'!A:G,6,false)*E824,)</f>
        <v/>
      </c>
      <c r="H824" s="9" t="str">
        <f t="shared" si="2"/>
        <v/>
      </c>
      <c r="I824" s="10" t="str">
        <f t="shared" si="3"/>
        <v/>
      </c>
      <c r="J824" s="11" t="str">
        <f t="shared" si="4"/>
        <v/>
      </c>
      <c r="K824" s="11" t="str">
        <f>IFERROR(IF(A824&lt;&gt;"",VLOOKUP(B824,'📦 ชื่อสินค้า'!A:F,6,false),""),)</f>
        <v/>
      </c>
      <c r="L824" s="11" t="str">
        <f t="shared" si="5"/>
        <v/>
      </c>
      <c r="M824" s="13"/>
    </row>
    <row r="825">
      <c r="A825" s="15"/>
      <c r="B825" s="6"/>
      <c r="C825" s="14" t="str">
        <f>iferror(vlookup(B825,'📦 ชื่อสินค้า'!A:C,3,false),)</f>
        <v/>
      </c>
      <c r="D825" s="11" t="str">
        <f>iferror(vlookup(B825,'📦 ชื่อสินค้า'!A:D,4,false),"")</f>
        <v/>
      </c>
      <c r="E825" s="16"/>
      <c r="F825" s="8" t="str">
        <f t="shared" si="1"/>
        <v/>
      </c>
      <c r="G825" s="9" t="str">
        <f>IF(LEN(B825)&gt;0,vlookup(B825,'📊 รายงานสินค้าคงเหลือ'!A:G,6,false)*E825,)</f>
        <v/>
      </c>
      <c r="H825" s="9" t="str">
        <f t="shared" si="2"/>
        <v/>
      </c>
      <c r="I825" s="10" t="str">
        <f t="shared" si="3"/>
        <v/>
      </c>
      <c r="J825" s="11" t="str">
        <f t="shared" si="4"/>
        <v/>
      </c>
      <c r="K825" s="11" t="str">
        <f>IFERROR(IF(A825&lt;&gt;"",VLOOKUP(B825,'📦 ชื่อสินค้า'!A:F,6,false),""),)</f>
        <v/>
      </c>
      <c r="L825" s="11" t="str">
        <f t="shared" si="5"/>
        <v/>
      </c>
      <c r="M825" s="13"/>
    </row>
    <row r="826">
      <c r="A826" s="15"/>
      <c r="B826" s="6"/>
      <c r="C826" s="14" t="str">
        <f>iferror(vlookup(B826,'📦 ชื่อสินค้า'!A:C,3,false),)</f>
        <v/>
      </c>
      <c r="D826" s="11" t="str">
        <f>iferror(vlookup(B826,'📦 ชื่อสินค้า'!A:D,4,false),"")</f>
        <v/>
      </c>
      <c r="E826" s="16"/>
      <c r="F826" s="8" t="str">
        <f t="shared" si="1"/>
        <v/>
      </c>
      <c r="G826" s="9" t="str">
        <f>IF(LEN(B826)&gt;0,vlookup(B826,'📊 รายงานสินค้าคงเหลือ'!A:G,6,false)*E826,)</f>
        <v/>
      </c>
      <c r="H826" s="9" t="str">
        <f t="shared" si="2"/>
        <v/>
      </c>
      <c r="I826" s="10" t="str">
        <f t="shared" si="3"/>
        <v/>
      </c>
      <c r="J826" s="11" t="str">
        <f t="shared" si="4"/>
        <v/>
      </c>
      <c r="K826" s="11" t="str">
        <f>IFERROR(IF(A826&lt;&gt;"",VLOOKUP(B826,'📦 ชื่อสินค้า'!A:F,6,false),""),)</f>
        <v/>
      </c>
      <c r="L826" s="11" t="str">
        <f t="shared" si="5"/>
        <v/>
      </c>
      <c r="M826" s="13"/>
    </row>
    <row r="827">
      <c r="A827" s="15"/>
      <c r="B827" s="6"/>
      <c r="C827" s="14" t="str">
        <f>iferror(vlookup(B827,'📦 ชื่อสินค้า'!A:C,3,false),)</f>
        <v/>
      </c>
      <c r="D827" s="11" t="str">
        <f>iferror(vlookup(B827,'📦 ชื่อสินค้า'!A:D,4,false),"")</f>
        <v/>
      </c>
      <c r="E827" s="16"/>
      <c r="F827" s="8" t="str">
        <f t="shared" si="1"/>
        <v/>
      </c>
      <c r="G827" s="9" t="str">
        <f>IF(LEN(B827)&gt;0,vlookup(B827,'📊 รายงานสินค้าคงเหลือ'!A:G,6,false)*E827,)</f>
        <v/>
      </c>
      <c r="H827" s="9" t="str">
        <f t="shared" si="2"/>
        <v/>
      </c>
      <c r="I827" s="10" t="str">
        <f t="shared" si="3"/>
        <v/>
      </c>
      <c r="J827" s="11" t="str">
        <f t="shared" si="4"/>
        <v/>
      </c>
      <c r="K827" s="11" t="str">
        <f>IFERROR(IF(A827&lt;&gt;"",VLOOKUP(B827,'📦 ชื่อสินค้า'!A:F,6,false),""),)</f>
        <v/>
      </c>
      <c r="L827" s="11" t="str">
        <f t="shared" si="5"/>
        <v/>
      </c>
      <c r="M827" s="13"/>
    </row>
    <row r="828">
      <c r="A828" s="15"/>
      <c r="B828" s="6"/>
      <c r="C828" s="14" t="str">
        <f>iferror(vlookup(B828,'📦 ชื่อสินค้า'!A:C,3,false),)</f>
        <v/>
      </c>
      <c r="D828" s="11" t="str">
        <f>iferror(vlookup(B828,'📦 ชื่อสินค้า'!A:D,4,false),"")</f>
        <v/>
      </c>
      <c r="E828" s="16"/>
      <c r="F828" s="8" t="str">
        <f t="shared" si="1"/>
        <v/>
      </c>
      <c r="G828" s="9" t="str">
        <f>IF(LEN(B828)&gt;0,vlookup(B828,'📊 รายงานสินค้าคงเหลือ'!A:G,6,false)*E828,)</f>
        <v/>
      </c>
      <c r="H828" s="9" t="str">
        <f t="shared" si="2"/>
        <v/>
      </c>
      <c r="I828" s="10" t="str">
        <f t="shared" si="3"/>
        <v/>
      </c>
      <c r="J828" s="11" t="str">
        <f t="shared" si="4"/>
        <v/>
      </c>
      <c r="K828" s="11" t="str">
        <f>IFERROR(IF(A828&lt;&gt;"",VLOOKUP(B828,'📦 ชื่อสินค้า'!A:F,6,false),""),)</f>
        <v/>
      </c>
      <c r="L828" s="11" t="str">
        <f t="shared" si="5"/>
        <v/>
      </c>
      <c r="M828" s="13"/>
    </row>
    <row r="829">
      <c r="A829" s="15"/>
      <c r="B829" s="6"/>
      <c r="C829" s="14" t="str">
        <f>iferror(vlookup(B829,'📦 ชื่อสินค้า'!A:C,3,false),)</f>
        <v/>
      </c>
      <c r="D829" s="11" t="str">
        <f>iferror(vlookup(B829,'📦 ชื่อสินค้า'!A:D,4,false),"")</f>
        <v/>
      </c>
      <c r="E829" s="16"/>
      <c r="F829" s="8" t="str">
        <f t="shared" si="1"/>
        <v/>
      </c>
      <c r="G829" s="9" t="str">
        <f>IF(LEN(B829)&gt;0,vlookup(B829,'📊 รายงานสินค้าคงเหลือ'!A:G,6,false)*E829,)</f>
        <v/>
      </c>
      <c r="H829" s="9" t="str">
        <f t="shared" si="2"/>
        <v/>
      </c>
      <c r="I829" s="10" t="str">
        <f t="shared" si="3"/>
        <v/>
      </c>
      <c r="J829" s="11" t="str">
        <f t="shared" si="4"/>
        <v/>
      </c>
      <c r="K829" s="11" t="str">
        <f>IFERROR(IF(A829&lt;&gt;"",VLOOKUP(B829,'📦 ชื่อสินค้า'!A:F,6,false),""),)</f>
        <v/>
      </c>
      <c r="L829" s="11" t="str">
        <f t="shared" si="5"/>
        <v/>
      </c>
      <c r="M829" s="13"/>
    </row>
    <row r="830">
      <c r="A830" s="15"/>
      <c r="B830" s="6"/>
      <c r="C830" s="14" t="str">
        <f>iferror(vlookup(B830,'📦 ชื่อสินค้า'!A:C,3,false),)</f>
        <v/>
      </c>
      <c r="D830" s="11" t="str">
        <f>iferror(vlookup(B830,'📦 ชื่อสินค้า'!A:D,4,false),"")</f>
        <v/>
      </c>
      <c r="E830" s="16"/>
      <c r="F830" s="8" t="str">
        <f t="shared" si="1"/>
        <v/>
      </c>
      <c r="G830" s="9" t="str">
        <f>IF(LEN(B830)&gt;0,vlookup(B830,'📊 รายงานสินค้าคงเหลือ'!A:G,6,false)*E830,)</f>
        <v/>
      </c>
      <c r="H830" s="9" t="str">
        <f t="shared" si="2"/>
        <v/>
      </c>
      <c r="I830" s="10" t="str">
        <f t="shared" si="3"/>
        <v/>
      </c>
      <c r="J830" s="11" t="str">
        <f t="shared" si="4"/>
        <v/>
      </c>
      <c r="K830" s="11" t="str">
        <f>IFERROR(IF(A830&lt;&gt;"",VLOOKUP(B830,'📦 ชื่อสินค้า'!A:F,6,false),""),)</f>
        <v/>
      </c>
      <c r="L830" s="11" t="str">
        <f t="shared" si="5"/>
        <v/>
      </c>
      <c r="M830" s="13"/>
    </row>
    <row r="831">
      <c r="A831" s="15"/>
      <c r="B831" s="6"/>
      <c r="C831" s="14" t="str">
        <f>iferror(vlookup(B831,'📦 ชื่อสินค้า'!A:C,3,false),)</f>
        <v/>
      </c>
      <c r="D831" s="11" t="str">
        <f>iferror(vlookup(B831,'📦 ชื่อสินค้า'!A:D,4,false),"")</f>
        <v/>
      </c>
      <c r="E831" s="16"/>
      <c r="F831" s="8" t="str">
        <f t="shared" si="1"/>
        <v/>
      </c>
      <c r="G831" s="9" t="str">
        <f>IF(LEN(B831)&gt;0,vlookup(B831,'📊 รายงานสินค้าคงเหลือ'!A:G,6,false)*E831,)</f>
        <v/>
      </c>
      <c r="H831" s="9" t="str">
        <f t="shared" si="2"/>
        <v/>
      </c>
      <c r="I831" s="10" t="str">
        <f t="shared" si="3"/>
        <v/>
      </c>
      <c r="J831" s="11" t="str">
        <f t="shared" si="4"/>
        <v/>
      </c>
      <c r="K831" s="11" t="str">
        <f>IFERROR(IF(A831&lt;&gt;"",VLOOKUP(B831,'📦 ชื่อสินค้า'!A:F,6,false),""),)</f>
        <v/>
      </c>
      <c r="L831" s="11" t="str">
        <f t="shared" si="5"/>
        <v/>
      </c>
      <c r="M831" s="13"/>
    </row>
    <row r="832">
      <c r="A832" s="15"/>
      <c r="B832" s="6"/>
      <c r="C832" s="14" t="str">
        <f>iferror(vlookup(B832,'📦 ชื่อสินค้า'!A:C,3,false),)</f>
        <v/>
      </c>
      <c r="D832" s="11" t="str">
        <f>iferror(vlookup(B832,'📦 ชื่อสินค้า'!A:D,4,false),"")</f>
        <v/>
      </c>
      <c r="E832" s="16"/>
      <c r="F832" s="8" t="str">
        <f t="shared" si="1"/>
        <v/>
      </c>
      <c r="G832" s="9" t="str">
        <f>IF(LEN(B832)&gt;0,vlookup(B832,'📊 รายงานสินค้าคงเหลือ'!A:G,6,false)*E832,)</f>
        <v/>
      </c>
      <c r="H832" s="9" t="str">
        <f t="shared" si="2"/>
        <v/>
      </c>
      <c r="I832" s="10" t="str">
        <f t="shared" si="3"/>
        <v/>
      </c>
      <c r="J832" s="11" t="str">
        <f t="shared" si="4"/>
        <v/>
      </c>
      <c r="K832" s="11" t="str">
        <f>IFERROR(IF(A832&lt;&gt;"",VLOOKUP(B832,'📦 ชื่อสินค้า'!A:F,6,false),""),)</f>
        <v/>
      </c>
      <c r="L832" s="11" t="str">
        <f t="shared" si="5"/>
        <v/>
      </c>
      <c r="M832" s="13"/>
    </row>
    <row r="833">
      <c r="A833" s="15"/>
      <c r="B833" s="6"/>
      <c r="C833" s="14" t="str">
        <f>iferror(vlookup(B833,'📦 ชื่อสินค้า'!A:C,3,false),)</f>
        <v/>
      </c>
      <c r="D833" s="11" t="str">
        <f>iferror(vlookup(B833,'📦 ชื่อสินค้า'!A:D,4,false),"")</f>
        <v/>
      </c>
      <c r="E833" s="16"/>
      <c r="F833" s="8" t="str">
        <f t="shared" si="1"/>
        <v/>
      </c>
      <c r="G833" s="9" t="str">
        <f>IF(LEN(B833)&gt;0,vlookup(B833,'📊 รายงานสินค้าคงเหลือ'!A:G,6,false)*E833,)</f>
        <v/>
      </c>
      <c r="H833" s="9" t="str">
        <f t="shared" si="2"/>
        <v/>
      </c>
      <c r="I833" s="10" t="str">
        <f t="shared" si="3"/>
        <v/>
      </c>
      <c r="J833" s="11" t="str">
        <f t="shared" si="4"/>
        <v/>
      </c>
      <c r="K833" s="11" t="str">
        <f>IFERROR(IF(A833&lt;&gt;"",VLOOKUP(B833,'📦 ชื่อสินค้า'!A:F,6,false),""),)</f>
        <v/>
      </c>
      <c r="L833" s="11" t="str">
        <f t="shared" si="5"/>
        <v/>
      </c>
      <c r="M833" s="13"/>
    </row>
    <row r="834">
      <c r="A834" s="15"/>
      <c r="B834" s="6"/>
      <c r="C834" s="14" t="str">
        <f>iferror(vlookup(B834,'📦 ชื่อสินค้า'!A:C,3,false),)</f>
        <v/>
      </c>
      <c r="D834" s="11" t="str">
        <f>iferror(vlookup(B834,'📦 ชื่อสินค้า'!A:D,4,false),"")</f>
        <v/>
      </c>
      <c r="E834" s="16"/>
      <c r="F834" s="8" t="str">
        <f t="shared" si="1"/>
        <v/>
      </c>
      <c r="G834" s="9" t="str">
        <f>IF(LEN(B834)&gt;0,vlookup(B834,'📊 รายงานสินค้าคงเหลือ'!A:G,6,false)*E834,)</f>
        <v/>
      </c>
      <c r="H834" s="9" t="str">
        <f t="shared" si="2"/>
        <v/>
      </c>
      <c r="I834" s="10" t="str">
        <f t="shared" si="3"/>
        <v/>
      </c>
      <c r="J834" s="11" t="str">
        <f t="shared" si="4"/>
        <v/>
      </c>
      <c r="K834" s="11" t="str">
        <f>IFERROR(IF(A834&lt;&gt;"",VLOOKUP(B834,'📦 ชื่อสินค้า'!A:F,6,false),""),)</f>
        <v/>
      </c>
      <c r="L834" s="11" t="str">
        <f t="shared" si="5"/>
        <v/>
      </c>
      <c r="M834" s="13"/>
    </row>
    <row r="835">
      <c r="A835" s="15"/>
      <c r="B835" s="6"/>
      <c r="C835" s="14" t="str">
        <f>iferror(vlookup(B835,'📦 ชื่อสินค้า'!A:C,3,false),)</f>
        <v/>
      </c>
      <c r="D835" s="11" t="str">
        <f>iferror(vlookup(B835,'📦 ชื่อสินค้า'!A:D,4,false),"")</f>
        <v/>
      </c>
      <c r="E835" s="16"/>
      <c r="F835" s="8" t="str">
        <f t="shared" si="1"/>
        <v/>
      </c>
      <c r="G835" s="9" t="str">
        <f>IF(LEN(B835)&gt;0,vlookup(B835,'📊 รายงานสินค้าคงเหลือ'!A:G,6,false)*E835,)</f>
        <v/>
      </c>
      <c r="H835" s="9" t="str">
        <f t="shared" si="2"/>
        <v/>
      </c>
      <c r="I835" s="10" t="str">
        <f t="shared" si="3"/>
        <v/>
      </c>
      <c r="J835" s="11" t="str">
        <f t="shared" si="4"/>
        <v/>
      </c>
      <c r="K835" s="11" t="str">
        <f>IFERROR(IF(A835&lt;&gt;"",VLOOKUP(B835,'📦 ชื่อสินค้า'!A:F,6,false),""),)</f>
        <v/>
      </c>
      <c r="L835" s="11" t="str">
        <f t="shared" si="5"/>
        <v/>
      </c>
      <c r="M835" s="13"/>
    </row>
    <row r="836">
      <c r="A836" s="15"/>
      <c r="B836" s="6"/>
      <c r="C836" s="14" t="str">
        <f>iferror(vlookup(B836,'📦 ชื่อสินค้า'!A:C,3,false),)</f>
        <v/>
      </c>
      <c r="D836" s="11" t="str">
        <f>iferror(vlookup(B836,'📦 ชื่อสินค้า'!A:D,4,false),"")</f>
        <v/>
      </c>
      <c r="E836" s="16"/>
      <c r="F836" s="8" t="str">
        <f t="shared" si="1"/>
        <v/>
      </c>
      <c r="G836" s="9" t="str">
        <f>IF(LEN(B836)&gt;0,vlookup(B836,'📊 รายงานสินค้าคงเหลือ'!A:G,6,false)*E836,)</f>
        <v/>
      </c>
      <c r="H836" s="9" t="str">
        <f t="shared" si="2"/>
        <v/>
      </c>
      <c r="I836" s="10" t="str">
        <f t="shared" si="3"/>
        <v/>
      </c>
      <c r="J836" s="11" t="str">
        <f t="shared" si="4"/>
        <v/>
      </c>
      <c r="K836" s="11" t="str">
        <f>IFERROR(IF(A836&lt;&gt;"",VLOOKUP(B836,'📦 ชื่อสินค้า'!A:F,6,false),""),)</f>
        <v/>
      </c>
      <c r="L836" s="11" t="str">
        <f t="shared" si="5"/>
        <v/>
      </c>
      <c r="M836" s="13"/>
    </row>
    <row r="837">
      <c r="A837" s="15"/>
      <c r="B837" s="6"/>
      <c r="C837" s="14" t="str">
        <f>iferror(vlookup(B837,'📦 ชื่อสินค้า'!A:C,3,false),)</f>
        <v/>
      </c>
      <c r="D837" s="11" t="str">
        <f>iferror(vlookup(B837,'📦 ชื่อสินค้า'!A:D,4,false),"")</f>
        <v/>
      </c>
      <c r="E837" s="16"/>
      <c r="F837" s="8" t="str">
        <f t="shared" si="1"/>
        <v/>
      </c>
      <c r="G837" s="9" t="str">
        <f>IF(LEN(B837)&gt;0,vlookup(B837,'📊 รายงานสินค้าคงเหลือ'!A:G,6,false)*E837,)</f>
        <v/>
      </c>
      <c r="H837" s="9" t="str">
        <f t="shared" si="2"/>
        <v/>
      </c>
      <c r="I837" s="10" t="str">
        <f t="shared" si="3"/>
        <v/>
      </c>
      <c r="J837" s="11" t="str">
        <f t="shared" si="4"/>
        <v/>
      </c>
      <c r="K837" s="11" t="str">
        <f>IFERROR(IF(A837&lt;&gt;"",VLOOKUP(B837,'📦 ชื่อสินค้า'!A:F,6,false),""),)</f>
        <v/>
      </c>
      <c r="L837" s="11" t="str">
        <f t="shared" si="5"/>
        <v/>
      </c>
      <c r="M837" s="13"/>
    </row>
    <row r="838">
      <c r="A838" s="15"/>
      <c r="B838" s="6"/>
      <c r="C838" s="14" t="str">
        <f>iferror(vlookup(B838,'📦 ชื่อสินค้า'!A:C,3,false),)</f>
        <v/>
      </c>
      <c r="D838" s="11" t="str">
        <f>iferror(vlookup(B838,'📦 ชื่อสินค้า'!A:D,4,false),"")</f>
        <v/>
      </c>
      <c r="E838" s="16"/>
      <c r="F838" s="8" t="str">
        <f t="shared" si="1"/>
        <v/>
      </c>
      <c r="G838" s="9" t="str">
        <f>IF(LEN(B838)&gt;0,vlookup(B838,'📊 รายงานสินค้าคงเหลือ'!A:G,6,false)*E838,)</f>
        <v/>
      </c>
      <c r="H838" s="9" t="str">
        <f t="shared" si="2"/>
        <v/>
      </c>
      <c r="I838" s="10" t="str">
        <f t="shared" si="3"/>
        <v/>
      </c>
      <c r="J838" s="11" t="str">
        <f t="shared" si="4"/>
        <v/>
      </c>
      <c r="K838" s="11" t="str">
        <f>IFERROR(IF(A838&lt;&gt;"",VLOOKUP(B838,'📦 ชื่อสินค้า'!A:F,6,false),""),)</f>
        <v/>
      </c>
      <c r="L838" s="11" t="str">
        <f t="shared" si="5"/>
        <v/>
      </c>
      <c r="M838" s="13"/>
    </row>
    <row r="839">
      <c r="A839" s="15"/>
      <c r="B839" s="6"/>
      <c r="C839" s="14" t="str">
        <f>iferror(vlookup(B839,'📦 ชื่อสินค้า'!A:C,3,false),)</f>
        <v/>
      </c>
      <c r="D839" s="11" t="str">
        <f>iferror(vlookup(B839,'📦 ชื่อสินค้า'!A:D,4,false),"")</f>
        <v/>
      </c>
      <c r="E839" s="16"/>
      <c r="F839" s="8" t="str">
        <f t="shared" si="1"/>
        <v/>
      </c>
      <c r="G839" s="9" t="str">
        <f>IF(LEN(B839)&gt;0,vlookup(B839,'📊 รายงานสินค้าคงเหลือ'!A:G,6,false)*E839,)</f>
        <v/>
      </c>
      <c r="H839" s="9" t="str">
        <f t="shared" si="2"/>
        <v/>
      </c>
      <c r="I839" s="10" t="str">
        <f t="shared" si="3"/>
        <v/>
      </c>
      <c r="J839" s="11" t="str">
        <f t="shared" si="4"/>
        <v/>
      </c>
      <c r="K839" s="11" t="str">
        <f>IFERROR(IF(A839&lt;&gt;"",VLOOKUP(B839,'📦 ชื่อสินค้า'!A:F,6,false),""),)</f>
        <v/>
      </c>
      <c r="L839" s="11" t="str">
        <f t="shared" si="5"/>
        <v/>
      </c>
      <c r="M839" s="13"/>
    </row>
    <row r="840">
      <c r="A840" s="15"/>
      <c r="B840" s="6"/>
      <c r="C840" s="14" t="str">
        <f>iferror(vlookup(B840,'📦 ชื่อสินค้า'!A:C,3,false),)</f>
        <v/>
      </c>
      <c r="D840" s="11" t="str">
        <f>iferror(vlookup(B840,'📦 ชื่อสินค้า'!A:D,4,false),"")</f>
        <v/>
      </c>
      <c r="E840" s="16"/>
      <c r="F840" s="8" t="str">
        <f t="shared" si="1"/>
        <v/>
      </c>
      <c r="G840" s="9" t="str">
        <f>IF(LEN(B840)&gt;0,vlookup(B840,'📊 รายงานสินค้าคงเหลือ'!A:G,6,false)*E840,)</f>
        <v/>
      </c>
      <c r="H840" s="9" t="str">
        <f t="shared" si="2"/>
        <v/>
      </c>
      <c r="I840" s="10" t="str">
        <f t="shared" si="3"/>
        <v/>
      </c>
      <c r="J840" s="11" t="str">
        <f t="shared" si="4"/>
        <v/>
      </c>
      <c r="K840" s="11" t="str">
        <f>IFERROR(IF(A840&lt;&gt;"",VLOOKUP(B840,'📦 ชื่อสินค้า'!A:F,6,false),""),)</f>
        <v/>
      </c>
      <c r="L840" s="11" t="str">
        <f t="shared" si="5"/>
        <v/>
      </c>
      <c r="M840" s="13"/>
    </row>
    <row r="841">
      <c r="A841" s="15"/>
      <c r="B841" s="6"/>
      <c r="C841" s="14" t="str">
        <f>iferror(vlookup(B841,'📦 ชื่อสินค้า'!A:C,3,false),)</f>
        <v/>
      </c>
      <c r="D841" s="11" t="str">
        <f>iferror(vlookup(B841,'📦 ชื่อสินค้า'!A:D,4,false),"")</f>
        <v/>
      </c>
      <c r="E841" s="16"/>
      <c r="F841" s="8" t="str">
        <f t="shared" si="1"/>
        <v/>
      </c>
      <c r="G841" s="9" t="str">
        <f>IF(LEN(B841)&gt;0,vlookup(B841,'📊 รายงานสินค้าคงเหลือ'!A:G,6,false)*E841,)</f>
        <v/>
      </c>
      <c r="H841" s="9" t="str">
        <f t="shared" si="2"/>
        <v/>
      </c>
      <c r="I841" s="10" t="str">
        <f t="shared" si="3"/>
        <v/>
      </c>
      <c r="J841" s="11" t="str">
        <f t="shared" si="4"/>
        <v/>
      </c>
      <c r="K841" s="11" t="str">
        <f>IFERROR(IF(A841&lt;&gt;"",VLOOKUP(B841,'📦 ชื่อสินค้า'!A:F,6,false),""),)</f>
        <v/>
      </c>
      <c r="L841" s="11" t="str">
        <f t="shared" si="5"/>
        <v/>
      </c>
      <c r="M841" s="13"/>
    </row>
    <row r="842">
      <c r="A842" s="15"/>
      <c r="B842" s="6"/>
      <c r="C842" s="14" t="str">
        <f>iferror(vlookup(B842,'📦 ชื่อสินค้า'!A:C,3,false),)</f>
        <v/>
      </c>
      <c r="D842" s="11" t="str">
        <f>iferror(vlookup(B842,'📦 ชื่อสินค้า'!A:D,4,false),"")</f>
        <v/>
      </c>
      <c r="E842" s="16"/>
      <c r="F842" s="8" t="str">
        <f t="shared" si="1"/>
        <v/>
      </c>
      <c r="G842" s="9" t="str">
        <f>IF(LEN(B842)&gt;0,vlookup(B842,'📊 รายงานสินค้าคงเหลือ'!A:G,6,false)*E842,)</f>
        <v/>
      </c>
      <c r="H842" s="9" t="str">
        <f t="shared" si="2"/>
        <v/>
      </c>
      <c r="I842" s="10" t="str">
        <f t="shared" si="3"/>
        <v/>
      </c>
      <c r="J842" s="11" t="str">
        <f t="shared" si="4"/>
        <v/>
      </c>
      <c r="K842" s="11" t="str">
        <f>IFERROR(IF(A842&lt;&gt;"",VLOOKUP(B842,'📦 ชื่อสินค้า'!A:F,6,false),""),)</f>
        <v/>
      </c>
      <c r="L842" s="11" t="str">
        <f t="shared" si="5"/>
        <v/>
      </c>
      <c r="M842" s="13"/>
    </row>
    <row r="843">
      <c r="A843" s="15"/>
      <c r="B843" s="6"/>
      <c r="C843" s="14" t="str">
        <f>iferror(vlookup(B843,'📦 ชื่อสินค้า'!A:C,3,false),)</f>
        <v/>
      </c>
      <c r="D843" s="11" t="str">
        <f>iferror(vlookup(B843,'📦 ชื่อสินค้า'!A:D,4,false),"")</f>
        <v/>
      </c>
      <c r="E843" s="16"/>
      <c r="F843" s="8" t="str">
        <f t="shared" si="1"/>
        <v/>
      </c>
      <c r="G843" s="9" t="str">
        <f>IF(LEN(B843)&gt;0,vlookup(B843,'📊 รายงานสินค้าคงเหลือ'!A:G,6,false)*E843,)</f>
        <v/>
      </c>
      <c r="H843" s="9" t="str">
        <f t="shared" si="2"/>
        <v/>
      </c>
      <c r="I843" s="10" t="str">
        <f t="shared" si="3"/>
        <v/>
      </c>
      <c r="J843" s="11" t="str">
        <f t="shared" si="4"/>
        <v/>
      </c>
      <c r="K843" s="11" t="str">
        <f>IFERROR(IF(A843&lt;&gt;"",VLOOKUP(B843,'📦 ชื่อสินค้า'!A:F,6,false),""),)</f>
        <v/>
      </c>
      <c r="L843" s="11" t="str">
        <f t="shared" si="5"/>
        <v/>
      </c>
      <c r="M843" s="13"/>
    </row>
    <row r="844">
      <c r="A844" s="15"/>
      <c r="B844" s="6"/>
      <c r="C844" s="14" t="str">
        <f>iferror(vlookup(B844,'📦 ชื่อสินค้า'!A:C,3,false),)</f>
        <v/>
      </c>
      <c r="D844" s="11" t="str">
        <f>iferror(vlookup(B844,'📦 ชื่อสินค้า'!A:D,4,false),"")</f>
        <v/>
      </c>
      <c r="E844" s="16"/>
      <c r="F844" s="8" t="str">
        <f t="shared" si="1"/>
        <v/>
      </c>
      <c r="G844" s="9" t="str">
        <f>IF(LEN(B844)&gt;0,vlookup(B844,'📊 รายงานสินค้าคงเหลือ'!A:G,6,false)*E844,)</f>
        <v/>
      </c>
      <c r="H844" s="9" t="str">
        <f t="shared" si="2"/>
        <v/>
      </c>
      <c r="I844" s="10" t="str">
        <f t="shared" si="3"/>
        <v/>
      </c>
      <c r="J844" s="11" t="str">
        <f t="shared" si="4"/>
        <v/>
      </c>
      <c r="K844" s="11" t="str">
        <f>IFERROR(IF(A844&lt;&gt;"",VLOOKUP(B844,'📦 ชื่อสินค้า'!A:F,6,false),""),)</f>
        <v/>
      </c>
      <c r="L844" s="11" t="str">
        <f t="shared" si="5"/>
        <v/>
      </c>
      <c r="M844" s="13"/>
    </row>
    <row r="845">
      <c r="A845" s="15"/>
      <c r="B845" s="6"/>
      <c r="C845" s="14" t="str">
        <f>iferror(vlookup(B845,'📦 ชื่อสินค้า'!A:C,3,false),)</f>
        <v/>
      </c>
      <c r="D845" s="11" t="str">
        <f>iferror(vlookup(B845,'📦 ชื่อสินค้า'!A:D,4,false),"")</f>
        <v/>
      </c>
      <c r="E845" s="16"/>
      <c r="F845" s="8" t="str">
        <f t="shared" si="1"/>
        <v/>
      </c>
      <c r="G845" s="9" t="str">
        <f>IF(LEN(B845)&gt;0,vlookup(B845,'📊 รายงานสินค้าคงเหลือ'!A:G,6,false)*E845,)</f>
        <v/>
      </c>
      <c r="H845" s="9" t="str">
        <f t="shared" si="2"/>
        <v/>
      </c>
      <c r="I845" s="10" t="str">
        <f t="shared" si="3"/>
        <v/>
      </c>
      <c r="J845" s="11" t="str">
        <f t="shared" si="4"/>
        <v/>
      </c>
      <c r="K845" s="11" t="str">
        <f>IFERROR(IF(A845&lt;&gt;"",VLOOKUP(B845,'📦 ชื่อสินค้า'!A:F,6,false),""),)</f>
        <v/>
      </c>
      <c r="L845" s="11" t="str">
        <f t="shared" si="5"/>
        <v/>
      </c>
      <c r="M845" s="13"/>
    </row>
    <row r="846">
      <c r="A846" s="15"/>
      <c r="B846" s="6"/>
      <c r="C846" s="14" t="str">
        <f>iferror(vlookup(B846,'📦 ชื่อสินค้า'!A:C,3,false),)</f>
        <v/>
      </c>
      <c r="D846" s="11" t="str">
        <f>iferror(vlookup(B846,'📦 ชื่อสินค้า'!A:D,4,false),"")</f>
        <v/>
      </c>
      <c r="E846" s="16"/>
      <c r="F846" s="8" t="str">
        <f t="shared" si="1"/>
        <v/>
      </c>
      <c r="G846" s="9" t="str">
        <f>IF(LEN(B846)&gt;0,vlookup(B846,'📊 รายงานสินค้าคงเหลือ'!A:G,6,false)*E846,)</f>
        <v/>
      </c>
      <c r="H846" s="9" t="str">
        <f t="shared" si="2"/>
        <v/>
      </c>
      <c r="I846" s="10" t="str">
        <f t="shared" si="3"/>
        <v/>
      </c>
      <c r="J846" s="11" t="str">
        <f t="shared" si="4"/>
        <v/>
      </c>
      <c r="K846" s="11" t="str">
        <f>IFERROR(IF(A846&lt;&gt;"",VLOOKUP(B846,'📦 ชื่อสินค้า'!A:F,6,false),""),)</f>
        <v/>
      </c>
      <c r="L846" s="11" t="str">
        <f t="shared" si="5"/>
        <v/>
      </c>
      <c r="M846" s="13"/>
    </row>
    <row r="847">
      <c r="A847" s="15"/>
      <c r="B847" s="6"/>
      <c r="C847" s="14" t="str">
        <f>iferror(vlookup(B847,'📦 ชื่อสินค้า'!A:C,3,false),)</f>
        <v/>
      </c>
      <c r="D847" s="11" t="str">
        <f>iferror(vlookup(B847,'📦 ชื่อสินค้า'!A:D,4,false),"")</f>
        <v/>
      </c>
      <c r="E847" s="16"/>
      <c r="F847" s="8" t="str">
        <f t="shared" si="1"/>
        <v/>
      </c>
      <c r="G847" s="9" t="str">
        <f>IF(LEN(B847)&gt;0,vlookup(B847,'📊 รายงานสินค้าคงเหลือ'!A:G,6,false)*E847,)</f>
        <v/>
      </c>
      <c r="H847" s="9" t="str">
        <f t="shared" si="2"/>
        <v/>
      </c>
      <c r="I847" s="10" t="str">
        <f t="shared" si="3"/>
        <v/>
      </c>
      <c r="J847" s="11" t="str">
        <f t="shared" si="4"/>
        <v/>
      </c>
      <c r="K847" s="11" t="str">
        <f>IFERROR(IF(A847&lt;&gt;"",VLOOKUP(B847,'📦 ชื่อสินค้า'!A:F,6,false),""),)</f>
        <v/>
      </c>
      <c r="L847" s="11" t="str">
        <f t="shared" si="5"/>
        <v/>
      </c>
      <c r="M847" s="13"/>
    </row>
    <row r="848">
      <c r="A848" s="15"/>
      <c r="B848" s="6"/>
      <c r="C848" s="14" t="str">
        <f>iferror(vlookup(B848,'📦 ชื่อสินค้า'!A:C,3,false),)</f>
        <v/>
      </c>
      <c r="D848" s="11" t="str">
        <f>iferror(vlookup(B848,'📦 ชื่อสินค้า'!A:D,4,false),"")</f>
        <v/>
      </c>
      <c r="E848" s="16"/>
      <c r="F848" s="8" t="str">
        <f t="shared" si="1"/>
        <v/>
      </c>
      <c r="G848" s="9" t="str">
        <f>IF(LEN(B848)&gt;0,vlookup(B848,'📊 รายงานสินค้าคงเหลือ'!A:G,6,false)*E848,)</f>
        <v/>
      </c>
      <c r="H848" s="9" t="str">
        <f t="shared" si="2"/>
        <v/>
      </c>
      <c r="I848" s="10" t="str">
        <f t="shared" si="3"/>
        <v/>
      </c>
      <c r="J848" s="11" t="str">
        <f t="shared" si="4"/>
        <v/>
      </c>
      <c r="K848" s="11" t="str">
        <f>IFERROR(IF(A848&lt;&gt;"",VLOOKUP(B848,'📦 ชื่อสินค้า'!A:F,6,false),""),)</f>
        <v/>
      </c>
      <c r="L848" s="11" t="str">
        <f t="shared" si="5"/>
        <v/>
      </c>
      <c r="M848" s="13"/>
    </row>
    <row r="849">
      <c r="A849" s="15"/>
      <c r="B849" s="6"/>
      <c r="C849" s="14" t="str">
        <f>iferror(vlookup(B849,'📦 ชื่อสินค้า'!A:C,3,false),)</f>
        <v/>
      </c>
      <c r="D849" s="11" t="str">
        <f>iferror(vlookup(B849,'📦 ชื่อสินค้า'!A:D,4,false),"")</f>
        <v/>
      </c>
      <c r="E849" s="16"/>
      <c r="F849" s="8" t="str">
        <f t="shared" si="1"/>
        <v/>
      </c>
      <c r="G849" s="9" t="str">
        <f>IF(LEN(B849)&gt;0,vlookup(B849,'📊 รายงานสินค้าคงเหลือ'!A:G,6,false)*E849,)</f>
        <v/>
      </c>
      <c r="H849" s="9" t="str">
        <f t="shared" si="2"/>
        <v/>
      </c>
      <c r="I849" s="10" t="str">
        <f t="shared" si="3"/>
        <v/>
      </c>
      <c r="J849" s="11" t="str">
        <f t="shared" si="4"/>
        <v/>
      </c>
      <c r="K849" s="11" t="str">
        <f>IFERROR(IF(A849&lt;&gt;"",VLOOKUP(B849,'📦 ชื่อสินค้า'!A:F,6,false),""),)</f>
        <v/>
      </c>
      <c r="L849" s="11" t="str">
        <f t="shared" si="5"/>
        <v/>
      </c>
      <c r="M849" s="13"/>
    </row>
    <row r="850">
      <c r="A850" s="15"/>
      <c r="B850" s="6"/>
      <c r="C850" s="14" t="str">
        <f>iferror(vlookup(B850,'📦 ชื่อสินค้า'!A:C,3,false),)</f>
        <v/>
      </c>
      <c r="D850" s="11" t="str">
        <f>iferror(vlookup(B850,'📦 ชื่อสินค้า'!A:D,4,false),"")</f>
        <v/>
      </c>
      <c r="E850" s="16"/>
      <c r="F850" s="8" t="str">
        <f t="shared" si="1"/>
        <v/>
      </c>
      <c r="G850" s="9" t="str">
        <f>IF(LEN(B850)&gt;0,vlookup(B850,'📊 รายงานสินค้าคงเหลือ'!A:G,6,false)*E850,)</f>
        <v/>
      </c>
      <c r="H850" s="9" t="str">
        <f t="shared" si="2"/>
        <v/>
      </c>
      <c r="I850" s="10" t="str">
        <f t="shared" si="3"/>
        <v/>
      </c>
      <c r="J850" s="11" t="str">
        <f t="shared" si="4"/>
        <v/>
      </c>
      <c r="K850" s="11" t="str">
        <f>IFERROR(IF(A850&lt;&gt;"",VLOOKUP(B850,'📦 ชื่อสินค้า'!A:F,6,false),""),)</f>
        <v/>
      </c>
      <c r="L850" s="11" t="str">
        <f t="shared" si="5"/>
        <v/>
      </c>
      <c r="M850" s="13"/>
    </row>
    <row r="851">
      <c r="A851" s="15"/>
      <c r="B851" s="6"/>
      <c r="C851" s="14" t="str">
        <f>iferror(vlookup(B851,'📦 ชื่อสินค้า'!A:C,3,false),)</f>
        <v/>
      </c>
      <c r="D851" s="11" t="str">
        <f>iferror(vlookup(B851,'📦 ชื่อสินค้า'!A:D,4,false),"")</f>
        <v/>
      </c>
      <c r="E851" s="16"/>
      <c r="F851" s="8" t="str">
        <f t="shared" si="1"/>
        <v/>
      </c>
      <c r="G851" s="9" t="str">
        <f>IF(LEN(B851)&gt;0,vlookup(B851,'📊 รายงานสินค้าคงเหลือ'!A:G,6,false)*E851,)</f>
        <v/>
      </c>
      <c r="H851" s="9" t="str">
        <f t="shared" si="2"/>
        <v/>
      </c>
      <c r="I851" s="10" t="str">
        <f t="shared" si="3"/>
        <v/>
      </c>
      <c r="J851" s="11" t="str">
        <f t="shared" si="4"/>
        <v/>
      </c>
      <c r="K851" s="11" t="str">
        <f>IFERROR(IF(A851&lt;&gt;"",VLOOKUP(B851,'📦 ชื่อสินค้า'!A:F,6,false),""),)</f>
        <v/>
      </c>
      <c r="L851" s="11" t="str">
        <f t="shared" si="5"/>
        <v/>
      </c>
      <c r="M851" s="13"/>
    </row>
    <row r="852">
      <c r="A852" s="15"/>
      <c r="B852" s="6"/>
      <c r="C852" s="14" t="str">
        <f>iferror(vlookup(B852,'📦 ชื่อสินค้า'!A:C,3,false),)</f>
        <v/>
      </c>
      <c r="D852" s="11" t="str">
        <f>iferror(vlookup(B852,'📦 ชื่อสินค้า'!A:D,4,false),"")</f>
        <v/>
      </c>
      <c r="E852" s="16"/>
      <c r="F852" s="8" t="str">
        <f t="shared" si="1"/>
        <v/>
      </c>
      <c r="G852" s="9" t="str">
        <f>IF(LEN(B852)&gt;0,vlookup(B852,'📊 รายงานสินค้าคงเหลือ'!A:G,6,false)*E852,)</f>
        <v/>
      </c>
      <c r="H852" s="9" t="str">
        <f t="shared" si="2"/>
        <v/>
      </c>
      <c r="I852" s="10" t="str">
        <f t="shared" si="3"/>
        <v/>
      </c>
      <c r="J852" s="11" t="str">
        <f t="shared" si="4"/>
        <v/>
      </c>
      <c r="K852" s="11" t="str">
        <f>IFERROR(IF(A852&lt;&gt;"",VLOOKUP(B852,'📦 ชื่อสินค้า'!A:F,6,false),""),)</f>
        <v/>
      </c>
      <c r="L852" s="11" t="str">
        <f t="shared" si="5"/>
        <v/>
      </c>
      <c r="M852" s="13"/>
    </row>
    <row r="853">
      <c r="A853" s="15"/>
      <c r="B853" s="6"/>
      <c r="C853" s="14" t="str">
        <f>iferror(vlookup(B853,'📦 ชื่อสินค้า'!A:C,3,false),)</f>
        <v/>
      </c>
      <c r="D853" s="11" t="str">
        <f>iferror(vlookup(B853,'📦 ชื่อสินค้า'!A:D,4,false),"")</f>
        <v/>
      </c>
      <c r="E853" s="16"/>
      <c r="F853" s="8" t="str">
        <f t="shared" si="1"/>
        <v/>
      </c>
      <c r="G853" s="9" t="str">
        <f>IF(LEN(B853)&gt;0,vlookup(B853,'📊 รายงานสินค้าคงเหลือ'!A:G,6,false)*E853,)</f>
        <v/>
      </c>
      <c r="H853" s="9" t="str">
        <f t="shared" si="2"/>
        <v/>
      </c>
      <c r="I853" s="10" t="str">
        <f t="shared" si="3"/>
        <v/>
      </c>
      <c r="J853" s="11" t="str">
        <f t="shared" si="4"/>
        <v/>
      </c>
      <c r="K853" s="11" t="str">
        <f>IFERROR(IF(A853&lt;&gt;"",VLOOKUP(B853,'📦 ชื่อสินค้า'!A:F,6,false),""),)</f>
        <v/>
      </c>
      <c r="L853" s="11" t="str">
        <f t="shared" si="5"/>
        <v/>
      </c>
      <c r="M853" s="13"/>
    </row>
    <row r="854">
      <c r="A854" s="15"/>
      <c r="B854" s="6"/>
      <c r="C854" s="14" t="str">
        <f>iferror(vlookup(B854,'📦 ชื่อสินค้า'!A:C,3,false),)</f>
        <v/>
      </c>
      <c r="D854" s="11" t="str">
        <f>iferror(vlookup(B854,'📦 ชื่อสินค้า'!A:D,4,false),"")</f>
        <v/>
      </c>
      <c r="E854" s="16"/>
      <c r="F854" s="8" t="str">
        <f t="shared" si="1"/>
        <v/>
      </c>
      <c r="G854" s="9" t="str">
        <f>IF(LEN(B854)&gt;0,vlookup(B854,'📊 รายงานสินค้าคงเหลือ'!A:G,6,false)*E854,)</f>
        <v/>
      </c>
      <c r="H854" s="9" t="str">
        <f t="shared" si="2"/>
        <v/>
      </c>
      <c r="I854" s="10" t="str">
        <f t="shared" si="3"/>
        <v/>
      </c>
      <c r="J854" s="11" t="str">
        <f t="shared" si="4"/>
        <v/>
      </c>
      <c r="K854" s="11" t="str">
        <f>IFERROR(IF(A854&lt;&gt;"",VLOOKUP(B854,'📦 ชื่อสินค้า'!A:F,6,false),""),)</f>
        <v/>
      </c>
      <c r="L854" s="11" t="str">
        <f t="shared" si="5"/>
        <v/>
      </c>
      <c r="M854" s="13"/>
    </row>
    <row r="855">
      <c r="A855" s="15"/>
      <c r="B855" s="6"/>
      <c r="C855" s="14" t="str">
        <f>iferror(vlookup(B855,'📦 ชื่อสินค้า'!A:C,3,false),)</f>
        <v/>
      </c>
      <c r="D855" s="11" t="str">
        <f>iferror(vlookup(B855,'📦 ชื่อสินค้า'!A:D,4,false),"")</f>
        <v/>
      </c>
      <c r="E855" s="16"/>
      <c r="F855" s="8" t="str">
        <f t="shared" si="1"/>
        <v/>
      </c>
      <c r="G855" s="9" t="str">
        <f>IF(LEN(B855)&gt;0,vlookup(B855,'📊 รายงานสินค้าคงเหลือ'!A:G,6,false)*E855,)</f>
        <v/>
      </c>
      <c r="H855" s="9" t="str">
        <f t="shared" si="2"/>
        <v/>
      </c>
      <c r="I855" s="10" t="str">
        <f t="shared" si="3"/>
        <v/>
      </c>
      <c r="J855" s="11" t="str">
        <f t="shared" si="4"/>
        <v/>
      </c>
      <c r="K855" s="11" t="str">
        <f>IFERROR(IF(A855&lt;&gt;"",VLOOKUP(B855,'📦 ชื่อสินค้า'!A:F,6,false),""),)</f>
        <v/>
      </c>
      <c r="L855" s="11" t="str">
        <f t="shared" si="5"/>
        <v/>
      </c>
      <c r="M855" s="13"/>
    </row>
    <row r="856">
      <c r="A856" s="15"/>
      <c r="B856" s="6"/>
      <c r="C856" s="14" t="str">
        <f>iferror(vlookup(B856,'📦 ชื่อสินค้า'!A:C,3,false),)</f>
        <v/>
      </c>
      <c r="D856" s="11" t="str">
        <f>iferror(vlookup(B856,'📦 ชื่อสินค้า'!A:D,4,false),"")</f>
        <v/>
      </c>
      <c r="E856" s="16"/>
      <c r="F856" s="8" t="str">
        <f t="shared" si="1"/>
        <v/>
      </c>
      <c r="G856" s="9" t="str">
        <f>IF(LEN(B856)&gt;0,vlookup(B856,'📊 รายงานสินค้าคงเหลือ'!A:G,6,false)*E856,)</f>
        <v/>
      </c>
      <c r="H856" s="9" t="str">
        <f t="shared" si="2"/>
        <v/>
      </c>
      <c r="I856" s="10" t="str">
        <f t="shared" si="3"/>
        <v/>
      </c>
      <c r="J856" s="11" t="str">
        <f t="shared" si="4"/>
        <v/>
      </c>
      <c r="K856" s="11" t="str">
        <f>IFERROR(IF(A856&lt;&gt;"",VLOOKUP(B856,'📦 ชื่อสินค้า'!A:F,6,false),""),)</f>
        <v/>
      </c>
      <c r="L856" s="11" t="str">
        <f t="shared" si="5"/>
        <v/>
      </c>
      <c r="M856" s="13"/>
    </row>
    <row r="857">
      <c r="A857" s="15"/>
      <c r="B857" s="6"/>
      <c r="C857" s="14" t="str">
        <f>iferror(vlookup(B857,'📦 ชื่อสินค้า'!A:C,3,false),)</f>
        <v/>
      </c>
      <c r="D857" s="11" t="str">
        <f>iferror(vlookup(B857,'📦 ชื่อสินค้า'!A:D,4,false),"")</f>
        <v/>
      </c>
      <c r="E857" s="16"/>
      <c r="F857" s="8" t="str">
        <f t="shared" si="1"/>
        <v/>
      </c>
      <c r="G857" s="9" t="str">
        <f>IF(LEN(B857)&gt;0,vlookup(B857,'📊 รายงานสินค้าคงเหลือ'!A:G,6,false)*E857,)</f>
        <v/>
      </c>
      <c r="H857" s="9" t="str">
        <f t="shared" si="2"/>
        <v/>
      </c>
      <c r="I857" s="10" t="str">
        <f t="shared" si="3"/>
        <v/>
      </c>
      <c r="J857" s="11" t="str">
        <f t="shared" si="4"/>
        <v/>
      </c>
      <c r="K857" s="11" t="str">
        <f>IFERROR(IF(A857&lt;&gt;"",VLOOKUP(B857,'📦 ชื่อสินค้า'!A:F,6,false),""),)</f>
        <v/>
      </c>
      <c r="L857" s="11" t="str">
        <f t="shared" si="5"/>
        <v/>
      </c>
      <c r="M857" s="13"/>
    </row>
    <row r="858">
      <c r="A858" s="15"/>
      <c r="B858" s="6"/>
      <c r="C858" s="14" t="str">
        <f>iferror(vlookup(B858,'📦 ชื่อสินค้า'!A:C,3,false),)</f>
        <v/>
      </c>
      <c r="D858" s="11" t="str">
        <f>iferror(vlookup(B858,'📦 ชื่อสินค้า'!A:D,4,false),"")</f>
        <v/>
      </c>
      <c r="E858" s="16"/>
      <c r="F858" s="8" t="str">
        <f t="shared" si="1"/>
        <v/>
      </c>
      <c r="G858" s="9" t="str">
        <f>IF(LEN(B858)&gt;0,vlookup(B858,'📊 รายงานสินค้าคงเหลือ'!A:G,6,false)*E858,)</f>
        <v/>
      </c>
      <c r="H858" s="9" t="str">
        <f t="shared" si="2"/>
        <v/>
      </c>
      <c r="I858" s="10" t="str">
        <f t="shared" si="3"/>
        <v/>
      </c>
      <c r="J858" s="11" t="str">
        <f t="shared" si="4"/>
        <v/>
      </c>
      <c r="K858" s="11" t="str">
        <f>IFERROR(IF(A858&lt;&gt;"",VLOOKUP(B858,'📦 ชื่อสินค้า'!A:F,6,false),""),)</f>
        <v/>
      </c>
      <c r="L858" s="11" t="str">
        <f t="shared" si="5"/>
        <v/>
      </c>
      <c r="M858" s="13"/>
    </row>
    <row r="859">
      <c r="A859" s="15"/>
      <c r="B859" s="6"/>
      <c r="C859" s="14" t="str">
        <f>iferror(vlookup(B859,'📦 ชื่อสินค้า'!A:C,3,false),)</f>
        <v/>
      </c>
      <c r="D859" s="11" t="str">
        <f>iferror(vlookup(B859,'📦 ชื่อสินค้า'!A:D,4,false),"")</f>
        <v/>
      </c>
      <c r="E859" s="16"/>
      <c r="F859" s="8" t="str">
        <f t="shared" si="1"/>
        <v/>
      </c>
      <c r="G859" s="9" t="str">
        <f>IF(LEN(B859)&gt;0,vlookup(B859,'📊 รายงานสินค้าคงเหลือ'!A:G,6,false)*E859,)</f>
        <v/>
      </c>
      <c r="H859" s="9" t="str">
        <f t="shared" si="2"/>
        <v/>
      </c>
      <c r="I859" s="10" t="str">
        <f t="shared" si="3"/>
        <v/>
      </c>
      <c r="J859" s="11" t="str">
        <f t="shared" si="4"/>
        <v/>
      </c>
      <c r="K859" s="11" t="str">
        <f>IFERROR(IF(A859&lt;&gt;"",VLOOKUP(B859,'📦 ชื่อสินค้า'!A:F,6,false),""),)</f>
        <v/>
      </c>
      <c r="L859" s="11" t="str">
        <f t="shared" si="5"/>
        <v/>
      </c>
      <c r="M859" s="13"/>
    </row>
    <row r="860">
      <c r="A860" s="15"/>
      <c r="B860" s="6"/>
      <c r="C860" s="14" t="str">
        <f>iferror(vlookup(B860,'📦 ชื่อสินค้า'!A:C,3,false),)</f>
        <v/>
      </c>
      <c r="D860" s="11" t="str">
        <f>iferror(vlookup(B860,'📦 ชื่อสินค้า'!A:D,4,false),"")</f>
        <v/>
      </c>
      <c r="E860" s="16"/>
      <c r="F860" s="8" t="str">
        <f t="shared" si="1"/>
        <v/>
      </c>
      <c r="G860" s="9" t="str">
        <f>IF(LEN(B860)&gt;0,vlookup(B860,'📊 รายงานสินค้าคงเหลือ'!A:G,6,false)*E860,)</f>
        <v/>
      </c>
      <c r="H860" s="9" t="str">
        <f t="shared" si="2"/>
        <v/>
      </c>
      <c r="I860" s="10" t="str">
        <f t="shared" si="3"/>
        <v/>
      </c>
      <c r="J860" s="11" t="str">
        <f t="shared" si="4"/>
        <v/>
      </c>
      <c r="K860" s="11" t="str">
        <f>IFERROR(IF(A860&lt;&gt;"",VLOOKUP(B860,'📦 ชื่อสินค้า'!A:F,6,false),""),)</f>
        <v/>
      </c>
      <c r="L860" s="11" t="str">
        <f t="shared" si="5"/>
        <v/>
      </c>
      <c r="M860" s="13"/>
    </row>
    <row r="861">
      <c r="A861" s="15"/>
      <c r="B861" s="6"/>
      <c r="C861" s="14" t="str">
        <f>iferror(vlookup(B861,'📦 ชื่อสินค้า'!A:C,3,false),)</f>
        <v/>
      </c>
      <c r="D861" s="11" t="str">
        <f>iferror(vlookup(B861,'📦 ชื่อสินค้า'!A:D,4,false),"")</f>
        <v/>
      </c>
      <c r="E861" s="16"/>
      <c r="F861" s="8" t="str">
        <f t="shared" si="1"/>
        <v/>
      </c>
      <c r="G861" s="9" t="str">
        <f>IF(LEN(B861)&gt;0,vlookup(B861,'📊 รายงานสินค้าคงเหลือ'!A:G,6,false)*E861,)</f>
        <v/>
      </c>
      <c r="H861" s="9" t="str">
        <f t="shared" si="2"/>
        <v/>
      </c>
      <c r="I861" s="10" t="str">
        <f t="shared" si="3"/>
        <v/>
      </c>
      <c r="J861" s="11" t="str">
        <f t="shared" si="4"/>
        <v/>
      </c>
      <c r="K861" s="11" t="str">
        <f>IFERROR(IF(A861&lt;&gt;"",VLOOKUP(B861,'📦 ชื่อสินค้า'!A:F,6,false),""),)</f>
        <v/>
      </c>
      <c r="L861" s="11" t="str">
        <f t="shared" si="5"/>
        <v/>
      </c>
      <c r="M861" s="13"/>
    </row>
    <row r="862">
      <c r="A862" s="15"/>
      <c r="B862" s="6"/>
      <c r="C862" s="14" t="str">
        <f>iferror(vlookup(B862,'📦 ชื่อสินค้า'!A:C,3,false),)</f>
        <v/>
      </c>
      <c r="D862" s="11" t="str">
        <f>iferror(vlookup(B862,'📦 ชื่อสินค้า'!A:D,4,false),"")</f>
        <v/>
      </c>
      <c r="E862" s="16"/>
      <c r="F862" s="8" t="str">
        <f t="shared" si="1"/>
        <v/>
      </c>
      <c r="G862" s="9" t="str">
        <f>IF(LEN(B862)&gt;0,vlookup(B862,'📊 รายงานสินค้าคงเหลือ'!A:G,6,false)*E862,)</f>
        <v/>
      </c>
      <c r="H862" s="9" t="str">
        <f t="shared" si="2"/>
        <v/>
      </c>
      <c r="I862" s="10" t="str">
        <f t="shared" si="3"/>
        <v/>
      </c>
      <c r="J862" s="11" t="str">
        <f t="shared" si="4"/>
        <v/>
      </c>
      <c r="K862" s="11" t="str">
        <f>IFERROR(IF(A862&lt;&gt;"",VLOOKUP(B862,'📦 ชื่อสินค้า'!A:F,6,false),""),)</f>
        <v/>
      </c>
      <c r="L862" s="11" t="str">
        <f t="shared" si="5"/>
        <v/>
      </c>
      <c r="M862" s="13"/>
    </row>
    <row r="863">
      <c r="A863" s="15"/>
      <c r="B863" s="6"/>
      <c r="C863" s="14" t="str">
        <f>iferror(vlookup(B863,'📦 ชื่อสินค้า'!A:C,3,false),)</f>
        <v/>
      </c>
      <c r="D863" s="11" t="str">
        <f>iferror(vlookup(B863,'📦 ชื่อสินค้า'!A:D,4,false),"")</f>
        <v/>
      </c>
      <c r="E863" s="16"/>
      <c r="F863" s="8" t="str">
        <f t="shared" si="1"/>
        <v/>
      </c>
      <c r="G863" s="9" t="str">
        <f>IF(LEN(B863)&gt;0,vlookup(B863,'📊 รายงานสินค้าคงเหลือ'!A:G,6,false)*E863,)</f>
        <v/>
      </c>
      <c r="H863" s="9" t="str">
        <f t="shared" si="2"/>
        <v/>
      </c>
      <c r="I863" s="10" t="str">
        <f t="shared" si="3"/>
        <v/>
      </c>
      <c r="J863" s="11" t="str">
        <f t="shared" si="4"/>
        <v/>
      </c>
      <c r="K863" s="11" t="str">
        <f>IFERROR(IF(A863&lt;&gt;"",VLOOKUP(B863,'📦 ชื่อสินค้า'!A:F,6,false),""),)</f>
        <v/>
      </c>
      <c r="L863" s="11" t="str">
        <f t="shared" si="5"/>
        <v/>
      </c>
      <c r="M863" s="13"/>
    </row>
    <row r="864">
      <c r="A864" s="15"/>
      <c r="B864" s="6"/>
      <c r="C864" s="14" t="str">
        <f>iferror(vlookup(B864,'📦 ชื่อสินค้า'!A:C,3,false),)</f>
        <v/>
      </c>
      <c r="D864" s="11" t="str">
        <f>iferror(vlookup(B864,'📦 ชื่อสินค้า'!A:D,4,false),"")</f>
        <v/>
      </c>
      <c r="E864" s="16"/>
      <c r="F864" s="8" t="str">
        <f t="shared" si="1"/>
        <v/>
      </c>
      <c r="G864" s="9" t="str">
        <f>IF(LEN(B864)&gt;0,vlookup(B864,'📊 รายงานสินค้าคงเหลือ'!A:G,6,false)*E864,)</f>
        <v/>
      </c>
      <c r="H864" s="9" t="str">
        <f t="shared" si="2"/>
        <v/>
      </c>
      <c r="I864" s="10" t="str">
        <f t="shared" si="3"/>
        <v/>
      </c>
      <c r="J864" s="11" t="str">
        <f t="shared" si="4"/>
        <v/>
      </c>
      <c r="K864" s="11" t="str">
        <f>IFERROR(IF(A864&lt;&gt;"",VLOOKUP(B864,'📦 ชื่อสินค้า'!A:F,6,false),""),)</f>
        <v/>
      </c>
      <c r="L864" s="11" t="str">
        <f t="shared" si="5"/>
        <v/>
      </c>
      <c r="M864" s="13"/>
    </row>
    <row r="865">
      <c r="A865" s="15"/>
      <c r="B865" s="6"/>
      <c r="C865" s="14" t="str">
        <f>iferror(vlookup(B865,'📦 ชื่อสินค้า'!A:C,3,false),)</f>
        <v/>
      </c>
      <c r="D865" s="11" t="str">
        <f>iferror(vlookup(B865,'📦 ชื่อสินค้า'!A:D,4,false),"")</f>
        <v/>
      </c>
      <c r="E865" s="16"/>
      <c r="F865" s="8" t="str">
        <f t="shared" si="1"/>
        <v/>
      </c>
      <c r="G865" s="9" t="str">
        <f>IF(LEN(B865)&gt;0,vlookup(B865,'📊 รายงานสินค้าคงเหลือ'!A:G,6,false)*E865,)</f>
        <v/>
      </c>
      <c r="H865" s="9" t="str">
        <f t="shared" si="2"/>
        <v/>
      </c>
      <c r="I865" s="10" t="str">
        <f t="shared" si="3"/>
        <v/>
      </c>
      <c r="J865" s="11" t="str">
        <f t="shared" si="4"/>
        <v/>
      </c>
      <c r="K865" s="11" t="str">
        <f>IFERROR(IF(A865&lt;&gt;"",VLOOKUP(B865,'📦 ชื่อสินค้า'!A:F,6,false),""),)</f>
        <v/>
      </c>
      <c r="L865" s="11" t="str">
        <f t="shared" si="5"/>
        <v/>
      </c>
      <c r="M865" s="13"/>
    </row>
    <row r="866">
      <c r="A866" s="15"/>
      <c r="B866" s="6"/>
      <c r="C866" s="14" t="str">
        <f>iferror(vlookup(B866,'📦 ชื่อสินค้า'!A:C,3,false),)</f>
        <v/>
      </c>
      <c r="D866" s="11" t="str">
        <f>iferror(vlookup(B866,'📦 ชื่อสินค้า'!A:D,4,false),"")</f>
        <v/>
      </c>
      <c r="E866" s="16"/>
      <c r="F866" s="8" t="str">
        <f t="shared" si="1"/>
        <v/>
      </c>
      <c r="G866" s="9" t="str">
        <f>IF(LEN(B866)&gt;0,vlookup(B866,'📊 รายงานสินค้าคงเหลือ'!A:G,6,false)*E866,)</f>
        <v/>
      </c>
      <c r="H866" s="9" t="str">
        <f t="shared" si="2"/>
        <v/>
      </c>
      <c r="I866" s="10" t="str">
        <f t="shared" si="3"/>
        <v/>
      </c>
      <c r="J866" s="11" t="str">
        <f t="shared" si="4"/>
        <v/>
      </c>
      <c r="K866" s="11" t="str">
        <f>IFERROR(IF(A866&lt;&gt;"",VLOOKUP(B866,'📦 ชื่อสินค้า'!A:F,6,false),""),)</f>
        <v/>
      </c>
      <c r="L866" s="11" t="str">
        <f t="shared" si="5"/>
        <v/>
      </c>
      <c r="M866" s="13"/>
    </row>
    <row r="867">
      <c r="A867" s="15"/>
      <c r="B867" s="6"/>
      <c r="C867" s="14" t="str">
        <f>iferror(vlookup(B867,'📦 ชื่อสินค้า'!A:C,3,false),)</f>
        <v/>
      </c>
      <c r="D867" s="11" t="str">
        <f>iferror(vlookup(B867,'📦 ชื่อสินค้า'!A:D,4,false),"")</f>
        <v/>
      </c>
      <c r="E867" s="16"/>
      <c r="F867" s="8" t="str">
        <f t="shared" si="1"/>
        <v/>
      </c>
      <c r="G867" s="9" t="str">
        <f>IF(LEN(B867)&gt;0,vlookup(B867,'📊 รายงานสินค้าคงเหลือ'!A:G,6,false)*E867,)</f>
        <v/>
      </c>
      <c r="H867" s="9" t="str">
        <f t="shared" si="2"/>
        <v/>
      </c>
      <c r="I867" s="10" t="str">
        <f t="shared" si="3"/>
        <v/>
      </c>
      <c r="J867" s="11" t="str">
        <f t="shared" si="4"/>
        <v/>
      </c>
      <c r="K867" s="11" t="str">
        <f>IFERROR(IF(A867&lt;&gt;"",VLOOKUP(B867,'📦 ชื่อสินค้า'!A:F,6,false),""),)</f>
        <v/>
      </c>
      <c r="L867" s="11" t="str">
        <f t="shared" si="5"/>
        <v/>
      </c>
      <c r="M867" s="13"/>
    </row>
    <row r="868">
      <c r="A868" s="15"/>
      <c r="B868" s="6"/>
      <c r="C868" s="14" t="str">
        <f>iferror(vlookup(B868,'📦 ชื่อสินค้า'!A:C,3,false),)</f>
        <v/>
      </c>
      <c r="D868" s="11" t="str">
        <f>iferror(vlookup(B868,'📦 ชื่อสินค้า'!A:D,4,false),"")</f>
        <v/>
      </c>
      <c r="E868" s="16"/>
      <c r="F868" s="8" t="str">
        <f t="shared" si="1"/>
        <v/>
      </c>
      <c r="G868" s="9" t="str">
        <f>IF(LEN(B868)&gt;0,vlookup(B868,'📊 รายงานสินค้าคงเหลือ'!A:G,6,false)*E868,)</f>
        <v/>
      </c>
      <c r="H868" s="9" t="str">
        <f t="shared" si="2"/>
        <v/>
      </c>
      <c r="I868" s="10" t="str">
        <f t="shared" si="3"/>
        <v/>
      </c>
      <c r="J868" s="11" t="str">
        <f t="shared" si="4"/>
        <v/>
      </c>
      <c r="K868" s="11" t="str">
        <f>IFERROR(IF(A868&lt;&gt;"",VLOOKUP(B868,'📦 ชื่อสินค้า'!A:F,6,false),""),)</f>
        <v/>
      </c>
      <c r="L868" s="11" t="str">
        <f t="shared" si="5"/>
        <v/>
      </c>
      <c r="M868" s="13"/>
    </row>
    <row r="869">
      <c r="A869" s="15"/>
      <c r="B869" s="6"/>
      <c r="C869" s="14" t="str">
        <f>iferror(vlookup(B869,'📦 ชื่อสินค้า'!A:C,3,false),)</f>
        <v/>
      </c>
      <c r="D869" s="11" t="str">
        <f>iferror(vlookup(B869,'📦 ชื่อสินค้า'!A:D,4,false),"")</f>
        <v/>
      </c>
      <c r="E869" s="16"/>
      <c r="F869" s="8" t="str">
        <f t="shared" si="1"/>
        <v/>
      </c>
      <c r="G869" s="9" t="str">
        <f>IF(LEN(B869)&gt;0,vlookup(B869,'📊 รายงานสินค้าคงเหลือ'!A:G,6,false)*E869,)</f>
        <v/>
      </c>
      <c r="H869" s="9" t="str">
        <f t="shared" si="2"/>
        <v/>
      </c>
      <c r="I869" s="10" t="str">
        <f t="shared" si="3"/>
        <v/>
      </c>
      <c r="J869" s="11" t="str">
        <f t="shared" si="4"/>
        <v/>
      </c>
      <c r="K869" s="11" t="str">
        <f>IFERROR(IF(A869&lt;&gt;"",VLOOKUP(B869,'📦 ชื่อสินค้า'!A:F,6,false),""),)</f>
        <v/>
      </c>
      <c r="L869" s="11" t="str">
        <f t="shared" si="5"/>
        <v/>
      </c>
      <c r="M869" s="13"/>
    </row>
    <row r="870">
      <c r="A870" s="15"/>
      <c r="B870" s="6"/>
      <c r="C870" s="14" t="str">
        <f>iferror(vlookup(B870,'📦 ชื่อสินค้า'!A:C,3,false),)</f>
        <v/>
      </c>
      <c r="D870" s="11" t="str">
        <f>iferror(vlookup(B870,'📦 ชื่อสินค้า'!A:D,4,false),"")</f>
        <v/>
      </c>
      <c r="E870" s="16"/>
      <c r="F870" s="8" t="str">
        <f t="shared" si="1"/>
        <v/>
      </c>
      <c r="G870" s="9" t="str">
        <f>IF(LEN(B870)&gt;0,vlookup(B870,'📊 รายงานสินค้าคงเหลือ'!A:G,6,false)*E870,)</f>
        <v/>
      </c>
      <c r="H870" s="9" t="str">
        <f t="shared" si="2"/>
        <v/>
      </c>
      <c r="I870" s="10" t="str">
        <f t="shared" si="3"/>
        <v/>
      </c>
      <c r="J870" s="11" t="str">
        <f t="shared" si="4"/>
        <v/>
      </c>
      <c r="K870" s="11" t="str">
        <f>IFERROR(IF(A870&lt;&gt;"",VLOOKUP(B870,'📦 ชื่อสินค้า'!A:F,6,false),""),)</f>
        <v/>
      </c>
      <c r="L870" s="11" t="str">
        <f t="shared" si="5"/>
        <v/>
      </c>
      <c r="M870" s="13"/>
    </row>
    <row r="871">
      <c r="A871" s="15"/>
      <c r="B871" s="6"/>
      <c r="C871" s="14" t="str">
        <f>iferror(vlookup(B871,'📦 ชื่อสินค้า'!A:C,3,false),)</f>
        <v/>
      </c>
      <c r="D871" s="11" t="str">
        <f>iferror(vlookup(B871,'📦 ชื่อสินค้า'!A:D,4,false),"")</f>
        <v/>
      </c>
      <c r="E871" s="16"/>
      <c r="F871" s="8" t="str">
        <f t="shared" si="1"/>
        <v/>
      </c>
      <c r="G871" s="9" t="str">
        <f>IF(LEN(B871)&gt;0,vlookup(B871,'📊 รายงานสินค้าคงเหลือ'!A:G,6,false)*E871,)</f>
        <v/>
      </c>
      <c r="H871" s="9" t="str">
        <f t="shared" si="2"/>
        <v/>
      </c>
      <c r="I871" s="10" t="str">
        <f t="shared" si="3"/>
        <v/>
      </c>
      <c r="J871" s="11" t="str">
        <f t="shared" si="4"/>
        <v/>
      </c>
      <c r="K871" s="11" t="str">
        <f>IFERROR(IF(A871&lt;&gt;"",VLOOKUP(B871,'📦 ชื่อสินค้า'!A:F,6,false),""),)</f>
        <v/>
      </c>
      <c r="L871" s="11" t="str">
        <f t="shared" si="5"/>
        <v/>
      </c>
      <c r="M871" s="13"/>
    </row>
    <row r="872">
      <c r="A872" s="15"/>
      <c r="B872" s="6"/>
      <c r="C872" s="14" t="str">
        <f>iferror(vlookup(B872,'📦 ชื่อสินค้า'!A:C,3,false),)</f>
        <v/>
      </c>
      <c r="D872" s="11" t="str">
        <f>iferror(vlookup(B872,'📦 ชื่อสินค้า'!A:D,4,false),"")</f>
        <v/>
      </c>
      <c r="E872" s="16"/>
      <c r="F872" s="8" t="str">
        <f t="shared" si="1"/>
        <v/>
      </c>
      <c r="G872" s="9" t="str">
        <f>IF(LEN(B872)&gt;0,vlookup(B872,'📊 รายงานสินค้าคงเหลือ'!A:G,6,false)*E872,)</f>
        <v/>
      </c>
      <c r="H872" s="9" t="str">
        <f t="shared" si="2"/>
        <v/>
      </c>
      <c r="I872" s="10" t="str">
        <f t="shared" si="3"/>
        <v/>
      </c>
      <c r="J872" s="11" t="str">
        <f t="shared" si="4"/>
        <v/>
      </c>
      <c r="K872" s="11" t="str">
        <f>IFERROR(IF(A872&lt;&gt;"",VLOOKUP(B872,'📦 ชื่อสินค้า'!A:F,6,false),""),)</f>
        <v/>
      </c>
      <c r="L872" s="11" t="str">
        <f t="shared" si="5"/>
        <v/>
      </c>
      <c r="M872" s="13"/>
    </row>
    <row r="873">
      <c r="A873" s="15"/>
      <c r="B873" s="6"/>
      <c r="C873" s="14" t="str">
        <f>iferror(vlookup(B873,'📦 ชื่อสินค้า'!A:C,3,false),)</f>
        <v/>
      </c>
      <c r="D873" s="11" t="str">
        <f>iferror(vlookup(B873,'📦 ชื่อสินค้า'!A:D,4,false),"")</f>
        <v/>
      </c>
      <c r="E873" s="16"/>
      <c r="F873" s="8" t="str">
        <f t="shared" si="1"/>
        <v/>
      </c>
      <c r="G873" s="9" t="str">
        <f>IF(LEN(B873)&gt;0,vlookup(B873,'📊 รายงานสินค้าคงเหลือ'!A:G,6,false)*E873,)</f>
        <v/>
      </c>
      <c r="H873" s="9" t="str">
        <f t="shared" si="2"/>
        <v/>
      </c>
      <c r="I873" s="10" t="str">
        <f t="shared" si="3"/>
        <v/>
      </c>
      <c r="J873" s="11" t="str">
        <f t="shared" si="4"/>
        <v/>
      </c>
      <c r="K873" s="11" t="str">
        <f>IFERROR(IF(A873&lt;&gt;"",VLOOKUP(B873,'📦 ชื่อสินค้า'!A:F,6,false),""),)</f>
        <v/>
      </c>
      <c r="L873" s="11" t="str">
        <f t="shared" si="5"/>
        <v/>
      </c>
      <c r="M873" s="13"/>
    </row>
    <row r="874">
      <c r="A874" s="15"/>
      <c r="B874" s="6"/>
      <c r="C874" s="14" t="str">
        <f>iferror(vlookup(B874,'📦 ชื่อสินค้า'!A:C,3,false),)</f>
        <v/>
      </c>
      <c r="D874" s="11" t="str">
        <f>iferror(vlookup(B874,'📦 ชื่อสินค้า'!A:D,4,false),"")</f>
        <v/>
      </c>
      <c r="E874" s="16"/>
      <c r="F874" s="8" t="str">
        <f t="shared" si="1"/>
        <v/>
      </c>
      <c r="G874" s="9" t="str">
        <f>IF(LEN(B874)&gt;0,vlookup(B874,'📊 รายงานสินค้าคงเหลือ'!A:G,6,false)*E874,)</f>
        <v/>
      </c>
      <c r="H874" s="9" t="str">
        <f t="shared" si="2"/>
        <v/>
      </c>
      <c r="I874" s="10" t="str">
        <f t="shared" si="3"/>
        <v/>
      </c>
      <c r="J874" s="11" t="str">
        <f t="shared" si="4"/>
        <v/>
      </c>
      <c r="K874" s="11" t="str">
        <f>IFERROR(IF(A874&lt;&gt;"",VLOOKUP(B874,'📦 ชื่อสินค้า'!A:F,6,false),""),)</f>
        <v/>
      </c>
      <c r="L874" s="11" t="str">
        <f t="shared" si="5"/>
        <v/>
      </c>
      <c r="M874" s="13"/>
    </row>
    <row r="875">
      <c r="A875" s="15"/>
      <c r="B875" s="6"/>
      <c r="C875" s="14" t="str">
        <f>iferror(vlookup(B875,'📦 ชื่อสินค้า'!A:C,3,false),)</f>
        <v/>
      </c>
      <c r="D875" s="11" t="str">
        <f>iferror(vlookup(B875,'📦 ชื่อสินค้า'!A:D,4,false),"")</f>
        <v/>
      </c>
      <c r="E875" s="16"/>
      <c r="F875" s="8" t="str">
        <f t="shared" si="1"/>
        <v/>
      </c>
      <c r="G875" s="9" t="str">
        <f>IF(LEN(B875)&gt;0,vlookup(B875,'📊 รายงานสินค้าคงเหลือ'!A:G,6,false)*E875,)</f>
        <v/>
      </c>
      <c r="H875" s="9" t="str">
        <f t="shared" si="2"/>
        <v/>
      </c>
      <c r="I875" s="10" t="str">
        <f t="shared" si="3"/>
        <v/>
      </c>
      <c r="J875" s="11" t="str">
        <f t="shared" si="4"/>
        <v/>
      </c>
      <c r="K875" s="11" t="str">
        <f>IFERROR(IF(A875&lt;&gt;"",VLOOKUP(B875,'📦 ชื่อสินค้า'!A:F,6,false),""),)</f>
        <v/>
      </c>
      <c r="L875" s="11" t="str">
        <f t="shared" si="5"/>
        <v/>
      </c>
      <c r="M875" s="13"/>
    </row>
    <row r="876">
      <c r="A876" s="15"/>
      <c r="B876" s="6"/>
      <c r="C876" s="14" t="str">
        <f>iferror(vlookup(B876,'📦 ชื่อสินค้า'!A:C,3,false),)</f>
        <v/>
      </c>
      <c r="D876" s="11" t="str">
        <f>iferror(vlookup(B876,'📦 ชื่อสินค้า'!A:D,4,false),"")</f>
        <v/>
      </c>
      <c r="E876" s="16"/>
      <c r="F876" s="8" t="str">
        <f t="shared" si="1"/>
        <v/>
      </c>
      <c r="G876" s="9" t="str">
        <f>IF(LEN(B876)&gt;0,vlookup(B876,'📊 รายงานสินค้าคงเหลือ'!A:G,6,false)*E876,)</f>
        <v/>
      </c>
      <c r="H876" s="9" t="str">
        <f t="shared" si="2"/>
        <v/>
      </c>
      <c r="I876" s="10" t="str">
        <f t="shared" si="3"/>
        <v/>
      </c>
      <c r="J876" s="11" t="str">
        <f t="shared" si="4"/>
        <v/>
      </c>
      <c r="K876" s="11" t="str">
        <f>IFERROR(IF(A876&lt;&gt;"",VLOOKUP(B876,'📦 ชื่อสินค้า'!A:F,6,false),""),)</f>
        <v/>
      </c>
      <c r="L876" s="11" t="str">
        <f t="shared" si="5"/>
        <v/>
      </c>
      <c r="M876" s="13"/>
    </row>
    <row r="877">
      <c r="A877" s="15"/>
      <c r="B877" s="6"/>
      <c r="C877" s="14" t="str">
        <f>iferror(vlookup(B877,'📦 ชื่อสินค้า'!A:C,3,false),)</f>
        <v/>
      </c>
      <c r="D877" s="11" t="str">
        <f>iferror(vlookup(B877,'📦 ชื่อสินค้า'!A:D,4,false),"")</f>
        <v/>
      </c>
      <c r="E877" s="16"/>
      <c r="F877" s="8" t="str">
        <f t="shared" si="1"/>
        <v/>
      </c>
      <c r="G877" s="9" t="str">
        <f>IF(LEN(B877)&gt;0,vlookup(B877,'📊 รายงานสินค้าคงเหลือ'!A:G,6,false)*E877,)</f>
        <v/>
      </c>
      <c r="H877" s="9" t="str">
        <f t="shared" si="2"/>
        <v/>
      </c>
      <c r="I877" s="10" t="str">
        <f t="shared" si="3"/>
        <v/>
      </c>
      <c r="J877" s="11" t="str">
        <f t="shared" si="4"/>
        <v/>
      </c>
      <c r="K877" s="11" t="str">
        <f>IFERROR(IF(A877&lt;&gt;"",VLOOKUP(B877,'📦 ชื่อสินค้า'!A:F,6,false),""),)</f>
        <v/>
      </c>
      <c r="L877" s="11" t="str">
        <f t="shared" si="5"/>
        <v/>
      </c>
      <c r="M877" s="13"/>
    </row>
    <row r="878">
      <c r="A878" s="15"/>
      <c r="B878" s="6"/>
      <c r="C878" s="14" t="str">
        <f>iferror(vlookup(B878,'📦 ชื่อสินค้า'!A:C,3,false),)</f>
        <v/>
      </c>
      <c r="D878" s="11" t="str">
        <f>iferror(vlookup(B878,'📦 ชื่อสินค้า'!A:D,4,false),"")</f>
        <v/>
      </c>
      <c r="E878" s="16"/>
      <c r="F878" s="8" t="str">
        <f t="shared" si="1"/>
        <v/>
      </c>
      <c r="G878" s="9" t="str">
        <f>IF(LEN(B878)&gt;0,vlookup(B878,'📊 รายงานสินค้าคงเหลือ'!A:G,6,false)*E878,)</f>
        <v/>
      </c>
      <c r="H878" s="9" t="str">
        <f t="shared" si="2"/>
        <v/>
      </c>
      <c r="I878" s="10" t="str">
        <f t="shared" si="3"/>
        <v/>
      </c>
      <c r="J878" s="11" t="str">
        <f t="shared" si="4"/>
        <v/>
      </c>
      <c r="K878" s="11" t="str">
        <f>IFERROR(IF(A878&lt;&gt;"",VLOOKUP(B878,'📦 ชื่อสินค้า'!A:F,6,false),""),)</f>
        <v/>
      </c>
      <c r="L878" s="11" t="str">
        <f t="shared" si="5"/>
        <v/>
      </c>
      <c r="M878" s="13"/>
    </row>
    <row r="879">
      <c r="A879" s="15"/>
      <c r="B879" s="6"/>
      <c r="C879" s="14" t="str">
        <f>iferror(vlookup(B879,'📦 ชื่อสินค้า'!A:C,3,false),)</f>
        <v/>
      </c>
      <c r="D879" s="11" t="str">
        <f>iferror(vlookup(B879,'📦 ชื่อสินค้า'!A:D,4,false),"")</f>
        <v/>
      </c>
      <c r="E879" s="16"/>
      <c r="F879" s="8" t="str">
        <f t="shared" si="1"/>
        <v/>
      </c>
      <c r="G879" s="9" t="str">
        <f>IF(LEN(B879)&gt;0,vlookup(B879,'📊 รายงานสินค้าคงเหลือ'!A:G,6,false)*E879,)</f>
        <v/>
      </c>
      <c r="H879" s="9" t="str">
        <f t="shared" si="2"/>
        <v/>
      </c>
      <c r="I879" s="10" t="str">
        <f t="shared" si="3"/>
        <v/>
      </c>
      <c r="J879" s="11" t="str">
        <f t="shared" si="4"/>
        <v/>
      </c>
      <c r="K879" s="11" t="str">
        <f>IFERROR(IF(A879&lt;&gt;"",VLOOKUP(B879,'📦 ชื่อสินค้า'!A:F,6,false),""),)</f>
        <v/>
      </c>
      <c r="L879" s="11" t="str">
        <f t="shared" si="5"/>
        <v/>
      </c>
      <c r="M879" s="13"/>
    </row>
    <row r="880">
      <c r="A880" s="15"/>
      <c r="B880" s="6"/>
      <c r="C880" s="14" t="str">
        <f>iferror(vlookup(B880,'📦 ชื่อสินค้า'!A:C,3,false),)</f>
        <v/>
      </c>
      <c r="D880" s="11" t="str">
        <f>iferror(vlookup(B880,'📦 ชื่อสินค้า'!A:D,4,false),"")</f>
        <v/>
      </c>
      <c r="E880" s="16"/>
      <c r="F880" s="8" t="str">
        <f t="shared" si="1"/>
        <v/>
      </c>
      <c r="G880" s="9" t="str">
        <f>IF(LEN(B880)&gt;0,vlookup(B880,'📊 รายงานสินค้าคงเหลือ'!A:G,6,false)*E880,)</f>
        <v/>
      </c>
      <c r="H880" s="9" t="str">
        <f t="shared" si="2"/>
        <v/>
      </c>
      <c r="I880" s="10" t="str">
        <f t="shared" si="3"/>
        <v/>
      </c>
      <c r="J880" s="11" t="str">
        <f t="shared" si="4"/>
        <v/>
      </c>
      <c r="K880" s="11" t="str">
        <f>IFERROR(IF(A880&lt;&gt;"",VLOOKUP(B880,'📦 ชื่อสินค้า'!A:F,6,false),""),)</f>
        <v/>
      </c>
      <c r="L880" s="11" t="str">
        <f t="shared" si="5"/>
        <v/>
      </c>
      <c r="M880" s="13"/>
    </row>
    <row r="881">
      <c r="A881" s="15"/>
      <c r="B881" s="6"/>
      <c r="C881" s="14" t="str">
        <f>iferror(vlookup(B881,'📦 ชื่อสินค้า'!A:C,3,false),)</f>
        <v/>
      </c>
      <c r="D881" s="11" t="str">
        <f>iferror(vlookup(B881,'📦 ชื่อสินค้า'!A:D,4,false),"")</f>
        <v/>
      </c>
      <c r="E881" s="16"/>
      <c r="F881" s="8" t="str">
        <f t="shared" si="1"/>
        <v/>
      </c>
      <c r="G881" s="9" t="str">
        <f>IF(LEN(B881)&gt;0,vlookup(B881,'📊 รายงานสินค้าคงเหลือ'!A:G,6,false)*E881,)</f>
        <v/>
      </c>
      <c r="H881" s="9" t="str">
        <f t="shared" si="2"/>
        <v/>
      </c>
      <c r="I881" s="10" t="str">
        <f t="shared" si="3"/>
        <v/>
      </c>
      <c r="J881" s="11" t="str">
        <f t="shared" si="4"/>
        <v/>
      </c>
      <c r="K881" s="11" t="str">
        <f>IFERROR(IF(A881&lt;&gt;"",VLOOKUP(B881,'📦 ชื่อสินค้า'!A:F,6,false),""),)</f>
        <v/>
      </c>
      <c r="L881" s="11" t="str">
        <f t="shared" si="5"/>
        <v/>
      </c>
      <c r="M881" s="13"/>
    </row>
    <row r="882">
      <c r="A882" s="15"/>
      <c r="B882" s="6"/>
      <c r="C882" s="14" t="str">
        <f>iferror(vlookup(B882,'📦 ชื่อสินค้า'!A:C,3,false),)</f>
        <v/>
      </c>
      <c r="D882" s="11" t="str">
        <f>iferror(vlookup(B882,'📦 ชื่อสินค้า'!A:D,4,false),"")</f>
        <v/>
      </c>
      <c r="E882" s="16"/>
      <c r="F882" s="8" t="str">
        <f t="shared" si="1"/>
        <v/>
      </c>
      <c r="G882" s="9" t="str">
        <f>IF(LEN(B882)&gt;0,vlookup(B882,'📊 รายงานสินค้าคงเหลือ'!A:G,6,false)*E882,)</f>
        <v/>
      </c>
      <c r="H882" s="9" t="str">
        <f t="shared" si="2"/>
        <v/>
      </c>
      <c r="I882" s="10" t="str">
        <f t="shared" si="3"/>
        <v/>
      </c>
      <c r="J882" s="11" t="str">
        <f t="shared" si="4"/>
        <v/>
      </c>
      <c r="K882" s="11" t="str">
        <f>IFERROR(IF(A882&lt;&gt;"",VLOOKUP(B882,'📦 ชื่อสินค้า'!A:F,6,false),""),)</f>
        <v/>
      </c>
      <c r="L882" s="11" t="str">
        <f t="shared" si="5"/>
        <v/>
      </c>
      <c r="M882" s="13"/>
    </row>
    <row r="883">
      <c r="A883" s="15"/>
      <c r="B883" s="6"/>
      <c r="C883" s="14" t="str">
        <f>iferror(vlookup(B883,'📦 ชื่อสินค้า'!A:C,3,false),)</f>
        <v/>
      </c>
      <c r="D883" s="11" t="str">
        <f>iferror(vlookup(B883,'📦 ชื่อสินค้า'!A:D,4,false),"")</f>
        <v/>
      </c>
      <c r="E883" s="16"/>
      <c r="F883" s="8" t="str">
        <f t="shared" si="1"/>
        <v/>
      </c>
      <c r="G883" s="9" t="str">
        <f>IF(LEN(B883)&gt;0,vlookup(B883,'📊 รายงานสินค้าคงเหลือ'!A:G,6,false)*E883,)</f>
        <v/>
      </c>
      <c r="H883" s="9" t="str">
        <f t="shared" si="2"/>
        <v/>
      </c>
      <c r="I883" s="10" t="str">
        <f t="shared" si="3"/>
        <v/>
      </c>
      <c r="J883" s="11" t="str">
        <f t="shared" si="4"/>
        <v/>
      </c>
      <c r="K883" s="11" t="str">
        <f>IFERROR(IF(A883&lt;&gt;"",VLOOKUP(B883,'📦 ชื่อสินค้า'!A:F,6,false),""),)</f>
        <v/>
      </c>
      <c r="L883" s="11" t="str">
        <f t="shared" si="5"/>
        <v/>
      </c>
      <c r="M883" s="13"/>
    </row>
    <row r="884">
      <c r="A884" s="15"/>
      <c r="B884" s="6"/>
      <c r="C884" s="14" t="str">
        <f>iferror(vlookup(B884,'📦 ชื่อสินค้า'!A:C,3,false),)</f>
        <v/>
      </c>
      <c r="D884" s="11" t="str">
        <f>iferror(vlookup(B884,'📦 ชื่อสินค้า'!A:D,4,false),"")</f>
        <v/>
      </c>
      <c r="E884" s="16"/>
      <c r="F884" s="8" t="str">
        <f t="shared" si="1"/>
        <v/>
      </c>
      <c r="G884" s="9" t="str">
        <f>IF(LEN(B884)&gt;0,vlookup(B884,'📊 รายงานสินค้าคงเหลือ'!A:G,6,false)*E884,)</f>
        <v/>
      </c>
      <c r="H884" s="9" t="str">
        <f t="shared" si="2"/>
        <v/>
      </c>
      <c r="I884" s="10" t="str">
        <f t="shared" si="3"/>
        <v/>
      </c>
      <c r="J884" s="11" t="str">
        <f t="shared" si="4"/>
        <v/>
      </c>
      <c r="K884" s="11" t="str">
        <f>IFERROR(IF(A884&lt;&gt;"",VLOOKUP(B884,'📦 ชื่อสินค้า'!A:F,6,false),""),)</f>
        <v/>
      </c>
      <c r="L884" s="11" t="str">
        <f t="shared" si="5"/>
        <v/>
      </c>
      <c r="M884" s="13"/>
    </row>
    <row r="885">
      <c r="A885" s="15"/>
      <c r="B885" s="6"/>
      <c r="C885" s="14" t="str">
        <f>iferror(vlookup(B885,'📦 ชื่อสินค้า'!A:C,3,false),)</f>
        <v/>
      </c>
      <c r="D885" s="11" t="str">
        <f>iferror(vlookup(B885,'📦 ชื่อสินค้า'!A:D,4,false),"")</f>
        <v/>
      </c>
      <c r="E885" s="16"/>
      <c r="F885" s="8" t="str">
        <f t="shared" si="1"/>
        <v/>
      </c>
      <c r="G885" s="9" t="str">
        <f>IF(LEN(B885)&gt;0,vlookup(B885,'📊 รายงานสินค้าคงเหลือ'!A:G,6,false)*E885,)</f>
        <v/>
      </c>
      <c r="H885" s="9" t="str">
        <f t="shared" si="2"/>
        <v/>
      </c>
      <c r="I885" s="10" t="str">
        <f t="shared" si="3"/>
        <v/>
      </c>
      <c r="J885" s="11" t="str">
        <f t="shared" si="4"/>
        <v/>
      </c>
      <c r="K885" s="11" t="str">
        <f>IFERROR(IF(A885&lt;&gt;"",VLOOKUP(B885,'📦 ชื่อสินค้า'!A:F,6,false),""),)</f>
        <v/>
      </c>
      <c r="L885" s="11" t="str">
        <f t="shared" si="5"/>
        <v/>
      </c>
      <c r="M885" s="13"/>
    </row>
    <row r="886">
      <c r="A886" s="15"/>
      <c r="B886" s="6"/>
      <c r="C886" s="14" t="str">
        <f>iferror(vlookup(B886,'📦 ชื่อสินค้า'!A:C,3,false),)</f>
        <v/>
      </c>
      <c r="D886" s="11" t="str">
        <f>iferror(vlookup(B886,'📦 ชื่อสินค้า'!A:D,4,false),"")</f>
        <v/>
      </c>
      <c r="E886" s="16"/>
      <c r="F886" s="8" t="str">
        <f t="shared" si="1"/>
        <v/>
      </c>
      <c r="G886" s="9" t="str">
        <f>IF(LEN(B886)&gt;0,vlookup(B886,'📊 รายงานสินค้าคงเหลือ'!A:G,6,false)*E886,)</f>
        <v/>
      </c>
      <c r="H886" s="9" t="str">
        <f t="shared" si="2"/>
        <v/>
      </c>
      <c r="I886" s="10" t="str">
        <f t="shared" si="3"/>
        <v/>
      </c>
      <c r="J886" s="11" t="str">
        <f t="shared" si="4"/>
        <v/>
      </c>
      <c r="K886" s="11" t="str">
        <f>IFERROR(IF(A886&lt;&gt;"",VLOOKUP(B886,'📦 ชื่อสินค้า'!A:F,6,false),""),)</f>
        <v/>
      </c>
      <c r="L886" s="11" t="str">
        <f t="shared" si="5"/>
        <v/>
      </c>
      <c r="M886" s="13"/>
    </row>
    <row r="887">
      <c r="A887" s="15"/>
      <c r="B887" s="6"/>
      <c r="C887" s="14" t="str">
        <f>iferror(vlookup(B887,'📦 ชื่อสินค้า'!A:C,3,false),)</f>
        <v/>
      </c>
      <c r="D887" s="11" t="str">
        <f>iferror(vlookup(B887,'📦 ชื่อสินค้า'!A:D,4,false),"")</f>
        <v/>
      </c>
      <c r="E887" s="16"/>
      <c r="F887" s="8" t="str">
        <f t="shared" si="1"/>
        <v/>
      </c>
      <c r="G887" s="9" t="str">
        <f>IF(LEN(B887)&gt;0,vlookup(B887,'📊 รายงานสินค้าคงเหลือ'!A:G,6,false)*E887,)</f>
        <v/>
      </c>
      <c r="H887" s="9" t="str">
        <f t="shared" si="2"/>
        <v/>
      </c>
      <c r="I887" s="10" t="str">
        <f t="shared" si="3"/>
        <v/>
      </c>
      <c r="J887" s="11" t="str">
        <f t="shared" si="4"/>
        <v/>
      </c>
      <c r="K887" s="11" t="str">
        <f>IFERROR(IF(A887&lt;&gt;"",VLOOKUP(B887,'📦 ชื่อสินค้า'!A:F,6,false),""),)</f>
        <v/>
      </c>
      <c r="L887" s="11" t="str">
        <f t="shared" si="5"/>
        <v/>
      </c>
      <c r="M887" s="13"/>
    </row>
    <row r="888">
      <c r="A888" s="15"/>
      <c r="B888" s="6"/>
      <c r="C888" s="14" t="str">
        <f>iferror(vlookup(B888,'📦 ชื่อสินค้า'!A:C,3,false),)</f>
        <v/>
      </c>
      <c r="D888" s="11" t="str">
        <f>iferror(vlookup(B888,'📦 ชื่อสินค้า'!A:D,4,false),"")</f>
        <v/>
      </c>
      <c r="E888" s="16"/>
      <c r="F888" s="8" t="str">
        <f t="shared" si="1"/>
        <v/>
      </c>
      <c r="G888" s="9" t="str">
        <f>IF(LEN(B888)&gt;0,vlookup(B888,'📊 รายงานสินค้าคงเหลือ'!A:G,6,false)*E888,)</f>
        <v/>
      </c>
      <c r="H888" s="9" t="str">
        <f t="shared" si="2"/>
        <v/>
      </c>
      <c r="I888" s="10" t="str">
        <f t="shared" si="3"/>
        <v/>
      </c>
      <c r="J888" s="11" t="str">
        <f t="shared" si="4"/>
        <v/>
      </c>
      <c r="K888" s="11" t="str">
        <f>IFERROR(IF(A888&lt;&gt;"",VLOOKUP(B888,'📦 ชื่อสินค้า'!A:F,6,false),""),)</f>
        <v/>
      </c>
      <c r="L888" s="11" t="str">
        <f t="shared" si="5"/>
        <v/>
      </c>
      <c r="M888" s="13"/>
    </row>
    <row r="889">
      <c r="A889" s="15"/>
      <c r="B889" s="6"/>
      <c r="C889" s="14" t="str">
        <f>iferror(vlookup(B889,'📦 ชื่อสินค้า'!A:C,3,false),)</f>
        <v/>
      </c>
      <c r="D889" s="11" t="str">
        <f>iferror(vlookup(B889,'📦 ชื่อสินค้า'!A:D,4,false),"")</f>
        <v/>
      </c>
      <c r="E889" s="16"/>
      <c r="F889" s="8" t="str">
        <f t="shared" si="1"/>
        <v/>
      </c>
      <c r="G889" s="9" t="str">
        <f>IF(LEN(B889)&gt;0,vlookup(B889,'📊 รายงานสินค้าคงเหลือ'!A:G,6,false)*E889,)</f>
        <v/>
      </c>
      <c r="H889" s="9" t="str">
        <f t="shared" si="2"/>
        <v/>
      </c>
      <c r="I889" s="10" t="str">
        <f t="shared" si="3"/>
        <v/>
      </c>
      <c r="J889" s="11" t="str">
        <f t="shared" si="4"/>
        <v/>
      </c>
      <c r="K889" s="11" t="str">
        <f>IFERROR(IF(A889&lt;&gt;"",VLOOKUP(B889,'📦 ชื่อสินค้า'!A:F,6,false),""),)</f>
        <v/>
      </c>
      <c r="L889" s="11" t="str">
        <f t="shared" si="5"/>
        <v/>
      </c>
      <c r="M889" s="13"/>
    </row>
    <row r="890">
      <c r="A890" s="15"/>
      <c r="B890" s="6"/>
      <c r="C890" s="14" t="str">
        <f>iferror(vlookup(B890,'📦 ชื่อสินค้า'!A:C,3,false),)</f>
        <v/>
      </c>
      <c r="D890" s="11" t="str">
        <f>iferror(vlookup(B890,'📦 ชื่อสินค้า'!A:D,4,false),"")</f>
        <v/>
      </c>
      <c r="E890" s="16"/>
      <c r="F890" s="8" t="str">
        <f t="shared" si="1"/>
        <v/>
      </c>
      <c r="G890" s="9" t="str">
        <f>IF(LEN(B890)&gt;0,vlookup(B890,'📊 รายงานสินค้าคงเหลือ'!A:G,6,false)*E890,)</f>
        <v/>
      </c>
      <c r="H890" s="9" t="str">
        <f t="shared" si="2"/>
        <v/>
      </c>
      <c r="I890" s="10" t="str">
        <f t="shared" si="3"/>
        <v/>
      </c>
      <c r="J890" s="11" t="str">
        <f t="shared" si="4"/>
        <v/>
      </c>
      <c r="K890" s="11" t="str">
        <f>IFERROR(IF(A890&lt;&gt;"",VLOOKUP(B890,'📦 ชื่อสินค้า'!A:F,6,false),""),)</f>
        <v/>
      </c>
      <c r="L890" s="11" t="str">
        <f t="shared" si="5"/>
        <v/>
      </c>
      <c r="M890" s="13"/>
    </row>
    <row r="891">
      <c r="A891" s="15"/>
      <c r="B891" s="6"/>
      <c r="C891" s="14" t="str">
        <f>iferror(vlookup(B891,'📦 ชื่อสินค้า'!A:C,3,false),)</f>
        <v/>
      </c>
      <c r="D891" s="11" t="str">
        <f>iferror(vlookup(B891,'📦 ชื่อสินค้า'!A:D,4,false),"")</f>
        <v/>
      </c>
      <c r="E891" s="16"/>
      <c r="F891" s="8" t="str">
        <f t="shared" si="1"/>
        <v/>
      </c>
      <c r="G891" s="9" t="str">
        <f>IF(LEN(B891)&gt;0,vlookup(B891,'📊 รายงานสินค้าคงเหลือ'!A:G,6,false)*E891,)</f>
        <v/>
      </c>
      <c r="H891" s="9" t="str">
        <f t="shared" si="2"/>
        <v/>
      </c>
      <c r="I891" s="10" t="str">
        <f t="shared" si="3"/>
        <v/>
      </c>
      <c r="J891" s="11" t="str">
        <f t="shared" si="4"/>
        <v/>
      </c>
      <c r="K891" s="11" t="str">
        <f>IFERROR(IF(A891&lt;&gt;"",VLOOKUP(B891,'📦 ชื่อสินค้า'!A:F,6,false),""),)</f>
        <v/>
      </c>
      <c r="L891" s="11" t="str">
        <f t="shared" si="5"/>
        <v/>
      </c>
      <c r="M891" s="13"/>
    </row>
    <row r="892">
      <c r="A892" s="15"/>
      <c r="B892" s="6"/>
      <c r="C892" s="14" t="str">
        <f>iferror(vlookup(B892,'📦 ชื่อสินค้า'!A:C,3,false),)</f>
        <v/>
      </c>
      <c r="D892" s="11" t="str">
        <f>iferror(vlookup(B892,'📦 ชื่อสินค้า'!A:D,4,false),"")</f>
        <v/>
      </c>
      <c r="E892" s="16"/>
      <c r="F892" s="8" t="str">
        <f t="shared" si="1"/>
        <v/>
      </c>
      <c r="G892" s="9" t="str">
        <f>IF(LEN(B892)&gt;0,vlookup(B892,'📊 รายงานสินค้าคงเหลือ'!A:G,6,false)*E892,)</f>
        <v/>
      </c>
      <c r="H892" s="9" t="str">
        <f t="shared" si="2"/>
        <v/>
      </c>
      <c r="I892" s="10" t="str">
        <f t="shared" si="3"/>
        <v/>
      </c>
      <c r="J892" s="11" t="str">
        <f t="shared" si="4"/>
        <v/>
      </c>
      <c r="K892" s="11" t="str">
        <f>IFERROR(IF(A892&lt;&gt;"",VLOOKUP(B892,'📦 ชื่อสินค้า'!A:F,6,false),""),)</f>
        <v/>
      </c>
      <c r="L892" s="11" t="str">
        <f t="shared" si="5"/>
        <v/>
      </c>
      <c r="M892" s="13"/>
    </row>
    <row r="893">
      <c r="A893" s="15"/>
      <c r="B893" s="6"/>
      <c r="C893" s="14" t="str">
        <f>iferror(vlookup(B893,'📦 ชื่อสินค้า'!A:C,3,false),)</f>
        <v/>
      </c>
      <c r="D893" s="11" t="str">
        <f>iferror(vlookup(B893,'📦 ชื่อสินค้า'!A:D,4,false),"")</f>
        <v/>
      </c>
      <c r="E893" s="16"/>
      <c r="F893" s="8" t="str">
        <f t="shared" si="1"/>
        <v/>
      </c>
      <c r="G893" s="9" t="str">
        <f>IF(LEN(B893)&gt;0,vlookup(B893,'📊 รายงานสินค้าคงเหลือ'!A:G,6,false)*E893,)</f>
        <v/>
      </c>
      <c r="H893" s="9" t="str">
        <f t="shared" si="2"/>
        <v/>
      </c>
      <c r="I893" s="10" t="str">
        <f t="shared" si="3"/>
        <v/>
      </c>
      <c r="J893" s="11" t="str">
        <f t="shared" si="4"/>
        <v/>
      </c>
      <c r="K893" s="11" t="str">
        <f>IFERROR(IF(A893&lt;&gt;"",VLOOKUP(B893,'📦 ชื่อสินค้า'!A:F,6,false),""),)</f>
        <v/>
      </c>
      <c r="L893" s="11" t="str">
        <f t="shared" si="5"/>
        <v/>
      </c>
      <c r="M893" s="13"/>
    </row>
    <row r="894">
      <c r="A894" s="15"/>
      <c r="B894" s="6"/>
      <c r="C894" s="14" t="str">
        <f>iferror(vlookup(B894,'📦 ชื่อสินค้า'!A:C,3,false),)</f>
        <v/>
      </c>
      <c r="D894" s="11" t="str">
        <f>iferror(vlookup(B894,'📦 ชื่อสินค้า'!A:D,4,false),"")</f>
        <v/>
      </c>
      <c r="E894" s="16"/>
      <c r="F894" s="8" t="str">
        <f t="shared" si="1"/>
        <v/>
      </c>
      <c r="G894" s="9" t="str">
        <f>IF(LEN(B894)&gt;0,vlookup(B894,'📊 รายงานสินค้าคงเหลือ'!A:G,6,false)*E894,)</f>
        <v/>
      </c>
      <c r="H894" s="9" t="str">
        <f t="shared" si="2"/>
        <v/>
      </c>
      <c r="I894" s="10" t="str">
        <f t="shared" si="3"/>
        <v/>
      </c>
      <c r="J894" s="11" t="str">
        <f t="shared" si="4"/>
        <v/>
      </c>
      <c r="K894" s="11" t="str">
        <f>IFERROR(IF(A894&lt;&gt;"",VLOOKUP(B894,'📦 ชื่อสินค้า'!A:F,6,false),""),)</f>
        <v/>
      </c>
      <c r="L894" s="11" t="str">
        <f t="shared" si="5"/>
        <v/>
      </c>
      <c r="M894" s="13"/>
    </row>
    <row r="895">
      <c r="A895" s="15"/>
      <c r="B895" s="6"/>
      <c r="C895" s="14" t="str">
        <f>iferror(vlookup(B895,'📦 ชื่อสินค้า'!A:C,3,false),)</f>
        <v/>
      </c>
      <c r="D895" s="11" t="str">
        <f>iferror(vlookup(B895,'📦 ชื่อสินค้า'!A:D,4,false),"")</f>
        <v/>
      </c>
      <c r="E895" s="16"/>
      <c r="F895" s="8" t="str">
        <f t="shared" si="1"/>
        <v/>
      </c>
      <c r="G895" s="9" t="str">
        <f>IF(LEN(B895)&gt;0,vlookup(B895,'📊 รายงานสินค้าคงเหลือ'!A:G,6,false)*E895,)</f>
        <v/>
      </c>
      <c r="H895" s="9" t="str">
        <f t="shared" si="2"/>
        <v/>
      </c>
      <c r="I895" s="10" t="str">
        <f t="shared" si="3"/>
        <v/>
      </c>
      <c r="J895" s="11" t="str">
        <f t="shared" si="4"/>
        <v/>
      </c>
      <c r="K895" s="11" t="str">
        <f>IFERROR(IF(A895&lt;&gt;"",VLOOKUP(B895,'📦 ชื่อสินค้า'!A:F,6,false),""),)</f>
        <v/>
      </c>
      <c r="L895" s="11" t="str">
        <f t="shared" si="5"/>
        <v/>
      </c>
      <c r="M895" s="13"/>
    </row>
    <row r="896">
      <c r="A896" s="15"/>
      <c r="B896" s="6"/>
      <c r="C896" s="14" t="str">
        <f>iferror(vlookup(B896,'📦 ชื่อสินค้า'!A:C,3,false),)</f>
        <v/>
      </c>
      <c r="D896" s="11" t="str">
        <f>iferror(vlookup(B896,'📦 ชื่อสินค้า'!A:D,4,false),"")</f>
        <v/>
      </c>
      <c r="E896" s="16"/>
      <c r="F896" s="8" t="str">
        <f t="shared" si="1"/>
        <v/>
      </c>
      <c r="G896" s="9" t="str">
        <f>IF(LEN(B896)&gt;0,vlookup(B896,'📊 รายงานสินค้าคงเหลือ'!A:G,6,false)*E896,)</f>
        <v/>
      </c>
      <c r="H896" s="9" t="str">
        <f t="shared" si="2"/>
        <v/>
      </c>
      <c r="I896" s="10" t="str">
        <f t="shared" si="3"/>
        <v/>
      </c>
      <c r="J896" s="11" t="str">
        <f t="shared" si="4"/>
        <v/>
      </c>
      <c r="K896" s="11" t="str">
        <f>IFERROR(IF(A896&lt;&gt;"",VLOOKUP(B896,'📦 ชื่อสินค้า'!A:F,6,false),""),)</f>
        <v/>
      </c>
      <c r="L896" s="11" t="str">
        <f t="shared" si="5"/>
        <v/>
      </c>
      <c r="M896" s="13"/>
    </row>
    <row r="897">
      <c r="A897" s="15"/>
      <c r="B897" s="6"/>
      <c r="C897" s="14" t="str">
        <f>iferror(vlookup(B897,'📦 ชื่อสินค้า'!A:C,3,false),)</f>
        <v/>
      </c>
      <c r="D897" s="11" t="str">
        <f>iferror(vlookup(B897,'📦 ชื่อสินค้า'!A:D,4,false),"")</f>
        <v/>
      </c>
      <c r="E897" s="16"/>
      <c r="F897" s="8" t="str">
        <f t="shared" si="1"/>
        <v/>
      </c>
      <c r="G897" s="9" t="str">
        <f>IF(LEN(B897)&gt;0,vlookup(B897,'📊 รายงานสินค้าคงเหลือ'!A:G,6,false)*E897,)</f>
        <v/>
      </c>
      <c r="H897" s="9" t="str">
        <f t="shared" si="2"/>
        <v/>
      </c>
      <c r="I897" s="10" t="str">
        <f t="shared" si="3"/>
        <v/>
      </c>
      <c r="J897" s="11" t="str">
        <f t="shared" si="4"/>
        <v/>
      </c>
      <c r="K897" s="11" t="str">
        <f>IFERROR(IF(A897&lt;&gt;"",VLOOKUP(B897,'📦 ชื่อสินค้า'!A:F,6,false),""),)</f>
        <v/>
      </c>
      <c r="L897" s="11" t="str">
        <f t="shared" si="5"/>
        <v/>
      </c>
      <c r="M897" s="13"/>
    </row>
    <row r="898">
      <c r="A898" s="15"/>
      <c r="B898" s="6"/>
      <c r="C898" s="14" t="str">
        <f>iferror(vlookup(B898,'📦 ชื่อสินค้า'!A:C,3,false),)</f>
        <v/>
      </c>
      <c r="D898" s="11" t="str">
        <f>iferror(vlookup(B898,'📦 ชื่อสินค้า'!A:D,4,false),"")</f>
        <v/>
      </c>
      <c r="E898" s="16"/>
      <c r="F898" s="8" t="str">
        <f t="shared" si="1"/>
        <v/>
      </c>
      <c r="G898" s="9" t="str">
        <f>IF(LEN(B898)&gt;0,vlookup(B898,'📊 รายงานสินค้าคงเหลือ'!A:G,6,false)*E898,)</f>
        <v/>
      </c>
      <c r="H898" s="9" t="str">
        <f t="shared" si="2"/>
        <v/>
      </c>
      <c r="I898" s="10" t="str">
        <f t="shared" si="3"/>
        <v/>
      </c>
      <c r="J898" s="11" t="str">
        <f t="shared" si="4"/>
        <v/>
      </c>
      <c r="K898" s="11" t="str">
        <f>IFERROR(IF(A898&lt;&gt;"",VLOOKUP(B898,'📦 ชื่อสินค้า'!A:F,6,false),""),)</f>
        <v/>
      </c>
      <c r="L898" s="11" t="str">
        <f t="shared" si="5"/>
        <v/>
      </c>
      <c r="M898" s="13"/>
    </row>
    <row r="899">
      <c r="A899" s="15"/>
      <c r="B899" s="6"/>
      <c r="C899" s="14" t="str">
        <f>iferror(vlookup(B899,'📦 ชื่อสินค้า'!A:C,3,false),)</f>
        <v/>
      </c>
      <c r="D899" s="11" t="str">
        <f>iferror(vlookup(B899,'📦 ชื่อสินค้า'!A:D,4,false),"")</f>
        <v/>
      </c>
      <c r="E899" s="16"/>
      <c r="F899" s="8" t="str">
        <f t="shared" si="1"/>
        <v/>
      </c>
      <c r="G899" s="9" t="str">
        <f>IF(LEN(B899)&gt;0,vlookup(B899,'📊 รายงานสินค้าคงเหลือ'!A:G,6,false)*E899,)</f>
        <v/>
      </c>
      <c r="H899" s="9" t="str">
        <f t="shared" si="2"/>
        <v/>
      </c>
      <c r="I899" s="10" t="str">
        <f t="shared" si="3"/>
        <v/>
      </c>
      <c r="J899" s="11" t="str">
        <f t="shared" si="4"/>
        <v/>
      </c>
      <c r="K899" s="11" t="str">
        <f>IFERROR(IF(A899&lt;&gt;"",VLOOKUP(B899,'📦 ชื่อสินค้า'!A:F,6,false),""),)</f>
        <v/>
      </c>
      <c r="L899" s="11" t="str">
        <f t="shared" si="5"/>
        <v/>
      </c>
      <c r="M899" s="13"/>
    </row>
    <row r="900">
      <c r="A900" s="15"/>
      <c r="B900" s="6"/>
      <c r="C900" s="14" t="str">
        <f>iferror(vlookup(B900,'📦 ชื่อสินค้า'!A:C,3,false),)</f>
        <v/>
      </c>
      <c r="D900" s="11" t="str">
        <f>iferror(vlookup(B900,'📦 ชื่อสินค้า'!A:D,4,false),"")</f>
        <v/>
      </c>
      <c r="E900" s="16"/>
      <c r="F900" s="8" t="str">
        <f t="shared" si="1"/>
        <v/>
      </c>
      <c r="G900" s="9" t="str">
        <f>IF(LEN(B900)&gt;0,vlookup(B900,'📊 รายงานสินค้าคงเหลือ'!A:G,6,false)*E900,)</f>
        <v/>
      </c>
      <c r="H900" s="9" t="str">
        <f t="shared" si="2"/>
        <v/>
      </c>
      <c r="I900" s="10" t="str">
        <f t="shared" si="3"/>
        <v/>
      </c>
      <c r="J900" s="11" t="str">
        <f t="shared" si="4"/>
        <v/>
      </c>
      <c r="K900" s="11" t="str">
        <f>IFERROR(IF(A900&lt;&gt;"",VLOOKUP(B900,'📦 ชื่อสินค้า'!A:F,6,false),""),)</f>
        <v/>
      </c>
      <c r="L900" s="11" t="str">
        <f t="shared" si="5"/>
        <v/>
      </c>
      <c r="M900" s="13"/>
    </row>
    <row r="901">
      <c r="A901" s="15"/>
      <c r="B901" s="6"/>
      <c r="C901" s="14" t="str">
        <f>iferror(vlookup(B901,'📦 ชื่อสินค้า'!A:C,3,false),)</f>
        <v/>
      </c>
      <c r="D901" s="11" t="str">
        <f>iferror(vlookup(B901,'📦 ชื่อสินค้า'!A:D,4,false),"")</f>
        <v/>
      </c>
      <c r="E901" s="16"/>
      <c r="F901" s="8" t="str">
        <f t="shared" si="1"/>
        <v/>
      </c>
      <c r="G901" s="9" t="str">
        <f>IF(LEN(B901)&gt;0,vlookup(B901,'📊 รายงานสินค้าคงเหลือ'!A:G,6,false)*E901,)</f>
        <v/>
      </c>
      <c r="H901" s="9" t="str">
        <f t="shared" si="2"/>
        <v/>
      </c>
      <c r="I901" s="10" t="str">
        <f t="shared" si="3"/>
        <v/>
      </c>
      <c r="J901" s="11" t="str">
        <f t="shared" si="4"/>
        <v/>
      </c>
      <c r="K901" s="11" t="str">
        <f>IFERROR(IF(A901&lt;&gt;"",VLOOKUP(B901,'📦 ชื่อสินค้า'!A:F,6,false),""),)</f>
        <v/>
      </c>
      <c r="L901" s="11" t="str">
        <f t="shared" si="5"/>
        <v/>
      </c>
      <c r="M901" s="13"/>
    </row>
    <row r="902">
      <c r="A902" s="15"/>
      <c r="B902" s="6"/>
      <c r="C902" s="14" t="str">
        <f>iferror(vlookup(B902,'📦 ชื่อสินค้า'!A:C,3,false),)</f>
        <v/>
      </c>
      <c r="D902" s="11" t="str">
        <f>iferror(vlookup(B902,'📦 ชื่อสินค้า'!A:D,4,false),"")</f>
        <v/>
      </c>
      <c r="E902" s="16"/>
      <c r="F902" s="8" t="str">
        <f t="shared" si="1"/>
        <v/>
      </c>
      <c r="G902" s="9" t="str">
        <f>IF(LEN(B902)&gt;0,vlookup(B902,'📊 รายงานสินค้าคงเหลือ'!A:G,6,false)*E902,)</f>
        <v/>
      </c>
      <c r="H902" s="9" t="str">
        <f t="shared" si="2"/>
        <v/>
      </c>
      <c r="I902" s="10" t="str">
        <f t="shared" si="3"/>
        <v/>
      </c>
      <c r="J902" s="11" t="str">
        <f t="shared" si="4"/>
        <v/>
      </c>
      <c r="K902" s="11" t="str">
        <f>IFERROR(IF(A902&lt;&gt;"",VLOOKUP(B902,'📦 ชื่อสินค้า'!A:F,6,false),""),)</f>
        <v/>
      </c>
      <c r="L902" s="11" t="str">
        <f t="shared" si="5"/>
        <v/>
      </c>
      <c r="M902" s="13"/>
    </row>
    <row r="903">
      <c r="A903" s="15"/>
      <c r="B903" s="6"/>
      <c r="C903" s="14" t="str">
        <f>iferror(vlookup(B903,'📦 ชื่อสินค้า'!A:C,3,false),)</f>
        <v/>
      </c>
      <c r="D903" s="11" t="str">
        <f>iferror(vlookup(B903,'📦 ชื่อสินค้า'!A:D,4,false),"")</f>
        <v/>
      </c>
      <c r="E903" s="16"/>
      <c r="F903" s="8" t="str">
        <f t="shared" si="1"/>
        <v/>
      </c>
      <c r="G903" s="9" t="str">
        <f>IF(LEN(B903)&gt;0,vlookup(B903,'📊 รายงานสินค้าคงเหลือ'!A:G,6,false)*E903,)</f>
        <v/>
      </c>
      <c r="H903" s="9" t="str">
        <f t="shared" si="2"/>
        <v/>
      </c>
      <c r="I903" s="10" t="str">
        <f t="shared" si="3"/>
        <v/>
      </c>
      <c r="J903" s="11" t="str">
        <f t="shared" si="4"/>
        <v/>
      </c>
      <c r="K903" s="11" t="str">
        <f>IFERROR(IF(A903&lt;&gt;"",VLOOKUP(B903,'📦 ชื่อสินค้า'!A:F,6,false),""),)</f>
        <v/>
      </c>
      <c r="L903" s="11" t="str">
        <f t="shared" si="5"/>
        <v/>
      </c>
      <c r="M903" s="13"/>
    </row>
    <row r="904">
      <c r="A904" s="15"/>
      <c r="B904" s="6"/>
      <c r="C904" s="14" t="str">
        <f>iferror(vlookup(B904,'📦 ชื่อสินค้า'!A:C,3,false),)</f>
        <v/>
      </c>
      <c r="D904" s="11" t="str">
        <f>iferror(vlookup(B904,'📦 ชื่อสินค้า'!A:D,4,false),"")</f>
        <v/>
      </c>
      <c r="E904" s="16"/>
      <c r="F904" s="8" t="str">
        <f t="shared" si="1"/>
        <v/>
      </c>
      <c r="G904" s="9" t="str">
        <f>IF(LEN(B904)&gt;0,vlookup(B904,'📊 รายงานสินค้าคงเหลือ'!A:G,6,false)*E904,)</f>
        <v/>
      </c>
      <c r="H904" s="9" t="str">
        <f t="shared" si="2"/>
        <v/>
      </c>
      <c r="I904" s="10" t="str">
        <f t="shared" si="3"/>
        <v/>
      </c>
      <c r="J904" s="11" t="str">
        <f t="shared" si="4"/>
        <v/>
      </c>
      <c r="K904" s="11" t="str">
        <f>IFERROR(IF(A904&lt;&gt;"",VLOOKUP(B904,'📦 ชื่อสินค้า'!A:F,6,false),""),)</f>
        <v/>
      </c>
      <c r="L904" s="11" t="str">
        <f t="shared" si="5"/>
        <v/>
      </c>
      <c r="M904" s="13"/>
    </row>
    <row r="905">
      <c r="A905" s="15"/>
      <c r="B905" s="6"/>
      <c r="C905" s="14" t="str">
        <f>iferror(vlookup(B905,'📦 ชื่อสินค้า'!A:C,3,false),)</f>
        <v/>
      </c>
      <c r="D905" s="11" t="str">
        <f>iferror(vlookup(B905,'📦 ชื่อสินค้า'!A:D,4,false),"")</f>
        <v/>
      </c>
      <c r="E905" s="16"/>
      <c r="F905" s="8" t="str">
        <f t="shared" si="1"/>
        <v/>
      </c>
      <c r="G905" s="9" t="str">
        <f>IF(LEN(B905)&gt;0,vlookup(B905,'📊 รายงานสินค้าคงเหลือ'!A:G,6,false)*E905,)</f>
        <v/>
      </c>
      <c r="H905" s="9" t="str">
        <f t="shared" si="2"/>
        <v/>
      </c>
      <c r="I905" s="10" t="str">
        <f t="shared" si="3"/>
        <v/>
      </c>
      <c r="J905" s="11" t="str">
        <f t="shared" si="4"/>
        <v/>
      </c>
      <c r="K905" s="11" t="str">
        <f>IFERROR(IF(A905&lt;&gt;"",VLOOKUP(B905,'📦 ชื่อสินค้า'!A:F,6,false),""),)</f>
        <v/>
      </c>
      <c r="L905" s="11" t="str">
        <f t="shared" si="5"/>
        <v/>
      </c>
      <c r="M905" s="13"/>
    </row>
    <row r="906">
      <c r="A906" s="15"/>
      <c r="B906" s="6"/>
      <c r="C906" s="14" t="str">
        <f>iferror(vlookup(B906,'📦 ชื่อสินค้า'!A:C,3,false),)</f>
        <v/>
      </c>
      <c r="D906" s="11" t="str">
        <f>iferror(vlookup(B906,'📦 ชื่อสินค้า'!A:D,4,false),"")</f>
        <v/>
      </c>
      <c r="E906" s="16"/>
      <c r="F906" s="8" t="str">
        <f t="shared" si="1"/>
        <v/>
      </c>
      <c r="G906" s="9" t="str">
        <f>IF(LEN(B906)&gt;0,vlookup(B906,'📊 รายงานสินค้าคงเหลือ'!A:G,6,false)*E906,)</f>
        <v/>
      </c>
      <c r="H906" s="9" t="str">
        <f t="shared" si="2"/>
        <v/>
      </c>
      <c r="I906" s="10" t="str">
        <f t="shared" si="3"/>
        <v/>
      </c>
      <c r="J906" s="11" t="str">
        <f t="shared" si="4"/>
        <v/>
      </c>
      <c r="K906" s="11" t="str">
        <f>IFERROR(IF(A906&lt;&gt;"",VLOOKUP(B906,'📦 ชื่อสินค้า'!A:F,6,false),""),)</f>
        <v/>
      </c>
      <c r="L906" s="11" t="str">
        <f t="shared" si="5"/>
        <v/>
      </c>
      <c r="M906" s="13"/>
    </row>
    <row r="907">
      <c r="A907" s="15"/>
      <c r="B907" s="6"/>
      <c r="C907" s="14" t="str">
        <f>iferror(vlookup(B907,'📦 ชื่อสินค้า'!A:C,3,false),)</f>
        <v/>
      </c>
      <c r="D907" s="11" t="str">
        <f>iferror(vlookup(B907,'📦 ชื่อสินค้า'!A:D,4,false),"")</f>
        <v/>
      </c>
      <c r="E907" s="16"/>
      <c r="F907" s="8" t="str">
        <f t="shared" si="1"/>
        <v/>
      </c>
      <c r="G907" s="9" t="str">
        <f>IF(LEN(B907)&gt;0,vlookup(B907,'📊 รายงานสินค้าคงเหลือ'!A:G,6,false)*E907,)</f>
        <v/>
      </c>
      <c r="H907" s="9" t="str">
        <f t="shared" si="2"/>
        <v/>
      </c>
      <c r="I907" s="10" t="str">
        <f t="shared" si="3"/>
        <v/>
      </c>
      <c r="J907" s="11" t="str">
        <f t="shared" si="4"/>
        <v/>
      </c>
      <c r="K907" s="11" t="str">
        <f>IFERROR(IF(A907&lt;&gt;"",VLOOKUP(B907,'📦 ชื่อสินค้า'!A:F,6,false),""),)</f>
        <v/>
      </c>
      <c r="L907" s="11" t="str">
        <f t="shared" si="5"/>
        <v/>
      </c>
      <c r="M907" s="13"/>
    </row>
    <row r="908">
      <c r="A908" s="15"/>
      <c r="B908" s="6"/>
      <c r="C908" s="14" t="str">
        <f>iferror(vlookup(B908,'📦 ชื่อสินค้า'!A:C,3,false),)</f>
        <v/>
      </c>
      <c r="D908" s="11" t="str">
        <f>iferror(vlookup(B908,'📦 ชื่อสินค้า'!A:D,4,false),"")</f>
        <v/>
      </c>
      <c r="E908" s="16"/>
      <c r="F908" s="8" t="str">
        <f t="shared" si="1"/>
        <v/>
      </c>
      <c r="G908" s="9" t="str">
        <f>IF(LEN(B908)&gt;0,vlookup(B908,'📊 รายงานสินค้าคงเหลือ'!A:G,6,false)*E908,)</f>
        <v/>
      </c>
      <c r="H908" s="9" t="str">
        <f t="shared" si="2"/>
        <v/>
      </c>
      <c r="I908" s="10" t="str">
        <f t="shared" si="3"/>
        <v/>
      </c>
      <c r="J908" s="11" t="str">
        <f t="shared" si="4"/>
        <v/>
      </c>
      <c r="K908" s="11" t="str">
        <f>IFERROR(IF(A908&lt;&gt;"",VLOOKUP(B908,'📦 ชื่อสินค้า'!A:F,6,false),""),)</f>
        <v/>
      </c>
      <c r="L908" s="11" t="str">
        <f t="shared" si="5"/>
        <v/>
      </c>
      <c r="M908" s="13"/>
    </row>
    <row r="909">
      <c r="A909" s="15"/>
      <c r="B909" s="6"/>
      <c r="C909" s="14" t="str">
        <f>iferror(vlookup(B909,'📦 ชื่อสินค้า'!A:C,3,false),)</f>
        <v/>
      </c>
      <c r="D909" s="11" t="str">
        <f>iferror(vlookup(B909,'📦 ชื่อสินค้า'!A:D,4,false),"")</f>
        <v/>
      </c>
      <c r="E909" s="16"/>
      <c r="F909" s="8" t="str">
        <f t="shared" si="1"/>
        <v/>
      </c>
      <c r="G909" s="9" t="str">
        <f>IF(LEN(B909)&gt;0,vlookup(B909,'📊 รายงานสินค้าคงเหลือ'!A:G,6,false)*E909,)</f>
        <v/>
      </c>
      <c r="H909" s="9" t="str">
        <f t="shared" si="2"/>
        <v/>
      </c>
      <c r="I909" s="10" t="str">
        <f t="shared" si="3"/>
        <v/>
      </c>
      <c r="J909" s="11" t="str">
        <f t="shared" si="4"/>
        <v/>
      </c>
      <c r="K909" s="11" t="str">
        <f>IFERROR(IF(A909&lt;&gt;"",VLOOKUP(B909,'📦 ชื่อสินค้า'!A:F,6,false),""),)</f>
        <v/>
      </c>
      <c r="L909" s="11" t="str">
        <f t="shared" si="5"/>
        <v/>
      </c>
      <c r="M909" s="13"/>
    </row>
    <row r="910">
      <c r="A910" s="15"/>
      <c r="B910" s="6"/>
      <c r="C910" s="14" t="str">
        <f>iferror(vlookup(B910,'📦 ชื่อสินค้า'!A:C,3,false),)</f>
        <v/>
      </c>
      <c r="D910" s="11" t="str">
        <f>iferror(vlookup(B910,'📦 ชื่อสินค้า'!A:D,4,false),"")</f>
        <v/>
      </c>
      <c r="E910" s="16"/>
      <c r="F910" s="8" t="str">
        <f t="shared" si="1"/>
        <v/>
      </c>
      <c r="G910" s="9" t="str">
        <f>IF(LEN(B910)&gt;0,vlookup(B910,'📊 รายงานสินค้าคงเหลือ'!A:G,6,false)*E910,)</f>
        <v/>
      </c>
      <c r="H910" s="9" t="str">
        <f t="shared" si="2"/>
        <v/>
      </c>
      <c r="I910" s="10" t="str">
        <f t="shared" si="3"/>
        <v/>
      </c>
      <c r="J910" s="11" t="str">
        <f t="shared" si="4"/>
        <v/>
      </c>
      <c r="K910" s="11" t="str">
        <f>IFERROR(IF(A910&lt;&gt;"",VLOOKUP(B910,'📦 ชื่อสินค้า'!A:F,6,false),""),)</f>
        <v/>
      </c>
      <c r="L910" s="11" t="str">
        <f t="shared" si="5"/>
        <v/>
      </c>
      <c r="M910" s="13"/>
    </row>
    <row r="911">
      <c r="A911" s="15"/>
      <c r="B911" s="6"/>
      <c r="C911" s="14" t="str">
        <f>iferror(vlookup(B911,'📦 ชื่อสินค้า'!A:C,3,false),)</f>
        <v/>
      </c>
      <c r="D911" s="11" t="str">
        <f>iferror(vlookup(B911,'📦 ชื่อสินค้า'!A:D,4,false),"")</f>
        <v/>
      </c>
      <c r="E911" s="16"/>
      <c r="F911" s="8" t="str">
        <f t="shared" si="1"/>
        <v/>
      </c>
      <c r="G911" s="9" t="str">
        <f>IF(LEN(B911)&gt;0,vlookup(B911,'📊 รายงานสินค้าคงเหลือ'!A:G,6,false)*E911,)</f>
        <v/>
      </c>
      <c r="H911" s="9" t="str">
        <f t="shared" si="2"/>
        <v/>
      </c>
      <c r="I911" s="10" t="str">
        <f t="shared" si="3"/>
        <v/>
      </c>
      <c r="J911" s="11" t="str">
        <f t="shared" si="4"/>
        <v/>
      </c>
      <c r="K911" s="11" t="str">
        <f>IFERROR(IF(A911&lt;&gt;"",VLOOKUP(B911,'📦 ชื่อสินค้า'!A:F,6,false),""),)</f>
        <v/>
      </c>
      <c r="L911" s="11" t="str">
        <f t="shared" si="5"/>
        <v/>
      </c>
      <c r="M911" s="13"/>
    </row>
    <row r="912">
      <c r="A912" s="15"/>
      <c r="B912" s="6"/>
      <c r="C912" s="14" t="str">
        <f>iferror(vlookup(B912,'📦 ชื่อสินค้า'!A:C,3,false),)</f>
        <v/>
      </c>
      <c r="D912" s="11" t="str">
        <f>iferror(vlookup(B912,'📦 ชื่อสินค้า'!A:D,4,false),"")</f>
        <v/>
      </c>
      <c r="E912" s="16"/>
      <c r="F912" s="8" t="str">
        <f t="shared" si="1"/>
        <v/>
      </c>
      <c r="G912" s="9" t="str">
        <f>IF(LEN(B912)&gt;0,vlookup(B912,'📊 รายงานสินค้าคงเหลือ'!A:G,6,false)*E912,)</f>
        <v/>
      </c>
      <c r="H912" s="9" t="str">
        <f t="shared" si="2"/>
        <v/>
      </c>
      <c r="I912" s="10" t="str">
        <f t="shared" si="3"/>
        <v/>
      </c>
      <c r="J912" s="11" t="str">
        <f t="shared" si="4"/>
        <v/>
      </c>
      <c r="K912" s="11" t="str">
        <f>IFERROR(IF(A912&lt;&gt;"",VLOOKUP(B912,'📦 ชื่อสินค้า'!A:F,6,false),""),)</f>
        <v/>
      </c>
      <c r="L912" s="11" t="str">
        <f t="shared" si="5"/>
        <v/>
      </c>
      <c r="M912" s="13"/>
    </row>
    <row r="913">
      <c r="A913" s="15"/>
      <c r="B913" s="6"/>
      <c r="C913" s="14" t="str">
        <f>iferror(vlookup(B913,'📦 ชื่อสินค้า'!A:C,3,false),)</f>
        <v/>
      </c>
      <c r="D913" s="11" t="str">
        <f>iferror(vlookup(B913,'📦 ชื่อสินค้า'!A:D,4,false),"")</f>
        <v/>
      </c>
      <c r="E913" s="16"/>
      <c r="F913" s="8" t="str">
        <f t="shared" si="1"/>
        <v/>
      </c>
      <c r="G913" s="9" t="str">
        <f>IF(LEN(B913)&gt;0,vlookup(B913,'📊 รายงานสินค้าคงเหลือ'!A:G,6,false)*E913,)</f>
        <v/>
      </c>
      <c r="H913" s="9" t="str">
        <f t="shared" si="2"/>
        <v/>
      </c>
      <c r="I913" s="10" t="str">
        <f t="shared" si="3"/>
        <v/>
      </c>
      <c r="J913" s="11" t="str">
        <f t="shared" si="4"/>
        <v/>
      </c>
      <c r="K913" s="11" t="str">
        <f>IFERROR(IF(A913&lt;&gt;"",VLOOKUP(B913,'📦 ชื่อสินค้า'!A:F,6,false),""),)</f>
        <v/>
      </c>
      <c r="L913" s="11" t="str">
        <f t="shared" si="5"/>
        <v/>
      </c>
      <c r="M913" s="13"/>
    </row>
    <row r="914">
      <c r="A914" s="15"/>
      <c r="B914" s="6"/>
      <c r="C914" s="14" t="str">
        <f>iferror(vlookup(B914,'📦 ชื่อสินค้า'!A:C,3,false),)</f>
        <v/>
      </c>
      <c r="D914" s="11" t="str">
        <f>iferror(vlookup(B914,'📦 ชื่อสินค้า'!A:D,4,false),"")</f>
        <v/>
      </c>
      <c r="E914" s="16"/>
      <c r="F914" s="8" t="str">
        <f t="shared" si="1"/>
        <v/>
      </c>
      <c r="G914" s="9" t="str">
        <f>IF(LEN(B914)&gt;0,vlookup(B914,'📊 รายงานสินค้าคงเหลือ'!A:G,6,false)*E914,)</f>
        <v/>
      </c>
      <c r="H914" s="9" t="str">
        <f t="shared" si="2"/>
        <v/>
      </c>
      <c r="I914" s="10" t="str">
        <f t="shared" si="3"/>
        <v/>
      </c>
      <c r="J914" s="11" t="str">
        <f t="shared" si="4"/>
        <v/>
      </c>
      <c r="K914" s="11" t="str">
        <f>IFERROR(IF(A914&lt;&gt;"",VLOOKUP(B914,'📦 ชื่อสินค้า'!A:F,6,false),""),)</f>
        <v/>
      </c>
      <c r="L914" s="11" t="str">
        <f t="shared" si="5"/>
        <v/>
      </c>
      <c r="M914" s="13"/>
    </row>
    <row r="915">
      <c r="A915" s="15"/>
      <c r="B915" s="6"/>
      <c r="C915" s="14" t="str">
        <f>iferror(vlookup(B915,'📦 ชื่อสินค้า'!A:C,3,false),)</f>
        <v/>
      </c>
      <c r="D915" s="11" t="str">
        <f>iferror(vlookup(B915,'📦 ชื่อสินค้า'!A:D,4,false),"")</f>
        <v/>
      </c>
      <c r="E915" s="16"/>
      <c r="F915" s="8" t="str">
        <f t="shared" si="1"/>
        <v/>
      </c>
      <c r="G915" s="9" t="str">
        <f>IF(LEN(B915)&gt;0,vlookup(B915,'📊 รายงานสินค้าคงเหลือ'!A:G,6,false)*E915,)</f>
        <v/>
      </c>
      <c r="H915" s="9" t="str">
        <f t="shared" si="2"/>
        <v/>
      </c>
      <c r="I915" s="10" t="str">
        <f t="shared" si="3"/>
        <v/>
      </c>
      <c r="J915" s="11" t="str">
        <f t="shared" si="4"/>
        <v/>
      </c>
      <c r="K915" s="11" t="str">
        <f>IFERROR(IF(A915&lt;&gt;"",VLOOKUP(B915,'📦 ชื่อสินค้า'!A:F,6,false),""),)</f>
        <v/>
      </c>
      <c r="L915" s="11" t="str">
        <f t="shared" si="5"/>
        <v/>
      </c>
      <c r="M915" s="13"/>
    </row>
    <row r="916">
      <c r="A916" s="15"/>
      <c r="B916" s="6"/>
      <c r="C916" s="14" t="str">
        <f>iferror(vlookup(B916,'📦 ชื่อสินค้า'!A:C,3,false),)</f>
        <v/>
      </c>
      <c r="D916" s="11" t="str">
        <f>iferror(vlookup(B916,'📦 ชื่อสินค้า'!A:D,4,false),"")</f>
        <v/>
      </c>
      <c r="E916" s="16"/>
      <c r="F916" s="8" t="str">
        <f t="shared" si="1"/>
        <v/>
      </c>
      <c r="G916" s="9" t="str">
        <f>IF(LEN(B916)&gt;0,vlookup(B916,'📊 รายงานสินค้าคงเหลือ'!A:G,6,false)*E916,)</f>
        <v/>
      </c>
      <c r="H916" s="9" t="str">
        <f t="shared" si="2"/>
        <v/>
      </c>
      <c r="I916" s="10" t="str">
        <f t="shared" si="3"/>
        <v/>
      </c>
      <c r="J916" s="11" t="str">
        <f t="shared" si="4"/>
        <v/>
      </c>
      <c r="K916" s="11" t="str">
        <f>IFERROR(IF(A916&lt;&gt;"",VLOOKUP(B916,'📦 ชื่อสินค้า'!A:F,6,false),""),)</f>
        <v/>
      </c>
      <c r="L916" s="11" t="str">
        <f t="shared" si="5"/>
        <v/>
      </c>
      <c r="M916" s="13"/>
    </row>
    <row r="917">
      <c r="A917" s="15"/>
      <c r="B917" s="6"/>
      <c r="C917" s="14" t="str">
        <f>iferror(vlookup(B917,'📦 ชื่อสินค้า'!A:C,3,false),)</f>
        <v/>
      </c>
      <c r="D917" s="11" t="str">
        <f>iferror(vlookup(B917,'📦 ชื่อสินค้า'!A:D,4,false),"")</f>
        <v/>
      </c>
      <c r="E917" s="16"/>
      <c r="F917" s="8" t="str">
        <f t="shared" si="1"/>
        <v/>
      </c>
      <c r="G917" s="9" t="str">
        <f>IF(LEN(B917)&gt;0,vlookup(B917,'📊 รายงานสินค้าคงเหลือ'!A:G,6,false)*E917,)</f>
        <v/>
      </c>
      <c r="H917" s="9" t="str">
        <f t="shared" si="2"/>
        <v/>
      </c>
      <c r="I917" s="10" t="str">
        <f t="shared" si="3"/>
        <v/>
      </c>
      <c r="J917" s="11" t="str">
        <f t="shared" si="4"/>
        <v/>
      </c>
      <c r="K917" s="11" t="str">
        <f>IFERROR(IF(A917&lt;&gt;"",VLOOKUP(B917,'📦 ชื่อสินค้า'!A:F,6,false),""),)</f>
        <v/>
      </c>
      <c r="L917" s="11" t="str">
        <f t="shared" si="5"/>
        <v/>
      </c>
      <c r="M917" s="13"/>
    </row>
    <row r="918">
      <c r="A918" s="15"/>
      <c r="B918" s="6"/>
      <c r="C918" s="14" t="str">
        <f>iferror(vlookup(B918,'📦 ชื่อสินค้า'!A:C,3,false),)</f>
        <v/>
      </c>
      <c r="D918" s="11" t="str">
        <f>iferror(vlookup(B918,'📦 ชื่อสินค้า'!A:D,4,false),"")</f>
        <v/>
      </c>
      <c r="E918" s="16"/>
      <c r="F918" s="8" t="str">
        <f t="shared" si="1"/>
        <v/>
      </c>
      <c r="G918" s="9" t="str">
        <f>IF(LEN(B918)&gt;0,vlookup(B918,'📊 รายงานสินค้าคงเหลือ'!A:G,6,false)*E918,)</f>
        <v/>
      </c>
      <c r="H918" s="9" t="str">
        <f t="shared" si="2"/>
        <v/>
      </c>
      <c r="I918" s="10" t="str">
        <f t="shared" si="3"/>
        <v/>
      </c>
      <c r="J918" s="11" t="str">
        <f t="shared" si="4"/>
        <v/>
      </c>
      <c r="K918" s="11" t="str">
        <f>IFERROR(IF(A918&lt;&gt;"",VLOOKUP(B918,'📦 ชื่อสินค้า'!A:F,6,false),""),)</f>
        <v/>
      </c>
      <c r="L918" s="11" t="str">
        <f t="shared" si="5"/>
        <v/>
      </c>
      <c r="M918" s="13"/>
    </row>
    <row r="919">
      <c r="A919" s="15"/>
      <c r="B919" s="6"/>
      <c r="C919" s="14" t="str">
        <f>iferror(vlookup(B919,'📦 ชื่อสินค้า'!A:C,3,false),)</f>
        <v/>
      </c>
      <c r="D919" s="11" t="str">
        <f>iferror(vlookup(B919,'📦 ชื่อสินค้า'!A:D,4,false),"")</f>
        <v/>
      </c>
      <c r="E919" s="16"/>
      <c r="F919" s="8" t="str">
        <f t="shared" si="1"/>
        <v/>
      </c>
      <c r="G919" s="9" t="str">
        <f>IF(LEN(B919)&gt;0,vlookup(B919,'📊 รายงานสินค้าคงเหลือ'!A:G,6,false)*E919,)</f>
        <v/>
      </c>
      <c r="H919" s="9" t="str">
        <f t="shared" si="2"/>
        <v/>
      </c>
      <c r="I919" s="10" t="str">
        <f t="shared" si="3"/>
        <v/>
      </c>
      <c r="J919" s="11" t="str">
        <f t="shared" si="4"/>
        <v/>
      </c>
      <c r="K919" s="11" t="str">
        <f>IFERROR(IF(A919&lt;&gt;"",VLOOKUP(B919,'📦 ชื่อสินค้า'!A:F,6,false),""),)</f>
        <v/>
      </c>
      <c r="L919" s="11" t="str">
        <f t="shared" si="5"/>
        <v/>
      </c>
      <c r="M919" s="13"/>
    </row>
    <row r="920">
      <c r="A920" s="15"/>
      <c r="B920" s="6"/>
      <c r="C920" s="14" t="str">
        <f>iferror(vlookup(B920,'📦 ชื่อสินค้า'!A:C,3,false),)</f>
        <v/>
      </c>
      <c r="D920" s="11" t="str">
        <f>iferror(vlookup(B920,'📦 ชื่อสินค้า'!A:D,4,false),"")</f>
        <v/>
      </c>
      <c r="E920" s="16"/>
      <c r="F920" s="8" t="str">
        <f t="shared" si="1"/>
        <v/>
      </c>
      <c r="G920" s="9" t="str">
        <f>IF(LEN(B920)&gt;0,vlookup(B920,'📊 รายงานสินค้าคงเหลือ'!A:G,6,false)*E920,)</f>
        <v/>
      </c>
      <c r="H920" s="9" t="str">
        <f t="shared" si="2"/>
        <v/>
      </c>
      <c r="I920" s="10" t="str">
        <f t="shared" si="3"/>
        <v/>
      </c>
      <c r="J920" s="11" t="str">
        <f t="shared" si="4"/>
        <v/>
      </c>
      <c r="K920" s="11" t="str">
        <f>IFERROR(IF(A920&lt;&gt;"",VLOOKUP(B920,'📦 ชื่อสินค้า'!A:F,6,false),""),)</f>
        <v/>
      </c>
      <c r="L920" s="11" t="str">
        <f t="shared" si="5"/>
        <v/>
      </c>
      <c r="M920" s="13"/>
    </row>
    <row r="921">
      <c r="A921" s="15"/>
      <c r="B921" s="6"/>
      <c r="C921" s="14" t="str">
        <f>iferror(vlookup(B921,'📦 ชื่อสินค้า'!A:C,3,false),)</f>
        <v/>
      </c>
      <c r="D921" s="11" t="str">
        <f>iferror(vlookup(B921,'📦 ชื่อสินค้า'!A:D,4,false),"")</f>
        <v/>
      </c>
      <c r="E921" s="16"/>
      <c r="F921" s="8" t="str">
        <f t="shared" si="1"/>
        <v/>
      </c>
      <c r="G921" s="9" t="str">
        <f>IF(LEN(B921)&gt;0,vlookup(B921,'📊 รายงานสินค้าคงเหลือ'!A:G,6,false)*E921,)</f>
        <v/>
      </c>
      <c r="H921" s="9" t="str">
        <f t="shared" si="2"/>
        <v/>
      </c>
      <c r="I921" s="10" t="str">
        <f t="shared" si="3"/>
        <v/>
      </c>
      <c r="J921" s="11" t="str">
        <f t="shared" si="4"/>
        <v/>
      </c>
      <c r="K921" s="11" t="str">
        <f>IFERROR(IF(A921&lt;&gt;"",VLOOKUP(B921,'📦 ชื่อสินค้า'!A:F,6,false),""),)</f>
        <v/>
      </c>
      <c r="L921" s="11" t="str">
        <f t="shared" si="5"/>
        <v/>
      </c>
      <c r="M921" s="13"/>
    </row>
    <row r="922">
      <c r="A922" s="15"/>
      <c r="B922" s="6"/>
      <c r="C922" s="14" t="str">
        <f>iferror(vlookup(B922,'📦 ชื่อสินค้า'!A:C,3,false),)</f>
        <v/>
      </c>
      <c r="D922" s="11" t="str">
        <f>iferror(vlookup(B922,'📦 ชื่อสินค้า'!A:D,4,false),"")</f>
        <v/>
      </c>
      <c r="E922" s="16"/>
      <c r="F922" s="8" t="str">
        <f t="shared" si="1"/>
        <v/>
      </c>
      <c r="G922" s="9" t="str">
        <f>IF(LEN(B922)&gt;0,vlookup(B922,'📊 รายงานสินค้าคงเหลือ'!A:G,6,false)*E922,)</f>
        <v/>
      </c>
      <c r="H922" s="9" t="str">
        <f t="shared" si="2"/>
        <v/>
      </c>
      <c r="I922" s="10" t="str">
        <f t="shared" si="3"/>
        <v/>
      </c>
      <c r="J922" s="11" t="str">
        <f t="shared" si="4"/>
        <v/>
      </c>
      <c r="K922" s="11" t="str">
        <f>IFERROR(IF(A922&lt;&gt;"",VLOOKUP(B922,'📦 ชื่อสินค้า'!A:F,6,false),""),)</f>
        <v/>
      </c>
      <c r="L922" s="11" t="str">
        <f t="shared" si="5"/>
        <v/>
      </c>
      <c r="M922" s="13"/>
    </row>
    <row r="923">
      <c r="A923" s="15"/>
      <c r="B923" s="6"/>
      <c r="C923" s="14" t="str">
        <f>iferror(vlookup(B923,'📦 ชื่อสินค้า'!A:C,3,false),)</f>
        <v/>
      </c>
      <c r="D923" s="11" t="str">
        <f>iferror(vlookup(B923,'📦 ชื่อสินค้า'!A:D,4,false),"")</f>
        <v/>
      </c>
      <c r="E923" s="16"/>
      <c r="F923" s="8" t="str">
        <f t="shared" si="1"/>
        <v/>
      </c>
      <c r="G923" s="9" t="str">
        <f>IF(LEN(B923)&gt;0,vlookup(B923,'📊 รายงานสินค้าคงเหลือ'!A:G,6,false)*E923,)</f>
        <v/>
      </c>
      <c r="H923" s="9" t="str">
        <f t="shared" si="2"/>
        <v/>
      </c>
      <c r="I923" s="10" t="str">
        <f t="shared" si="3"/>
        <v/>
      </c>
      <c r="J923" s="11" t="str">
        <f t="shared" si="4"/>
        <v/>
      </c>
      <c r="K923" s="11" t="str">
        <f>IFERROR(IF(A923&lt;&gt;"",VLOOKUP(B923,'📦 ชื่อสินค้า'!A:F,6,false),""),)</f>
        <v/>
      </c>
      <c r="L923" s="11" t="str">
        <f t="shared" si="5"/>
        <v/>
      </c>
      <c r="M923" s="13"/>
    </row>
    <row r="924">
      <c r="A924" s="15"/>
      <c r="B924" s="6"/>
      <c r="C924" s="14" t="str">
        <f>iferror(vlookup(B924,'📦 ชื่อสินค้า'!A:C,3,false),)</f>
        <v/>
      </c>
      <c r="D924" s="11" t="str">
        <f>iferror(vlookup(B924,'📦 ชื่อสินค้า'!A:D,4,false),"")</f>
        <v/>
      </c>
      <c r="E924" s="16"/>
      <c r="F924" s="8" t="str">
        <f t="shared" si="1"/>
        <v/>
      </c>
      <c r="G924" s="9" t="str">
        <f>IF(LEN(B924)&gt;0,vlookup(B924,'📊 รายงานสินค้าคงเหลือ'!A:G,6,false)*E924,)</f>
        <v/>
      </c>
      <c r="H924" s="9" t="str">
        <f t="shared" si="2"/>
        <v/>
      </c>
      <c r="I924" s="10" t="str">
        <f t="shared" si="3"/>
        <v/>
      </c>
      <c r="J924" s="11" t="str">
        <f t="shared" si="4"/>
        <v/>
      </c>
      <c r="K924" s="11" t="str">
        <f>IFERROR(IF(A924&lt;&gt;"",VLOOKUP(B924,'📦 ชื่อสินค้า'!A:F,6,false),""),)</f>
        <v/>
      </c>
      <c r="L924" s="11" t="str">
        <f t="shared" si="5"/>
        <v/>
      </c>
      <c r="M924" s="13"/>
    </row>
    <row r="925">
      <c r="A925" s="15"/>
      <c r="B925" s="6"/>
      <c r="C925" s="14" t="str">
        <f>iferror(vlookup(B925,'📦 ชื่อสินค้า'!A:C,3,false),)</f>
        <v/>
      </c>
      <c r="D925" s="11" t="str">
        <f>iferror(vlookup(B925,'📦 ชื่อสินค้า'!A:D,4,false),"")</f>
        <v/>
      </c>
      <c r="E925" s="16"/>
      <c r="F925" s="8" t="str">
        <f t="shared" si="1"/>
        <v/>
      </c>
      <c r="G925" s="9" t="str">
        <f>IF(LEN(B925)&gt;0,vlookup(B925,'📊 รายงานสินค้าคงเหลือ'!A:G,6,false)*E925,)</f>
        <v/>
      </c>
      <c r="H925" s="9" t="str">
        <f t="shared" si="2"/>
        <v/>
      </c>
      <c r="I925" s="10" t="str">
        <f t="shared" si="3"/>
        <v/>
      </c>
      <c r="J925" s="11" t="str">
        <f t="shared" si="4"/>
        <v/>
      </c>
      <c r="K925" s="11" t="str">
        <f>IFERROR(IF(A925&lt;&gt;"",VLOOKUP(B925,'📦 ชื่อสินค้า'!A:F,6,false),""),)</f>
        <v/>
      </c>
      <c r="L925" s="11" t="str">
        <f t="shared" si="5"/>
        <v/>
      </c>
      <c r="M925" s="13"/>
    </row>
    <row r="926">
      <c r="A926" s="15"/>
      <c r="B926" s="6"/>
      <c r="C926" s="14" t="str">
        <f>iferror(vlookup(B926,'📦 ชื่อสินค้า'!A:C,3,false),)</f>
        <v/>
      </c>
      <c r="D926" s="11" t="str">
        <f>iferror(vlookup(B926,'📦 ชื่อสินค้า'!A:D,4,false),"")</f>
        <v/>
      </c>
      <c r="E926" s="16"/>
      <c r="F926" s="8" t="str">
        <f t="shared" si="1"/>
        <v/>
      </c>
      <c r="G926" s="9" t="str">
        <f>IF(LEN(B926)&gt;0,vlookup(B926,'📊 รายงานสินค้าคงเหลือ'!A:G,6,false)*E926,)</f>
        <v/>
      </c>
      <c r="H926" s="9" t="str">
        <f t="shared" si="2"/>
        <v/>
      </c>
      <c r="I926" s="10" t="str">
        <f t="shared" si="3"/>
        <v/>
      </c>
      <c r="J926" s="11" t="str">
        <f t="shared" si="4"/>
        <v/>
      </c>
      <c r="K926" s="11" t="str">
        <f>IFERROR(IF(A926&lt;&gt;"",VLOOKUP(B926,'📦 ชื่อสินค้า'!A:F,6,false),""),)</f>
        <v/>
      </c>
      <c r="L926" s="11" t="str">
        <f t="shared" si="5"/>
        <v/>
      </c>
      <c r="M926" s="13"/>
    </row>
    <row r="927">
      <c r="A927" s="15"/>
      <c r="B927" s="6"/>
      <c r="C927" s="14" t="str">
        <f>iferror(vlookup(B927,'📦 ชื่อสินค้า'!A:C,3,false),)</f>
        <v/>
      </c>
      <c r="D927" s="11" t="str">
        <f>iferror(vlookup(B927,'📦 ชื่อสินค้า'!A:D,4,false),"")</f>
        <v/>
      </c>
      <c r="E927" s="16"/>
      <c r="F927" s="8" t="str">
        <f t="shared" si="1"/>
        <v/>
      </c>
      <c r="G927" s="9" t="str">
        <f>IF(LEN(B927)&gt;0,vlookup(B927,'📊 รายงานสินค้าคงเหลือ'!A:G,6,false)*E927,)</f>
        <v/>
      </c>
      <c r="H927" s="9" t="str">
        <f t="shared" si="2"/>
        <v/>
      </c>
      <c r="I927" s="10" t="str">
        <f t="shared" si="3"/>
        <v/>
      </c>
      <c r="J927" s="11" t="str">
        <f t="shared" si="4"/>
        <v/>
      </c>
      <c r="K927" s="11" t="str">
        <f>IFERROR(IF(A927&lt;&gt;"",VLOOKUP(B927,'📦 ชื่อสินค้า'!A:F,6,false),""),)</f>
        <v/>
      </c>
      <c r="L927" s="11" t="str">
        <f t="shared" si="5"/>
        <v/>
      </c>
      <c r="M927" s="13"/>
    </row>
    <row r="928">
      <c r="A928" s="15"/>
      <c r="B928" s="6"/>
      <c r="C928" s="14" t="str">
        <f>iferror(vlookup(B928,'📦 ชื่อสินค้า'!A:C,3,false),)</f>
        <v/>
      </c>
      <c r="D928" s="11" t="str">
        <f>iferror(vlookup(B928,'📦 ชื่อสินค้า'!A:D,4,false),"")</f>
        <v/>
      </c>
      <c r="E928" s="16"/>
      <c r="F928" s="8" t="str">
        <f t="shared" si="1"/>
        <v/>
      </c>
      <c r="G928" s="9" t="str">
        <f>IF(LEN(B928)&gt;0,vlookup(B928,'📊 รายงานสินค้าคงเหลือ'!A:G,6,false)*E928,)</f>
        <v/>
      </c>
      <c r="H928" s="9" t="str">
        <f t="shared" si="2"/>
        <v/>
      </c>
      <c r="I928" s="10" t="str">
        <f t="shared" si="3"/>
        <v/>
      </c>
      <c r="J928" s="11" t="str">
        <f t="shared" si="4"/>
        <v/>
      </c>
      <c r="K928" s="11" t="str">
        <f>IFERROR(IF(A928&lt;&gt;"",VLOOKUP(B928,'📦 ชื่อสินค้า'!A:F,6,false),""),)</f>
        <v/>
      </c>
      <c r="L928" s="11" t="str">
        <f t="shared" si="5"/>
        <v/>
      </c>
      <c r="M928" s="13"/>
    </row>
    <row r="929">
      <c r="A929" s="15"/>
      <c r="B929" s="6"/>
      <c r="C929" s="14" t="str">
        <f>iferror(vlookup(B929,'📦 ชื่อสินค้า'!A:C,3,false),)</f>
        <v/>
      </c>
      <c r="D929" s="11" t="str">
        <f>iferror(vlookup(B929,'📦 ชื่อสินค้า'!A:D,4,false),"")</f>
        <v/>
      </c>
      <c r="E929" s="16"/>
      <c r="F929" s="8" t="str">
        <f t="shared" si="1"/>
        <v/>
      </c>
      <c r="G929" s="9" t="str">
        <f>IF(LEN(B929)&gt;0,vlookup(B929,'📊 รายงานสินค้าคงเหลือ'!A:G,6,false)*E929,)</f>
        <v/>
      </c>
      <c r="H929" s="9" t="str">
        <f t="shared" si="2"/>
        <v/>
      </c>
      <c r="I929" s="10" t="str">
        <f t="shared" si="3"/>
        <v/>
      </c>
      <c r="J929" s="11" t="str">
        <f t="shared" si="4"/>
        <v/>
      </c>
      <c r="K929" s="11" t="str">
        <f>IFERROR(IF(A929&lt;&gt;"",VLOOKUP(B929,'📦 ชื่อสินค้า'!A:F,6,false),""),)</f>
        <v/>
      </c>
      <c r="L929" s="11" t="str">
        <f t="shared" si="5"/>
        <v/>
      </c>
      <c r="M929" s="13"/>
    </row>
    <row r="930">
      <c r="A930" s="15"/>
      <c r="B930" s="6"/>
      <c r="C930" s="14" t="str">
        <f>iferror(vlookup(B930,'📦 ชื่อสินค้า'!A:C,3,false),)</f>
        <v/>
      </c>
      <c r="D930" s="11" t="str">
        <f>iferror(vlookup(B930,'📦 ชื่อสินค้า'!A:D,4,false),"")</f>
        <v/>
      </c>
      <c r="E930" s="16"/>
      <c r="F930" s="8" t="str">
        <f t="shared" si="1"/>
        <v/>
      </c>
      <c r="G930" s="9" t="str">
        <f>IF(LEN(B930)&gt;0,vlookup(B930,'📊 รายงานสินค้าคงเหลือ'!A:G,6,false)*E930,)</f>
        <v/>
      </c>
      <c r="H930" s="9" t="str">
        <f t="shared" si="2"/>
        <v/>
      </c>
      <c r="I930" s="10" t="str">
        <f t="shared" si="3"/>
        <v/>
      </c>
      <c r="J930" s="11" t="str">
        <f t="shared" si="4"/>
        <v/>
      </c>
      <c r="K930" s="11" t="str">
        <f>IFERROR(IF(A930&lt;&gt;"",VLOOKUP(B930,'📦 ชื่อสินค้า'!A:F,6,false),""),)</f>
        <v/>
      </c>
      <c r="L930" s="11" t="str">
        <f t="shared" si="5"/>
        <v/>
      </c>
      <c r="M930" s="13"/>
    </row>
    <row r="931">
      <c r="A931" s="15"/>
      <c r="B931" s="6"/>
      <c r="C931" s="14" t="str">
        <f>iferror(vlookup(B931,'📦 ชื่อสินค้า'!A:C,3,false),)</f>
        <v/>
      </c>
      <c r="D931" s="11" t="str">
        <f>iferror(vlookup(B931,'📦 ชื่อสินค้า'!A:D,4,false),"")</f>
        <v/>
      </c>
      <c r="E931" s="16"/>
      <c r="F931" s="8" t="str">
        <f t="shared" si="1"/>
        <v/>
      </c>
      <c r="G931" s="9" t="str">
        <f>IF(LEN(B931)&gt;0,vlookup(B931,'📊 รายงานสินค้าคงเหลือ'!A:G,6,false)*E931,)</f>
        <v/>
      </c>
      <c r="H931" s="9" t="str">
        <f t="shared" si="2"/>
        <v/>
      </c>
      <c r="I931" s="10" t="str">
        <f t="shared" si="3"/>
        <v/>
      </c>
      <c r="J931" s="11" t="str">
        <f t="shared" si="4"/>
        <v/>
      </c>
      <c r="K931" s="11" t="str">
        <f>IFERROR(IF(A931&lt;&gt;"",VLOOKUP(B931,'📦 ชื่อสินค้า'!A:F,6,false),""),)</f>
        <v/>
      </c>
      <c r="L931" s="11" t="str">
        <f t="shared" si="5"/>
        <v/>
      </c>
      <c r="M931" s="13"/>
    </row>
    <row r="932">
      <c r="A932" s="15"/>
      <c r="B932" s="6"/>
      <c r="C932" s="14" t="str">
        <f>iferror(vlookup(B932,'📦 ชื่อสินค้า'!A:C,3,false),)</f>
        <v/>
      </c>
      <c r="D932" s="11" t="str">
        <f>iferror(vlookup(B932,'📦 ชื่อสินค้า'!A:D,4,false),"")</f>
        <v/>
      </c>
      <c r="E932" s="16"/>
      <c r="F932" s="8" t="str">
        <f t="shared" si="1"/>
        <v/>
      </c>
      <c r="G932" s="9" t="str">
        <f>IF(LEN(B932)&gt;0,vlookup(B932,'📊 รายงานสินค้าคงเหลือ'!A:G,6,false)*E932,)</f>
        <v/>
      </c>
      <c r="H932" s="9" t="str">
        <f t="shared" si="2"/>
        <v/>
      </c>
      <c r="I932" s="10" t="str">
        <f t="shared" si="3"/>
        <v/>
      </c>
      <c r="J932" s="11" t="str">
        <f t="shared" si="4"/>
        <v/>
      </c>
      <c r="K932" s="11" t="str">
        <f>IFERROR(IF(A932&lt;&gt;"",VLOOKUP(B932,'📦 ชื่อสินค้า'!A:F,6,false),""),)</f>
        <v/>
      </c>
      <c r="L932" s="11" t="str">
        <f t="shared" si="5"/>
        <v/>
      </c>
      <c r="M932" s="13"/>
    </row>
    <row r="933">
      <c r="A933" s="15"/>
      <c r="B933" s="6"/>
      <c r="C933" s="14" t="str">
        <f>iferror(vlookup(B933,'📦 ชื่อสินค้า'!A:C,3,false),)</f>
        <v/>
      </c>
      <c r="D933" s="11" t="str">
        <f>iferror(vlookup(B933,'📦 ชื่อสินค้า'!A:D,4,false),"")</f>
        <v/>
      </c>
      <c r="E933" s="16"/>
      <c r="F933" s="8" t="str">
        <f t="shared" si="1"/>
        <v/>
      </c>
      <c r="G933" s="9" t="str">
        <f>IF(LEN(B933)&gt;0,vlookup(B933,'📊 รายงานสินค้าคงเหลือ'!A:G,6,false)*E933,)</f>
        <v/>
      </c>
      <c r="H933" s="9" t="str">
        <f t="shared" si="2"/>
        <v/>
      </c>
      <c r="I933" s="10" t="str">
        <f t="shared" si="3"/>
        <v/>
      </c>
      <c r="J933" s="11" t="str">
        <f t="shared" si="4"/>
        <v/>
      </c>
      <c r="K933" s="11" t="str">
        <f>IFERROR(IF(A933&lt;&gt;"",VLOOKUP(B933,'📦 ชื่อสินค้า'!A:F,6,false),""),)</f>
        <v/>
      </c>
      <c r="L933" s="11" t="str">
        <f t="shared" si="5"/>
        <v/>
      </c>
      <c r="M933" s="13"/>
    </row>
    <row r="934">
      <c r="A934" s="15"/>
      <c r="B934" s="6"/>
      <c r="C934" s="14" t="str">
        <f>iferror(vlookup(B934,'📦 ชื่อสินค้า'!A:C,3,false),)</f>
        <v/>
      </c>
      <c r="D934" s="11" t="str">
        <f>iferror(vlookup(B934,'📦 ชื่อสินค้า'!A:D,4,false),"")</f>
        <v/>
      </c>
      <c r="E934" s="16"/>
      <c r="F934" s="8" t="str">
        <f t="shared" si="1"/>
        <v/>
      </c>
      <c r="G934" s="9" t="str">
        <f>IF(LEN(B934)&gt;0,vlookup(B934,'📊 รายงานสินค้าคงเหลือ'!A:G,6,false)*E934,)</f>
        <v/>
      </c>
      <c r="H934" s="9" t="str">
        <f t="shared" si="2"/>
        <v/>
      </c>
      <c r="I934" s="10" t="str">
        <f t="shared" si="3"/>
        <v/>
      </c>
      <c r="J934" s="11" t="str">
        <f t="shared" si="4"/>
        <v/>
      </c>
      <c r="K934" s="11" t="str">
        <f>IFERROR(IF(A934&lt;&gt;"",VLOOKUP(B934,'📦 ชื่อสินค้า'!A:F,6,false),""),)</f>
        <v/>
      </c>
      <c r="L934" s="11" t="str">
        <f t="shared" si="5"/>
        <v/>
      </c>
      <c r="M934" s="13"/>
    </row>
    <row r="935">
      <c r="A935" s="15"/>
      <c r="B935" s="6"/>
      <c r="C935" s="14" t="str">
        <f>iferror(vlookup(B935,'📦 ชื่อสินค้า'!A:C,3,false),)</f>
        <v/>
      </c>
      <c r="D935" s="11" t="str">
        <f>iferror(vlookup(B935,'📦 ชื่อสินค้า'!A:D,4,false),"")</f>
        <v/>
      </c>
      <c r="E935" s="16"/>
      <c r="F935" s="8" t="str">
        <f t="shared" si="1"/>
        <v/>
      </c>
      <c r="G935" s="9" t="str">
        <f>IF(LEN(B935)&gt;0,vlookup(B935,'📊 รายงานสินค้าคงเหลือ'!A:G,6,false)*E935,)</f>
        <v/>
      </c>
      <c r="H935" s="9" t="str">
        <f t="shared" si="2"/>
        <v/>
      </c>
      <c r="I935" s="10" t="str">
        <f t="shared" si="3"/>
        <v/>
      </c>
      <c r="J935" s="11" t="str">
        <f t="shared" si="4"/>
        <v/>
      </c>
      <c r="K935" s="11" t="str">
        <f>IFERROR(IF(A935&lt;&gt;"",VLOOKUP(B935,'📦 ชื่อสินค้า'!A:F,6,false),""),)</f>
        <v/>
      </c>
      <c r="L935" s="11" t="str">
        <f t="shared" si="5"/>
        <v/>
      </c>
      <c r="M935" s="13"/>
    </row>
    <row r="936">
      <c r="A936" s="15"/>
      <c r="B936" s="6"/>
      <c r="C936" s="14" t="str">
        <f>iferror(vlookup(B936,'📦 ชื่อสินค้า'!A:C,3,false),)</f>
        <v/>
      </c>
      <c r="D936" s="11" t="str">
        <f>iferror(vlookup(B936,'📦 ชื่อสินค้า'!A:D,4,false),"")</f>
        <v/>
      </c>
      <c r="E936" s="16"/>
      <c r="F936" s="8" t="str">
        <f t="shared" si="1"/>
        <v/>
      </c>
      <c r="G936" s="9" t="str">
        <f>IF(LEN(B936)&gt;0,vlookup(B936,'📊 รายงานสินค้าคงเหลือ'!A:G,6,false)*E936,)</f>
        <v/>
      </c>
      <c r="H936" s="9" t="str">
        <f t="shared" si="2"/>
        <v/>
      </c>
      <c r="I936" s="10" t="str">
        <f t="shared" si="3"/>
        <v/>
      </c>
      <c r="J936" s="11" t="str">
        <f t="shared" si="4"/>
        <v/>
      </c>
      <c r="K936" s="11" t="str">
        <f>IFERROR(IF(A936&lt;&gt;"",VLOOKUP(B936,'📦 ชื่อสินค้า'!A:F,6,false),""),)</f>
        <v/>
      </c>
      <c r="L936" s="11" t="str">
        <f t="shared" si="5"/>
        <v/>
      </c>
      <c r="M936" s="13"/>
    </row>
    <row r="937">
      <c r="A937" s="15"/>
      <c r="B937" s="6"/>
      <c r="C937" s="14" t="str">
        <f>iferror(vlookup(B937,'📦 ชื่อสินค้า'!A:C,3,false),)</f>
        <v/>
      </c>
      <c r="D937" s="11" t="str">
        <f>iferror(vlookup(B937,'📦 ชื่อสินค้า'!A:D,4,false),"")</f>
        <v/>
      </c>
      <c r="E937" s="16"/>
      <c r="F937" s="8" t="str">
        <f t="shared" si="1"/>
        <v/>
      </c>
      <c r="G937" s="9" t="str">
        <f>IF(LEN(B937)&gt;0,vlookup(B937,'📊 รายงานสินค้าคงเหลือ'!A:G,6,false)*E937,)</f>
        <v/>
      </c>
      <c r="H937" s="9" t="str">
        <f t="shared" si="2"/>
        <v/>
      </c>
      <c r="I937" s="10" t="str">
        <f t="shared" si="3"/>
        <v/>
      </c>
      <c r="J937" s="11" t="str">
        <f t="shared" si="4"/>
        <v/>
      </c>
      <c r="K937" s="11" t="str">
        <f>IFERROR(IF(A937&lt;&gt;"",VLOOKUP(B937,'📦 ชื่อสินค้า'!A:F,6,false),""),)</f>
        <v/>
      </c>
      <c r="L937" s="11" t="str">
        <f t="shared" si="5"/>
        <v/>
      </c>
      <c r="M937" s="13"/>
    </row>
    <row r="938">
      <c r="A938" s="15"/>
      <c r="B938" s="6"/>
      <c r="C938" s="14" t="str">
        <f>iferror(vlookup(B938,'📦 ชื่อสินค้า'!A:C,3,false),)</f>
        <v/>
      </c>
      <c r="D938" s="11" t="str">
        <f>iferror(vlookup(B938,'📦 ชื่อสินค้า'!A:D,4,false),"")</f>
        <v/>
      </c>
      <c r="E938" s="16"/>
      <c r="F938" s="8" t="str">
        <f t="shared" si="1"/>
        <v/>
      </c>
      <c r="G938" s="9" t="str">
        <f>IF(LEN(B938)&gt;0,vlookup(B938,'📊 รายงานสินค้าคงเหลือ'!A:G,6,false)*E938,)</f>
        <v/>
      </c>
      <c r="H938" s="9" t="str">
        <f t="shared" si="2"/>
        <v/>
      </c>
      <c r="I938" s="10" t="str">
        <f t="shared" si="3"/>
        <v/>
      </c>
      <c r="J938" s="11" t="str">
        <f t="shared" si="4"/>
        <v/>
      </c>
      <c r="K938" s="11" t="str">
        <f>IFERROR(IF(A938&lt;&gt;"",VLOOKUP(B938,'📦 ชื่อสินค้า'!A:F,6,false),""),)</f>
        <v/>
      </c>
      <c r="L938" s="11" t="str">
        <f t="shared" si="5"/>
        <v/>
      </c>
      <c r="M938" s="13"/>
    </row>
    <row r="939">
      <c r="A939" s="15"/>
      <c r="B939" s="6"/>
      <c r="C939" s="14" t="str">
        <f>iferror(vlookup(B939,'📦 ชื่อสินค้า'!A:C,3,false),)</f>
        <v/>
      </c>
      <c r="D939" s="11" t="str">
        <f>iferror(vlookup(B939,'📦 ชื่อสินค้า'!A:D,4,false),"")</f>
        <v/>
      </c>
      <c r="E939" s="16"/>
      <c r="F939" s="8" t="str">
        <f t="shared" si="1"/>
        <v/>
      </c>
      <c r="G939" s="9" t="str">
        <f>IF(LEN(B939)&gt;0,vlookup(B939,'📊 รายงานสินค้าคงเหลือ'!A:G,6,false)*E939,)</f>
        <v/>
      </c>
      <c r="H939" s="9" t="str">
        <f t="shared" si="2"/>
        <v/>
      </c>
      <c r="I939" s="10" t="str">
        <f t="shared" si="3"/>
        <v/>
      </c>
      <c r="J939" s="11" t="str">
        <f t="shared" si="4"/>
        <v/>
      </c>
      <c r="K939" s="11" t="str">
        <f>IFERROR(IF(A939&lt;&gt;"",VLOOKUP(B939,'📦 ชื่อสินค้า'!A:F,6,false),""),)</f>
        <v/>
      </c>
      <c r="L939" s="11" t="str">
        <f t="shared" si="5"/>
        <v/>
      </c>
      <c r="M939" s="13"/>
    </row>
    <row r="940">
      <c r="A940" s="15"/>
      <c r="B940" s="6"/>
      <c r="C940" s="14" t="str">
        <f>iferror(vlookup(B940,'📦 ชื่อสินค้า'!A:C,3,false),)</f>
        <v/>
      </c>
      <c r="D940" s="11" t="str">
        <f>iferror(vlookup(B940,'📦 ชื่อสินค้า'!A:D,4,false),"")</f>
        <v/>
      </c>
      <c r="E940" s="16"/>
      <c r="F940" s="8" t="str">
        <f t="shared" si="1"/>
        <v/>
      </c>
      <c r="G940" s="9" t="str">
        <f>IF(LEN(B940)&gt;0,vlookup(B940,'📊 รายงานสินค้าคงเหลือ'!A:G,6,false)*E940,)</f>
        <v/>
      </c>
      <c r="H940" s="9" t="str">
        <f t="shared" si="2"/>
        <v/>
      </c>
      <c r="I940" s="10" t="str">
        <f t="shared" si="3"/>
        <v/>
      </c>
      <c r="J940" s="11" t="str">
        <f t="shared" si="4"/>
        <v/>
      </c>
      <c r="K940" s="11" t="str">
        <f>IFERROR(IF(A940&lt;&gt;"",VLOOKUP(B940,'📦 ชื่อสินค้า'!A:F,6,false),""),)</f>
        <v/>
      </c>
      <c r="L940" s="11" t="str">
        <f t="shared" si="5"/>
        <v/>
      </c>
      <c r="M940" s="13"/>
    </row>
    <row r="941">
      <c r="A941" s="15"/>
      <c r="B941" s="6"/>
      <c r="C941" s="14" t="str">
        <f>iferror(vlookup(B941,'📦 ชื่อสินค้า'!A:C,3,false),)</f>
        <v/>
      </c>
      <c r="D941" s="11" t="str">
        <f>iferror(vlookup(B941,'📦 ชื่อสินค้า'!A:D,4,false),"")</f>
        <v/>
      </c>
      <c r="E941" s="16"/>
      <c r="F941" s="8" t="str">
        <f t="shared" si="1"/>
        <v/>
      </c>
      <c r="G941" s="9" t="str">
        <f>IF(LEN(B941)&gt;0,vlookup(B941,'📊 รายงานสินค้าคงเหลือ'!A:G,6,false)*E941,)</f>
        <v/>
      </c>
      <c r="H941" s="9" t="str">
        <f t="shared" si="2"/>
        <v/>
      </c>
      <c r="I941" s="10" t="str">
        <f t="shared" si="3"/>
        <v/>
      </c>
      <c r="J941" s="11" t="str">
        <f t="shared" si="4"/>
        <v/>
      </c>
      <c r="K941" s="11" t="str">
        <f>IFERROR(IF(A941&lt;&gt;"",VLOOKUP(B941,'📦 ชื่อสินค้า'!A:F,6,false),""),)</f>
        <v/>
      </c>
      <c r="L941" s="11" t="str">
        <f t="shared" si="5"/>
        <v/>
      </c>
      <c r="M941" s="13"/>
    </row>
    <row r="942">
      <c r="A942" s="15"/>
      <c r="B942" s="6"/>
      <c r="C942" s="14" t="str">
        <f>iferror(vlookup(B942,'📦 ชื่อสินค้า'!A:C,3,false),)</f>
        <v/>
      </c>
      <c r="D942" s="11" t="str">
        <f>iferror(vlookup(B942,'📦 ชื่อสินค้า'!A:D,4,false),"")</f>
        <v/>
      </c>
      <c r="E942" s="16"/>
      <c r="F942" s="8" t="str">
        <f t="shared" si="1"/>
        <v/>
      </c>
      <c r="G942" s="9" t="str">
        <f>IF(LEN(B942)&gt;0,vlookup(B942,'📊 รายงานสินค้าคงเหลือ'!A:G,6,false)*E942,)</f>
        <v/>
      </c>
      <c r="H942" s="9" t="str">
        <f t="shared" si="2"/>
        <v/>
      </c>
      <c r="I942" s="10" t="str">
        <f t="shared" si="3"/>
        <v/>
      </c>
      <c r="J942" s="11" t="str">
        <f t="shared" si="4"/>
        <v/>
      </c>
      <c r="K942" s="11" t="str">
        <f>IFERROR(IF(A942&lt;&gt;"",VLOOKUP(B942,'📦 ชื่อสินค้า'!A:F,6,false),""),)</f>
        <v/>
      </c>
      <c r="L942" s="11" t="str">
        <f t="shared" si="5"/>
        <v/>
      </c>
      <c r="M942" s="13"/>
    </row>
    <row r="943">
      <c r="A943" s="15"/>
      <c r="B943" s="6"/>
      <c r="C943" s="14" t="str">
        <f>iferror(vlookup(B943,'📦 ชื่อสินค้า'!A:C,3,false),)</f>
        <v/>
      </c>
      <c r="D943" s="11" t="str">
        <f>iferror(vlookup(B943,'📦 ชื่อสินค้า'!A:D,4,false),"")</f>
        <v/>
      </c>
      <c r="E943" s="16"/>
      <c r="F943" s="8" t="str">
        <f t="shared" si="1"/>
        <v/>
      </c>
      <c r="G943" s="9" t="str">
        <f>IF(LEN(B943)&gt;0,vlookup(B943,'📊 รายงานสินค้าคงเหลือ'!A:G,6,false)*E943,)</f>
        <v/>
      </c>
      <c r="H943" s="9" t="str">
        <f t="shared" si="2"/>
        <v/>
      </c>
      <c r="I943" s="10" t="str">
        <f t="shared" si="3"/>
        <v/>
      </c>
      <c r="J943" s="11" t="str">
        <f t="shared" si="4"/>
        <v/>
      </c>
      <c r="K943" s="11" t="str">
        <f>IFERROR(IF(A943&lt;&gt;"",VLOOKUP(B943,'📦 ชื่อสินค้า'!A:F,6,false),""),)</f>
        <v/>
      </c>
      <c r="L943" s="11" t="str">
        <f t="shared" si="5"/>
        <v/>
      </c>
      <c r="M943" s="13"/>
    </row>
    <row r="944">
      <c r="A944" s="15"/>
      <c r="B944" s="6"/>
      <c r="C944" s="14" t="str">
        <f>iferror(vlookup(B944,'📦 ชื่อสินค้า'!A:C,3,false),)</f>
        <v/>
      </c>
      <c r="D944" s="11" t="str">
        <f>iferror(vlookup(B944,'📦 ชื่อสินค้า'!A:D,4,false),"")</f>
        <v/>
      </c>
      <c r="E944" s="16"/>
      <c r="F944" s="8" t="str">
        <f t="shared" si="1"/>
        <v/>
      </c>
      <c r="G944" s="9" t="str">
        <f>IF(LEN(B944)&gt;0,vlookup(B944,'📊 รายงานสินค้าคงเหลือ'!A:G,6,false)*E944,)</f>
        <v/>
      </c>
      <c r="H944" s="9" t="str">
        <f t="shared" si="2"/>
        <v/>
      </c>
      <c r="I944" s="10" t="str">
        <f t="shared" si="3"/>
        <v/>
      </c>
      <c r="J944" s="11" t="str">
        <f t="shared" si="4"/>
        <v/>
      </c>
      <c r="K944" s="11" t="str">
        <f>IFERROR(IF(A944&lt;&gt;"",VLOOKUP(B944,'📦 ชื่อสินค้า'!A:F,6,false),""),)</f>
        <v/>
      </c>
      <c r="L944" s="11" t="str">
        <f t="shared" si="5"/>
        <v/>
      </c>
      <c r="M944" s="13"/>
    </row>
    <row r="945">
      <c r="A945" s="15"/>
      <c r="B945" s="6"/>
      <c r="C945" s="14" t="str">
        <f>iferror(vlookup(B945,'📦 ชื่อสินค้า'!A:C,3,false),)</f>
        <v/>
      </c>
      <c r="D945" s="11" t="str">
        <f>iferror(vlookup(B945,'📦 ชื่อสินค้า'!A:D,4,false),"")</f>
        <v/>
      </c>
      <c r="E945" s="16"/>
      <c r="F945" s="8" t="str">
        <f t="shared" si="1"/>
        <v/>
      </c>
      <c r="G945" s="9" t="str">
        <f>IF(LEN(B945)&gt;0,vlookup(B945,'📊 รายงานสินค้าคงเหลือ'!A:G,6,false)*E945,)</f>
        <v/>
      </c>
      <c r="H945" s="9" t="str">
        <f t="shared" si="2"/>
        <v/>
      </c>
      <c r="I945" s="10" t="str">
        <f t="shared" si="3"/>
        <v/>
      </c>
      <c r="J945" s="11" t="str">
        <f t="shared" si="4"/>
        <v/>
      </c>
      <c r="K945" s="11" t="str">
        <f>IFERROR(IF(A945&lt;&gt;"",VLOOKUP(B945,'📦 ชื่อสินค้า'!A:F,6,false),""),)</f>
        <v/>
      </c>
      <c r="L945" s="11" t="str">
        <f t="shared" si="5"/>
        <v/>
      </c>
      <c r="M945" s="13"/>
    </row>
    <row r="946">
      <c r="A946" s="15"/>
      <c r="B946" s="6"/>
      <c r="C946" s="14" t="str">
        <f>iferror(vlookup(B946,'📦 ชื่อสินค้า'!A:C,3,false),)</f>
        <v/>
      </c>
      <c r="D946" s="11" t="str">
        <f>iferror(vlookup(B946,'📦 ชื่อสินค้า'!A:D,4,false),"")</f>
        <v/>
      </c>
      <c r="E946" s="16"/>
      <c r="F946" s="8" t="str">
        <f t="shared" si="1"/>
        <v/>
      </c>
      <c r="G946" s="9" t="str">
        <f>IF(LEN(B946)&gt;0,vlookup(B946,'📊 รายงานสินค้าคงเหลือ'!A:G,6,false)*E946,)</f>
        <v/>
      </c>
      <c r="H946" s="9" t="str">
        <f t="shared" si="2"/>
        <v/>
      </c>
      <c r="I946" s="10" t="str">
        <f t="shared" si="3"/>
        <v/>
      </c>
      <c r="J946" s="11" t="str">
        <f t="shared" si="4"/>
        <v/>
      </c>
      <c r="K946" s="11" t="str">
        <f>IFERROR(IF(A946&lt;&gt;"",VLOOKUP(B946,'📦 ชื่อสินค้า'!A:F,6,false),""),)</f>
        <v/>
      </c>
      <c r="L946" s="11" t="str">
        <f t="shared" si="5"/>
        <v/>
      </c>
      <c r="M946" s="13"/>
    </row>
    <row r="947">
      <c r="A947" s="15"/>
      <c r="B947" s="6"/>
      <c r="C947" s="14" t="str">
        <f>iferror(vlookup(B947,'📦 ชื่อสินค้า'!A:C,3,false),)</f>
        <v/>
      </c>
      <c r="D947" s="11" t="str">
        <f>iferror(vlookup(B947,'📦 ชื่อสินค้า'!A:D,4,false),"")</f>
        <v/>
      </c>
      <c r="E947" s="16"/>
      <c r="F947" s="8" t="str">
        <f t="shared" si="1"/>
        <v/>
      </c>
      <c r="G947" s="9" t="str">
        <f>IF(LEN(B947)&gt;0,vlookup(B947,'📊 รายงานสินค้าคงเหลือ'!A:G,6,false)*E947,)</f>
        <v/>
      </c>
      <c r="H947" s="9" t="str">
        <f t="shared" si="2"/>
        <v/>
      </c>
      <c r="I947" s="10" t="str">
        <f t="shared" si="3"/>
        <v/>
      </c>
      <c r="J947" s="11" t="str">
        <f t="shared" si="4"/>
        <v/>
      </c>
      <c r="K947" s="11" t="str">
        <f>IFERROR(IF(A947&lt;&gt;"",VLOOKUP(B947,'📦 ชื่อสินค้า'!A:F,6,false),""),)</f>
        <v/>
      </c>
      <c r="L947" s="11" t="str">
        <f t="shared" si="5"/>
        <v/>
      </c>
      <c r="M947" s="13"/>
    </row>
    <row r="948">
      <c r="A948" s="15"/>
      <c r="B948" s="6"/>
      <c r="C948" s="14" t="str">
        <f>iferror(vlookup(B948,'📦 ชื่อสินค้า'!A:C,3,false),)</f>
        <v/>
      </c>
      <c r="D948" s="11" t="str">
        <f>iferror(vlookup(B948,'📦 ชื่อสินค้า'!A:D,4,false),"")</f>
        <v/>
      </c>
      <c r="E948" s="16"/>
      <c r="F948" s="8" t="str">
        <f t="shared" si="1"/>
        <v/>
      </c>
      <c r="G948" s="9" t="str">
        <f>IF(LEN(B948)&gt;0,vlookup(B948,'📊 รายงานสินค้าคงเหลือ'!A:G,6,false)*E948,)</f>
        <v/>
      </c>
      <c r="H948" s="9" t="str">
        <f t="shared" si="2"/>
        <v/>
      </c>
      <c r="I948" s="10" t="str">
        <f t="shared" si="3"/>
        <v/>
      </c>
      <c r="J948" s="11" t="str">
        <f t="shared" si="4"/>
        <v/>
      </c>
      <c r="K948" s="11" t="str">
        <f>IFERROR(IF(A948&lt;&gt;"",VLOOKUP(B948,'📦 ชื่อสินค้า'!A:F,6,false),""),)</f>
        <v/>
      </c>
      <c r="L948" s="11" t="str">
        <f t="shared" si="5"/>
        <v/>
      </c>
      <c r="M948" s="13"/>
    </row>
    <row r="949">
      <c r="A949" s="15"/>
      <c r="B949" s="6"/>
      <c r="C949" s="14" t="str">
        <f>iferror(vlookup(B949,'📦 ชื่อสินค้า'!A:C,3,false),)</f>
        <v/>
      </c>
      <c r="D949" s="11" t="str">
        <f>iferror(vlookup(B949,'📦 ชื่อสินค้า'!A:D,4,false),"")</f>
        <v/>
      </c>
      <c r="E949" s="16"/>
      <c r="F949" s="8" t="str">
        <f t="shared" si="1"/>
        <v/>
      </c>
      <c r="G949" s="9" t="str">
        <f>IF(LEN(B949)&gt;0,vlookup(B949,'📊 รายงานสินค้าคงเหลือ'!A:G,6,false)*E949,)</f>
        <v/>
      </c>
      <c r="H949" s="9" t="str">
        <f t="shared" si="2"/>
        <v/>
      </c>
      <c r="I949" s="10" t="str">
        <f t="shared" si="3"/>
        <v/>
      </c>
      <c r="J949" s="11" t="str">
        <f t="shared" si="4"/>
        <v/>
      </c>
      <c r="K949" s="11" t="str">
        <f>IFERROR(IF(A949&lt;&gt;"",VLOOKUP(B949,'📦 ชื่อสินค้า'!A:F,6,false),""),)</f>
        <v/>
      </c>
      <c r="L949" s="11" t="str">
        <f t="shared" si="5"/>
        <v/>
      </c>
      <c r="M949" s="13"/>
    </row>
    <row r="950">
      <c r="A950" s="15"/>
      <c r="B950" s="6"/>
      <c r="C950" s="14" t="str">
        <f>iferror(vlookup(B950,'📦 ชื่อสินค้า'!A:C,3,false),)</f>
        <v/>
      </c>
      <c r="D950" s="11" t="str">
        <f>iferror(vlookup(B950,'📦 ชื่อสินค้า'!A:D,4,false),"")</f>
        <v/>
      </c>
      <c r="E950" s="16"/>
      <c r="F950" s="8" t="str">
        <f t="shared" si="1"/>
        <v/>
      </c>
      <c r="G950" s="9" t="str">
        <f>IF(LEN(B950)&gt;0,vlookup(B950,'📊 รายงานสินค้าคงเหลือ'!A:G,6,false)*E950,)</f>
        <v/>
      </c>
      <c r="H950" s="9" t="str">
        <f t="shared" si="2"/>
        <v/>
      </c>
      <c r="I950" s="10" t="str">
        <f t="shared" si="3"/>
        <v/>
      </c>
      <c r="J950" s="11" t="str">
        <f t="shared" si="4"/>
        <v/>
      </c>
      <c r="K950" s="11" t="str">
        <f>IFERROR(IF(A950&lt;&gt;"",VLOOKUP(B950,'📦 ชื่อสินค้า'!A:F,6,false),""),)</f>
        <v/>
      </c>
      <c r="L950" s="11" t="str">
        <f t="shared" si="5"/>
        <v/>
      </c>
      <c r="M950" s="13"/>
    </row>
    <row r="951">
      <c r="A951" s="15"/>
      <c r="B951" s="6"/>
      <c r="C951" s="14" t="str">
        <f>iferror(vlookup(B951,'📦 ชื่อสินค้า'!A:C,3,false),)</f>
        <v/>
      </c>
      <c r="D951" s="11" t="str">
        <f>iferror(vlookup(B951,'📦 ชื่อสินค้า'!A:D,4,false),"")</f>
        <v/>
      </c>
      <c r="E951" s="16"/>
      <c r="F951" s="8" t="str">
        <f t="shared" si="1"/>
        <v/>
      </c>
      <c r="G951" s="9" t="str">
        <f>IF(LEN(B951)&gt;0,vlookup(B951,'📊 รายงานสินค้าคงเหลือ'!A:G,6,false)*E951,)</f>
        <v/>
      </c>
      <c r="H951" s="9" t="str">
        <f t="shared" si="2"/>
        <v/>
      </c>
      <c r="I951" s="10" t="str">
        <f t="shared" si="3"/>
        <v/>
      </c>
      <c r="J951" s="11" t="str">
        <f t="shared" si="4"/>
        <v/>
      </c>
      <c r="K951" s="11" t="str">
        <f>IFERROR(IF(A951&lt;&gt;"",VLOOKUP(B951,'📦 ชื่อสินค้า'!A:F,6,false),""),)</f>
        <v/>
      </c>
      <c r="L951" s="11" t="str">
        <f t="shared" si="5"/>
        <v/>
      </c>
      <c r="M951" s="13"/>
    </row>
    <row r="952">
      <c r="A952" s="15"/>
      <c r="B952" s="6"/>
      <c r="C952" s="14" t="str">
        <f>iferror(vlookup(B952,'📦 ชื่อสินค้า'!A:C,3,false),)</f>
        <v/>
      </c>
      <c r="D952" s="11" t="str">
        <f>iferror(vlookup(B952,'📦 ชื่อสินค้า'!A:D,4,false),"")</f>
        <v/>
      </c>
      <c r="E952" s="16"/>
      <c r="F952" s="8" t="str">
        <f t="shared" si="1"/>
        <v/>
      </c>
      <c r="G952" s="9" t="str">
        <f>IF(LEN(B952)&gt;0,vlookup(B952,'📊 รายงานสินค้าคงเหลือ'!A:G,6,false)*E952,)</f>
        <v/>
      </c>
      <c r="H952" s="9" t="str">
        <f t="shared" si="2"/>
        <v/>
      </c>
      <c r="I952" s="10" t="str">
        <f t="shared" si="3"/>
        <v/>
      </c>
      <c r="J952" s="11" t="str">
        <f t="shared" si="4"/>
        <v/>
      </c>
      <c r="K952" s="11" t="str">
        <f>IFERROR(IF(A952&lt;&gt;"",VLOOKUP(B952,'📦 ชื่อสินค้า'!A:F,6,false),""),)</f>
        <v/>
      </c>
      <c r="L952" s="11" t="str">
        <f t="shared" si="5"/>
        <v/>
      </c>
      <c r="M952" s="13"/>
    </row>
    <row r="953">
      <c r="A953" s="15"/>
      <c r="B953" s="6"/>
      <c r="C953" s="14" t="str">
        <f>iferror(vlookup(B953,'📦 ชื่อสินค้า'!A:C,3,false),)</f>
        <v/>
      </c>
      <c r="D953" s="11" t="str">
        <f>iferror(vlookup(B953,'📦 ชื่อสินค้า'!A:D,4,false),"")</f>
        <v/>
      </c>
      <c r="E953" s="16"/>
      <c r="F953" s="8" t="str">
        <f t="shared" si="1"/>
        <v/>
      </c>
      <c r="G953" s="9" t="str">
        <f>IF(LEN(B953)&gt;0,vlookup(B953,'📊 รายงานสินค้าคงเหลือ'!A:G,6,false)*E953,)</f>
        <v/>
      </c>
      <c r="H953" s="9" t="str">
        <f t="shared" si="2"/>
        <v/>
      </c>
      <c r="I953" s="10" t="str">
        <f t="shared" si="3"/>
        <v/>
      </c>
      <c r="J953" s="11" t="str">
        <f t="shared" si="4"/>
        <v/>
      </c>
      <c r="K953" s="11" t="str">
        <f>IFERROR(IF(A953&lt;&gt;"",VLOOKUP(B953,'📦 ชื่อสินค้า'!A:F,6,false),""),)</f>
        <v/>
      </c>
      <c r="L953" s="11" t="str">
        <f t="shared" si="5"/>
        <v/>
      </c>
      <c r="M953" s="13"/>
    </row>
    <row r="954">
      <c r="A954" s="15"/>
      <c r="B954" s="6"/>
      <c r="C954" s="14" t="str">
        <f>iferror(vlookup(B954,'📦 ชื่อสินค้า'!A:C,3,false),)</f>
        <v/>
      </c>
      <c r="D954" s="11" t="str">
        <f>iferror(vlookup(B954,'📦 ชื่อสินค้า'!A:D,4,false),"")</f>
        <v/>
      </c>
      <c r="E954" s="16"/>
      <c r="F954" s="8" t="str">
        <f t="shared" si="1"/>
        <v/>
      </c>
      <c r="G954" s="9" t="str">
        <f>IF(LEN(B954)&gt;0,vlookup(B954,'📊 รายงานสินค้าคงเหลือ'!A:G,6,false)*E954,)</f>
        <v/>
      </c>
      <c r="H954" s="9" t="str">
        <f t="shared" si="2"/>
        <v/>
      </c>
      <c r="I954" s="10" t="str">
        <f t="shared" si="3"/>
        <v/>
      </c>
      <c r="J954" s="11" t="str">
        <f t="shared" si="4"/>
        <v/>
      </c>
      <c r="K954" s="11" t="str">
        <f>IFERROR(IF(A954&lt;&gt;"",VLOOKUP(B954,'📦 ชื่อสินค้า'!A:F,6,false),""),)</f>
        <v/>
      </c>
      <c r="L954" s="11" t="str">
        <f t="shared" si="5"/>
        <v/>
      </c>
      <c r="M954" s="13"/>
    </row>
    <row r="955">
      <c r="A955" s="15"/>
      <c r="B955" s="6"/>
      <c r="C955" s="14" t="str">
        <f>iferror(vlookup(B955,'📦 ชื่อสินค้า'!A:C,3,false),)</f>
        <v/>
      </c>
      <c r="D955" s="11" t="str">
        <f>iferror(vlookup(B955,'📦 ชื่อสินค้า'!A:D,4,false),"")</f>
        <v/>
      </c>
      <c r="E955" s="16"/>
      <c r="F955" s="8" t="str">
        <f t="shared" si="1"/>
        <v/>
      </c>
      <c r="G955" s="9" t="str">
        <f>IF(LEN(B955)&gt;0,vlookup(B955,'📊 รายงานสินค้าคงเหลือ'!A:G,6,false)*E955,)</f>
        <v/>
      </c>
      <c r="H955" s="9" t="str">
        <f t="shared" si="2"/>
        <v/>
      </c>
      <c r="I955" s="10" t="str">
        <f t="shared" si="3"/>
        <v/>
      </c>
      <c r="J955" s="11" t="str">
        <f t="shared" si="4"/>
        <v/>
      </c>
      <c r="K955" s="11" t="str">
        <f>IFERROR(IF(A955&lt;&gt;"",VLOOKUP(B955,'📦 ชื่อสินค้า'!A:F,6,false),""),)</f>
        <v/>
      </c>
      <c r="L955" s="11" t="str">
        <f t="shared" si="5"/>
        <v/>
      </c>
      <c r="M955" s="13"/>
    </row>
    <row r="956">
      <c r="A956" s="15"/>
      <c r="B956" s="6"/>
      <c r="C956" s="14" t="str">
        <f>iferror(vlookup(B956,'📦 ชื่อสินค้า'!A:C,3,false),)</f>
        <v/>
      </c>
      <c r="D956" s="11" t="str">
        <f>iferror(vlookup(B956,'📦 ชื่อสินค้า'!A:D,4,false),"")</f>
        <v/>
      </c>
      <c r="E956" s="16"/>
      <c r="F956" s="8" t="str">
        <f t="shared" si="1"/>
        <v/>
      </c>
      <c r="G956" s="9" t="str">
        <f>IF(LEN(B956)&gt;0,vlookup(B956,'📊 รายงานสินค้าคงเหลือ'!A:G,6,false)*E956,)</f>
        <v/>
      </c>
      <c r="H956" s="9" t="str">
        <f t="shared" si="2"/>
        <v/>
      </c>
      <c r="I956" s="10" t="str">
        <f t="shared" si="3"/>
        <v/>
      </c>
      <c r="J956" s="11" t="str">
        <f t="shared" si="4"/>
        <v/>
      </c>
      <c r="K956" s="11" t="str">
        <f>IFERROR(IF(A956&lt;&gt;"",VLOOKUP(B956,'📦 ชื่อสินค้า'!A:F,6,false),""),)</f>
        <v/>
      </c>
      <c r="L956" s="11" t="str">
        <f t="shared" si="5"/>
        <v/>
      </c>
      <c r="M956" s="13"/>
    </row>
    <row r="957">
      <c r="A957" s="15"/>
      <c r="B957" s="6"/>
      <c r="C957" s="14" t="str">
        <f>iferror(vlookup(B957,'📦 ชื่อสินค้า'!A:C,3,false),)</f>
        <v/>
      </c>
      <c r="D957" s="11" t="str">
        <f>iferror(vlookup(B957,'📦 ชื่อสินค้า'!A:D,4,false),"")</f>
        <v/>
      </c>
      <c r="E957" s="16"/>
      <c r="F957" s="8" t="str">
        <f t="shared" si="1"/>
        <v/>
      </c>
      <c r="G957" s="9" t="str">
        <f>IF(LEN(B957)&gt;0,vlookup(B957,'📊 รายงานสินค้าคงเหลือ'!A:G,6,false)*E957,)</f>
        <v/>
      </c>
      <c r="H957" s="9" t="str">
        <f t="shared" si="2"/>
        <v/>
      </c>
      <c r="I957" s="10" t="str">
        <f t="shared" si="3"/>
        <v/>
      </c>
      <c r="J957" s="11" t="str">
        <f t="shared" si="4"/>
        <v/>
      </c>
      <c r="K957" s="11" t="str">
        <f>IFERROR(IF(A957&lt;&gt;"",VLOOKUP(B957,'📦 ชื่อสินค้า'!A:F,6,false),""),)</f>
        <v/>
      </c>
      <c r="L957" s="11" t="str">
        <f t="shared" si="5"/>
        <v/>
      </c>
      <c r="M957" s="13"/>
    </row>
    <row r="958">
      <c r="A958" s="15"/>
      <c r="B958" s="6"/>
      <c r="C958" s="14" t="str">
        <f>iferror(vlookup(B958,'📦 ชื่อสินค้า'!A:C,3,false),)</f>
        <v/>
      </c>
      <c r="D958" s="11" t="str">
        <f>iferror(vlookup(B958,'📦 ชื่อสินค้า'!A:D,4,false),"")</f>
        <v/>
      </c>
      <c r="E958" s="16"/>
      <c r="F958" s="8" t="str">
        <f t="shared" si="1"/>
        <v/>
      </c>
      <c r="G958" s="9" t="str">
        <f>IF(LEN(B958)&gt;0,vlookup(B958,'📊 รายงานสินค้าคงเหลือ'!A:G,6,false)*E958,)</f>
        <v/>
      </c>
      <c r="H958" s="9" t="str">
        <f t="shared" si="2"/>
        <v/>
      </c>
      <c r="I958" s="10" t="str">
        <f t="shared" si="3"/>
        <v/>
      </c>
      <c r="J958" s="11" t="str">
        <f t="shared" si="4"/>
        <v/>
      </c>
      <c r="K958" s="11" t="str">
        <f>IFERROR(IF(A958&lt;&gt;"",VLOOKUP(B958,'📦 ชื่อสินค้า'!A:F,6,false),""),)</f>
        <v/>
      </c>
      <c r="L958" s="11" t="str">
        <f t="shared" si="5"/>
        <v/>
      </c>
      <c r="M958" s="13"/>
    </row>
    <row r="959">
      <c r="A959" s="15"/>
      <c r="B959" s="6"/>
      <c r="C959" s="14" t="str">
        <f>iferror(vlookup(B959,'📦 ชื่อสินค้า'!A:C,3,false),)</f>
        <v/>
      </c>
      <c r="D959" s="11" t="str">
        <f>iferror(vlookup(B959,'📦 ชื่อสินค้า'!A:D,4,false),"")</f>
        <v/>
      </c>
      <c r="E959" s="16"/>
      <c r="F959" s="8" t="str">
        <f t="shared" si="1"/>
        <v/>
      </c>
      <c r="G959" s="9" t="str">
        <f>IF(LEN(B959)&gt;0,vlookup(B959,'📊 รายงานสินค้าคงเหลือ'!A:G,6,false)*E959,)</f>
        <v/>
      </c>
      <c r="H959" s="9" t="str">
        <f t="shared" si="2"/>
        <v/>
      </c>
      <c r="I959" s="10" t="str">
        <f t="shared" si="3"/>
        <v/>
      </c>
      <c r="J959" s="11" t="str">
        <f t="shared" si="4"/>
        <v/>
      </c>
      <c r="K959" s="11" t="str">
        <f>IFERROR(IF(A959&lt;&gt;"",VLOOKUP(B959,'📦 ชื่อสินค้า'!A:F,6,false),""),)</f>
        <v/>
      </c>
      <c r="L959" s="11" t="str">
        <f t="shared" si="5"/>
        <v/>
      </c>
      <c r="M959" s="13"/>
    </row>
    <row r="960">
      <c r="A960" s="15"/>
      <c r="B960" s="6"/>
      <c r="C960" s="14" t="str">
        <f>iferror(vlookup(B960,'📦 ชื่อสินค้า'!A:C,3,false),)</f>
        <v/>
      </c>
      <c r="D960" s="11" t="str">
        <f>iferror(vlookup(B960,'📦 ชื่อสินค้า'!A:D,4,false),"")</f>
        <v/>
      </c>
      <c r="E960" s="16"/>
      <c r="F960" s="8" t="str">
        <f t="shared" si="1"/>
        <v/>
      </c>
      <c r="G960" s="9" t="str">
        <f>IF(LEN(B960)&gt;0,vlookup(B960,'📊 รายงานสินค้าคงเหลือ'!A:G,6,false)*E960,)</f>
        <v/>
      </c>
      <c r="H960" s="9" t="str">
        <f t="shared" si="2"/>
        <v/>
      </c>
      <c r="I960" s="10" t="str">
        <f t="shared" si="3"/>
        <v/>
      </c>
      <c r="J960" s="11" t="str">
        <f t="shared" si="4"/>
        <v/>
      </c>
      <c r="K960" s="11" t="str">
        <f>IFERROR(IF(A960&lt;&gt;"",VLOOKUP(B960,'📦 ชื่อสินค้า'!A:F,6,false),""),)</f>
        <v/>
      </c>
      <c r="L960" s="11" t="str">
        <f t="shared" si="5"/>
        <v/>
      </c>
      <c r="M960" s="13"/>
    </row>
    <row r="961">
      <c r="A961" s="15"/>
      <c r="B961" s="6"/>
      <c r="C961" s="14" t="str">
        <f>iferror(vlookup(B961,'📦 ชื่อสินค้า'!A:C,3,false),)</f>
        <v/>
      </c>
      <c r="D961" s="11" t="str">
        <f>iferror(vlookup(B961,'📦 ชื่อสินค้า'!A:D,4,false),"")</f>
        <v/>
      </c>
      <c r="E961" s="16"/>
      <c r="F961" s="8" t="str">
        <f t="shared" si="1"/>
        <v/>
      </c>
      <c r="G961" s="9" t="str">
        <f>IF(LEN(B961)&gt;0,vlookup(B961,'📊 รายงานสินค้าคงเหลือ'!A:G,6,false)*E961,)</f>
        <v/>
      </c>
      <c r="H961" s="9" t="str">
        <f t="shared" si="2"/>
        <v/>
      </c>
      <c r="I961" s="10" t="str">
        <f t="shared" si="3"/>
        <v/>
      </c>
      <c r="J961" s="11" t="str">
        <f t="shared" si="4"/>
        <v/>
      </c>
      <c r="K961" s="11" t="str">
        <f>IFERROR(IF(A961&lt;&gt;"",VLOOKUP(B961,'📦 ชื่อสินค้า'!A:F,6,false),""),)</f>
        <v/>
      </c>
      <c r="L961" s="11" t="str">
        <f t="shared" si="5"/>
        <v/>
      </c>
      <c r="M961" s="13"/>
    </row>
    <row r="962">
      <c r="A962" s="15"/>
      <c r="B962" s="6"/>
      <c r="C962" s="14" t="str">
        <f>iferror(vlookup(B962,'📦 ชื่อสินค้า'!A:C,3,false),)</f>
        <v/>
      </c>
      <c r="D962" s="11" t="str">
        <f>iferror(vlookup(B962,'📦 ชื่อสินค้า'!A:D,4,false),"")</f>
        <v/>
      </c>
      <c r="E962" s="16"/>
      <c r="F962" s="8" t="str">
        <f t="shared" si="1"/>
        <v/>
      </c>
      <c r="G962" s="9" t="str">
        <f>IF(LEN(B962)&gt;0,vlookup(B962,'📊 รายงานสินค้าคงเหลือ'!A:G,6,false)*E962,)</f>
        <v/>
      </c>
      <c r="H962" s="9" t="str">
        <f t="shared" si="2"/>
        <v/>
      </c>
      <c r="I962" s="10" t="str">
        <f t="shared" si="3"/>
        <v/>
      </c>
      <c r="J962" s="11" t="str">
        <f t="shared" si="4"/>
        <v/>
      </c>
      <c r="K962" s="11" t="str">
        <f>IFERROR(IF(A962&lt;&gt;"",VLOOKUP(B962,'📦 ชื่อสินค้า'!A:F,6,false),""),)</f>
        <v/>
      </c>
      <c r="L962" s="11" t="str">
        <f t="shared" si="5"/>
        <v/>
      </c>
      <c r="M962" s="13"/>
    </row>
    <row r="963">
      <c r="A963" s="15"/>
      <c r="B963" s="6"/>
      <c r="C963" s="14" t="str">
        <f>iferror(vlookup(B963,'📦 ชื่อสินค้า'!A:C,3,false),)</f>
        <v/>
      </c>
      <c r="D963" s="11" t="str">
        <f>iferror(vlookup(B963,'📦 ชื่อสินค้า'!A:D,4,false),"")</f>
        <v/>
      </c>
      <c r="E963" s="16"/>
      <c r="F963" s="8" t="str">
        <f t="shared" si="1"/>
        <v/>
      </c>
      <c r="G963" s="9" t="str">
        <f>IF(LEN(B963)&gt;0,vlookup(B963,'📊 รายงานสินค้าคงเหลือ'!A:G,6,false)*E963,)</f>
        <v/>
      </c>
      <c r="H963" s="9" t="str">
        <f t="shared" si="2"/>
        <v/>
      </c>
      <c r="I963" s="10" t="str">
        <f t="shared" si="3"/>
        <v/>
      </c>
      <c r="J963" s="11" t="str">
        <f t="shared" si="4"/>
        <v/>
      </c>
      <c r="K963" s="11" t="str">
        <f>IFERROR(IF(A963&lt;&gt;"",VLOOKUP(B963,'📦 ชื่อสินค้า'!A:F,6,false),""),)</f>
        <v/>
      </c>
      <c r="L963" s="11" t="str">
        <f t="shared" si="5"/>
        <v/>
      </c>
      <c r="M963" s="13"/>
    </row>
    <row r="964">
      <c r="A964" s="15"/>
      <c r="B964" s="6"/>
      <c r="C964" s="14" t="str">
        <f>iferror(vlookup(B964,'📦 ชื่อสินค้า'!A:C,3,false),)</f>
        <v/>
      </c>
      <c r="D964" s="11" t="str">
        <f>iferror(vlookup(B964,'📦 ชื่อสินค้า'!A:D,4,false),"")</f>
        <v/>
      </c>
      <c r="E964" s="16"/>
      <c r="F964" s="8" t="str">
        <f t="shared" si="1"/>
        <v/>
      </c>
      <c r="G964" s="9" t="str">
        <f>IF(LEN(B964)&gt;0,vlookup(B964,'📊 รายงานสินค้าคงเหลือ'!A:G,6,false)*E964,)</f>
        <v/>
      </c>
      <c r="H964" s="9" t="str">
        <f t="shared" si="2"/>
        <v/>
      </c>
      <c r="I964" s="10" t="str">
        <f t="shared" si="3"/>
        <v/>
      </c>
      <c r="J964" s="11" t="str">
        <f t="shared" si="4"/>
        <v/>
      </c>
      <c r="K964" s="11" t="str">
        <f>IFERROR(IF(A964&lt;&gt;"",VLOOKUP(B964,'📦 ชื่อสินค้า'!A:F,6,false),""),)</f>
        <v/>
      </c>
      <c r="L964" s="11" t="str">
        <f t="shared" si="5"/>
        <v/>
      </c>
      <c r="M964" s="13"/>
    </row>
    <row r="965">
      <c r="A965" s="15"/>
      <c r="B965" s="6"/>
      <c r="C965" s="14" t="str">
        <f>iferror(vlookup(B965,'📦 ชื่อสินค้า'!A:C,3,false),)</f>
        <v/>
      </c>
      <c r="D965" s="11" t="str">
        <f>iferror(vlookup(B965,'📦 ชื่อสินค้า'!A:D,4,false),"")</f>
        <v/>
      </c>
      <c r="E965" s="16"/>
      <c r="F965" s="8" t="str">
        <f t="shared" si="1"/>
        <v/>
      </c>
      <c r="G965" s="9" t="str">
        <f>IF(LEN(B965)&gt;0,vlookup(B965,'📊 รายงานสินค้าคงเหลือ'!A:G,6,false)*E965,)</f>
        <v/>
      </c>
      <c r="H965" s="9" t="str">
        <f t="shared" si="2"/>
        <v/>
      </c>
      <c r="I965" s="10" t="str">
        <f t="shared" si="3"/>
        <v/>
      </c>
      <c r="J965" s="11" t="str">
        <f t="shared" si="4"/>
        <v/>
      </c>
      <c r="K965" s="11" t="str">
        <f>IFERROR(IF(A965&lt;&gt;"",VLOOKUP(B965,'📦 ชื่อสินค้า'!A:F,6,false),""),)</f>
        <v/>
      </c>
      <c r="L965" s="11" t="str">
        <f t="shared" si="5"/>
        <v/>
      </c>
      <c r="M965" s="13"/>
    </row>
    <row r="966">
      <c r="A966" s="15"/>
      <c r="B966" s="6"/>
      <c r="C966" s="14" t="str">
        <f>iferror(vlookup(B966,'📦 ชื่อสินค้า'!A:C,3,false),)</f>
        <v/>
      </c>
      <c r="D966" s="11" t="str">
        <f>iferror(vlookup(B966,'📦 ชื่อสินค้า'!A:D,4,false),"")</f>
        <v/>
      </c>
      <c r="E966" s="16"/>
      <c r="F966" s="8" t="str">
        <f t="shared" si="1"/>
        <v/>
      </c>
      <c r="G966" s="9" t="str">
        <f>IF(LEN(B966)&gt;0,vlookup(B966,'📊 รายงานสินค้าคงเหลือ'!A:G,6,false)*E966,)</f>
        <v/>
      </c>
      <c r="H966" s="9" t="str">
        <f t="shared" si="2"/>
        <v/>
      </c>
      <c r="I966" s="10" t="str">
        <f t="shared" si="3"/>
        <v/>
      </c>
      <c r="J966" s="11" t="str">
        <f t="shared" si="4"/>
        <v/>
      </c>
      <c r="K966" s="11" t="str">
        <f>IFERROR(IF(A966&lt;&gt;"",VLOOKUP(B966,'📦 ชื่อสินค้า'!A:F,6,false),""),)</f>
        <v/>
      </c>
      <c r="L966" s="11" t="str">
        <f t="shared" si="5"/>
        <v/>
      </c>
      <c r="M966" s="13"/>
    </row>
    <row r="967">
      <c r="A967" s="15"/>
      <c r="B967" s="6"/>
      <c r="C967" s="14" t="str">
        <f>iferror(vlookup(B967,'📦 ชื่อสินค้า'!A:C,3,false),)</f>
        <v/>
      </c>
      <c r="D967" s="11" t="str">
        <f>iferror(vlookup(B967,'📦 ชื่อสินค้า'!A:D,4,false),"")</f>
        <v/>
      </c>
      <c r="E967" s="16"/>
      <c r="F967" s="8" t="str">
        <f t="shared" si="1"/>
        <v/>
      </c>
      <c r="G967" s="9" t="str">
        <f>IF(LEN(B967)&gt;0,vlookup(B967,'📊 รายงานสินค้าคงเหลือ'!A:G,6,false)*E967,)</f>
        <v/>
      </c>
      <c r="H967" s="9" t="str">
        <f t="shared" si="2"/>
        <v/>
      </c>
      <c r="I967" s="10" t="str">
        <f t="shared" si="3"/>
        <v/>
      </c>
      <c r="J967" s="11" t="str">
        <f t="shared" si="4"/>
        <v/>
      </c>
      <c r="K967" s="11" t="str">
        <f>IFERROR(IF(A967&lt;&gt;"",VLOOKUP(B967,'📦 ชื่อสินค้า'!A:F,6,false),""),)</f>
        <v/>
      </c>
      <c r="L967" s="11" t="str">
        <f t="shared" si="5"/>
        <v/>
      </c>
      <c r="M967" s="13"/>
    </row>
    <row r="968">
      <c r="A968" s="15"/>
      <c r="B968" s="6"/>
      <c r="C968" s="14" t="str">
        <f>iferror(vlookup(B968,'📦 ชื่อสินค้า'!A:C,3,false),)</f>
        <v/>
      </c>
      <c r="D968" s="11" t="str">
        <f>iferror(vlookup(B968,'📦 ชื่อสินค้า'!A:D,4,false),"")</f>
        <v/>
      </c>
      <c r="E968" s="16"/>
      <c r="F968" s="8" t="str">
        <f t="shared" si="1"/>
        <v/>
      </c>
      <c r="G968" s="9" t="str">
        <f>IF(LEN(B968)&gt;0,vlookup(B968,'📊 รายงานสินค้าคงเหลือ'!A:G,6,false)*E968,)</f>
        <v/>
      </c>
      <c r="H968" s="9" t="str">
        <f t="shared" si="2"/>
        <v/>
      </c>
      <c r="I968" s="10" t="str">
        <f t="shared" si="3"/>
        <v/>
      </c>
      <c r="J968" s="11" t="str">
        <f t="shared" si="4"/>
        <v/>
      </c>
      <c r="K968" s="11" t="str">
        <f>IFERROR(IF(A968&lt;&gt;"",VLOOKUP(B968,'📦 ชื่อสินค้า'!A:F,6,false),""),)</f>
        <v/>
      </c>
      <c r="L968" s="11" t="str">
        <f t="shared" si="5"/>
        <v/>
      </c>
      <c r="M968" s="13"/>
    </row>
    <row r="969">
      <c r="A969" s="15"/>
      <c r="B969" s="6"/>
      <c r="C969" s="14" t="str">
        <f>iferror(vlookup(B969,'📦 ชื่อสินค้า'!A:C,3,false),)</f>
        <v/>
      </c>
      <c r="D969" s="11" t="str">
        <f>iferror(vlookup(B969,'📦 ชื่อสินค้า'!A:D,4,false),"")</f>
        <v/>
      </c>
      <c r="E969" s="16"/>
      <c r="F969" s="8" t="str">
        <f t="shared" si="1"/>
        <v/>
      </c>
      <c r="G969" s="9" t="str">
        <f>IF(LEN(B969)&gt;0,vlookup(B969,'📊 รายงานสินค้าคงเหลือ'!A:G,6,false)*E969,)</f>
        <v/>
      </c>
      <c r="H969" s="9" t="str">
        <f t="shared" si="2"/>
        <v/>
      </c>
      <c r="I969" s="10" t="str">
        <f t="shared" si="3"/>
        <v/>
      </c>
      <c r="J969" s="11" t="str">
        <f t="shared" si="4"/>
        <v/>
      </c>
      <c r="K969" s="11" t="str">
        <f>IFERROR(IF(A969&lt;&gt;"",VLOOKUP(B969,'📦 ชื่อสินค้า'!A:F,6,false),""),)</f>
        <v/>
      </c>
      <c r="L969" s="11" t="str">
        <f t="shared" si="5"/>
        <v/>
      </c>
      <c r="M969" s="13"/>
    </row>
    <row r="970">
      <c r="A970" s="15"/>
      <c r="B970" s="6"/>
      <c r="C970" s="14" t="str">
        <f>iferror(vlookup(B970,'📦 ชื่อสินค้า'!A:C,3,false),)</f>
        <v/>
      </c>
      <c r="D970" s="11" t="str">
        <f>iferror(vlookup(B970,'📦 ชื่อสินค้า'!A:D,4,false),"")</f>
        <v/>
      </c>
      <c r="E970" s="16"/>
      <c r="F970" s="8" t="str">
        <f t="shared" si="1"/>
        <v/>
      </c>
      <c r="G970" s="9" t="str">
        <f>IF(LEN(B970)&gt;0,vlookup(B970,'📊 รายงานสินค้าคงเหลือ'!A:G,6,false)*E970,)</f>
        <v/>
      </c>
      <c r="H970" s="9" t="str">
        <f t="shared" si="2"/>
        <v/>
      </c>
      <c r="I970" s="10" t="str">
        <f t="shared" si="3"/>
        <v/>
      </c>
      <c r="J970" s="11" t="str">
        <f t="shared" si="4"/>
        <v/>
      </c>
      <c r="K970" s="11" t="str">
        <f>IFERROR(IF(A970&lt;&gt;"",VLOOKUP(B970,'📦 ชื่อสินค้า'!A:F,6,false),""),)</f>
        <v/>
      </c>
      <c r="L970" s="11" t="str">
        <f t="shared" si="5"/>
        <v/>
      </c>
      <c r="M970" s="13"/>
    </row>
    <row r="971">
      <c r="A971" s="15"/>
      <c r="B971" s="6"/>
      <c r="C971" s="14" t="str">
        <f>iferror(vlookup(B971,'📦 ชื่อสินค้า'!A:C,3,false),)</f>
        <v/>
      </c>
      <c r="D971" s="11" t="str">
        <f>iferror(vlookup(B971,'📦 ชื่อสินค้า'!A:D,4,false),"")</f>
        <v/>
      </c>
      <c r="E971" s="16"/>
      <c r="F971" s="8" t="str">
        <f t="shared" si="1"/>
        <v/>
      </c>
      <c r="G971" s="9" t="str">
        <f>IF(LEN(B971)&gt;0,vlookup(B971,'📊 รายงานสินค้าคงเหลือ'!A:G,6,false)*E971,)</f>
        <v/>
      </c>
      <c r="H971" s="9" t="str">
        <f t="shared" si="2"/>
        <v/>
      </c>
      <c r="I971" s="10" t="str">
        <f t="shared" si="3"/>
        <v/>
      </c>
      <c r="J971" s="11" t="str">
        <f t="shared" si="4"/>
        <v/>
      </c>
      <c r="K971" s="11" t="str">
        <f>IFERROR(IF(A971&lt;&gt;"",VLOOKUP(B971,'📦 ชื่อสินค้า'!A:F,6,false),""),)</f>
        <v/>
      </c>
      <c r="L971" s="11" t="str">
        <f t="shared" si="5"/>
        <v/>
      </c>
      <c r="M971" s="13"/>
    </row>
    <row r="972">
      <c r="A972" s="15"/>
      <c r="B972" s="6"/>
      <c r="C972" s="14" t="str">
        <f>iferror(vlookup(B972,'📦 ชื่อสินค้า'!A:C,3,false),)</f>
        <v/>
      </c>
      <c r="D972" s="11" t="str">
        <f>iferror(vlookup(B972,'📦 ชื่อสินค้า'!A:D,4,false),"")</f>
        <v/>
      </c>
      <c r="E972" s="16"/>
      <c r="F972" s="8" t="str">
        <f t="shared" si="1"/>
        <v/>
      </c>
      <c r="G972" s="9" t="str">
        <f>IF(LEN(B972)&gt;0,vlookup(B972,'📊 รายงานสินค้าคงเหลือ'!A:G,6,false)*E972,)</f>
        <v/>
      </c>
      <c r="H972" s="9" t="str">
        <f t="shared" si="2"/>
        <v/>
      </c>
      <c r="I972" s="10" t="str">
        <f t="shared" si="3"/>
        <v/>
      </c>
      <c r="J972" s="11" t="str">
        <f t="shared" si="4"/>
        <v/>
      </c>
      <c r="K972" s="11" t="str">
        <f>IFERROR(IF(A972&lt;&gt;"",VLOOKUP(B972,'📦 ชื่อสินค้า'!A:F,6,false),""),)</f>
        <v/>
      </c>
      <c r="L972" s="11" t="str">
        <f t="shared" si="5"/>
        <v/>
      </c>
      <c r="M972" s="13"/>
    </row>
    <row r="973">
      <c r="A973" s="15"/>
      <c r="B973" s="6"/>
      <c r="C973" s="14" t="str">
        <f>iferror(vlookup(B973,'📦 ชื่อสินค้า'!A:C,3,false),)</f>
        <v/>
      </c>
      <c r="D973" s="11" t="str">
        <f>iferror(vlookup(B973,'📦 ชื่อสินค้า'!A:D,4,false),"")</f>
        <v/>
      </c>
      <c r="E973" s="16"/>
      <c r="F973" s="8" t="str">
        <f t="shared" si="1"/>
        <v/>
      </c>
      <c r="G973" s="9" t="str">
        <f>IF(LEN(B973)&gt;0,vlookup(B973,'📊 รายงานสินค้าคงเหลือ'!A:G,6,false)*E973,)</f>
        <v/>
      </c>
      <c r="H973" s="9" t="str">
        <f t="shared" si="2"/>
        <v/>
      </c>
      <c r="I973" s="10" t="str">
        <f t="shared" si="3"/>
        <v/>
      </c>
      <c r="J973" s="11" t="str">
        <f t="shared" si="4"/>
        <v/>
      </c>
      <c r="K973" s="11" t="str">
        <f>IFERROR(IF(A973&lt;&gt;"",VLOOKUP(B973,'📦 ชื่อสินค้า'!A:F,6,false),""),)</f>
        <v/>
      </c>
      <c r="L973" s="11" t="str">
        <f t="shared" si="5"/>
        <v/>
      </c>
      <c r="M973" s="13"/>
    </row>
    <row r="974">
      <c r="A974" s="15"/>
      <c r="B974" s="6"/>
      <c r="C974" s="14" t="str">
        <f>iferror(vlookup(B974,'📦 ชื่อสินค้า'!A:C,3,false),)</f>
        <v/>
      </c>
      <c r="D974" s="11" t="str">
        <f>iferror(vlookup(B974,'📦 ชื่อสินค้า'!A:D,4,false),"")</f>
        <v/>
      </c>
      <c r="E974" s="16"/>
      <c r="F974" s="8" t="str">
        <f t="shared" si="1"/>
        <v/>
      </c>
      <c r="G974" s="9" t="str">
        <f>IF(LEN(B974)&gt;0,vlookup(B974,'📊 รายงานสินค้าคงเหลือ'!A:G,6,false)*E974,)</f>
        <v/>
      </c>
      <c r="H974" s="9" t="str">
        <f t="shared" si="2"/>
        <v/>
      </c>
      <c r="I974" s="10" t="str">
        <f t="shared" si="3"/>
        <v/>
      </c>
      <c r="J974" s="11" t="str">
        <f t="shared" si="4"/>
        <v/>
      </c>
      <c r="K974" s="11" t="str">
        <f>IFERROR(IF(A974&lt;&gt;"",VLOOKUP(B974,'📦 ชื่อสินค้า'!A:F,6,false),""),)</f>
        <v/>
      </c>
      <c r="L974" s="11" t="str">
        <f t="shared" si="5"/>
        <v/>
      </c>
      <c r="M974" s="13"/>
    </row>
    <row r="975">
      <c r="A975" s="15"/>
      <c r="B975" s="6"/>
      <c r="C975" s="14" t="str">
        <f>iferror(vlookup(B975,'📦 ชื่อสินค้า'!A:C,3,false),)</f>
        <v/>
      </c>
      <c r="D975" s="11" t="str">
        <f>iferror(vlookup(B975,'📦 ชื่อสินค้า'!A:D,4,false),"")</f>
        <v/>
      </c>
      <c r="E975" s="16"/>
      <c r="F975" s="8" t="str">
        <f t="shared" si="1"/>
        <v/>
      </c>
      <c r="G975" s="9" t="str">
        <f>IF(LEN(B975)&gt;0,vlookup(B975,'📊 รายงานสินค้าคงเหลือ'!A:G,6,false)*E975,)</f>
        <v/>
      </c>
      <c r="H975" s="9" t="str">
        <f t="shared" si="2"/>
        <v/>
      </c>
      <c r="I975" s="10" t="str">
        <f t="shared" si="3"/>
        <v/>
      </c>
      <c r="J975" s="11" t="str">
        <f t="shared" si="4"/>
        <v/>
      </c>
      <c r="K975" s="11" t="str">
        <f>IFERROR(IF(A975&lt;&gt;"",VLOOKUP(B975,'📦 ชื่อสินค้า'!A:F,6,false),""),)</f>
        <v/>
      </c>
      <c r="L975" s="11" t="str">
        <f t="shared" si="5"/>
        <v/>
      </c>
      <c r="M975" s="13"/>
    </row>
    <row r="976">
      <c r="A976" s="15"/>
      <c r="B976" s="6"/>
      <c r="C976" s="14" t="str">
        <f>iferror(vlookup(B976,'📦 ชื่อสินค้า'!A:C,3,false),)</f>
        <v/>
      </c>
      <c r="D976" s="11" t="str">
        <f>iferror(vlookup(B976,'📦 ชื่อสินค้า'!A:D,4,false),"")</f>
        <v/>
      </c>
      <c r="E976" s="16"/>
      <c r="F976" s="8" t="str">
        <f t="shared" si="1"/>
        <v/>
      </c>
      <c r="G976" s="9" t="str">
        <f>IF(LEN(B976)&gt;0,vlookup(B976,'📊 รายงานสินค้าคงเหลือ'!A:G,6,false)*E976,)</f>
        <v/>
      </c>
      <c r="H976" s="9" t="str">
        <f t="shared" si="2"/>
        <v/>
      </c>
      <c r="I976" s="10" t="str">
        <f t="shared" si="3"/>
        <v/>
      </c>
      <c r="J976" s="11" t="str">
        <f t="shared" si="4"/>
        <v/>
      </c>
      <c r="K976" s="11" t="str">
        <f>IFERROR(IF(A976&lt;&gt;"",VLOOKUP(B976,'📦 ชื่อสินค้า'!A:F,6,false),""),)</f>
        <v/>
      </c>
      <c r="L976" s="11" t="str">
        <f t="shared" si="5"/>
        <v/>
      </c>
      <c r="M976" s="13"/>
    </row>
    <row r="977">
      <c r="A977" s="15"/>
      <c r="B977" s="6"/>
      <c r="C977" s="14" t="str">
        <f>iferror(vlookup(B977,'📦 ชื่อสินค้า'!A:C,3,false),)</f>
        <v/>
      </c>
      <c r="D977" s="11" t="str">
        <f>iferror(vlookup(B977,'📦 ชื่อสินค้า'!A:D,4,false),"")</f>
        <v/>
      </c>
      <c r="E977" s="16"/>
      <c r="F977" s="8" t="str">
        <f t="shared" si="1"/>
        <v/>
      </c>
      <c r="G977" s="9" t="str">
        <f>IF(LEN(B977)&gt;0,vlookup(B977,'📊 รายงานสินค้าคงเหลือ'!A:G,6,false)*E977,)</f>
        <v/>
      </c>
      <c r="H977" s="9" t="str">
        <f t="shared" si="2"/>
        <v/>
      </c>
      <c r="I977" s="10" t="str">
        <f t="shared" si="3"/>
        <v/>
      </c>
      <c r="J977" s="11" t="str">
        <f t="shared" si="4"/>
        <v/>
      </c>
      <c r="K977" s="11" t="str">
        <f>IFERROR(IF(A977&lt;&gt;"",VLOOKUP(B977,'📦 ชื่อสินค้า'!A:F,6,false),""),)</f>
        <v/>
      </c>
      <c r="L977" s="11" t="str">
        <f t="shared" si="5"/>
        <v/>
      </c>
      <c r="M977" s="13"/>
    </row>
    <row r="978">
      <c r="A978" s="15"/>
      <c r="B978" s="6"/>
      <c r="C978" s="14" t="str">
        <f>iferror(vlookup(B978,'📦 ชื่อสินค้า'!A:C,3,false),)</f>
        <v/>
      </c>
      <c r="D978" s="11" t="str">
        <f>iferror(vlookup(B978,'📦 ชื่อสินค้า'!A:D,4,false),"")</f>
        <v/>
      </c>
      <c r="E978" s="16"/>
      <c r="F978" s="8" t="str">
        <f t="shared" si="1"/>
        <v/>
      </c>
      <c r="G978" s="9" t="str">
        <f>IF(LEN(B978)&gt;0,vlookup(B978,'📊 รายงานสินค้าคงเหลือ'!A:G,6,false)*E978,)</f>
        <v/>
      </c>
      <c r="H978" s="9" t="str">
        <f t="shared" si="2"/>
        <v/>
      </c>
      <c r="I978" s="10" t="str">
        <f t="shared" si="3"/>
        <v/>
      </c>
      <c r="J978" s="11" t="str">
        <f t="shared" si="4"/>
        <v/>
      </c>
      <c r="K978" s="11" t="str">
        <f>IFERROR(IF(A978&lt;&gt;"",VLOOKUP(B978,'📦 ชื่อสินค้า'!A:F,6,false),""),)</f>
        <v/>
      </c>
      <c r="L978" s="11" t="str">
        <f t="shared" si="5"/>
        <v/>
      </c>
      <c r="M978" s="13"/>
    </row>
    <row r="979">
      <c r="A979" s="15"/>
      <c r="B979" s="6"/>
      <c r="C979" s="14" t="str">
        <f>iferror(vlookup(B979,'📦 ชื่อสินค้า'!A:C,3,false),)</f>
        <v/>
      </c>
      <c r="D979" s="11" t="str">
        <f>iferror(vlookup(B979,'📦 ชื่อสินค้า'!A:D,4,false),"")</f>
        <v/>
      </c>
      <c r="E979" s="16"/>
      <c r="F979" s="8" t="str">
        <f t="shared" si="1"/>
        <v/>
      </c>
      <c r="G979" s="9" t="str">
        <f>IF(LEN(B979)&gt;0,vlookup(B979,'📊 รายงานสินค้าคงเหลือ'!A:G,6,false)*E979,)</f>
        <v/>
      </c>
      <c r="H979" s="9" t="str">
        <f t="shared" si="2"/>
        <v/>
      </c>
      <c r="I979" s="10" t="str">
        <f t="shared" si="3"/>
        <v/>
      </c>
      <c r="J979" s="11" t="str">
        <f t="shared" si="4"/>
        <v/>
      </c>
      <c r="K979" s="11" t="str">
        <f>IFERROR(IF(A979&lt;&gt;"",VLOOKUP(B979,'📦 ชื่อสินค้า'!A:F,6,false),""),)</f>
        <v/>
      </c>
      <c r="L979" s="11" t="str">
        <f t="shared" si="5"/>
        <v/>
      </c>
      <c r="M979" s="13"/>
    </row>
    <row r="980">
      <c r="A980" s="15"/>
      <c r="B980" s="6"/>
      <c r="C980" s="14" t="str">
        <f>iferror(vlookup(B980,'📦 ชื่อสินค้า'!A:C,3,false),)</f>
        <v/>
      </c>
      <c r="D980" s="11" t="str">
        <f>iferror(vlookup(B980,'📦 ชื่อสินค้า'!A:D,4,false),"")</f>
        <v/>
      </c>
      <c r="E980" s="16"/>
      <c r="F980" s="8" t="str">
        <f t="shared" si="1"/>
        <v/>
      </c>
      <c r="G980" s="9" t="str">
        <f>IF(LEN(B980)&gt;0,vlookup(B980,'📊 รายงานสินค้าคงเหลือ'!A:G,6,false)*E980,)</f>
        <v/>
      </c>
      <c r="H980" s="9" t="str">
        <f t="shared" si="2"/>
        <v/>
      </c>
      <c r="I980" s="10" t="str">
        <f t="shared" si="3"/>
        <v/>
      </c>
      <c r="J980" s="11" t="str">
        <f t="shared" si="4"/>
        <v/>
      </c>
      <c r="K980" s="11" t="str">
        <f>IFERROR(IF(A980&lt;&gt;"",VLOOKUP(B980,'📦 ชื่อสินค้า'!A:F,6,false),""),)</f>
        <v/>
      </c>
      <c r="L980" s="11" t="str">
        <f t="shared" si="5"/>
        <v/>
      </c>
      <c r="M980" s="13"/>
    </row>
    <row r="981">
      <c r="A981" s="15"/>
      <c r="B981" s="6"/>
      <c r="C981" s="14" t="str">
        <f>iferror(vlookup(B981,'📦 ชื่อสินค้า'!A:C,3,false),)</f>
        <v/>
      </c>
      <c r="D981" s="11" t="str">
        <f>iferror(vlookup(B981,'📦 ชื่อสินค้า'!A:D,4,false),"")</f>
        <v/>
      </c>
      <c r="E981" s="16"/>
      <c r="F981" s="8" t="str">
        <f t="shared" si="1"/>
        <v/>
      </c>
      <c r="G981" s="9" t="str">
        <f>IF(LEN(B981)&gt;0,vlookup(B981,'📊 รายงานสินค้าคงเหลือ'!A:G,6,false)*E981,)</f>
        <v/>
      </c>
      <c r="H981" s="9" t="str">
        <f t="shared" si="2"/>
        <v/>
      </c>
      <c r="I981" s="10" t="str">
        <f t="shared" si="3"/>
        <v/>
      </c>
      <c r="J981" s="11" t="str">
        <f t="shared" si="4"/>
        <v/>
      </c>
      <c r="K981" s="11" t="str">
        <f>IFERROR(IF(A981&lt;&gt;"",VLOOKUP(B981,'📦 ชื่อสินค้า'!A:F,6,false),""),)</f>
        <v/>
      </c>
      <c r="L981" s="11" t="str">
        <f t="shared" si="5"/>
        <v/>
      </c>
      <c r="M981" s="13"/>
    </row>
    <row r="982">
      <c r="A982" s="15"/>
      <c r="B982" s="6"/>
      <c r="C982" s="14" t="str">
        <f>iferror(vlookup(B982,'📦 ชื่อสินค้า'!A:C,3,false),)</f>
        <v/>
      </c>
      <c r="D982" s="11" t="str">
        <f>iferror(vlookup(B982,'📦 ชื่อสินค้า'!A:D,4,false),"")</f>
        <v/>
      </c>
      <c r="E982" s="16"/>
      <c r="F982" s="8" t="str">
        <f t="shared" si="1"/>
        <v/>
      </c>
      <c r="G982" s="9" t="str">
        <f>IF(LEN(B982)&gt;0,vlookup(B982,'📊 รายงานสินค้าคงเหลือ'!A:G,6,false)*E982,)</f>
        <v/>
      </c>
      <c r="H982" s="9" t="str">
        <f t="shared" si="2"/>
        <v/>
      </c>
      <c r="I982" s="10" t="str">
        <f t="shared" si="3"/>
        <v/>
      </c>
      <c r="J982" s="11" t="str">
        <f t="shared" si="4"/>
        <v/>
      </c>
      <c r="K982" s="11" t="str">
        <f>IFERROR(IF(A982&lt;&gt;"",VLOOKUP(B982,'📦 ชื่อสินค้า'!A:F,6,false),""),)</f>
        <v/>
      </c>
      <c r="L982" s="11" t="str">
        <f t="shared" si="5"/>
        <v/>
      </c>
      <c r="M982" s="13"/>
    </row>
    <row r="983">
      <c r="A983" s="15"/>
      <c r="B983" s="6"/>
      <c r="C983" s="14" t="str">
        <f>iferror(vlookup(B983,'📦 ชื่อสินค้า'!A:C,3,false),)</f>
        <v/>
      </c>
      <c r="D983" s="11" t="str">
        <f>iferror(vlookup(B983,'📦 ชื่อสินค้า'!A:D,4,false),"")</f>
        <v/>
      </c>
      <c r="E983" s="16"/>
      <c r="F983" s="8" t="str">
        <f t="shared" si="1"/>
        <v/>
      </c>
      <c r="G983" s="9" t="str">
        <f>IF(LEN(B983)&gt;0,vlookup(B983,'📊 รายงานสินค้าคงเหลือ'!A:G,6,false)*E983,)</f>
        <v/>
      </c>
      <c r="H983" s="9" t="str">
        <f t="shared" si="2"/>
        <v/>
      </c>
      <c r="I983" s="10" t="str">
        <f t="shared" si="3"/>
        <v/>
      </c>
      <c r="J983" s="11" t="str">
        <f t="shared" si="4"/>
        <v/>
      </c>
      <c r="K983" s="11" t="str">
        <f>IFERROR(IF(A983&lt;&gt;"",VLOOKUP(B983,'📦 ชื่อสินค้า'!A:F,6,false),""),)</f>
        <v/>
      </c>
      <c r="L983" s="11" t="str">
        <f t="shared" si="5"/>
        <v/>
      </c>
      <c r="M983" s="13"/>
    </row>
    <row r="984">
      <c r="A984" s="15"/>
      <c r="B984" s="6"/>
      <c r="C984" s="14" t="str">
        <f>iferror(vlookup(B984,'📦 ชื่อสินค้า'!A:C,3,false),)</f>
        <v/>
      </c>
      <c r="D984" s="11" t="str">
        <f>iferror(vlookup(B984,'📦 ชื่อสินค้า'!A:D,4,false),"")</f>
        <v/>
      </c>
      <c r="E984" s="16"/>
      <c r="F984" s="8" t="str">
        <f t="shared" si="1"/>
        <v/>
      </c>
      <c r="G984" s="9" t="str">
        <f>IF(LEN(B984)&gt;0,vlookup(B984,'📊 รายงานสินค้าคงเหลือ'!A:G,6,false)*E984,)</f>
        <v/>
      </c>
      <c r="H984" s="9" t="str">
        <f t="shared" si="2"/>
        <v/>
      </c>
      <c r="I984" s="10" t="str">
        <f t="shared" si="3"/>
        <v/>
      </c>
      <c r="J984" s="11" t="str">
        <f t="shared" si="4"/>
        <v/>
      </c>
      <c r="K984" s="11" t="str">
        <f>IFERROR(IF(A984&lt;&gt;"",VLOOKUP(B984,'📦 ชื่อสินค้า'!A:F,6,false),""),)</f>
        <v/>
      </c>
      <c r="L984" s="11" t="str">
        <f t="shared" si="5"/>
        <v/>
      </c>
      <c r="M984" s="13"/>
    </row>
    <row r="985">
      <c r="A985" s="15"/>
      <c r="B985" s="6"/>
      <c r="C985" s="14" t="str">
        <f>iferror(vlookup(B985,'📦 ชื่อสินค้า'!A:C,3,false),)</f>
        <v/>
      </c>
      <c r="D985" s="11" t="str">
        <f>iferror(vlookup(B985,'📦 ชื่อสินค้า'!A:D,4,false),"")</f>
        <v/>
      </c>
      <c r="E985" s="16"/>
      <c r="F985" s="8" t="str">
        <f t="shared" si="1"/>
        <v/>
      </c>
      <c r="G985" s="9" t="str">
        <f>IF(LEN(B985)&gt;0,vlookup(B985,'📊 รายงานสินค้าคงเหลือ'!A:G,6,false)*E985,)</f>
        <v/>
      </c>
      <c r="H985" s="9" t="str">
        <f t="shared" si="2"/>
        <v/>
      </c>
      <c r="I985" s="10" t="str">
        <f t="shared" si="3"/>
        <v/>
      </c>
      <c r="J985" s="11" t="str">
        <f t="shared" si="4"/>
        <v/>
      </c>
      <c r="K985" s="11" t="str">
        <f>IFERROR(IF(A985&lt;&gt;"",VLOOKUP(B985,'📦 ชื่อสินค้า'!A:F,6,false),""),)</f>
        <v/>
      </c>
      <c r="L985" s="11" t="str">
        <f t="shared" si="5"/>
        <v/>
      </c>
      <c r="M985" s="13"/>
    </row>
    <row r="986">
      <c r="A986" s="15"/>
      <c r="B986" s="6"/>
      <c r="C986" s="14" t="str">
        <f>iferror(vlookup(B986,'📦 ชื่อสินค้า'!A:C,3,false),)</f>
        <v/>
      </c>
      <c r="D986" s="11" t="str">
        <f>iferror(vlookup(B986,'📦 ชื่อสินค้า'!A:D,4,false),"")</f>
        <v/>
      </c>
      <c r="E986" s="16"/>
      <c r="F986" s="8" t="str">
        <f t="shared" si="1"/>
        <v/>
      </c>
      <c r="G986" s="9" t="str">
        <f>IF(LEN(B986)&gt;0,vlookup(B986,'📊 รายงานสินค้าคงเหลือ'!A:G,6,false)*E986,)</f>
        <v/>
      </c>
      <c r="H986" s="9" t="str">
        <f t="shared" si="2"/>
        <v/>
      </c>
      <c r="I986" s="10" t="str">
        <f t="shared" si="3"/>
        <v/>
      </c>
      <c r="J986" s="11" t="str">
        <f t="shared" si="4"/>
        <v/>
      </c>
      <c r="K986" s="11" t="str">
        <f>IFERROR(IF(A986&lt;&gt;"",VLOOKUP(B986,'📦 ชื่อสินค้า'!A:F,6,false),""),)</f>
        <v/>
      </c>
      <c r="L986" s="11" t="str">
        <f t="shared" si="5"/>
        <v/>
      </c>
      <c r="M986" s="13"/>
    </row>
    <row r="987">
      <c r="A987" s="15"/>
      <c r="B987" s="6"/>
      <c r="C987" s="14" t="str">
        <f>iferror(vlookup(B987,'📦 ชื่อสินค้า'!A:C,3,false),)</f>
        <v/>
      </c>
      <c r="D987" s="11" t="str">
        <f>iferror(vlookup(B987,'📦 ชื่อสินค้า'!A:D,4,false),"")</f>
        <v/>
      </c>
      <c r="E987" s="16"/>
      <c r="F987" s="8" t="str">
        <f t="shared" si="1"/>
        <v/>
      </c>
      <c r="G987" s="9" t="str">
        <f>IF(LEN(B987)&gt;0,vlookup(B987,'📊 รายงานสินค้าคงเหลือ'!A:G,6,false)*E987,)</f>
        <v/>
      </c>
      <c r="H987" s="9" t="str">
        <f t="shared" si="2"/>
        <v/>
      </c>
      <c r="I987" s="10" t="str">
        <f t="shared" si="3"/>
        <v/>
      </c>
      <c r="J987" s="11" t="str">
        <f t="shared" si="4"/>
        <v/>
      </c>
      <c r="K987" s="11" t="str">
        <f>IFERROR(IF(A987&lt;&gt;"",VLOOKUP(B987,'📦 ชื่อสินค้า'!A:F,6,false),""),)</f>
        <v/>
      </c>
      <c r="L987" s="11" t="str">
        <f t="shared" si="5"/>
        <v/>
      </c>
      <c r="M987" s="13"/>
    </row>
    <row r="988">
      <c r="A988" s="15"/>
      <c r="B988" s="6"/>
      <c r="C988" s="14" t="str">
        <f>iferror(vlookup(B988,'📦 ชื่อสินค้า'!A:C,3,false),)</f>
        <v/>
      </c>
      <c r="D988" s="11" t="str">
        <f>iferror(vlookup(B988,'📦 ชื่อสินค้า'!A:D,4,false),"")</f>
        <v/>
      </c>
      <c r="E988" s="16"/>
      <c r="F988" s="8" t="str">
        <f t="shared" si="1"/>
        <v/>
      </c>
      <c r="G988" s="9" t="str">
        <f>IF(LEN(B988)&gt;0,vlookup(B988,'📊 รายงานสินค้าคงเหลือ'!A:G,6,false)*E988,)</f>
        <v/>
      </c>
      <c r="H988" s="9" t="str">
        <f t="shared" si="2"/>
        <v/>
      </c>
      <c r="I988" s="10" t="str">
        <f t="shared" si="3"/>
        <v/>
      </c>
      <c r="J988" s="11" t="str">
        <f t="shared" si="4"/>
        <v/>
      </c>
      <c r="K988" s="11" t="str">
        <f>IFERROR(IF(A988&lt;&gt;"",VLOOKUP(B988,'📦 ชื่อสินค้า'!A:F,6,false),""),)</f>
        <v/>
      </c>
      <c r="L988" s="11" t="str">
        <f t="shared" si="5"/>
        <v/>
      </c>
      <c r="M988" s="13"/>
    </row>
    <row r="989">
      <c r="A989" s="15"/>
      <c r="B989" s="6"/>
      <c r="C989" s="14" t="str">
        <f>iferror(vlookup(B989,'📦 ชื่อสินค้า'!A:C,3,false),)</f>
        <v/>
      </c>
      <c r="D989" s="11" t="str">
        <f>iferror(vlookup(B989,'📦 ชื่อสินค้า'!A:D,4,false),"")</f>
        <v/>
      </c>
      <c r="E989" s="16"/>
      <c r="F989" s="8" t="str">
        <f t="shared" si="1"/>
        <v/>
      </c>
      <c r="G989" s="9" t="str">
        <f>IF(LEN(B989)&gt;0,vlookup(B989,'📊 รายงานสินค้าคงเหลือ'!A:G,6,false)*E989,)</f>
        <v/>
      </c>
      <c r="H989" s="9" t="str">
        <f t="shared" si="2"/>
        <v/>
      </c>
      <c r="I989" s="10" t="str">
        <f t="shared" si="3"/>
        <v/>
      </c>
      <c r="J989" s="11" t="str">
        <f t="shared" si="4"/>
        <v/>
      </c>
      <c r="K989" s="11" t="str">
        <f>IFERROR(IF(A989&lt;&gt;"",VLOOKUP(B989,'📦 ชื่อสินค้า'!A:F,6,false),""),)</f>
        <v/>
      </c>
      <c r="L989" s="11" t="str">
        <f t="shared" si="5"/>
        <v/>
      </c>
      <c r="M989" s="13"/>
    </row>
    <row r="990">
      <c r="A990" s="15"/>
      <c r="B990" s="6"/>
      <c r="C990" s="14" t="str">
        <f>iferror(vlookup(B990,'📦 ชื่อสินค้า'!A:C,3,false),)</f>
        <v/>
      </c>
      <c r="D990" s="11" t="str">
        <f>iferror(vlookup(B990,'📦 ชื่อสินค้า'!A:D,4,false),"")</f>
        <v/>
      </c>
      <c r="E990" s="16"/>
      <c r="F990" s="8" t="str">
        <f t="shared" si="1"/>
        <v/>
      </c>
      <c r="G990" s="9" t="str">
        <f>IF(LEN(B990)&gt;0,vlookup(B990,'📊 รายงานสินค้าคงเหลือ'!A:G,6,false)*E990,)</f>
        <v/>
      </c>
      <c r="H990" s="9" t="str">
        <f t="shared" si="2"/>
        <v/>
      </c>
      <c r="I990" s="10" t="str">
        <f t="shared" si="3"/>
        <v/>
      </c>
      <c r="J990" s="11" t="str">
        <f t="shared" si="4"/>
        <v/>
      </c>
      <c r="K990" s="11" t="str">
        <f>IFERROR(IF(A990&lt;&gt;"",VLOOKUP(B990,'📦 ชื่อสินค้า'!A:F,6,false),""),)</f>
        <v/>
      </c>
      <c r="L990" s="11" t="str">
        <f t="shared" si="5"/>
        <v/>
      </c>
      <c r="M990" s="13"/>
    </row>
  </sheetData>
  <dataValidations>
    <dataValidation type="list" allowBlank="1" sqref="B2:B990">
      <formula1>'📦 ชื่อสินค้า'!$A$2:$A990</formula1>
    </dataValidation>
    <dataValidation type="custom" allowBlank="1" showDropDown="1" sqref="A2:A990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39.63"/>
    <col customWidth="1" min="3" max="3" width="8.0"/>
    <col customWidth="1" min="4" max="4" width="6.0"/>
    <col customWidth="1" min="5" max="5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2" t="s">
        <v>28</v>
      </c>
      <c r="G1" s="2" t="s">
        <v>5</v>
      </c>
      <c r="H1" s="2" t="s">
        <v>9</v>
      </c>
      <c r="I1" s="2" t="s">
        <v>29</v>
      </c>
    </row>
    <row r="2">
      <c r="A2" s="17">
        <v>45437.0</v>
      </c>
      <c r="B2" s="6" t="s">
        <v>21</v>
      </c>
      <c r="C2" s="7">
        <v>80.0</v>
      </c>
      <c r="D2" s="11" t="str">
        <f>iferror(vlookup(B2,'📦 ชื่อสินค้า'!A:D,4,false),"")</f>
        <v>โล</v>
      </c>
      <c r="E2" s="6">
        <v>507.0</v>
      </c>
      <c r="F2" s="6"/>
      <c r="G2" s="8">
        <f t="shared" ref="G2:G996" si="1">IF(LEN(B2)&gt;0,C2*E2+F2,"")</f>
        <v>40560</v>
      </c>
      <c r="H2" s="11" t="str">
        <f t="shared" ref="H2:H996" si="2">IF(A2&lt;&gt;"",YEAR(A2)&amp;"-"&amp;MONTH(A2),"")</f>
        <v>2024-5</v>
      </c>
      <c r="I2" s="18">
        <v>507.0</v>
      </c>
    </row>
    <row r="3">
      <c r="A3" s="17">
        <v>45433.0</v>
      </c>
      <c r="B3" s="6" t="s">
        <v>30</v>
      </c>
      <c r="C3" s="7">
        <v>90.0</v>
      </c>
      <c r="D3" s="8" t="s">
        <v>14</v>
      </c>
      <c r="E3" s="6">
        <v>114.0</v>
      </c>
      <c r="F3" s="6"/>
      <c r="G3" s="8">
        <f t="shared" si="1"/>
        <v>10260</v>
      </c>
      <c r="H3" s="11" t="str">
        <f t="shared" si="2"/>
        <v>2024-5</v>
      </c>
      <c r="I3" s="18">
        <v>114.0</v>
      </c>
    </row>
    <row r="4">
      <c r="A4" s="5">
        <v>45393.0</v>
      </c>
      <c r="B4" s="6" t="s">
        <v>13</v>
      </c>
      <c r="C4" s="7">
        <v>80.0</v>
      </c>
      <c r="D4" s="8" t="s">
        <v>14</v>
      </c>
      <c r="E4" s="6">
        <v>118.0</v>
      </c>
      <c r="F4" s="6"/>
      <c r="G4" s="8">
        <f t="shared" si="1"/>
        <v>9440</v>
      </c>
      <c r="H4" s="11" t="str">
        <f t="shared" si="2"/>
        <v>2024-4</v>
      </c>
      <c r="I4" s="18">
        <v>114.0</v>
      </c>
    </row>
    <row r="5">
      <c r="A5" s="5">
        <v>45393.0</v>
      </c>
      <c r="B5" s="6" t="s">
        <v>23</v>
      </c>
      <c r="C5" s="7">
        <v>80.0</v>
      </c>
      <c r="D5" s="8" t="s">
        <v>14</v>
      </c>
      <c r="E5" s="6">
        <v>160.0</v>
      </c>
      <c r="F5" s="6"/>
      <c r="G5" s="8">
        <f t="shared" si="1"/>
        <v>12800</v>
      </c>
      <c r="H5" s="11" t="str">
        <f t="shared" si="2"/>
        <v>2024-4</v>
      </c>
      <c r="I5" s="18">
        <v>157.0</v>
      </c>
    </row>
    <row r="6">
      <c r="A6" s="5">
        <v>45393.0</v>
      </c>
      <c r="B6" s="6" t="s">
        <v>31</v>
      </c>
      <c r="C6" s="7">
        <v>80.0</v>
      </c>
      <c r="D6" s="8" t="s">
        <v>14</v>
      </c>
      <c r="E6" s="6">
        <v>473.0</v>
      </c>
      <c r="F6" s="6"/>
      <c r="G6" s="8">
        <f t="shared" si="1"/>
        <v>37840</v>
      </c>
      <c r="H6" s="11" t="str">
        <f t="shared" si="2"/>
        <v>2024-4</v>
      </c>
      <c r="I6" s="18">
        <v>473.0</v>
      </c>
    </row>
    <row r="7">
      <c r="A7" s="5">
        <v>45393.0</v>
      </c>
      <c r="B7" s="6" t="s">
        <v>24</v>
      </c>
      <c r="C7" s="7">
        <v>80.0</v>
      </c>
      <c r="D7" s="8" t="s">
        <v>14</v>
      </c>
      <c r="E7" s="6">
        <v>94.0</v>
      </c>
      <c r="F7" s="6"/>
      <c r="G7" s="8">
        <f t="shared" si="1"/>
        <v>7520</v>
      </c>
      <c r="H7" s="11" t="str">
        <f t="shared" si="2"/>
        <v>2024-4</v>
      </c>
      <c r="I7" s="18">
        <v>90.0</v>
      </c>
    </row>
    <row r="8">
      <c r="A8" s="5">
        <v>45393.0</v>
      </c>
      <c r="B8" s="6" t="s">
        <v>19</v>
      </c>
      <c r="C8" s="7">
        <v>80.0</v>
      </c>
      <c r="D8" s="8" t="s">
        <v>14</v>
      </c>
      <c r="E8" s="6">
        <v>190.0</v>
      </c>
      <c r="F8" s="6"/>
      <c r="G8" s="8">
        <f t="shared" si="1"/>
        <v>15200</v>
      </c>
      <c r="H8" s="11" t="str">
        <f t="shared" si="2"/>
        <v>2024-4</v>
      </c>
      <c r="I8" s="18">
        <v>183.0</v>
      </c>
    </row>
    <row r="9">
      <c r="A9" s="5">
        <v>45393.0</v>
      </c>
      <c r="B9" s="6" t="s">
        <v>32</v>
      </c>
      <c r="C9" s="7">
        <v>70.0</v>
      </c>
      <c r="D9" s="8" t="s">
        <v>14</v>
      </c>
      <c r="E9" s="6">
        <v>130.0</v>
      </c>
      <c r="F9" s="6"/>
      <c r="G9" s="8">
        <f t="shared" si="1"/>
        <v>9100</v>
      </c>
      <c r="H9" s="11" t="str">
        <f t="shared" si="2"/>
        <v>2024-4</v>
      </c>
      <c r="I9" s="18">
        <v>130.0</v>
      </c>
    </row>
    <row r="10">
      <c r="A10" s="5">
        <v>45364.0</v>
      </c>
      <c r="B10" s="6" t="s">
        <v>17</v>
      </c>
      <c r="C10" s="7">
        <v>80.0</v>
      </c>
      <c r="D10" s="8" t="s">
        <v>14</v>
      </c>
      <c r="E10" s="6">
        <v>467.0</v>
      </c>
      <c r="F10" s="6"/>
      <c r="G10" s="8">
        <f t="shared" si="1"/>
        <v>37360</v>
      </c>
      <c r="H10" s="11" t="str">
        <f t="shared" si="2"/>
        <v>2024-3</v>
      </c>
      <c r="I10" s="18">
        <v>470.0</v>
      </c>
    </row>
    <row r="11">
      <c r="A11" s="5">
        <v>45364.0</v>
      </c>
      <c r="B11" s="6" t="s">
        <v>21</v>
      </c>
      <c r="C11" s="7">
        <v>90.0</v>
      </c>
      <c r="D11" s="8" t="s">
        <v>14</v>
      </c>
      <c r="E11" s="6">
        <v>398.0</v>
      </c>
      <c r="F11" s="6"/>
      <c r="G11" s="8">
        <f t="shared" si="1"/>
        <v>35820</v>
      </c>
      <c r="H11" s="11" t="str">
        <f t="shared" si="2"/>
        <v>2024-3</v>
      </c>
      <c r="I11" s="18">
        <v>380.0</v>
      </c>
    </row>
    <row r="12">
      <c r="A12" s="5">
        <v>45362.0</v>
      </c>
      <c r="B12" s="6" t="s">
        <v>33</v>
      </c>
      <c r="C12" s="7">
        <v>250.0</v>
      </c>
      <c r="D12" s="8" t="s">
        <v>14</v>
      </c>
      <c r="E12" s="6">
        <v>335.0</v>
      </c>
      <c r="F12" s="6"/>
      <c r="G12" s="8">
        <f t="shared" si="1"/>
        <v>83750</v>
      </c>
      <c r="H12" s="11" t="str">
        <f t="shared" si="2"/>
        <v>2024-3</v>
      </c>
      <c r="I12" s="18">
        <v>335.0</v>
      </c>
    </row>
    <row r="13">
      <c r="A13" s="5">
        <v>45362.0</v>
      </c>
      <c r="B13" s="6" t="s">
        <v>34</v>
      </c>
      <c r="C13" s="7">
        <v>250.0</v>
      </c>
      <c r="D13" s="8" t="s">
        <v>14</v>
      </c>
      <c r="E13" s="6">
        <v>335.0</v>
      </c>
      <c r="F13" s="6"/>
      <c r="G13" s="8">
        <f t="shared" si="1"/>
        <v>83750</v>
      </c>
      <c r="H13" s="11" t="str">
        <f t="shared" si="2"/>
        <v>2024-3</v>
      </c>
      <c r="I13" s="18">
        <v>335.0</v>
      </c>
    </row>
    <row r="14">
      <c r="A14" s="5">
        <v>45447.0</v>
      </c>
      <c r="B14" s="6" t="s">
        <v>17</v>
      </c>
      <c r="C14" s="7">
        <v>80.0</v>
      </c>
      <c r="D14" s="8" t="s">
        <v>14</v>
      </c>
      <c r="E14" s="6">
        <v>473.0</v>
      </c>
      <c r="F14" s="6"/>
      <c r="G14" s="8">
        <f t="shared" si="1"/>
        <v>37840</v>
      </c>
      <c r="H14" s="11" t="str">
        <f t="shared" si="2"/>
        <v>2024-6</v>
      </c>
      <c r="I14" s="18">
        <v>473.0</v>
      </c>
    </row>
    <row r="15">
      <c r="A15" s="5">
        <v>45447.0</v>
      </c>
      <c r="B15" s="6" t="s">
        <v>16</v>
      </c>
      <c r="C15" s="7">
        <v>80.0</v>
      </c>
      <c r="D15" s="8" t="s">
        <v>14</v>
      </c>
      <c r="E15" s="6">
        <v>454.0</v>
      </c>
      <c r="F15" s="6"/>
      <c r="G15" s="8">
        <f t="shared" si="1"/>
        <v>36320</v>
      </c>
      <c r="H15" s="11" t="str">
        <f t="shared" si="2"/>
        <v>2024-6</v>
      </c>
      <c r="I15" s="18">
        <v>454.0</v>
      </c>
    </row>
    <row r="16">
      <c r="A16" s="5">
        <v>45454.0</v>
      </c>
      <c r="B16" s="6" t="s">
        <v>35</v>
      </c>
      <c r="C16" s="7">
        <v>80.0</v>
      </c>
      <c r="D16" s="8" t="s">
        <v>14</v>
      </c>
      <c r="E16" s="6">
        <v>68.0</v>
      </c>
      <c r="F16" s="6"/>
      <c r="G16" s="8">
        <f t="shared" si="1"/>
        <v>5440</v>
      </c>
      <c r="H16" s="11" t="str">
        <f t="shared" si="2"/>
        <v>2024-6</v>
      </c>
      <c r="I16" s="18">
        <v>68.0</v>
      </c>
    </row>
    <row r="17">
      <c r="A17" s="5">
        <v>45456.0</v>
      </c>
      <c r="B17" s="6" t="s">
        <v>25</v>
      </c>
      <c r="C17" s="7">
        <v>80.0</v>
      </c>
      <c r="D17" s="8" t="s">
        <v>14</v>
      </c>
      <c r="E17" s="6"/>
      <c r="F17" s="6"/>
      <c r="G17" s="8">
        <f t="shared" si="1"/>
        <v>0</v>
      </c>
      <c r="H17" s="11" t="str">
        <f t="shared" si="2"/>
        <v>2024-6</v>
      </c>
      <c r="I17" s="18">
        <v>118.0</v>
      </c>
    </row>
    <row r="18">
      <c r="A18" s="5"/>
      <c r="B18" s="6"/>
      <c r="C18" s="14"/>
      <c r="D18" s="11"/>
      <c r="E18" s="6"/>
      <c r="F18" s="6"/>
      <c r="G18" s="8" t="str">
        <f t="shared" si="1"/>
        <v/>
      </c>
      <c r="H18" s="11" t="str">
        <f t="shared" si="2"/>
        <v/>
      </c>
      <c r="I18" s="13"/>
    </row>
    <row r="19">
      <c r="A19" s="5"/>
      <c r="B19" s="6"/>
      <c r="C19" s="14"/>
      <c r="D19" s="11"/>
      <c r="E19" s="6"/>
      <c r="F19" s="6"/>
      <c r="G19" s="8" t="str">
        <f t="shared" si="1"/>
        <v/>
      </c>
      <c r="H19" s="11" t="str">
        <f t="shared" si="2"/>
        <v/>
      </c>
      <c r="I19" s="13"/>
    </row>
    <row r="20">
      <c r="A20" s="5"/>
      <c r="B20" s="6"/>
      <c r="C20" s="14"/>
      <c r="D20" s="11"/>
      <c r="E20" s="6"/>
      <c r="F20" s="6"/>
      <c r="G20" s="8" t="str">
        <f t="shared" si="1"/>
        <v/>
      </c>
      <c r="H20" s="11" t="str">
        <f t="shared" si="2"/>
        <v/>
      </c>
      <c r="I20" s="13"/>
    </row>
    <row r="21">
      <c r="A21" s="5"/>
      <c r="B21" s="6"/>
      <c r="C21" s="14"/>
      <c r="D21" s="11"/>
      <c r="E21" s="6"/>
      <c r="F21" s="6"/>
      <c r="G21" s="8" t="str">
        <f t="shared" si="1"/>
        <v/>
      </c>
      <c r="H21" s="11" t="str">
        <f t="shared" si="2"/>
        <v/>
      </c>
      <c r="I21" s="13"/>
    </row>
    <row r="22">
      <c r="A22" s="5"/>
      <c r="B22" s="6"/>
      <c r="C22" s="14"/>
      <c r="D22" s="11"/>
      <c r="E22" s="6"/>
      <c r="F22" s="6"/>
      <c r="G22" s="8" t="str">
        <f t="shared" si="1"/>
        <v/>
      </c>
      <c r="H22" s="11" t="str">
        <f t="shared" si="2"/>
        <v/>
      </c>
      <c r="I22" s="13"/>
    </row>
    <row r="23">
      <c r="A23" s="5"/>
      <c r="B23" s="6"/>
      <c r="C23" s="14"/>
      <c r="D23" s="11"/>
      <c r="E23" s="6"/>
      <c r="F23" s="6"/>
      <c r="G23" s="8" t="str">
        <f t="shared" si="1"/>
        <v/>
      </c>
      <c r="H23" s="11" t="str">
        <f t="shared" si="2"/>
        <v/>
      </c>
      <c r="I23" s="13"/>
    </row>
    <row r="24">
      <c r="A24" s="5"/>
      <c r="B24" s="6"/>
      <c r="C24" s="14"/>
      <c r="D24" s="11"/>
      <c r="E24" s="6"/>
      <c r="F24" s="6"/>
      <c r="G24" s="8" t="str">
        <f t="shared" si="1"/>
        <v/>
      </c>
      <c r="H24" s="11" t="str">
        <f t="shared" si="2"/>
        <v/>
      </c>
      <c r="I24" s="13"/>
    </row>
    <row r="25">
      <c r="A25" s="5"/>
      <c r="B25" s="6"/>
      <c r="C25" s="14"/>
      <c r="D25" s="11"/>
      <c r="E25" s="6"/>
      <c r="F25" s="6"/>
      <c r="G25" s="8" t="str">
        <f t="shared" si="1"/>
        <v/>
      </c>
      <c r="H25" s="11" t="str">
        <f t="shared" si="2"/>
        <v/>
      </c>
      <c r="I25" s="13"/>
    </row>
    <row r="26">
      <c r="A26" s="5"/>
      <c r="B26" s="6"/>
      <c r="C26" s="14" t="str">
        <f>iferror(vlookup(B26,'📦 ชื่อสินค้า'!A:C,2,false),)</f>
        <v/>
      </c>
      <c r="D26" s="11" t="str">
        <f>iferror(vlookup(B26,'📦 ชื่อสินค้า'!A:D,4,false),"")</f>
        <v/>
      </c>
      <c r="E26" s="6"/>
      <c r="F26" s="6"/>
      <c r="G26" s="8" t="str">
        <f t="shared" si="1"/>
        <v/>
      </c>
      <c r="H26" s="11" t="str">
        <f t="shared" si="2"/>
        <v/>
      </c>
      <c r="I26" s="13"/>
    </row>
    <row r="27">
      <c r="A27" s="5"/>
      <c r="B27" s="6"/>
      <c r="C27" s="14" t="str">
        <f>iferror(vlookup(B27,'📦 ชื่อสินค้า'!A:C,2,false),)</f>
        <v/>
      </c>
      <c r="D27" s="11" t="str">
        <f>iferror(vlookup(B27,'📦 ชื่อสินค้า'!A:D,4,false),"")</f>
        <v/>
      </c>
      <c r="E27" s="6"/>
      <c r="F27" s="6"/>
      <c r="G27" s="8" t="str">
        <f t="shared" si="1"/>
        <v/>
      </c>
      <c r="H27" s="11" t="str">
        <f t="shared" si="2"/>
        <v/>
      </c>
      <c r="I27" s="13"/>
    </row>
    <row r="28">
      <c r="A28" s="5"/>
      <c r="B28" s="6"/>
      <c r="C28" s="14" t="str">
        <f>iferror(vlookup(B28,'📦 ชื่อสินค้า'!A:C,2,false),)</f>
        <v/>
      </c>
      <c r="D28" s="11" t="str">
        <f>iferror(vlookup(B28,'📦 ชื่อสินค้า'!A:D,4,false),"")</f>
        <v/>
      </c>
      <c r="E28" s="6"/>
      <c r="F28" s="6"/>
      <c r="G28" s="8" t="str">
        <f t="shared" si="1"/>
        <v/>
      </c>
      <c r="H28" s="11" t="str">
        <f t="shared" si="2"/>
        <v/>
      </c>
      <c r="I28" s="13"/>
    </row>
    <row r="29">
      <c r="A29" s="5"/>
      <c r="B29" s="6"/>
      <c r="C29" s="14" t="str">
        <f>iferror(vlookup(B29,'📦 ชื่อสินค้า'!A:C,2,false),)</f>
        <v/>
      </c>
      <c r="D29" s="11" t="str">
        <f>iferror(vlookup(B29,'📦 ชื่อสินค้า'!A:D,4,false),"")</f>
        <v/>
      </c>
      <c r="E29" s="6"/>
      <c r="F29" s="6"/>
      <c r="G29" s="8" t="str">
        <f t="shared" si="1"/>
        <v/>
      </c>
      <c r="H29" s="11" t="str">
        <f t="shared" si="2"/>
        <v/>
      </c>
      <c r="I29" s="13"/>
    </row>
    <row r="30">
      <c r="A30" s="5"/>
      <c r="B30" s="6"/>
      <c r="C30" s="14" t="str">
        <f>iferror(vlookup(B30,'📦 ชื่อสินค้า'!A:C,2,false),)</f>
        <v/>
      </c>
      <c r="D30" s="11" t="str">
        <f>iferror(vlookup(B30,'📦 ชื่อสินค้า'!A:D,4,false),"")</f>
        <v/>
      </c>
      <c r="E30" s="6"/>
      <c r="F30" s="6"/>
      <c r="G30" s="8" t="str">
        <f t="shared" si="1"/>
        <v/>
      </c>
      <c r="H30" s="11" t="str">
        <f t="shared" si="2"/>
        <v/>
      </c>
      <c r="I30" s="13"/>
    </row>
    <row r="31">
      <c r="A31" s="5"/>
      <c r="B31" s="6"/>
      <c r="C31" s="14" t="str">
        <f>iferror(vlookup(B31,'📦 ชื่อสินค้า'!A:C,2,false),)</f>
        <v/>
      </c>
      <c r="D31" s="11" t="str">
        <f>iferror(vlookup(B31,'📦 ชื่อสินค้า'!A:D,4,false),"")</f>
        <v/>
      </c>
      <c r="E31" s="6"/>
      <c r="F31" s="6"/>
      <c r="G31" s="8" t="str">
        <f t="shared" si="1"/>
        <v/>
      </c>
      <c r="H31" s="11" t="str">
        <f t="shared" si="2"/>
        <v/>
      </c>
      <c r="I31" s="13"/>
    </row>
    <row r="32">
      <c r="A32" s="5"/>
      <c r="B32" s="6"/>
      <c r="C32" s="14" t="str">
        <f>iferror(vlookup(B32,'📦 ชื่อสินค้า'!A:C,2,false),)</f>
        <v/>
      </c>
      <c r="D32" s="11" t="str">
        <f>iferror(vlookup(B32,'📦 ชื่อสินค้า'!A:D,4,false),"")</f>
        <v/>
      </c>
      <c r="E32" s="6"/>
      <c r="F32" s="6"/>
      <c r="G32" s="8" t="str">
        <f t="shared" si="1"/>
        <v/>
      </c>
      <c r="H32" s="11" t="str">
        <f t="shared" si="2"/>
        <v/>
      </c>
      <c r="I32" s="13"/>
    </row>
    <row r="33">
      <c r="A33" s="5"/>
      <c r="B33" s="6"/>
      <c r="C33" s="14" t="str">
        <f>iferror(vlookup(B33,'📦 ชื่อสินค้า'!A:C,2,false),)</f>
        <v/>
      </c>
      <c r="D33" s="11" t="str">
        <f>iferror(vlookup(B33,'📦 ชื่อสินค้า'!A:D,4,false),"")</f>
        <v/>
      </c>
      <c r="E33" s="6"/>
      <c r="F33" s="6"/>
      <c r="G33" s="8" t="str">
        <f t="shared" si="1"/>
        <v/>
      </c>
      <c r="H33" s="11" t="str">
        <f t="shared" si="2"/>
        <v/>
      </c>
      <c r="I33" s="13"/>
    </row>
    <row r="34">
      <c r="A34" s="5"/>
      <c r="B34" s="6"/>
      <c r="C34" s="14" t="str">
        <f>iferror(vlookup(B34,'📦 ชื่อสินค้า'!A:C,2,false),)</f>
        <v/>
      </c>
      <c r="D34" s="11" t="str">
        <f>iferror(vlookup(B34,'📦 ชื่อสินค้า'!A:D,4,false),"")</f>
        <v/>
      </c>
      <c r="E34" s="6"/>
      <c r="F34" s="6"/>
      <c r="G34" s="8" t="str">
        <f t="shared" si="1"/>
        <v/>
      </c>
      <c r="H34" s="11" t="str">
        <f t="shared" si="2"/>
        <v/>
      </c>
      <c r="I34" s="13"/>
    </row>
    <row r="35">
      <c r="A35" s="5"/>
      <c r="B35" s="6"/>
      <c r="C35" s="14" t="str">
        <f>iferror(vlookup(B35,'📦 ชื่อสินค้า'!A:C,2,false),)</f>
        <v/>
      </c>
      <c r="D35" s="11" t="str">
        <f>iferror(vlookup(B35,'📦 ชื่อสินค้า'!A:D,4,false),"")</f>
        <v/>
      </c>
      <c r="E35" s="6"/>
      <c r="F35" s="6"/>
      <c r="G35" s="8" t="str">
        <f t="shared" si="1"/>
        <v/>
      </c>
      <c r="H35" s="11" t="str">
        <f t="shared" si="2"/>
        <v/>
      </c>
      <c r="I35" s="13"/>
    </row>
    <row r="36">
      <c r="A36" s="5"/>
      <c r="B36" s="6"/>
      <c r="C36" s="14" t="str">
        <f>iferror(vlookup(B36,'📦 ชื่อสินค้า'!A:C,2,false),)</f>
        <v/>
      </c>
      <c r="D36" s="11" t="str">
        <f>iferror(vlookup(B36,'📦 ชื่อสินค้า'!A:D,4,false),"")</f>
        <v/>
      </c>
      <c r="E36" s="6"/>
      <c r="F36" s="6"/>
      <c r="G36" s="8" t="str">
        <f t="shared" si="1"/>
        <v/>
      </c>
      <c r="H36" s="11" t="str">
        <f t="shared" si="2"/>
        <v/>
      </c>
      <c r="I36" s="13"/>
    </row>
    <row r="37">
      <c r="A37" s="5"/>
      <c r="B37" s="6"/>
      <c r="C37" s="14" t="str">
        <f>iferror(vlookup(B37,'📦 ชื่อสินค้า'!A:C,2,false),)</f>
        <v/>
      </c>
      <c r="D37" s="11" t="str">
        <f>iferror(vlookup(B37,'📦 ชื่อสินค้า'!A:D,4,false),"")</f>
        <v/>
      </c>
      <c r="E37" s="6"/>
      <c r="F37" s="6"/>
      <c r="G37" s="8" t="str">
        <f t="shared" si="1"/>
        <v/>
      </c>
      <c r="H37" s="11" t="str">
        <f t="shared" si="2"/>
        <v/>
      </c>
      <c r="I37" s="13"/>
    </row>
    <row r="38">
      <c r="A38" s="5"/>
      <c r="B38" s="6"/>
      <c r="C38" s="14" t="str">
        <f>iferror(vlookup(B38,'📦 ชื่อสินค้า'!A:C,2,false),)</f>
        <v/>
      </c>
      <c r="D38" s="11" t="str">
        <f>iferror(vlookup(B38,'📦 ชื่อสินค้า'!A:D,4,false),"")</f>
        <v/>
      </c>
      <c r="E38" s="6"/>
      <c r="F38" s="6"/>
      <c r="G38" s="8" t="str">
        <f t="shared" si="1"/>
        <v/>
      </c>
      <c r="H38" s="11" t="str">
        <f t="shared" si="2"/>
        <v/>
      </c>
      <c r="I38" s="13"/>
    </row>
    <row r="39">
      <c r="A39" s="5"/>
      <c r="B39" s="6"/>
      <c r="C39" s="14" t="str">
        <f>iferror(vlookup(B39,'📦 ชื่อสินค้า'!A:C,2,false),)</f>
        <v/>
      </c>
      <c r="D39" s="11" t="str">
        <f>iferror(vlookup(B39,'📦 ชื่อสินค้า'!A:D,4,false),"")</f>
        <v/>
      </c>
      <c r="E39" s="6"/>
      <c r="F39" s="6"/>
      <c r="G39" s="8" t="str">
        <f t="shared" si="1"/>
        <v/>
      </c>
      <c r="H39" s="11" t="str">
        <f t="shared" si="2"/>
        <v/>
      </c>
      <c r="I39" s="13"/>
    </row>
    <row r="40">
      <c r="A40" s="5"/>
      <c r="B40" s="6"/>
      <c r="C40" s="14" t="str">
        <f>iferror(vlookup(B40,'📦 ชื่อสินค้า'!A:C,2,false),)</f>
        <v/>
      </c>
      <c r="D40" s="11" t="str">
        <f>iferror(vlookup(B40,'📦 ชื่อสินค้า'!A:D,4,false),"")</f>
        <v/>
      </c>
      <c r="E40" s="6"/>
      <c r="F40" s="6"/>
      <c r="G40" s="8" t="str">
        <f t="shared" si="1"/>
        <v/>
      </c>
      <c r="H40" s="11" t="str">
        <f t="shared" si="2"/>
        <v/>
      </c>
      <c r="I40" s="13"/>
    </row>
    <row r="41">
      <c r="A41" s="5"/>
      <c r="B41" s="6"/>
      <c r="C41" s="14" t="str">
        <f>iferror(vlookup(B41,'📦 ชื่อสินค้า'!A:C,2,false),)</f>
        <v/>
      </c>
      <c r="D41" s="11" t="str">
        <f>iferror(vlookup(B41,'📦 ชื่อสินค้า'!A:D,4,false),"")</f>
        <v/>
      </c>
      <c r="E41" s="6"/>
      <c r="F41" s="6"/>
      <c r="G41" s="8" t="str">
        <f t="shared" si="1"/>
        <v/>
      </c>
      <c r="H41" s="11" t="str">
        <f t="shared" si="2"/>
        <v/>
      </c>
      <c r="I41" s="13"/>
    </row>
    <row r="42">
      <c r="A42" s="5"/>
      <c r="B42" s="6"/>
      <c r="C42" s="14" t="str">
        <f>iferror(vlookup(B42,'📦 ชื่อสินค้า'!A:C,2,false),)</f>
        <v/>
      </c>
      <c r="D42" s="11" t="str">
        <f>iferror(vlookup(B42,'📦 ชื่อสินค้า'!A:D,4,false),"")</f>
        <v/>
      </c>
      <c r="E42" s="6"/>
      <c r="F42" s="6"/>
      <c r="G42" s="8" t="str">
        <f t="shared" si="1"/>
        <v/>
      </c>
      <c r="H42" s="11" t="str">
        <f t="shared" si="2"/>
        <v/>
      </c>
      <c r="I42" s="13"/>
    </row>
    <row r="43">
      <c r="A43" s="5"/>
      <c r="B43" s="6"/>
      <c r="C43" s="14" t="str">
        <f>iferror(vlookup(B43,'📦 ชื่อสินค้า'!A:C,2,false),)</f>
        <v/>
      </c>
      <c r="D43" s="11" t="str">
        <f>iferror(vlookup(B43,'📦 ชื่อสินค้า'!A:D,4,false),"")</f>
        <v/>
      </c>
      <c r="E43" s="6"/>
      <c r="F43" s="6"/>
      <c r="G43" s="8" t="str">
        <f t="shared" si="1"/>
        <v/>
      </c>
      <c r="H43" s="11" t="str">
        <f t="shared" si="2"/>
        <v/>
      </c>
      <c r="I43" s="13"/>
    </row>
    <row r="44">
      <c r="A44" s="5"/>
      <c r="B44" s="6"/>
      <c r="C44" s="14" t="str">
        <f>iferror(vlookup(B44,'📦 ชื่อสินค้า'!A:C,2,false),)</f>
        <v/>
      </c>
      <c r="D44" s="11" t="str">
        <f>iferror(vlookup(B44,'📦 ชื่อสินค้า'!A:D,4,false),"")</f>
        <v/>
      </c>
      <c r="E44" s="6"/>
      <c r="F44" s="6"/>
      <c r="G44" s="8" t="str">
        <f t="shared" si="1"/>
        <v/>
      </c>
      <c r="H44" s="11" t="str">
        <f t="shared" si="2"/>
        <v/>
      </c>
      <c r="I44" s="13"/>
    </row>
    <row r="45">
      <c r="A45" s="5"/>
      <c r="B45" s="6"/>
      <c r="C45" s="14" t="str">
        <f>iferror(vlookup(B45,'📦 ชื่อสินค้า'!A:C,2,false),)</f>
        <v/>
      </c>
      <c r="D45" s="11" t="str">
        <f>iferror(vlookup(B45,'📦 ชื่อสินค้า'!A:D,4,false),"")</f>
        <v/>
      </c>
      <c r="E45" s="6"/>
      <c r="F45" s="6"/>
      <c r="G45" s="8" t="str">
        <f t="shared" si="1"/>
        <v/>
      </c>
      <c r="H45" s="11" t="str">
        <f t="shared" si="2"/>
        <v/>
      </c>
      <c r="I45" s="13"/>
    </row>
    <row r="46">
      <c r="A46" s="5"/>
      <c r="B46" s="6"/>
      <c r="C46" s="14" t="str">
        <f>iferror(vlookup(B46,'📦 ชื่อสินค้า'!A:C,2,false),)</f>
        <v/>
      </c>
      <c r="D46" s="11" t="str">
        <f>iferror(vlookup(B46,'📦 ชื่อสินค้า'!A:D,4,false),"")</f>
        <v/>
      </c>
      <c r="E46" s="6"/>
      <c r="F46" s="6"/>
      <c r="G46" s="8" t="str">
        <f t="shared" si="1"/>
        <v/>
      </c>
      <c r="H46" s="11" t="str">
        <f t="shared" si="2"/>
        <v/>
      </c>
      <c r="I46" s="13"/>
    </row>
    <row r="47">
      <c r="A47" s="5"/>
      <c r="B47" s="6"/>
      <c r="C47" s="14" t="str">
        <f>iferror(vlookup(B47,'📦 ชื่อสินค้า'!A:C,2,false),)</f>
        <v/>
      </c>
      <c r="D47" s="11" t="str">
        <f>iferror(vlookup(B47,'📦 ชื่อสินค้า'!A:D,4,false),"")</f>
        <v/>
      </c>
      <c r="E47" s="6"/>
      <c r="F47" s="6"/>
      <c r="G47" s="8" t="str">
        <f t="shared" si="1"/>
        <v/>
      </c>
      <c r="H47" s="11" t="str">
        <f t="shared" si="2"/>
        <v/>
      </c>
      <c r="I47" s="13"/>
    </row>
    <row r="48">
      <c r="A48" s="5"/>
      <c r="B48" s="6"/>
      <c r="C48" s="14" t="str">
        <f>iferror(vlookup(B48,'📦 ชื่อสินค้า'!A:C,2,false),)</f>
        <v/>
      </c>
      <c r="D48" s="11" t="str">
        <f>iferror(vlookup(B48,'📦 ชื่อสินค้า'!A:D,4,false),"")</f>
        <v/>
      </c>
      <c r="E48" s="6"/>
      <c r="F48" s="6"/>
      <c r="G48" s="8" t="str">
        <f t="shared" si="1"/>
        <v/>
      </c>
      <c r="H48" s="11" t="str">
        <f t="shared" si="2"/>
        <v/>
      </c>
      <c r="I48" s="13"/>
    </row>
    <row r="49">
      <c r="A49" s="5"/>
      <c r="B49" s="6"/>
      <c r="C49" s="14" t="str">
        <f>iferror(vlookup(B49,'📦 ชื่อสินค้า'!A:C,2,false),)</f>
        <v/>
      </c>
      <c r="D49" s="11" t="str">
        <f>iferror(vlookup(B49,'📦 ชื่อสินค้า'!A:D,4,false),"")</f>
        <v/>
      </c>
      <c r="E49" s="6"/>
      <c r="F49" s="6"/>
      <c r="G49" s="8" t="str">
        <f t="shared" si="1"/>
        <v/>
      </c>
      <c r="H49" s="11" t="str">
        <f t="shared" si="2"/>
        <v/>
      </c>
      <c r="I49" s="13"/>
    </row>
    <row r="50">
      <c r="A50" s="5"/>
      <c r="B50" s="6"/>
      <c r="C50" s="14" t="str">
        <f>iferror(vlookup(B50,'📦 ชื่อสินค้า'!A:C,2,false),)</f>
        <v/>
      </c>
      <c r="D50" s="11" t="str">
        <f>iferror(vlookup(B50,'📦 ชื่อสินค้า'!A:D,4,false),"")</f>
        <v/>
      </c>
      <c r="E50" s="6"/>
      <c r="F50" s="6"/>
      <c r="G50" s="8" t="str">
        <f t="shared" si="1"/>
        <v/>
      </c>
      <c r="H50" s="11" t="str">
        <f t="shared" si="2"/>
        <v/>
      </c>
      <c r="I50" s="13"/>
    </row>
    <row r="51">
      <c r="A51" s="5"/>
      <c r="B51" s="6"/>
      <c r="C51" s="14" t="str">
        <f>iferror(vlookup(B51,'📦 ชื่อสินค้า'!A:C,2,false),)</f>
        <v/>
      </c>
      <c r="D51" s="11" t="str">
        <f>iferror(vlookup(B51,'📦 ชื่อสินค้า'!A:D,4,false),"")</f>
        <v/>
      </c>
      <c r="E51" s="6"/>
      <c r="F51" s="6"/>
      <c r="G51" s="8" t="str">
        <f t="shared" si="1"/>
        <v/>
      </c>
      <c r="H51" s="11" t="str">
        <f t="shared" si="2"/>
        <v/>
      </c>
      <c r="I51" s="13"/>
    </row>
    <row r="52">
      <c r="A52" s="5"/>
      <c r="B52" s="6"/>
      <c r="C52" s="14" t="str">
        <f>iferror(vlookup(B52,'📦 ชื่อสินค้า'!A:C,2,false),)</f>
        <v/>
      </c>
      <c r="D52" s="11" t="str">
        <f>iferror(vlookup(B52,'📦 ชื่อสินค้า'!A:D,4,false),"")</f>
        <v/>
      </c>
      <c r="E52" s="6"/>
      <c r="F52" s="6"/>
      <c r="G52" s="8" t="str">
        <f t="shared" si="1"/>
        <v/>
      </c>
      <c r="H52" s="11" t="str">
        <f t="shared" si="2"/>
        <v/>
      </c>
      <c r="I52" s="13"/>
    </row>
    <row r="53">
      <c r="A53" s="5"/>
      <c r="B53" s="6"/>
      <c r="C53" s="14" t="str">
        <f>iferror(vlookup(B53,'📦 ชื่อสินค้า'!A:C,2,false),)</f>
        <v/>
      </c>
      <c r="D53" s="11" t="str">
        <f>iferror(vlookup(B53,'📦 ชื่อสินค้า'!A:D,4,false),"")</f>
        <v/>
      </c>
      <c r="E53" s="6"/>
      <c r="F53" s="6"/>
      <c r="G53" s="8" t="str">
        <f t="shared" si="1"/>
        <v/>
      </c>
      <c r="H53" s="11" t="str">
        <f t="shared" si="2"/>
        <v/>
      </c>
      <c r="I53" s="13"/>
    </row>
    <row r="54">
      <c r="A54" s="5"/>
      <c r="B54" s="6"/>
      <c r="C54" s="14" t="str">
        <f>iferror(vlookup(B54,'📦 ชื่อสินค้า'!A:C,2,false),)</f>
        <v/>
      </c>
      <c r="D54" s="11" t="str">
        <f>iferror(vlookup(B54,'📦 ชื่อสินค้า'!A:D,4,false),"")</f>
        <v/>
      </c>
      <c r="E54" s="6"/>
      <c r="F54" s="6"/>
      <c r="G54" s="8" t="str">
        <f t="shared" si="1"/>
        <v/>
      </c>
      <c r="H54" s="11" t="str">
        <f t="shared" si="2"/>
        <v/>
      </c>
      <c r="I54" s="13"/>
    </row>
    <row r="55">
      <c r="A55" s="5"/>
      <c r="B55" s="6"/>
      <c r="C55" s="14" t="str">
        <f>iferror(vlookup(B55,'📦 ชื่อสินค้า'!A:C,2,false),)</f>
        <v/>
      </c>
      <c r="D55" s="11" t="str">
        <f>iferror(vlookup(B55,'📦 ชื่อสินค้า'!A:D,4,false),"")</f>
        <v/>
      </c>
      <c r="E55" s="6"/>
      <c r="F55" s="6"/>
      <c r="G55" s="8" t="str">
        <f t="shared" si="1"/>
        <v/>
      </c>
      <c r="H55" s="11" t="str">
        <f t="shared" si="2"/>
        <v/>
      </c>
      <c r="I55" s="13"/>
    </row>
    <row r="56">
      <c r="A56" s="5"/>
      <c r="B56" s="6"/>
      <c r="C56" s="14" t="str">
        <f>iferror(vlookup(B56,'📦 ชื่อสินค้า'!A:C,2,false),)</f>
        <v/>
      </c>
      <c r="D56" s="11" t="str">
        <f>iferror(vlookup(B56,'📦 ชื่อสินค้า'!A:D,4,false),"")</f>
        <v/>
      </c>
      <c r="E56" s="6"/>
      <c r="F56" s="6"/>
      <c r="G56" s="8" t="str">
        <f t="shared" si="1"/>
        <v/>
      </c>
      <c r="H56" s="11" t="str">
        <f t="shared" si="2"/>
        <v/>
      </c>
      <c r="I56" s="13"/>
    </row>
    <row r="57">
      <c r="A57" s="5"/>
      <c r="B57" s="6"/>
      <c r="C57" s="14" t="str">
        <f>iferror(vlookup(B57,'📦 ชื่อสินค้า'!A:C,2,false),)</f>
        <v/>
      </c>
      <c r="D57" s="11" t="str">
        <f>iferror(vlookup(B57,'📦 ชื่อสินค้า'!A:D,4,false),"")</f>
        <v/>
      </c>
      <c r="E57" s="6"/>
      <c r="F57" s="6"/>
      <c r="G57" s="8" t="str">
        <f t="shared" si="1"/>
        <v/>
      </c>
      <c r="H57" s="11" t="str">
        <f t="shared" si="2"/>
        <v/>
      </c>
      <c r="I57" s="13"/>
    </row>
    <row r="58">
      <c r="A58" s="5"/>
      <c r="B58" s="6"/>
      <c r="C58" s="14" t="str">
        <f>iferror(vlookup(B58,'📦 ชื่อสินค้า'!A:C,2,false),)</f>
        <v/>
      </c>
      <c r="D58" s="11" t="str">
        <f>iferror(vlookup(B58,'📦 ชื่อสินค้า'!A:D,4,false),"")</f>
        <v/>
      </c>
      <c r="E58" s="6"/>
      <c r="F58" s="6"/>
      <c r="G58" s="8" t="str">
        <f t="shared" si="1"/>
        <v/>
      </c>
      <c r="H58" s="11" t="str">
        <f t="shared" si="2"/>
        <v/>
      </c>
      <c r="I58" s="13"/>
    </row>
    <row r="59">
      <c r="A59" s="5"/>
      <c r="B59" s="6"/>
      <c r="C59" s="14" t="str">
        <f>iferror(vlookup(B59,'📦 ชื่อสินค้า'!A:C,2,false),)</f>
        <v/>
      </c>
      <c r="D59" s="11" t="str">
        <f>iferror(vlookup(B59,'📦 ชื่อสินค้า'!A:D,4,false),"")</f>
        <v/>
      </c>
      <c r="E59" s="6"/>
      <c r="F59" s="6"/>
      <c r="G59" s="8" t="str">
        <f t="shared" si="1"/>
        <v/>
      </c>
      <c r="H59" s="11" t="str">
        <f t="shared" si="2"/>
        <v/>
      </c>
      <c r="I59" s="13"/>
    </row>
    <row r="60">
      <c r="A60" s="5"/>
      <c r="B60" s="6"/>
      <c r="C60" s="14" t="str">
        <f>iferror(vlookup(B60,'📦 ชื่อสินค้า'!A:C,2,false),)</f>
        <v/>
      </c>
      <c r="D60" s="11" t="str">
        <f>iferror(vlookup(B60,'📦 ชื่อสินค้า'!A:D,4,false),"")</f>
        <v/>
      </c>
      <c r="E60" s="6"/>
      <c r="F60" s="6"/>
      <c r="G60" s="8" t="str">
        <f t="shared" si="1"/>
        <v/>
      </c>
      <c r="H60" s="11" t="str">
        <f t="shared" si="2"/>
        <v/>
      </c>
      <c r="I60" s="13"/>
    </row>
    <row r="61">
      <c r="A61" s="5"/>
      <c r="B61" s="6"/>
      <c r="C61" s="14" t="str">
        <f>iferror(vlookup(B61,'📦 ชื่อสินค้า'!A:C,2,false),)</f>
        <v/>
      </c>
      <c r="D61" s="11" t="str">
        <f>iferror(vlookup(B61,'📦 ชื่อสินค้า'!A:D,4,false),"")</f>
        <v/>
      </c>
      <c r="E61" s="6"/>
      <c r="F61" s="6"/>
      <c r="G61" s="8" t="str">
        <f t="shared" si="1"/>
        <v/>
      </c>
      <c r="H61" s="11" t="str">
        <f t="shared" si="2"/>
        <v/>
      </c>
      <c r="I61" s="13"/>
    </row>
    <row r="62">
      <c r="A62" s="5"/>
      <c r="B62" s="6"/>
      <c r="C62" s="14" t="str">
        <f>iferror(vlookup(B62,'📦 ชื่อสินค้า'!A:C,2,false),)</f>
        <v/>
      </c>
      <c r="D62" s="11" t="str">
        <f>iferror(vlookup(B62,'📦 ชื่อสินค้า'!A:D,4,false),"")</f>
        <v/>
      </c>
      <c r="E62" s="6"/>
      <c r="F62" s="6"/>
      <c r="G62" s="8" t="str">
        <f t="shared" si="1"/>
        <v/>
      </c>
      <c r="H62" s="11" t="str">
        <f t="shared" si="2"/>
        <v/>
      </c>
      <c r="I62" s="13"/>
    </row>
    <row r="63">
      <c r="A63" s="5"/>
      <c r="B63" s="6"/>
      <c r="C63" s="14" t="str">
        <f>iferror(vlookup(B63,'📦 ชื่อสินค้า'!A:C,2,false),)</f>
        <v/>
      </c>
      <c r="D63" s="11" t="str">
        <f>iferror(vlookup(B63,'📦 ชื่อสินค้า'!A:D,4,false),"")</f>
        <v/>
      </c>
      <c r="E63" s="6"/>
      <c r="F63" s="6"/>
      <c r="G63" s="8" t="str">
        <f t="shared" si="1"/>
        <v/>
      </c>
      <c r="H63" s="11" t="str">
        <f t="shared" si="2"/>
        <v/>
      </c>
      <c r="I63" s="13"/>
    </row>
    <row r="64">
      <c r="A64" s="5"/>
      <c r="B64" s="6"/>
      <c r="C64" s="14" t="str">
        <f>iferror(vlookup(B64,'📦 ชื่อสินค้า'!A:C,2,false),)</f>
        <v/>
      </c>
      <c r="D64" s="11" t="str">
        <f>iferror(vlookup(B64,'📦 ชื่อสินค้า'!A:D,4,false),"")</f>
        <v/>
      </c>
      <c r="E64" s="6"/>
      <c r="F64" s="6"/>
      <c r="G64" s="8" t="str">
        <f t="shared" si="1"/>
        <v/>
      </c>
      <c r="H64" s="11" t="str">
        <f t="shared" si="2"/>
        <v/>
      </c>
      <c r="I64" s="13"/>
    </row>
    <row r="65">
      <c r="A65" s="5"/>
      <c r="B65" s="6"/>
      <c r="C65" s="14" t="str">
        <f>iferror(vlookup(B65,'📦 ชื่อสินค้า'!A:C,2,false),)</f>
        <v/>
      </c>
      <c r="D65" s="11" t="str">
        <f>iferror(vlookup(B65,'📦 ชื่อสินค้า'!A:D,4,false),"")</f>
        <v/>
      </c>
      <c r="E65" s="6"/>
      <c r="F65" s="6"/>
      <c r="G65" s="8" t="str">
        <f t="shared" si="1"/>
        <v/>
      </c>
      <c r="H65" s="11" t="str">
        <f t="shared" si="2"/>
        <v/>
      </c>
      <c r="I65" s="13"/>
    </row>
    <row r="66">
      <c r="A66" s="5"/>
      <c r="B66" s="6"/>
      <c r="C66" s="14" t="str">
        <f>iferror(vlookup(B66,'📦 ชื่อสินค้า'!A:C,2,false),)</f>
        <v/>
      </c>
      <c r="D66" s="11" t="str">
        <f>iferror(vlookup(B66,'📦 ชื่อสินค้า'!A:D,4,false),"")</f>
        <v/>
      </c>
      <c r="E66" s="6"/>
      <c r="F66" s="6"/>
      <c r="G66" s="8" t="str">
        <f t="shared" si="1"/>
        <v/>
      </c>
      <c r="H66" s="11" t="str">
        <f t="shared" si="2"/>
        <v/>
      </c>
      <c r="I66" s="13"/>
    </row>
    <row r="67">
      <c r="A67" s="5"/>
      <c r="B67" s="6"/>
      <c r="C67" s="14" t="str">
        <f>iferror(vlookup(B67,'📦 ชื่อสินค้า'!A:C,2,false),)</f>
        <v/>
      </c>
      <c r="D67" s="11" t="str">
        <f>iferror(vlookup(B67,'📦 ชื่อสินค้า'!A:D,4,false),"")</f>
        <v/>
      </c>
      <c r="E67" s="6"/>
      <c r="F67" s="6"/>
      <c r="G67" s="8" t="str">
        <f t="shared" si="1"/>
        <v/>
      </c>
      <c r="H67" s="11" t="str">
        <f t="shared" si="2"/>
        <v/>
      </c>
      <c r="I67" s="13"/>
    </row>
    <row r="68">
      <c r="A68" s="5"/>
      <c r="B68" s="6"/>
      <c r="C68" s="14" t="str">
        <f>iferror(vlookup(B68,'📦 ชื่อสินค้า'!A:C,2,false),)</f>
        <v/>
      </c>
      <c r="D68" s="11" t="str">
        <f>iferror(vlookup(B68,'📦 ชื่อสินค้า'!A:D,4,false),"")</f>
        <v/>
      </c>
      <c r="E68" s="16"/>
      <c r="F68" s="6"/>
      <c r="G68" s="8" t="str">
        <f t="shared" si="1"/>
        <v/>
      </c>
      <c r="H68" s="11" t="str">
        <f t="shared" si="2"/>
        <v/>
      </c>
      <c r="I68" s="13"/>
    </row>
    <row r="69">
      <c r="A69" s="5"/>
      <c r="B69" s="6"/>
      <c r="C69" s="14" t="str">
        <f>iferror(vlookup(B69,'📦 ชื่อสินค้า'!A:C,2,false),)</f>
        <v/>
      </c>
      <c r="D69" s="11" t="str">
        <f>iferror(vlookup(B69,'📦 ชื่อสินค้า'!A:D,4,false),"")</f>
        <v/>
      </c>
      <c r="E69" s="16"/>
      <c r="F69" s="6"/>
      <c r="G69" s="8" t="str">
        <f t="shared" si="1"/>
        <v/>
      </c>
      <c r="H69" s="11" t="str">
        <f t="shared" si="2"/>
        <v/>
      </c>
      <c r="I69" s="13"/>
    </row>
    <row r="70">
      <c r="A70" s="5"/>
      <c r="B70" s="6"/>
      <c r="C70" s="14" t="str">
        <f>iferror(vlookup(B70,'📦 ชื่อสินค้า'!A:C,2,false),)</f>
        <v/>
      </c>
      <c r="D70" s="11" t="str">
        <f>iferror(vlookup(B70,'📦 ชื่อสินค้า'!A:D,4,false),"")</f>
        <v/>
      </c>
      <c r="E70" s="16"/>
      <c r="F70" s="6"/>
      <c r="G70" s="8" t="str">
        <f t="shared" si="1"/>
        <v/>
      </c>
      <c r="H70" s="11" t="str">
        <f t="shared" si="2"/>
        <v/>
      </c>
      <c r="I70" s="13"/>
    </row>
    <row r="71">
      <c r="A71" s="5"/>
      <c r="B71" s="6"/>
      <c r="C71" s="14" t="str">
        <f>iferror(vlookup(B71,'📦 ชื่อสินค้า'!A:C,2,false),)</f>
        <v/>
      </c>
      <c r="D71" s="11" t="str">
        <f>iferror(vlookup(B71,'📦 ชื่อสินค้า'!A:D,4,false),"")</f>
        <v/>
      </c>
      <c r="E71" s="16"/>
      <c r="F71" s="6"/>
      <c r="G71" s="8" t="str">
        <f t="shared" si="1"/>
        <v/>
      </c>
      <c r="H71" s="11" t="str">
        <f t="shared" si="2"/>
        <v/>
      </c>
      <c r="I71" s="13"/>
    </row>
    <row r="72">
      <c r="A72" s="5"/>
      <c r="B72" s="6"/>
      <c r="C72" s="14" t="str">
        <f>iferror(vlookup(B72,'📦 ชื่อสินค้า'!A:C,2,false),)</f>
        <v/>
      </c>
      <c r="D72" s="11" t="str">
        <f>iferror(vlookup(B72,'📦 ชื่อสินค้า'!A:D,4,false),"")</f>
        <v/>
      </c>
      <c r="E72" s="16"/>
      <c r="F72" s="6"/>
      <c r="G72" s="8" t="str">
        <f t="shared" si="1"/>
        <v/>
      </c>
      <c r="H72" s="11" t="str">
        <f t="shared" si="2"/>
        <v/>
      </c>
      <c r="I72" s="13"/>
    </row>
    <row r="73">
      <c r="A73" s="5"/>
      <c r="B73" s="6"/>
      <c r="C73" s="14" t="str">
        <f>iferror(vlookup(B73,'📦 ชื่อสินค้า'!A:C,2,false),)</f>
        <v/>
      </c>
      <c r="D73" s="11" t="str">
        <f>iferror(vlookup(B73,'📦 ชื่อสินค้า'!A:D,4,false),"")</f>
        <v/>
      </c>
      <c r="E73" s="16"/>
      <c r="F73" s="6"/>
      <c r="G73" s="8" t="str">
        <f t="shared" si="1"/>
        <v/>
      </c>
      <c r="H73" s="11" t="str">
        <f t="shared" si="2"/>
        <v/>
      </c>
      <c r="I73" s="13"/>
    </row>
    <row r="74">
      <c r="A74" s="5"/>
      <c r="B74" s="6"/>
      <c r="C74" s="14" t="str">
        <f>iferror(vlookup(B74,'📦 ชื่อสินค้า'!A:C,2,false),)</f>
        <v/>
      </c>
      <c r="D74" s="11" t="str">
        <f>iferror(vlookup(B74,'📦 ชื่อสินค้า'!A:D,4,false),"")</f>
        <v/>
      </c>
      <c r="E74" s="16"/>
      <c r="F74" s="6"/>
      <c r="G74" s="8" t="str">
        <f t="shared" si="1"/>
        <v/>
      </c>
      <c r="H74" s="11" t="str">
        <f t="shared" si="2"/>
        <v/>
      </c>
      <c r="I74" s="13"/>
    </row>
    <row r="75">
      <c r="A75" s="5"/>
      <c r="B75" s="6"/>
      <c r="C75" s="14" t="str">
        <f>iferror(vlookup(B75,'📦 ชื่อสินค้า'!A:C,2,false),)</f>
        <v/>
      </c>
      <c r="D75" s="11" t="str">
        <f>iferror(vlookup(B75,'📦 ชื่อสินค้า'!A:D,4,false),"")</f>
        <v/>
      </c>
      <c r="E75" s="16"/>
      <c r="F75" s="6"/>
      <c r="G75" s="8" t="str">
        <f t="shared" si="1"/>
        <v/>
      </c>
      <c r="H75" s="11" t="str">
        <f t="shared" si="2"/>
        <v/>
      </c>
      <c r="I75" s="13"/>
    </row>
    <row r="76">
      <c r="A76" s="5"/>
      <c r="B76" s="6"/>
      <c r="C76" s="14" t="str">
        <f>iferror(vlookup(B76,'📦 ชื่อสินค้า'!A:C,2,false),)</f>
        <v/>
      </c>
      <c r="D76" s="11" t="str">
        <f>iferror(vlookup(B76,'📦 ชื่อสินค้า'!A:D,4,false),"")</f>
        <v/>
      </c>
      <c r="E76" s="16"/>
      <c r="F76" s="6"/>
      <c r="G76" s="8" t="str">
        <f t="shared" si="1"/>
        <v/>
      </c>
      <c r="H76" s="11" t="str">
        <f t="shared" si="2"/>
        <v/>
      </c>
      <c r="I76" s="13"/>
    </row>
    <row r="77">
      <c r="A77" s="5"/>
      <c r="B77" s="6"/>
      <c r="C77" s="14" t="str">
        <f>iferror(vlookup(B77,'📦 ชื่อสินค้า'!A:C,2,false),)</f>
        <v/>
      </c>
      <c r="D77" s="11" t="str">
        <f>iferror(vlookup(B77,'📦 ชื่อสินค้า'!A:D,4,false),"")</f>
        <v/>
      </c>
      <c r="E77" s="16"/>
      <c r="F77" s="6"/>
      <c r="G77" s="8" t="str">
        <f t="shared" si="1"/>
        <v/>
      </c>
      <c r="H77" s="11" t="str">
        <f t="shared" si="2"/>
        <v/>
      </c>
      <c r="I77" s="13"/>
    </row>
    <row r="78">
      <c r="A78" s="5"/>
      <c r="B78" s="6"/>
      <c r="C78" s="14" t="str">
        <f>iferror(vlookup(B78,'📦 ชื่อสินค้า'!A:C,2,false),)</f>
        <v/>
      </c>
      <c r="D78" s="11" t="str">
        <f>iferror(vlookup(B78,'📦 ชื่อสินค้า'!A:D,4,false),"")</f>
        <v/>
      </c>
      <c r="E78" s="16"/>
      <c r="F78" s="6"/>
      <c r="G78" s="8" t="str">
        <f t="shared" si="1"/>
        <v/>
      </c>
      <c r="H78" s="11" t="str">
        <f t="shared" si="2"/>
        <v/>
      </c>
      <c r="I78" s="13"/>
    </row>
    <row r="79">
      <c r="A79" s="5"/>
      <c r="B79" s="6"/>
      <c r="C79" s="14" t="str">
        <f>iferror(vlookup(B79,'📦 ชื่อสินค้า'!A:C,2,false),)</f>
        <v/>
      </c>
      <c r="D79" s="11" t="str">
        <f>iferror(vlookup(B79,'📦 ชื่อสินค้า'!A:D,4,false),"")</f>
        <v/>
      </c>
      <c r="E79" s="16"/>
      <c r="F79" s="6"/>
      <c r="G79" s="8" t="str">
        <f t="shared" si="1"/>
        <v/>
      </c>
      <c r="H79" s="11" t="str">
        <f t="shared" si="2"/>
        <v/>
      </c>
      <c r="I79" s="13"/>
    </row>
    <row r="80">
      <c r="A80" s="5"/>
      <c r="B80" s="6"/>
      <c r="C80" s="14" t="str">
        <f>iferror(vlookup(B80,'📦 ชื่อสินค้า'!A:C,2,false),)</f>
        <v/>
      </c>
      <c r="D80" s="11" t="str">
        <f>iferror(vlookup(B80,'📦 ชื่อสินค้า'!A:D,4,false),"")</f>
        <v/>
      </c>
      <c r="E80" s="16"/>
      <c r="F80" s="6"/>
      <c r="G80" s="8" t="str">
        <f t="shared" si="1"/>
        <v/>
      </c>
      <c r="H80" s="11" t="str">
        <f t="shared" si="2"/>
        <v/>
      </c>
      <c r="I80" s="13"/>
    </row>
    <row r="81">
      <c r="A81" s="5"/>
      <c r="B81" s="6"/>
      <c r="C81" s="14" t="str">
        <f>iferror(vlookup(B81,'📦 ชื่อสินค้า'!A:C,2,false),)</f>
        <v/>
      </c>
      <c r="D81" s="11" t="str">
        <f>iferror(vlookup(B81,'📦 ชื่อสินค้า'!A:D,4,false),"")</f>
        <v/>
      </c>
      <c r="E81" s="16"/>
      <c r="F81" s="6"/>
      <c r="G81" s="8" t="str">
        <f t="shared" si="1"/>
        <v/>
      </c>
      <c r="H81" s="11" t="str">
        <f t="shared" si="2"/>
        <v/>
      </c>
      <c r="I81" s="13"/>
    </row>
    <row r="82">
      <c r="A82" s="5"/>
      <c r="B82" s="6"/>
      <c r="C82" s="14" t="str">
        <f>iferror(vlookup(B82,'📦 ชื่อสินค้า'!A:C,2,false),)</f>
        <v/>
      </c>
      <c r="D82" s="11" t="str">
        <f>iferror(vlookup(B82,'📦 ชื่อสินค้า'!A:D,4,false),"")</f>
        <v/>
      </c>
      <c r="E82" s="16"/>
      <c r="F82" s="6"/>
      <c r="G82" s="8" t="str">
        <f t="shared" si="1"/>
        <v/>
      </c>
      <c r="H82" s="11" t="str">
        <f t="shared" si="2"/>
        <v/>
      </c>
      <c r="I82" s="13"/>
    </row>
    <row r="83">
      <c r="A83" s="5"/>
      <c r="B83" s="6"/>
      <c r="C83" s="14" t="str">
        <f>iferror(vlookup(B83,'📦 ชื่อสินค้า'!A:C,2,false),)</f>
        <v/>
      </c>
      <c r="D83" s="11" t="str">
        <f>iferror(vlookup(B83,'📦 ชื่อสินค้า'!A:D,4,false),"")</f>
        <v/>
      </c>
      <c r="E83" s="16"/>
      <c r="F83" s="6"/>
      <c r="G83" s="8" t="str">
        <f t="shared" si="1"/>
        <v/>
      </c>
      <c r="H83" s="11" t="str">
        <f t="shared" si="2"/>
        <v/>
      </c>
      <c r="I83" s="13"/>
    </row>
    <row r="84">
      <c r="A84" s="5"/>
      <c r="B84" s="6"/>
      <c r="C84" s="14" t="str">
        <f>iferror(vlookup(B84,'📦 ชื่อสินค้า'!A:C,2,false),)</f>
        <v/>
      </c>
      <c r="D84" s="11" t="str">
        <f>iferror(vlookup(B84,'📦 ชื่อสินค้า'!A:D,4,false),"")</f>
        <v/>
      </c>
      <c r="E84" s="16"/>
      <c r="F84" s="6"/>
      <c r="G84" s="8" t="str">
        <f t="shared" si="1"/>
        <v/>
      </c>
      <c r="H84" s="11" t="str">
        <f t="shared" si="2"/>
        <v/>
      </c>
      <c r="I84" s="13"/>
    </row>
    <row r="85">
      <c r="A85" s="5"/>
      <c r="B85" s="6"/>
      <c r="C85" s="14" t="str">
        <f>iferror(vlookup(B85,'📦 ชื่อสินค้า'!A:C,2,false),)</f>
        <v/>
      </c>
      <c r="D85" s="11" t="str">
        <f>iferror(vlookup(B85,'📦 ชื่อสินค้า'!A:D,4,false),"")</f>
        <v/>
      </c>
      <c r="E85" s="16"/>
      <c r="F85" s="6"/>
      <c r="G85" s="8" t="str">
        <f t="shared" si="1"/>
        <v/>
      </c>
      <c r="H85" s="11" t="str">
        <f t="shared" si="2"/>
        <v/>
      </c>
      <c r="I85" s="13"/>
    </row>
    <row r="86">
      <c r="A86" s="5"/>
      <c r="B86" s="6"/>
      <c r="C86" s="14" t="str">
        <f>iferror(vlookup(B86,'📦 ชื่อสินค้า'!A:C,2,false),)</f>
        <v/>
      </c>
      <c r="D86" s="11" t="str">
        <f>iferror(vlookup(B86,'📦 ชื่อสินค้า'!A:D,4,false),"")</f>
        <v/>
      </c>
      <c r="E86" s="16"/>
      <c r="F86" s="6"/>
      <c r="G86" s="8" t="str">
        <f t="shared" si="1"/>
        <v/>
      </c>
      <c r="H86" s="11" t="str">
        <f t="shared" si="2"/>
        <v/>
      </c>
      <c r="I86" s="13"/>
    </row>
    <row r="87">
      <c r="A87" s="5"/>
      <c r="B87" s="6"/>
      <c r="C87" s="14" t="str">
        <f>iferror(vlookup(B87,'📦 ชื่อสินค้า'!A:C,2,false),)</f>
        <v/>
      </c>
      <c r="D87" s="11" t="str">
        <f>iferror(vlookup(B87,'📦 ชื่อสินค้า'!A:D,4,false),"")</f>
        <v/>
      </c>
      <c r="E87" s="16"/>
      <c r="F87" s="6"/>
      <c r="G87" s="8" t="str">
        <f t="shared" si="1"/>
        <v/>
      </c>
      <c r="H87" s="11" t="str">
        <f t="shared" si="2"/>
        <v/>
      </c>
      <c r="I87" s="13"/>
    </row>
    <row r="88">
      <c r="A88" s="5"/>
      <c r="B88" s="6"/>
      <c r="C88" s="14" t="str">
        <f>iferror(vlookup(B88,'📦 ชื่อสินค้า'!A:C,2,false),)</f>
        <v/>
      </c>
      <c r="D88" s="11" t="str">
        <f>iferror(vlookup(B88,'📦 ชื่อสินค้า'!A:D,4,false),"")</f>
        <v/>
      </c>
      <c r="E88" s="16"/>
      <c r="F88" s="6"/>
      <c r="G88" s="8" t="str">
        <f t="shared" si="1"/>
        <v/>
      </c>
      <c r="H88" s="11" t="str">
        <f t="shared" si="2"/>
        <v/>
      </c>
      <c r="I88" s="13"/>
    </row>
    <row r="89">
      <c r="A89" s="5"/>
      <c r="B89" s="6"/>
      <c r="C89" s="14" t="str">
        <f>iferror(vlookup(B89,'📦 ชื่อสินค้า'!A:C,2,false),)</f>
        <v/>
      </c>
      <c r="D89" s="11" t="str">
        <f>iferror(vlookup(B89,'📦 ชื่อสินค้า'!A:D,4,false),"")</f>
        <v/>
      </c>
      <c r="E89" s="16"/>
      <c r="F89" s="6"/>
      <c r="G89" s="8" t="str">
        <f t="shared" si="1"/>
        <v/>
      </c>
      <c r="H89" s="11" t="str">
        <f t="shared" si="2"/>
        <v/>
      </c>
      <c r="I89" s="13"/>
    </row>
    <row r="90">
      <c r="A90" s="5"/>
      <c r="B90" s="6"/>
      <c r="C90" s="14" t="str">
        <f>iferror(vlookup(B90,'📦 ชื่อสินค้า'!A:C,2,false),)</f>
        <v/>
      </c>
      <c r="D90" s="11" t="str">
        <f>iferror(vlookup(B90,'📦 ชื่อสินค้า'!A:D,4,false),"")</f>
        <v/>
      </c>
      <c r="E90" s="16"/>
      <c r="F90" s="6"/>
      <c r="G90" s="8" t="str">
        <f t="shared" si="1"/>
        <v/>
      </c>
      <c r="H90" s="11" t="str">
        <f t="shared" si="2"/>
        <v/>
      </c>
      <c r="I90" s="13"/>
    </row>
    <row r="91">
      <c r="A91" s="5"/>
      <c r="B91" s="6"/>
      <c r="C91" s="14" t="str">
        <f>iferror(vlookup(B91,'📦 ชื่อสินค้า'!A:C,2,false),)</f>
        <v/>
      </c>
      <c r="D91" s="11" t="str">
        <f>iferror(vlookup(B91,'📦 ชื่อสินค้า'!A:D,4,false),"")</f>
        <v/>
      </c>
      <c r="E91" s="16"/>
      <c r="F91" s="6"/>
      <c r="G91" s="8" t="str">
        <f t="shared" si="1"/>
        <v/>
      </c>
      <c r="H91" s="11" t="str">
        <f t="shared" si="2"/>
        <v/>
      </c>
      <c r="I91" s="13"/>
    </row>
    <row r="92">
      <c r="A92" s="5"/>
      <c r="B92" s="6"/>
      <c r="C92" s="14" t="str">
        <f>iferror(vlookup(B92,'📦 ชื่อสินค้า'!A:C,2,false),)</f>
        <v/>
      </c>
      <c r="D92" s="11" t="str">
        <f>iferror(vlookup(B92,'📦 ชื่อสินค้า'!A:D,4,false),"")</f>
        <v/>
      </c>
      <c r="E92" s="16"/>
      <c r="F92" s="6"/>
      <c r="G92" s="8" t="str">
        <f t="shared" si="1"/>
        <v/>
      </c>
      <c r="H92" s="11" t="str">
        <f t="shared" si="2"/>
        <v/>
      </c>
      <c r="I92" s="13"/>
    </row>
    <row r="93">
      <c r="A93" s="5"/>
      <c r="B93" s="6"/>
      <c r="C93" s="14" t="str">
        <f>iferror(vlookup(B93,'📦 ชื่อสินค้า'!A:C,2,false),)</f>
        <v/>
      </c>
      <c r="D93" s="11" t="str">
        <f>iferror(vlookup(B93,'📦 ชื่อสินค้า'!A:D,4,false),"")</f>
        <v/>
      </c>
      <c r="E93" s="16"/>
      <c r="F93" s="6"/>
      <c r="G93" s="8" t="str">
        <f t="shared" si="1"/>
        <v/>
      </c>
      <c r="H93" s="11" t="str">
        <f t="shared" si="2"/>
        <v/>
      </c>
      <c r="I93" s="13"/>
    </row>
    <row r="94">
      <c r="A94" s="5"/>
      <c r="B94" s="6"/>
      <c r="C94" s="14" t="str">
        <f>iferror(vlookup(B94,'📦 ชื่อสินค้า'!A:C,2,false),)</f>
        <v/>
      </c>
      <c r="D94" s="11" t="str">
        <f>iferror(vlookup(B94,'📦 ชื่อสินค้า'!A:D,4,false),"")</f>
        <v/>
      </c>
      <c r="E94" s="16"/>
      <c r="F94" s="6"/>
      <c r="G94" s="8" t="str">
        <f t="shared" si="1"/>
        <v/>
      </c>
      <c r="H94" s="11" t="str">
        <f t="shared" si="2"/>
        <v/>
      </c>
      <c r="I94" s="13"/>
    </row>
    <row r="95">
      <c r="A95" s="5"/>
      <c r="B95" s="6"/>
      <c r="C95" s="14" t="str">
        <f>iferror(vlookup(B95,'📦 ชื่อสินค้า'!A:C,2,false),)</f>
        <v/>
      </c>
      <c r="D95" s="11" t="str">
        <f>iferror(vlookup(B95,'📦 ชื่อสินค้า'!A:D,4,false),"")</f>
        <v/>
      </c>
      <c r="E95" s="16"/>
      <c r="F95" s="6"/>
      <c r="G95" s="8" t="str">
        <f t="shared" si="1"/>
        <v/>
      </c>
      <c r="H95" s="11" t="str">
        <f t="shared" si="2"/>
        <v/>
      </c>
      <c r="I95" s="13"/>
    </row>
    <row r="96">
      <c r="A96" s="5"/>
      <c r="B96" s="6"/>
      <c r="C96" s="14" t="str">
        <f>iferror(vlookup(B96,'📦 ชื่อสินค้า'!A:C,2,false),)</f>
        <v/>
      </c>
      <c r="D96" s="11" t="str">
        <f>iferror(vlookup(B96,'📦 ชื่อสินค้า'!A:D,4,false),"")</f>
        <v/>
      </c>
      <c r="E96" s="16"/>
      <c r="F96" s="6"/>
      <c r="G96" s="8" t="str">
        <f t="shared" si="1"/>
        <v/>
      </c>
      <c r="H96" s="11" t="str">
        <f t="shared" si="2"/>
        <v/>
      </c>
      <c r="I96" s="13"/>
    </row>
    <row r="97">
      <c r="A97" s="5"/>
      <c r="B97" s="6"/>
      <c r="C97" s="14" t="str">
        <f>iferror(vlookup(B97,'📦 ชื่อสินค้า'!A:C,2,false),)</f>
        <v/>
      </c>
      <c r="D97" s="11" t="str">
        <f>iferror(vlookup(B97,'📦 ชื่อสินค้า'!A:D,4,false),"")</f>
        <v/>
      </c>
      <c r="E97" s="16"/>
      <c r="F97" s="6"/>
      <c r="G97" s="8" t="str">
        <f t="shared" si="1"/>
        <v/>
      </c>
      <c r="H97" s="11" t="str">
        <f t="shared" si="2"/>
        <v/>
      </c>
      <c r="I97" s="13"/>
    </row>
    <row r="98">
      <c r="A98" s="5"/>
      <c r="B98" s="6"/>
      <c r="C98" s="14" t="str">
        <f>iferror(vlookup(B98,'📦 ชื่อสินค้า'!A:C,2,false),)</f>
        <v/>
      </c>
      <c r="D98" s="11" t="str">
        <f>iferror(vlookup(B98,'📦 ชื่อสินค้า'!A:D,4,false),"")</f>
        <v/>
      </c>
      <c r="E98" s="16"/>
      <c r="F98" s="6"/>
      <c r="G98" s="8" t="str">
        <f t="shared" si="1"/>
        <v/>
      </c>
      <c r="H98" s="11" t="str">
        <f t="shared" si="2"/>
        <v/>
      </c>
      <c r="I98" s="13"/>
    </row>
    <row r="99">
      <c r="A99" s="5"/>
      <c r="B99" s="6"/>
      <c r="C99" s="14" t="str">
        <f>iferror(vlookup(B99,'📦 ชื่อสินค้า'!A:C,2,false),)</f>
        <v/>
      </c>
      <c r="D99" s="11" t="str">
        <f>iferror(vlookup(B99,'📦 ชื่อสินค้า'!A:D,4,false),"")</f>
        <v/>
      </c>
      <c r="E99" s="16"/>
      <c r="F99" s="6"/>
      <c r="G99" s="8" t="str">
        <f t="shared" si="1"/>
        <v/>
      </c>
      <c r="H99" s="11" t="str">
        <f t="shared" si="2"/>
        <v/>
      </c>
      <c r="I99" s="13"/>
    </row>
    <row r="100">
      <c r="A100" s="5"/>
      <c r="B100" s="6"/>
      <c r="C100" s="14" t="str">
        <f>iferror(vlookup(B100,'📦 ชื่อสินค้า'!A:C,2,false),)</f>
        <v/>
      </c>
      <c r="D100" s="11" t="str">
        <f>iferror(vlookup(B100,'📦 ชื่อสินค้า'!A:D,4,false),"")</f>
        <v/>
      </c>
      <c r="E100" s="16"/>
      <c r="F100" s="6"/>
      <c r="G100" s="8" t="str">
        <f t="shared" si="1"/>
        <v/>
      </c>
      <c r="H100" s="11" t="str">
        <f t="shared" si="2"/>
        <v/>
      </c>
      <c r="I100" s="13"/>
    </row>
    <row r="101">
      <c r="A101" s="5"/>
      <c r="B101" s="6"/>
      <c r="C101" s="14" t="str">
        <f>iferror(vlookup(B101,'📦 ชื่อสินค้า'!A:C,2,false),)</f>
        <v/>
      </c>
      <c r="D101" s="11" t="str">
        <f>iferror(vlookup(B101,'📦 ชื่อสินค้า'!A:D,4,false),"")</f>
        <v/>
      </c>
      <c r="E101" s="16"/>
      <c r="F101" s="6"/>
      <c r="G101" s="8" t="str">
        <f t="shared" si="1"/>
        <v/>
      </c>
      <c r="H101" s="11" t="str">
        <f t="shared" si="2"/>
        <v/>
      </c>
      <c r="I101" s="13"/>
    </row>
    <row r="102">
      <c r="A102" s="5"/>
      <c r="B102" s="6"/>
      <c r="C102" s="14" t="str">
        <f>iferror(vlookup(B102,'📦 ชื่อสินค้า'!A:C,2,false),)</f>
        <v/>
      </c>
      <c r="D102" s="11" t="str">
        <f>iferror(vlookup(B102,'📦 ชื่อสินค้า'!A:D,4,false),"")</f>
        <v/>
      </c>
      <c r="E102" s="16"/>
      <c r="F102" s="6"/>
      <c r="G102" s="8" t="str">
        <f t="shared" si="1"/>
        <v/>
      </c>
      <c r="H102" s="11" t="str">
        <f t="shared" si="2"/>
        <v/>
      </c>
      <c r="I102" s="13"/>
    </row>
    <row r="103">
      <c r="A103" s="5"/>
      <c r="B103" s="6"/>
      <c r="C103" s="14" t="str">
        <f>iferror(vlookup(B103,'📦 ชื่อสินค้า'!A:C,2,false),)</f>
        <v/>
      </c>
      <c r="D103" s="11" t="str">
        <f>iferror(vlookup(B103,'📦 ชื่อสินค้า'!A:D,4,false),"")</f>
        <v/>
      </c>
      <c r="E103" s="16"/>
      <c r="F103" s="6"/>
      <c r="G103" s="8" t="str">
        <f t="shared" si="1"/>
        <v/>
      </c>
      <c r="H103" s="11" t="str">
        <f t="shared" si="2"/>
        <v/>
      </c>
      <c r="I103" s="13"/>
    </row>
    <row r="104">
      <c r="A104" s="5"/>
      <c r="B104" s="6"/>
      <c r="C104" s="14" t="str">
        <f>iferror(vlookup(B104,'📦 ชื่อสินค้า'!A:C,2,false),)</f>
        <v/>
      </c>
      <c r="D104" s="11" t="str">
        <f>iferror(vlookup(B104,'📦 ชื่อสินค้า'!A:D,4,false),"")</f>
        <v/>
      </c>
      <c r="E104" s="16"/>
      <c r="F104" s="6"/>
      <c r="G104" s="8" t="str">
        <f t="shared" si="1"/>
        <v/>
      </c>
      <c r="H104" s="11" t="str">
        <f t="shared" si="2"/>
        <v/>
      </c>
      <c r="I104" s="13"/>
    </row>
    <row r="105">
      <c r="A105" s="5"/>
      <c r="B105" s="6"/>
      <c r="C105" s="14" t="str">
        <f>iferror(vlookup(B105,'📦 ชื่อสินค้า'!A:C,2,false),)</f>
        <v/>
      </c>
      <c r="D105" s="11" t="str">
        <f>iferror(vlookup(B105,'📦 ชื่อสินค้า'!A:D,4,false),"")</f>
        <v/>
      </c>
      <c r="E105" s="16"/>
      <c r="F105" s="6"/>
      <c r="G105" s="8" t="str">
        <f t="shared" si="1"/>
        <v/>
      </c>
      <c r="H105" s="11" t="str">
        <f t="shared" si="2"/>
        <v/>
      </c>
      <c r="I105" s="13"/>
    </row>
    <row r="106">
      <c r="A106" s="5"/>
      <c r="B106" s="6"/>
      <c r="C106" s="14" t="str">
        <f>iferror(vlookup(B106,'📦 ชื่อสินค้า'!A:C,2,false),)</f>
        <v/>
      </c>
      <c r="D106" s="11" t="str">
        <f>iferror(vlookup(B106,'📦 ชื่อสินค้า'!A:D,4,false),"")</f>
        <v/>
      </c>
      <c r="E106" s="16"/>
      <c r="F106" s="6"/>
      <c r="G106" s="8" t="str">
        <f t="shared" si="1"/>
        <v/>
      </c>
      <c r="H106" s="11" t="str">
        <f t="shared" si="2"/>
        <v/>
      </c>
      <c r="I106" s="13"/>
    </row>
    <row r="107">
      <c r="A107" s="5"/>
      <c r="B107" s="6"/>
      <c r="C107" s="14" t="str">
        <f>iferror(vlookup(B107,'📦 ชื่อสินค้า'!A:C,2,false),)</f>
        <v/>
      </c>
      <c r="D107" s="11" t="str">
        <f>iferror(vlookup(B107,'📦 ชื่อสินค้า'!A:D,4,false),"")</f>
        <v/>
      </c>
      <c r="E107" s="16"/>
      <c r="F107" s="6"/>
      <c r="G107" s="8" t="str">
        <f t="shared" si="1"/>
        <v/>
      </c>
      <c r="H107" s="11" t="str">
        <f t="shared" si="2"/>
        <v/>
      </c>
      <c r="I107" s="13"/>
    </row>
    <row r="108">
      <c r="A108" s="5"/>
      <c r="B108" s="6"/>
      <c r="C108" s="14" t="str">
        <f>iferror(vlookup(B108,'📦 ชื่อสินค้า'!A:C,2,false),)</f>
        <v/>
      </c>
      <c r="D108" s="11" t="str">
        <f>iferror(vlookup(B108,'📦 ชื่อสินค้า'!A:D,4,false),"")</f>
        <v/>
      </c>
      <c r="E108" s="16"/>
      <c r="F108" s="6"/>
      <c r="G108" s="8" t="str">
        <f t="shared" si="1"/>
        <v/>
      </c>
      <c r="H108" s="11" t="str">
        <f t="shared" si="2"/>
        <v/>
      </c>
      <c r="I108" s="13"/>
    </row>
    <row r="109">
      <c r="A109" s="5"/>
      <c r="B109" s="6"/>
      <c r="C109" s="14" t="str">
        <f>iferror(vlookup(B109,'📦 ชื่อสินค้า'!A:C,2,false),)</f>
        <v/>
      </c>
      <c r="D109" s="11" t="str">
        <f>iferror(vlookup(B109,'📦 ชื่อสินค้า'!A:D,4,false),"")</f>
        <v/>
      </c>
      <c r="E109" s="16"/>
      <c r="F109" s="6"/>
      <c r="G109" s="8" t="str">
        <f t="shared" si="1"/>
        <v/>
      </c>
      <c r="H109" s="11" t="str">
        <f t="shared" si="2"/>
        <v/>
      </c>
      <c r="I109" s="13"/>
    </row>
    <row r="110">
      <c r="A110" s="5"/>
      <c r="B110" s="6"/>
      <c r="C110" s="14" t="str">
        <f>iferror(vlookup(B110,'📦 ชื่อสินค้า'!A:C,2,false),)</f>
        <v/>
      </c>
      <c r="D110" s="11" t="str">
        <f>iferror(vlookup(B110,'📦 ชื่อสินค้า'!A:D,4,false),"")</f>
        <v/>
      </c>
      <c r="E110" s="16"/>
      <c r="F110" s="6"/>
      <c r="G110" s="8" t="str">
        <f t="shared" si="1"/>
        <v/>
      </c>
      <c r="H110" s="11" t="str">
        <f t="shared" si="2"/>
        <v/>
      </c>
      <c r="I110" s="13"/>
    </row>
    <row r="111">
      <c r="A111" s="5"/>
      <c r="B111" s="6"/>
      <c r="C111" s="14" t="str">
        <f>iferror(vlookup(B111,'📦 ชื่อสินค้า'!A:C,2,false),)</f>
        <v/>
      </c>
      <c r="D111" s="11" t="str">
        <f>iferror(vlookup(B111,'📦 ชื่อสินค้า'!A:D,4,false),"")</f>
        <v/>
      </c>
      <c r="E111" s="16"/>
      <c r="F111" s="6"/>
      <c r="G111" s="8" t="str">
        <f t="shared" si="1"/>
        <v/>
      </c>
      <c r="H111" s="11" t="str">
        <f t="shared" si="2"/>
        <v/>
      </c>
      <c r="I111" s="13"/>
    </row>
    <row r="112">
      <c r="A112" s="5"/>
      <c r="B112" s="6"/>
      <c r="C112" s="14" t="str">
        <f>iferror(vlookup(B112,'📦 ชื่อสินค้า'!A:C,2,false),)</f>
        <v/>
      </c>
      <c r="D112" s="11" t="str">
        <f>iferror(vlookup(B112,'📦 ชื่อสินค้า'!A:D,4,false),"")</f>
        <v/>
      </c>
      <c r="E112" s="16"/>
      <c r="F112" s="6"/>
      <c r="G112" s="8" t="str">
        <f t="shared" si="1"/>
        <v/>
      </c>
      <c r="H112" s="11" t="str">
        <f t="shared" si="2"/>
        <v/>
      </c>
      <c r="I112" s="13"/>
    </row>
    <row r="113">
      <c r="A113" s="5"/>
      <c r="B113" s="6"/>
      <c r="C113" s="14" t="str">
        <f>iferror(vlookup(B113,'📦 ชื่อสินค้า'!A:C,2,false),)</f>
        <v/>
      </c>
      <c r="D113" s="11" t="str">
        <f>iferror(vlookup(B113,'📦 ชื่อสินค้า'!A:D,4,false),"")</f>
        <v/>
      </c>
      <c r="E113" s="16"/>
      <c r="F113" s="6"/>
      <c r="G113" s="8" t="str">
        <f t="shared" si="1"/>
        <v/>
      </c>
      <c r="H113" s="11" t="str">
        <f t="shared" si="2"/>
        <v/>
      </c>
      <c r="I113" s="13"/>
    </row>
    <row r="114">
      <c r="A114" s="5"/>
      <c r="B114" s="6"/>
      <c r="C114" s="14" t="str">
        <f>iferror(vlookup(B114,'📦 ชื่อสินค้า'!A:C,2,false),)</f>
        <v/>
      </c>
      <c r="D114" s="11" t="str">
        <f>iferror(vlookup(B114,'📦 ชื่อสินค้า'!A:D,4,false),"")</f>
        <v/>
      </c>
      <c r="E114" s="16"/>
      <c r="F114" s="6"/>
      <c r="G114" s="8" t="str">
        <f t="shared" si="1"/>
        <v/>
      </c>
      <c r="H114" s="11" t="str">
        <f t="shared" si="2"/>
        <v/>
      </c>
      <c r="I114" s="13"/>
    </row>
    <row r="115">
      <c r="A115" s="5"/>
      <c r="B115" s="6"/>
      <c r="C115" s="14" t="str">
        <f>iferror(vlookup(B115,'📦 ชื่อสินค้า'!A:C,2,false),)</f>
        <v/>
      </c>
      <c r="D115" s="11" t="str">
        <f>iferror(vlookup(B115,'📦 ชื่อสินค้า'!A:D,4,false),"")</f>
        <v/>
      </c>
      <c r="E115" s="16"/>
      <c r="F115" s="6"/>
      <c r="G115" s="8" t="str">
        <f t="shared" si="1"/>
        <v/>
      </c>
      <c r="H115" s="11" t="str">
        <f t="shared" si="2"/>
        <v/>
      </c>
      <c r="I115" s="13"/>
    </row>
    <row r="116">
      <c r="A116" s="5"/>
      <c r="B116" s="6"/>
      <c r="C116" s="14" t="str">
        <f>iferror(vlookup(B116,'📦 ชื่อสินค้า'!A:C,2,false),)</f>
        <v/>
      </c>
      <c r="D116" s="11" t="str">
        <f>iferror(vlookup(B116,'📦 ชื่อสินค้า'!A:D,4,false),"")</f>
        <v/>
      </c>
      <c r="E116" s="16"/>
      <c r="F116" s="6"/>
      <c r="G116" s="8" t="str">
        <f t="shared" si="1"/>
        <v/>
      </c>
      <c r="H116" s="11" t="str">
        <f t="shared" si="2"/>
        <v/>
      </c>
      <c r="I116" s="13"/>
    </row>
    <row r="117">
      <c r="A117" s="5"/>
      <c r="B117" s="6"/>
      <c r="C117" s="14" t="str">
        <f>iferror(vlookup(B117,'📦 ชื่อสินค้า'!A:C,2,false),)</f>
        <v/>
      </c>
      <c r="D117" s="11" t="str">
        <f>iferror(vlookup(B117,'📦 ชื่อสินค้า'!A:D,4,false),"")</f>
        <v/>
      </c>
      <c r="E117" s="16"/>
      <c r="F117" s="6"/>
      <c r="G117" s="8" t="str">
        <f t="shared" si="1"/>
        <v/>
      </c>
      <c r="H117" s="11" t="str">
        <f t="shared" si="2"/>
        <v/>
      </c>
      <c r="I117" s="13"/>
    </row>
    <row r="118">
      <c r="A118" s="5"/>
      <c r="B118" s="6"/>
      <c r="C118" s="14" t="str">
        <f>iferror(vlookup(B118,'📦 ชื่อสินค้า'!A:C,2,false),)</f>
        <v/>
      </c>
      <c r="D118" s="11" t="str">
        <f>iferror(vlookup(B118,'📦 ชื่อสินค้า'!A:D,4,false),"")</f>
        <v/>
      </c>
      <c r="E118" s="16"/>
      <c r="F118" s="6"/>
      <c r="G118" s="8" t="str">
        <f t="shared" si="1"/>
        <v/>
      </c>
      <c r="H118" s="11" t="str">
        <f t="shared" si="2"/>
        <v/>
      </c>
      <c r="I118" s="13"/>
    </row>
    <row r="119">
      <c r="A119" s="5"/>
      <c r="B119" s="6"/>
      <c r="C119" s="14" t="str">
        <f>iferror(vlookup(B119,'📦 ชื่อสินค้า'!A:C,2,false),)</f>
        <v/>
      </c>
      <c r="D119" s="11" t="str">
        <f>iferror(vlookup(B119,'📦 ชื่อสินค้า'!A:D,4,false),"")</f>
        <v/>
      </c>
      <c r="E119" s="16"/>
      <c r="F119" s="6"/>
      <c r="G119" s="8" t="str">
        <f t="shared" si="1"/>
        <v/>
      </c>
      <c r="H119" s="11" t="str">
        <f t="shared" si="2"/>
        <v/>
      </c>
      <c r="I119" s="13"/>
    </row>
    <row r="120">
      <c r="A120" s="5"/>
      <c r="B120" s="6"/>
      <c r="C120" s="14" t="str">
        <f>iferror(vlookup(B120,'📦 ชื่อสินค้า'!A:C,2,false),)</f>
        <v/>
      </c>
      <c r="D120" s="11" t="str">
        <f>iferror(vlookup(B120,'📦 ชื่อสินค้า'!A:D,4,false),"")</f>
        <v/>
      </c>
      <c r="E120" s="16"/>
      <c r="F120" s="6"/>
      <c r="G120" s="8" t="str">
        <f t="shared" si="1"/>
        <v/>
      </c>
      <c r="H120" s="11" t="str">
        <f t="shared" si="2"/>
        <v/>
      </c>
      <c r="I120" s="13"/>
    </row>
    <row r="121">
      <c r="A121" s="5"/>
      <c r="B121" s="6"/>
      <c r="C121" s="14" t="str">
        <f>iferror(vlookup(B121,'📦 ชื่อสินค้า'!A:C,2,false),)</f>
        <v/>
      </c>
      <c r="D121" s="11" t="str">
        <f>iferror(vlookup(B121,'📦 ชื่อสินค้า'!A:D,4,false),"")</f>
        <v/>
      </c>
      <c r="E121" s="16"/>
      <c r="F121" s="6"/>
      <c r="G121" s="8" t="str">
        <f t="shared" si="1"/>
        <v/>
      </c>
      <c r="H121" s="11" t="str">
        <f t="shared" si="2"/>
        <v/>
      </c>
      <c r="I121" s="13"/>
    </row>
    <row r="122">
      <c r="A122" s="5"/>
      <c r="B122" s="6"/>
      <c r="C122" s="14" t="str">
        <f>iferror(vlookup(B122,'📦 ชื่อสินค้า'!A:C,2,false),)</f>
        <v/>
      </c>
      <c r="D122" s="11" t="str">
        <f>iferror(vlookup(B122,'📦 ชื่อสินค้า'!A:D,4,false),"")</f>
        <v/>
      </c>
      <c r="E122" s="16"/>
      <c r="F122" s="6"/>
      <c r="G122" s="8" t="str">
        <f t="shared" si="1"/>
        <v/>
      </c>
      <c r="H122" s="11" t="str">
        <f t="shared" si="2"/>
        <v/>
      </c>
      <c r="I122" s="13"/>
    </row>
    <row r="123">
      <c r="A123" s="5"/>
      <c r="B123" s="6"/>
      <c r="C123" s="14" t="str">
        <f>iferror(vlookup(B123,'📦 ชื่อสินค้า'!A:C,2,false),)</f>
        <v/>
      </c>
      <c r="D123" s="11" t="str">
        <f>iferror(vlookup(B123,'📦 ชื่อสินค้า'!A:D,4,false),"")</f>
        <v/>
      </c>
      <c r="E123" s="16"/>
      <c r="F123" s="6"/>
      <c r="G123" s="8" t="str">
        <f t="shared" si="1"/>
        <v/>
      </c>
      <c r="H123" s="11" t="str">
        <f t="shared" si="2"/>
        <v/>
      </c>
      <c r="I123" s="13"/>
    </row>
    <row r="124">
      <c r="A124" s="5"/>
      <c r="B124" s="6"/>
      <c r="C124" s="14" t="str">
        <f>iferror(vlookup(B124,'📦 ชื่อสินค้า'!A:C,2,false),)</f>
        <v/>
      </c>
      <c r="D124" s="11" t="str">
        <f>iferror(vlookup(B124,'📦 ชื่อสินค้า'!A:D,4,false),"")</f>
        <v/>
      </c>
      <c r="E124" s="16"/>
      <c r="F124" s="6"/>
      <c r="G124" s="8" t="str">
        <f t="shared" si="1"/>
        <v/>
      </c>
      <c r="H124" s="11" t="str">
        <f t="shared" si="2"/>
        <v/>
      </c>
      <c r="I124" s="13"/>
    </row>
    <row r="125">
      <c r="A125" s="5"/>
      <c r="B125" s="6"/>
      <c r="C125" s="14" t="str">
        <f>iferror(vlookup(B125,'📦 ชื่อสินค้า'!A:C,2,false),)</f>
        <v/>
      </c>
      <c r="D125" s="11" t="str">
        <f>iferror(vlookup(B125,'📦 ชื่อสินค้า'!A:D,4,false),"")</f>
        <v/>
      </c>
      <c r="E125" s="16"/>
      <c r="F125" s="6"/>
      <c r="G125" s="8" t="str">
        <f t="shared" si="1"/>
        <v/>
      </c>
      <c r="H125" s="11" t="str">
        <f t="shared" si="2"/>
        <v/>
      </c>
      <c r="I125" s="13"/>
    </row>
    <row r="126">
      <c r="A126" s="5"/>
      <c r="B126" s="6"/>
      <c r="C126" s="14" t="str">
        <f>iferror(vlookup(B126,'📦 ชื่อสินค้า'!A:C,2,false),)</f>
        <v/>
      </c>
      <c r="D126" s="11" t="str">
        <f>iferror(vlookup(B126,'📦 ชื่อสินค้า'!A:D,4,false),"")</f>
        <v/>
      </c>
      <c r="E126" s="16"/>
      <c r="F126" s="6"/>
      <c r="G126" s="8" t="str">
        <f t="shared" si="1"/>
        <v/>
      </c>
      <c r="H126" s="11" t="str">
        <f t="shared" si="2"/>
        <v/>
      </c>
      <c r="I126" s="13"/>
    </row>
    <row r="127">
      <c r="A127" s="5"/>
      <c r="B127" s="6"/>
      <c r="C127" s="14" t="str">
        <f>iferror(vlookup(B127,'📦 ชื่อสินค้า'!A:C,2,false),)</f>
        <v/>
      </c>
      <c r="D127" s="11" t="str">
        <f>iferror(vlookup(B127,'📦 ชื่อสินค้า'!A:D,4,false),"")</f>
        <v/>
      </c>
      <c r="E127" s="16"/>
      <c r="F127" s="6"/>
      <c r="G127" s="8" t="str">
        <f t="shared" si="1"/>
        <v/>
      </c>
      <c r="H127" s="11" t="str">
        <f t="shared" si="2"/>
        <v/>
      </c>
      <c r="I127" s="13"/>
    </row>
    <row r="128">
      <c r="A128" s="5"/>
      <c r="B128" s="6"/>
      <c r="C128" s="14" t="str">
        <f>iferror(vlookup(B128,'📦 ชื่อสินค้า'!A:C,2,false),)</f>
        <v/>
      </c>
      <c r="D128" s="11" t="str">
        <f>iferror(vlookup(B128,'📦 ชื่อสินค้า'!A:D,4,false),"")</f>
        <v/>
      </c>
      <c r="E128" s="16"/>
      <c r="F128" s="6"/>
      <c r="G128" s="8" t="str">
        <f t="shared" si="1"/>
        <v/>
      </c>
      <c r="H128" s="11" t="str">
        <f t="shared" si="2"/>
        <v/>
      </c>
      <c r="I128" s="13"/>
    </row>
    <row r="129">
      <c r="A129" s="5"/>
      <c r="B129" s="6"/>
      <c r="C129" s="14" t="str">
        <f>iferror(vlookup(B129,'📦 ชื่อสินค้า'!A:C,2,false),)</f>
        <v/>
      </c>
      <c r="D129" s="11" t="str">
        <f>iferror(vlookup(B129,'📦 ชื่อสินค้า'!A:D,4,false),"")</f>
        <v/>
      </c>
      <c r="E129" s="16"/>
      <c r="F129" s="6"/>
      <c r="G129" s="8" t="str">
        <f t="shared" si="1"/>
        <v/>
      </c>
      <c r="H129" s="11" t="str">
        <f t="shared" si="2"/>
        <v/>
      </c>
      <c r="I129" s="13"/>
    </row>
    <row r="130">
      <c r="A130" s="5"/>
      <c r="B130" s="6"/>
      <c r="C130" s="14" t="str">
        <f>iferror(vlookup(B130,'📦 ชื่อสินค้า'!A:C,2,false),)</f>
        <v/>
      </c>
      <c r="D130" s="11" t="str">
        <f>iferror(vlookup(B130,'📦 ชื่อสินค้า'!A:D,4,false),"")</f>
        <v/>
      </c>
      <c r="E130" s="16"/>
      <c r="F130" s="6"/>
      <c r="G130" s="8" t="str">
        <f t="shared" si="1"/>
        <v/>
      </c>
      <c r="H130" s="11" t="str">
        <f t="shared" si="2"/>
        <v/>
      </c>
      <c r="I130" s="13"/>
    </row>
    <row r="131">
      <c r="A131" s="5"/>
      <c r="B131" s="6"/>
      <c r="C131" s="14" t="str">
        <f>iferror(vlookup(B131,'📦 ชื่อสินค้า'!A:C,2,false),)</f>
        <v/>
      </c>
      <c r="D131" s="11" t="str">
        <f>iferror(vlookup(B131,'📦 ชื่อสินค้า'!A:D,4,false),"")</f>
        <v/>
      </c>
      <c r="E131" s="16"/>
      <c r="F131" s="6"/>
      <c r="G131" s="8" t="str">
        <f t="shared" si="1"/>
        <v/>
      </c>
      <c r="H131" s="11" t="str">
        <f t="shared" si="2"/>
        <v/>
      </c>
      <c r="I131" s="13"/>
    </row>
    <row r="132">
      <c r="A132" s="5"/>
      <c r="B132" s="6"/>
      <c r="C132" s="14" t="str">
        <f>iferror(vlookup(B132,'📦 ชื่อสินค้า'!A:C,2,false),)</f>
        <v/>
      </c>
      <c r="D132" s="11" t="str">
        <f>iferror(vlookup(B132,'📦 ชื่อสินค้า'!A:D,4,false),"")</f>
        <v/>
      </c>
      <c r="E132" s="16"/>
      <c r="F132" s="6"/>
      <c r="G132" s="8" t="str">
        <f t="shared" si="1"/>
        <v/>
      </c>
      <c r="H132" s="11" t="str">
        <f t="shared" si="2"/>
        <v/>
      </c>
      <c r="I132" s="13"/>
    </row>
    <row r="133">
      <c r="A133" s="5"/>
      <c r="B133" s="6"/>
      <c r="C133" s="14" t="str">
        <f>iferror(vlookup(B133,'📦 ชื่อสินค้า'!A:C,2,false),)</f>
        <v/>
      </c>
      <c r="D133" s="11" t="str">
        <f>iferror(vlookup(B133,'📦 ชื่อสินค้า'!A:D,4,false),"")</f>
        <v/>
      </c>
      <c r="E133" s="16"/>
      <c r="F133" s="6"/>
      <c r="G133" s="8" t="str">
        <f t="shared" si="1"/>
        <v/>
      </c>
      <c r="H133" s="11" t="str">
        <f t="shared" si="2"/>
        <v/>
      </c>
      <c r="I133" s="13"/>
    </row>
    <row r="134">
      <c r="A134" s="5"/>
      <c r="B134" s="6"/>
      <c r="C134" s="14" t="str">
        <f>iferror(vlookup(B134,'📦 ชื่อสินค้า'!A:C,2,false),)</f>
        <v/>
      </c>
      <c r="D134" s="11" t="str">
        <f>iferror(vlookup(B134,'📦 ชื่อสินค้า'!A:D,4,false),"")</f>
        <v/>
      </c>
      <c r="E134" s="16"/>
      <c r="F134" s="6"/>
      <c r="G134" s="8" t="str">
        <f t="shared" si="1"/>
        <v/>
      </c>
      <c r="H134" s="11" t="str">
        <f t="shared" si="2"/>
        <v/>
      </c>
      <c r="I134" s="13"/>
    </row>
    <row r="135">
      <c r="A135" s="5"/>
      <c r="B135" s="6"/>
      <c r="C135" s="14" t="str">
        <f>iferror(vlookup(B135,'📦 ชื่อสินค้า'!A:C,2,false),)</f>
        <v/>
      </c>
      <c r="D135" s="11" t="str">
        <f>iferror(vlookup(B135,'📦 ชื่อสินค้า'!A:D,4,false),"")</f>
        <v/>
      </c>
      <c r="E135" s="16"/>
      <c r="F135" s="6"/>
      <c r="G135" s="8" t="str">
        <f t="shared" si="1"/>
        <v/>
      </c>
      <c r="H135" s="11" t="str">
        <f t="shared" si="2"/>
        <v/>
      </c>
      <c r="I135" s="13"/>
    </row>
    <row r="136">
      <c r="A136" s="5"/>
      <c r="B136" s="6"/>
      <c r="C136" s="14" t="str">
        <f>iferror(vlookup(B136,'📦 ชื่อสินค้า'!A:C,2,false),)</f>
        <v/>
      </c>
      <c r="D136" s="11" t="str">
        <f>iferror(vlookup(B136,'📦 ชื่อสินค้า'!A:D,4,false),"")</f>
        <v/>
      </c>
      <c r="E136" s="16"/>
      <c r="F136" s="6"/>
      <c r="G136" s="8" t="str">
        <f t="shared" si="1"/>
        <v/>
      </c>
      <c r="H136" s="11" t="str">
        <f t="shared" si="2"/>
        <v/>
      </c>
      <c r="I136" s="13"/>
    </row>
    <row r="137">
      <c r="A137" s="5"/>
      <c r="B137" s="6"/>
      <c r="C137" s="14" t="str">
        <f>iferror(vlookup(B137,'📦 ชื่อสินค้า'!A:C,2,false),)</f>
        <v/>
      </c>
      <c r="D137" s="11" t="str">
        <f>iferror(vlookup(B137,'📦 ชื่อสินค้า'!A:D,4,false),"")</f>
        <v/>
      </c>
      <c r="E137" s="16"/>
      <c r="F137" s="6"/>
      <c r="G137" s="8" t="str">
        <f t="shared" si="1"/>
        <v/>
      </c>
      <c r="H137" s="11" t="str">
        <f t="shared" si="2"/>
        <v/>
      </c>
      <c r="I137" s="13"/>
    </row>
    <row r="138">
      <c r="A138" s="5"/>
      <c r="B138" s="6"/>
      <c r="C138" s="14" t="str">
        <f>iferror(vlookup(B138,'📦 ชื่อสินค้า'!A:C,2,false),)</f>
        <v/>
      </c>
      <c r="D138" s="11" t="str">
        <f>iferror(vlookup(B138,'📦 ชื่อสินค้า'!A:D,4,false),"")</f>
        <v/>
      </c>
      <c r="E138" s="16"/>
      <c r="F138" s="6"/>
      <c r="G138" s="8" t="str">
        <f t="shared" si="1"/>
        <v/>
      </c>
      <c r="H138" s="11" t="str">
        <f t="shared" si="2"/>
        <v/>
      </c>
      <c r="I138" s="13"/>
    </row>
    <row r="139">
      <c r="A139" s="5"/>
      <c r="B139" s="6"/>
      <c r="C139" s="14" t="str">
        <f>iferror(vlookup(B139,'📦 ชื่อสินค้า'!A:C,2,false),)</f>
        <v/>
      </c>
      <c r="D139" s="11" t="str">
        <f>iferror(vlookup(B139,'📦 ชื่อสินค้า'!A:D,4,false),"")</f>
        <v/>
      </c>
      <c r="E139" s="16"/>
      <c r="F139" s="6"/>
      <c r="G139" s="8" t="str">
        <f t="shared" si="1"/>
        <v/>
      </c>
      <c r="H139" s="11" t="str">
        <f t="shared" si="2"/>
        <v/>
      </c>
      <c r="I139" s="13"/>
    </row>
    <row r="140">
      <c r="A140" s="5"/>
      <c r="B140" s="6"/>
      <c r="C140" s="14" t="str">
        <f>iferror(vlookup(B140,'📦 ชื่อสินค้า'!A:C,2,false),)</f>
        <v/>
      </c>
      <c r="D140" s="11" t="str">
        <f>iferror(vlookup(B140,'📦 ชื่อสินค้า'!A:D,4,false),"")</f>
        <v/>
      </c>
      <c r="E140" s="16"/>
      <c r="F140" s="6"/>
      <c r="G140" s="8" t="str">
        <f t="shared" si="1"/>
        <v/>
      </c>
      <c r="H140" s="11" t="str">
        <f t="shared" si="2"/>
        <v/>
      </c>
      <c r="I140" s="13"/>
    </row>
    <row r="141">
      <c r="A141" s="5"/>
      <c r="B141" s="6"/>
      <c r="C141" s="14" t="str">
        <f>iferror(vlookup(B141,'📦 ชื่อสินค้า'!A:C,2,false),)</f>
        <v/>
      </c>
      <c r="D141" s="11" t="str">
        <f>iferror(vlookup(B141,'📦 ชื่อสินค้า'!A:D,4,false),"")</f>
        <v/>
      </c>
      <c r="E141" s="16"/>
      <c r="F141" s="6"/>
      <c r="G141" s="8" t="str">
        <f t="shared" si="1"/>
        <v/>
      </c>
      <c r="H141" s="11" t="str">
        <f t="shared" si="2"/>
        <v/>
      </c>
      <c r="I141" s="13"/>
    </row>
    <row r="142">
      <c r="A142" s="5"/>
      <c r="B142" s="6"/>
      <c r="C142" s="14" t="str">
        <f>iferror(vlookup(B142,'📦 ชื่อสินค้า'!A:C,2,false),)</f>
        <v/>
      </c>
      <c r="D142" s="11" t="str">
        <f>iferror(vlookup(B142,'📦 ชื่อสินค้า'!A:D,4,false),"")</f>
        <v/>
      </c>
      <c r="E142" s="16"/>
      <c r="F142" s="6"/>
      <c r="G142" s="8" t="str">
        <f t="shared" si="1"/>
        <v/>
      </c>
      <c r="H142" s="11" t="str">
        <f t="shared" si="2"/>
        <v/>
      </c>
      <c r="I142" s="13"/>
    </row>
    <row r="143">
      <c r="A143" s="5"/>
      <c r="B143" s="6"/>
      <c r="C143" s="14" t="str">
        <f>iferror(vlookup(B143,'📦 ชื่อสินค้า'!A:C,2,false),)</f>
        <v/>
      </c>
      <c r="D143" s="11" t="str">
        <f>iferror(vlookup(B143,'📦 ชื่อสินค้า'!A:D,4,false),"")</f>
        <v/>
      </c>
      <c r="E143" s="16"/>
      <c r="F143" s="6"/>
      <c r="G143" s="8" t="str">
        <f t="shared" si="1"/>
        <v/>
      </c>
      <c r="H143" s="11" t="str">
        <f t="shared" si="2"/>
        <v/>
      </c>
      <c r="I143" s="13"/>
    </row>
    <row r="144">
      <c r="A144" s="5"/>
      <c r="B144" s="6"/>
      <c r="C144" s="14" t="str">
        <f>iferror(vlookup(B144,'📦 ชื่อสินค้า'!A:C,2,false),)</f>
        <v/>
      </c>
      <c r="D144" s="11" t="str">
        <f>iferror(vlookup(B144,'📦 ชื่อสินค้า'!A:D,4,false),"")</f>
        <v/>
      </c>
      <c r="E144" s="16"/>
      <c r="F144" s="6"/>
      <c r="G144" s="8" t="str">
        <f t="shared" si="1"/>
        <v/>
      </c>
      <c r="H144" s="11" t="str">
        <f t="shared" si="2"/>
        <v/>
      </c>
      <c r="I144" s="13"/>
    </row>
    <row r="145">
      <c r="A145" s="5"/>
      <c r="B145" s="6"/>
      <c r="C145" s="14" t="str">
        <f>iferror(vlookup(B145,'📦 ชื่อสินค้า'!A:C,2,false),)</f>
        <v/>
      </c>
      <c r="D145" s="11" t="str">
        <f>iferror(vlookup(B145,'📦 ชื่อสินค้า'!A:D,4,false),"")</f>
        <v/>
      </c>
      <c r="E145" s="16"/>
      <c r="F145" s="6"/>
      <c r="G145" s="8" t="str">
        <f t="shared" si="1"/>
        <v/>
      </c>
      <c r="H145" s="11" t="str">
        <f t="shared" si="2"/>
        <v/>
      </c>
      <c r="I145" s="13"/>
    </row>
    <row r="146">
      <c r="A146" s="5"/>
      <c r="B146" s="6"/>
      <c r="C146" s="14" t="str">
        <f>iferror(vlookup(B146,'📦 ชื่อสินค้า'!A:C,2,false),)</f>
        <v/>
      </c>
      <c r="D146" s="11" t="str">
        <f>iferror(vlookup(B146,'📦 ชื่อสินค้า'!A:D,4,false),"")</f>
        <v/>
      </c>
      <c r="E146" s="16"/>
      <c r="F146" s="6"/>
      <c r="G146" s="8" t="str">
        <f t="shared" si="1"/>
        <v/>
      </c>
      <c r="H146" s="11" t="str">
        <f t="shared" si="2"/>
        <v/>
      </c>
      <c r="I146" s="13"/>
    </row>
    <row r="147">
      <c r="A147" s="5"/>
      <c r="B147" s="6"/>
      <c r="C147" s="14" t="str">
        <f>iferror(vlookup(B147,'📦 ชื่อสินค้า'!A:C,2,false),)</f>
        <v/>
      </c>
      <c r="D147" s="11" t="str">
        <f>iferror(vlookup(B147,'📦 ชื่อสินค้า'!A:D,4,false),"")</f>
        <v/>
      </c>
      <c r="E147" s="16"/>
      <c r="F147" s="6"/>
      <c r="G147" s="8" t="str">
        <f t="shared" si="1"/>
        <v/>
      </c>
      <c r="H147" s="11" t="str">
        <f t="shared" si="2"/>
        <v/>
      </c>
      <c r="I147" s="13"/>
    </row>
    <row r="148">
      <c r="A148" s="5"/>
      <c r="B148" s="6"/>
      <c r="C148" s="14" t="str">
        <f>iferror(vlookup(B148,'📦 ชื่อสินค้า'!A:C,2,false),)</f>
        <v/>
      </c>
      <c r="D148" s="11" t="str">
        <f>iferror(vlookup(B148,'📦 ชื่อสินค้า'!A:D,4,false),"")</f>
        <v/>
      </c>
      <c r="E148" s="16"/>
      <c r="F148" s="6"/>
      <c r="G148" s="8" t="str">
        <f t="shared" si="1"/>
        <v/>
      </c>
      <c r="H148" s="11" t="str">
        <f t="shared" si="2"/>
        <v/>
      </c>
      <c r="I148" s="13"/>
    </row>
    <row r="149">
      <c r="A149" s="5"/>
      <c r="B149" s="6"/>
      <c r="C149" s="14" t="str">
        <f>iferror(vlookup(B149,'📦 ชื่อสินค้า'!A:C,2,false),)</f>
        <v/>
      </c>
      <c r="D149" s="11" t="str">
        <f>iferror(vlookup(B149,'📦 ชื่อสินค้า'!A:D,4,false),"")</f>
        <v/>
      </c>
      <c r="E149" s="16"/>
      <c r="F149" s="6"/>
      <c r="G149" s="8" t="str">
        <f t="shared" si="1"/>
        <v/>
      </c>
      <c r="H149" s="11" t="str">
        <f t="shared" si="2"/>
        <v/>
      </c>
      <c r="I149" s="13"/>
    </row>
    <row r="150">
      <c r="A150" s="5"/>
      <c r="B150" s="6"/>
      <c r="C150" s="14" t="str">
        <f>iferror(vlookup(B150,'📦 ชื่อสินค้า'!A:C,2,false),)</f>
        <v/>
      </c>
      <c r="D150" s="11" t="str">
        <f>iferror(vlookup(B150,'📦 ชื่อสินค้า'!A:D,4,false),"")</f>
        <v/>
      </c>
      <c r="E150" s="16"/>
      <c r="F150" s="6"/>
      <c r="G150" s="8" t="str">
        <f t="shared" si="1"/>
        <v/>
      </c>
      <c r="H150" s="11" t="str">
        <f t="shared" si="2"/>
        <v/>
      </c>
      <c r="I150" s="13"/>
    </row>
    <row r="151">
      <c r="A151" s="5"/>
      <c r="B151" s="6"/>
      <c r="C151" s="14" t="str">
        <f>iferror(vlookup(B151,'📦 ชื่อสินค้า'!A:C,2,false),)</f>
        <v/>
      </c>
      <c r="D151" s="11" t="str">
        <f>iferror(vlookup(B151,'📦 ชื่อสินค้า'!A:D,4,false),"")</f>
        <v/>
      </c>
      <c r="E151" s="16"/>
      <c r="F151" s="6"/>
      <c r="G151" s="8" t="str">
        <f t="shared" si="1"/>
        <v/>
      </c>
      <c r="H151" s="11" t="str">
        <f t="shared" si="2"/>
        <v/>
      </c>
      <c r="I151" s="13"/>
    </row>
    <row r="152">
      <c r="A152" s="5"/>
      <c r="B152" s="6"/>
      <c r="C152" s="14" t="str">
        <f>iferror(vlookup(B152,'📦 ชื่อสินค้า'!A:C,2,false),)</f>
        <v/>
      </c>
      <c r="D152" s="11" t="str">
        <f>iferror(vlookup(B152,'📦 ชื่อสินค้า'!A:D,4,false),"")</f>
        <v/>
      </c>
      <c r="E152" s="16"/>
      <c r="F152" s="6"/>
      <c r="G152" s="8" t="str">
        <f t="shared" si="1"/>
        <v/>
      </c>
      <c r="H152" s="11" t="str">
        <f t="shared" si="2"/>
        <v/>
      </c>
      <c r="I152" s="13"/>
    </row>
    <row r="153">
      <c r="A153" s="5"/>
      <c r="B153" s="6"/>
      <c r="C153" s="14" t="str">
        <f>iferror(vlookup(B153,'📦 ชื่อสินค้า'!A:C,2,false),)</f>
        <v/>
      </c>
      <c r="D153" s="11" t="str">
        <f>iferror(vlookup(B153,'📦 ชื่อสินค้า'!A:D,4,false),"")</f>
        <v/>
      </c>
      <c r="E153" s="16"/>
      <c r="F153" s="6"/>
      <c r="G153" s="8" t="str">
        <f t="shared" si="1"/>
        <v/>
      </c>
      <c r="H153" s="11" t="str">
        <f t="shared" si="2"/>
        <v/>
      </c>
      <c r="I153" s="13"/>
    </row>
    <row r="154">
      <c r="A154" s="5"/>
      <c r="B154" s="6"/>
      <c r="C154" s="14" t="str">
        <f>iferror(vlookup(B154,'📦 ชื่อสินค้า'!A:C,2,false),)</f>
        <v/>
      </c>
      <c r="D154" s="11" t="str">
        <f>iferror(vlookup(B154,'📦 ชื่อสินค้า'!A:D,4,false),"")</f>
        <v/>
      </c>
      <c r="E154" s="16"/>
      <c r="F154" s="6"/>
      <c r="G154" s="8" t="str">
        <f t="shared" si="1"/>
        <v/>
      </c>
      <c r="H154" s="11" t="str">
        <f t="shared" si="2"/>
        <v/>
      </c>
      <c r="I154" s="13"/>
    </row>
    <row r="155">
      <c r="A155" s="5"/>
      <c r="B155" s="6"/>
      <c r="C155" s="14" t="str">
        <f>iferror(vlookup(B155,'📦 ชื่อสินค้า'!A:C,2,false),)</f>
        <v/>
      </c>
      <c r="D155" s="11" t="str">
        <f>iferror(vlookup(B155,'📦 ชื่อสินค้า'!A:D,4,false),"")</f>
        <v/>
      </c>
      <c r="E155" s="16"/>
      <c r="F155" s="6"/>
      <c r="G155" s="8" t="str">
        <f t="shared" si="1"/>
        <v/>
      </c>
      <c r="H155" s="11" t="str">
        <f t="shared" si="2"/>
        <v/>
      </c>
      <c r="I155" s="13"/>
    </row>
    <row r="156">
      <c r="A156" s="5"/>
      <c r="B156" s="6"/>
      <c r="C156" s="14" t="str">
        <f>iferror(vlookup(B156,'📦 ชื่อสินค้า'!A:C,2,false),)</f>
        <v/>
      </c>
      <c r="D156" s="11" t="str">
        <f>iferror(vlookup(B156,'📦 ชื่อสินค้า'!A:D,4,false),"")</f>
        <v/>
      </c>
      <c r="E156" s="16"/>
      <c r="F156" s="6"/>
      <c r="G156" s="8" t="str">
        <f t="shared" si="1"/>
        <v/>
      </c>
      <c r="H156" s="11" t="str">
        <f t="shared" si="2"/>
        <v/>
      </c>
      <c r="I156" s="13"/>
    </row>
    <row r="157">
      <c r="A157" s="5"/>
      <c r="B157" s="6"/>
      <c r="C157" s="14" t="str">
        <f>iferror(vlookup(B157,'📦 ชื่อสินค้า'!A:C,2,false),)</f>
        <v/>
      </c>
      <c r="D157" s="11" t="str">
        <f>iferror(vlookup(B157,'📦 ชื่อสินค้า'!A:D,4,false),"")</f>
        <v/>
      </c>
      <c r="E157" s="16"/>
      <c r="F157" s="6"/>
      <c r="G157" s="8" t="str">
        <f t="shared" si="1"/>
        <v/>
      </c>
      <c r="H157" s="11" t="str">
        <f t="shared" si="2"/>
        <v/>
      </c>
      <c r="I157" s="13"/>
    </row>
    <row r="158">
      <c r="A158" s="5"/>
      <c r="B158" s="6"/>
      <c r="C158" s="14" t="str">
        <f>iferror(vlookup(B158,'📦 ชื่อสินค้า'!A:C,2,false),)</f>
        <v/>
      </c>
      <c r="D158" s="11" t="str">
        <f>iferror(vlookup(B158,'📦 ชื่อสินค้า'!A:D,4,false),"")</f>
        <v/>
      </c>
      <c r="E158" s="16"/>
      <c r="F158" s="6"/>
      <c r="G158" s="8" t="str">
        <f t="shared" si="1"/>
        <v/>
      </c>
      <c r="H158" s="11" t="str">
        <f t="shared" si="2"/>
        <v/>
      </c>
      <c r="I158" s="13"/>
    </row>
    <row r="159">
      <c r="A159" s="5"/>
      <c r="B159" s="6"/>
      <c r="C159" s="14" t="str">
        <f>iferror(vlookup(B159,'📦 ชื่อสินค้า'!A:C,2,false),)</f>
        <v/>
      </c>
      <c r="D159" s="11" t="str">
        <f>iferror(vlookup(B159,'📦 ชื่อสินค้า'!A:D,4,false),"")</f>
        <v/>
      </c>
      <c r="E159" s="16"/>
      <c r="F159" s="6"/>
      <c r="G159" s="8" t="str">
        <f t="shared" si="1"/>
        <v/>
      </c>
      <c r="H159" s="11" t="str">
        <f t="shared" si="2"/>
        <v/>
      </c>
      <c r="I159" s="13"/>
    </row>
    <row r="160">
      <c r="A160" s="5"/>
      <c r="B160" s="6"/>
      <c r="C160" s="14" t="str">
        <f>iferror(vlookup(B160,'📦 ชื่อสินค้า'!A:C,2,false),)</f>
        <v/>
      </c>
      <c r="D160" s="11" t="str">
        <f>iferror(vlookup(B160,'📦 ชื่อสินค้า'!A:D,4,false),"")</f>
        <v/>
      </c>
      <c r="E160" s="16"/>
      <c r="F160" s="6"/>
      <c r="G160" s="8" t="str">
        <f t="shared" si="1"/>
        <v/>
      </c>
      <c r="H160" s="11" t="str">
        <f t="shared" si="2"/>
        <v/>
      </c>
      <c r="I160" s="13"/>
    </row>
    <row r="161">
      <c r="A161" s="5"/>
      <c r="B161" s="6"/>
      <c r="C161" s="14" t="str">
        <f>iferror(vlookup(B161,'📦 ชื่อสินค้า'!A:C,2,false),)</f>
        <v/>
      </c>
      <c r="D161" s="11" t="str">
        <f>iferror(vlookup(B161,'📦 ชื่อสินค้า'!A:D,4,false),"")</f>
        <v/>
      </c>
      <c r="E161" s="16"/>
      <c r="F161" s="6"/>
      <c r="G161" s="8" t="str">
        <f t="shared" si="1"/>
        <v/>
      </c>
      <c r="H161" s="11" t="str">
        <f t="shared" si="2"/>
        <v/>
      </c>
      <c r="I161" s="13"/>
    </row>
    <row r="162">
      <c r="A162" s="5"/>
      <c r="B162" s="6"/>
      <c r="C162" s="14" t="str">
        <f>iferror(vlookup(B162,'📦 ชื่อสินค้า'!A:C,2,false),)</f>
        <v/>
      </c>
      <c r="D162" s="11" t="str">
        <f>iferror(vlookup(B162,'📦 ชื่อสินค้า'!A:D,4,false),"")</f>
        <v/>
      </c>
      <c r="E162" s="16"/>
      <c r="F162" s="6"/>
      <c r="G162" s="8" t="str">
        <f t="shared" si="1"/>
        <v/>
      </c>
      <c r="H162" s="11" t="str">
        <f t="shared" si="2"/>
        <v/>
      </c>
      <c r="I162" s="13"/>
    </row>
    <row r="163">
      <c r="A163" s="5"/>
      <c r="B163" s="6"/>
      <c r="C163" s="14" t="str">
        <f>iferror(vlookup(B163,'📦 ชื่อสินค้า'!A:C,2,false),)</f>
        <v/>
      </c>
      <c r="D163" s="11" t="str">
        <f>iferror(vlookup(B163,'📦 ชื่อสินค้า'!A:D,4,false),"")</f>
        <v/>
      </c>
      <c r="E163" s="16"/>
      <c r="F163" s="6"/>
      <c r="G163" s="8" t="str">
        <f t="shared" si="1"/>
        <v/>
      </c>
      <c r="H163" s="11" t="str">
        <f t="shared" si="2"/>
        <v/>
      </c>
      <c r="I163" s="13"/>
    </row>
    <row r="164">
      <c r="A164" s="5"/>
      <c r="B164" s="6"/>
      <c r="C164" s="14" t="str">
        <f>iferror(vlookup(B164,'📦 ชื่อสินค้า'!A:C,2,false),)</f>
        <v/>
      </c>
      <c r="D164" s="11" t="str">
        <f>iferror(vlookup(B164,'📦 ชื่อสินค้า'!A:D,4,false),"")</f>
        <v/>
      </c>
      <c r="E164" s="16"/>
      <c r="F164" s="6"/>
      <c r="G164" s="8" t="str">
        <f t="shared" si="1"/>
        <v/>
      </c>
      <c r="H164" s="11" t="str">
        <f t="shared" si="2"/>
        <v/>
      </c>
      <c r="I164" s="13"/>
    </row>
    <row r="165">
      <c r="A165" s="5"/>
      <c r="B165" s="6"/>
      <c r="C165" s="14" t="str">
        <f>iferror(vlookup(B165,'📦 ชื่อสินค้า'!A:C,2,false),)</f>
        <v/>
      </c>
      <c r="D165" s="11" t="str">
        <f>iferror(vlookup(B165,'📦 ชื่อสินค้า'!A:D,4,false),"")</f>
        <v/>
      </c>
      <c r="E165" s="16"/>
      <c r="F165" s="6"/>
      <c r="G165" s="8" t="str">
        <f t="shared" si="1"/>
        <v/>
      </c>
      <c r="H165" s="11" t="str">
        <f t="shared" si="2"/>
        <v/>
      </c>
      <c r="I165" s="13"/>
    </row>
    <row r="166">
      <c r="A166" s="5"/>
      <c r="B166" s="6"/>
      <c r="C166" s="14" t="str">
        <f>iferror(vlookup(B166,'📦 ชื่อสินค้า'!A:C,2,false),)</f>
        <v/>
      </c>
      <c r="D166" s="11" t="str">
        <f>iferror(vlookup(B166,'📦 ชื่อสินค้า'!A:D,4,false),"")</f>
        <v/>
      </c>
      <c r="E166" s="16"/>
      <c r="F166" s="6"/>
      <c r="G166" s="8" t="str">
        <f t="shared" si="1"/>
        <v/>
      </c>
      <c r="H166" s="11" t="str">
        <f t="shared" si="2"/>
        <v/>
      </c>
      <c r="I166" s="13"/>
    </row>
    <row r="167">
      <c r="A167" s="5"/>
      <c r="B167" s="6"/>
      <c r="C167" s="14" t="str">
        <f>iferror(vlookup(B167,'📦 ชื่อสินค้า'!A:C,2,false),)</f>
        <v/>
      </c>
      <c r="D167" s="11" t="str">
        <f>iferror(vlookup(B167,'📦 ชื่อสินค้า'!A:D,4,false),"")</f>
        <v/>
      </c>
      <c r="E167" s="16"/>
      <c r="F167" s="6"/>
      <c r="G167" s="8" t="str">
        <f t="shared" si="1"/>
        <v/>
      </c>
      <c r="H167" s="11" t="str">
        <f t="shared" si="2"/>
        <v/>
      </c>
      <c r="I167" s="13"/>
    </row>
    <row r="168">
      <c r="A168" s="5"/>
      <c r="B168" s="6"/>
      <c r="C168" s="14" t="str">
        <f>iferror(vlookup(B168,'📦 ชื่อสินค้า'!A:C,2,false),)</f>
        <v/>
      </c>
      <c r="D168" s="11" t="str">
        <f>iferror(vlookup(B168,'📦 ชื่อสินค้า'!A:D,4,false),"")</f>
        <v/>
      </c>
      <c r="E168" s="16"/>
      <c r="F168" s="6"/>
      <c r="G168" s="8" t="str">
        <f t="shared" si="1"/>
        <v/>
      </c>
      <c r="H168" s="11" t="str">
        <f t="shared" si="2"/>
        <v/>
      </c>
      <c r="I168" s="13"/>
    </row>
    <row r="169">
      <c r="A169" s="5"/>
      <c r="B169" s="6"/>
      <c r="C169" s="14" t="str">
        <f>iferror(vlookup(B169,'📦 ชื่อสินค้า'!A:C,2,false),)</f>
        <v/>
      </c>
      <c r="D169" s="11" t="str">
        <f>iferror(vlookup(B169,'📦 ชื่อสินค้า'!A:D,4,false),"")</f>
        <v/>
      </c>
      <c r="E169" s="16"/>
      <c r="F169" s="6"/>
      <c r="G169" s="8" t="str">
        <f t="shared" si="1"/>
        <v/>
      </c>
      <c r="H169" s="11" t="str">
        <f t="shared" si="2"/>
        <v/>
      </c>
      <c r="I169" s="13"/>
    </row>
    <row r="170">
      <c r="A170" s="5"/>
      <c r="B170" s="6"/>
      <c r="C170" s="14" t="str">
        <f>iferror(vlookup(B170,'📦 ชื่อสินค้า'!A:C,2,false),)</f>
        <v/>
      </c>
      <c r="D170" s="11" t="str">
        <f>iferror(vlookup(B170,'📦 ชื่อสินค้า'!A:D,4,false),"")</f>
        <v/>
      </c>
      <c r="E170" s="16"/>
      <c r="F170" s="6"/>
      <c r="G170" s="8" t="str">
        <f t="shared" si="1"/>
        <v/>
      </c>
      <c r="H170" s="11" t="str">
        <f t="shared" si="2"/>
        <v/>
      </c>
      <c r="I170" s="13"/>
    </row>
    <row r="171">
      <c r="A171" s="5"/>
      <c r="B171" s="6"/>
      <c r="C171" s="14" t="str">
        <f>iferror(vlookup(B171,'📦 ชื่อสินค้า'!A:C,2,false),)</f>
        <v/>
      </c>
      <c r="D171" s="11" t="str">
        <f>iferror(vlookup(B171,'📦 ชื่อสินค้า'!A:D,4,false),"")</f>
        <v/>
      </c>
      <c r="E171" s="16"/>
      <c r="F171" s="6"/>
      <c r="G171" s="8" t="str">
        <f t="shared" si="1"/>
        <v/>
      </c>
      <c r="H171" s="11" t="str">
        <f t="shared" si="2"/>
        <v/>
      </c>
      <c r="I171" s="13"/>
    </row>
    <row r="172">
      <c r="A172" s="5"/>
      <c r="B172" s="6"/>
      <c r="C172" s="14" t="str">
        <f>iferror(vlookup(B172,'📦 ชื่อสินค้า'!A:C,2,false),)</f>
        <v/>
      </c>
      <c r="D172" s="11" t="str">
        <f>iferror(vlookup(B172,'📦 ชื่อสินค้า'!A:D,4,false),"")</f>
        <v/>
      </c>
      <c r="E172" s="16"/>
      <c r="F172" s="6"/>
      <c r="G172" s="8" t="str">
        <f t="shared" si="1"/>
        <v/>
      </c>
      <c r="H172" s="11" t="str">
        <f t="shared" si="2"/>
        <v/>
      </c>
      <c r="I172" s="13"/>
    </row>
    <row r="173">
      <c r="A173" s="5"/>
      <c r="B173" s="6"/>
      <c r="C173" s="14" t="str">
        <f>iferror(vlookup(B173,'📦 ชื่อสินค้า'!A:C,2,false),)</f>
        <v/>
      </c>
      <c r="D173" s="11" t="str">
        <f>iferror(vlookup(B173,'📦 ชื่อสินค้า'!A:D,4,false),"")</f>
        <v/>
      </c>
      <c r="E173" s="16"/>
      <c r="F173" s="6"/>
      <c r="G173" s="8" t="str">
        <f t="shared" si="1"/>
        <v/>
      </c>
      <c r="H173" s="11" t="str">
        <f t="shared" si="2"/>
        <v/>
      </c>
      <c r="I173" s="13"/>
    </row>
    <row r="174">
      <c r="A174" s="5"/>
      <c r="B174" s="6"/>
      <c r="C174" s="14" t="str">
        <f>iferror(vlookup(B174,'📦 ชื่อสินค้า'!A:C,2,false),)</f>
        <v/>
      </c>
      <c r="D174" s="11" t="str">
        <f>iferror(vlookup(B174,'📦 ชื่อสินค้า'!A:D,4,false),"")</f>
        <v/>
      </c>
      <c r="E174" s="16"/>
      <c r="F174" s="6"/>
      <c r="G174" s="8" t="str">
        <f t="shared" si="1"/>
        <v/>
      </c>
      <c r="H174" s="11" t="str">
        <f t="shared" si="2"/>
        <v/>
      </c>
      <c r="I174" s="13"/>
    </row>
    <row r="175">
      <c r="A175" s="5"/>
      <c r="B175" s="6"/>
      <c r="C175" s="14" t="str">
        <f>iferror(vlookup(B175,'📦 ชื่อสินค้า'!A:C,2,false),)</f>
        <v/>
      </c>
      <c r="D175" s="11" t="str">
        <f>iferror(vlookup(B175,'📦 ชื่อสินค้า'!A:D,4,false),"")</f>
        <v/>
      </c>
      <c r="E175" s="16"/>
      <c r="F175" s="6"/>
      <c r="G175" s="8" t="str">
        <f t="shared" si="1"/>
        <v/>
      </c>
      <c r="H175" s="11" t="str">
        <f t="shared" si="2"/>
        <v/>
      </c>
      <c r="I175" s="13"/>
    </row>
    <row r="176">
      <c r="A176" s="5"/>
      <c r="B176" s="6"/>
      <c r="C176" s="14" t="str">
        <f>iferror(vlookup(B176,'📦 ชื่อสินค้า'!A:C,2,false),)</f>
        <v/>
      </c>
      <c r="D176" s="11" t="str">
        <f>iferror(vlookup(B176,'📦 ชื่อสินค้า'!A:D,4,false),"")</f>
        <v/>
      </c>
      <c r="E176" s="16"/>
      <c r="F176" s="6"/>
      <c r="G176" s="8" t="str">
        <f t="shared" si="1"/>
        <v/>
      </c>
      <c r="H176" s="11" t="str">
        <f t="shared" si="2"/>
        <v/>
      </c>
      <c r="I176" s="13"/>
    </row>
    <row r="177">
      <c r="A177" s="5"/>
      <c r="B177" s="6"/>
      <c r="C177" s="14" t="str">
        <f>iferror(vlookup(B177,'📦 ชื่อสินค้า'!A:C,2,false),)</f>
        <v/>
      </c>
      <c r="D177" s="11" t="str">
        <f>iferror(vlookup(B177,'📦 ชื่อสินค้า'!A:D,4,false),"")</f>
        <v/>
      </c>
      <c r="E177" s="16"/>
      <c r="F177" s="6"/>
      <c r="G177" s="8" t="str">
        <f t="shared" si="1"/>
        <v/>
      </c>
      <c r="H177" s="11" t="str">
        <f t="shared" si="2"/>
        <v/>
      </c>
      <c r="I177" s="13"/>
    </row>
    <row r="178">
      <c r="A178" s="5"/>
      <c r="B178" s="6"/>
      <c r="C178" s="14" t="str">
        <f>iferror(vlookup(B178,'📦 ชื่อสินค้า'!A:C,2,false),)</f>
        <v/>
      </c>
      <c r="D178" s="11" t="str">
        <f>iferror(vlookup(B178,'📦 ชื่อสินค้า'!A:D,4,false),"")</f>
        <v/>
      </c>
      <c r="E178" s="16"/>
      <c r="F178" s="6"/>
      <c r="G178" s="8" t="str">
        <f t="shared" si="1"/>
        <v/>
      </c>
      <c r="H178" s="11" t="str">
        <f t="shared" si="2"/>
        <v/>
      </c>
      <c r="I178" s="13"/>
    </row>
    <row r="179">
      <c r="A179" s="5"/>
      <c r="B179" s="6"/>
      <c r="C179" s="14" t="str">
        <f>iferror(vlookup(B179,'📦 ชื่อสินค้า'!A:C,2,false),)</f>
        <v/>
      </c>
      <c r="D179" s="11" t="str">
        <f>iferror(vlookup(B179,'📦 ชื่อสินค้า'!A:D,4,false),"")</f>
        <v/>
      </c>
      <c r="E179" s="16"/>
      <c r="F179" s="6"/>
      <c r="G179" s="8" t="str">
        <f t="shared" si="1"/>
        <v/>
      </c>
      <c r="H179" s="11" t="str">
        <f t="shared" si="2"/>
        <v/>
      </c>
      <c r="I179" s="13"/>
    </row>
    <row r="180">
      <c r="A180" s="5"/>
      <c r="B180" s="6"/>
      <c r="C180" s="14" t="str">
        <f>iferror(vlookup(B180,'📦 ชื่อสินค้า'!A:C,2,false),)</f>
        <v/>
      </c>
      <c r="D180" s="11" t="str">
        <f>iferror(vlookup(B180,'📦 ชื่อสินค้า'!A:D,4,false),"")</f>
        <v/>
      </c>
      <c r="E180" s="16"/>
      <c r="F180" s="6"/>
      <c r="G180" s="8" t="str">
        <f t="shared" si="1"/>
        <v/>
      </c>
      <c r="H180" s="11" t="str">
        <f t="shared" si="2"/>
        <v/>
      </c>
      <c r="I180" s="13"/>
    </row>
    <row r="181">
      <c r="A181" s="5"/>
      <c r="B181" s="6"/>
      <c r="C181" s="14" t="str">
        <f>iferror(vlookup(B181,'📦 ชื่อสินค้า'!A:C,2,false),)</f>
        <v/>
      </c>
      <c r="D181" s="11" t="str">
        <f>iferror(vlookup(B181,'📦 ชื่อสินค้า'!A:D,4,false),"")</f>
        <v/>
      </c>
      <c r="E181" s="16"/>
      <c r="F181" s="6"/>
      <c r="G181" s="8" t="str">
        <f t="shared" si="1"/>
        <v/>
      </c>
      <c r="H181" s="11" t="str">
        <f t="shared" si="2"/>
        <v/>
      </c>
      <c r="I181" s="13"/>
    </row>
    <row r="182">
      <c r="A182" s="5"/>
      <c r="B182" s="6"/>
      <c r="C182" s="14" t="str">
        <f>iferror(vlookup(B182,'📦 ชื่อสินค้า'!A:C,2,false),)</f>
        <v/>
      </c>
      <c r="D182" s="11" t="str">
        <f>iferror(vlookup(B182,'📦 ชื่อสินค้า'!A:D,4,false),"")</f>
        <v/>
      </c>
      <c r="E182" s="16"/>
      <c r="F182" s="6"/>
      <c r="G182" s="8" t="str">
        <f t="shared" si="1"/>
        <v/>
      </c>
      <c r="H182" s="11" t="str">
        <f t="shared" si="2"/>
        <v/>
      </c>
      <c r="I182" s="13"/>
    </row>
    <row r="183">
      <c r="A183" s="5"/>
      <c r="B183" s="6"/>
      <c r="C183" s="14" t="str">
        <f>iferror(vlookup(B183,'📦 ชื่อสินค้า'!A:C,2,false),)</f>
        <v/>
      </c>
      <c r="D183" s="11" t="str">
        <f>iferror(vlookup(B183,'📦 ชื่อสินค้า'!A:D,4,false),"")</f>
        <v/>
      </c>
      <c r="E183" s="16"/>
      <c r="F183" s="6"/>
      <c r="G183" s="8" t="str">
        <f t="shared" si="1"/>
        <v/>
      </c>
      <c r="H183" s="11" t="str">
        <f t="shared" si="2"/>
        <v/>
      </c>
      <c r="I183" s="13"/>
    </row>
    <row r="184">
      <c r="A184" s="5"/>
      <c r="B184" s="6"/>
      <c r="C184" s="14" t="str">
        <f>iferror(vlookup(B184,'📦 ชื่อสินค้า'!A:C,2,false),)</f>
        <v/>
      </c>
      <c r="D184" s="11" t="str">
        <f>iferror(vlookup(B184,'📦 ชื่อสินค้า'!A:D,4,false),"")</f>
        <v/>
      </c>
      <c r="E184" s="16"/>
      <c r="F184" s="6"/>
      <c r="G184" s="8" t="str">
        <f t="shared" si="1"/>
        <v/>
      </c>
      <c r="H184" s="11" t="str">
        <f t="shared" si="2"/>
        <v/>
      </c>
      <c r="I184" s="13"/>
    </row>
    <row r="185">
      <c r="A185" s="5"/>
      <c r="B185" s="6"/>
      <c r="C185" s="14" t="str">
        <f>iferror(vlookup(B185,'📦 ชื่อสินค้า'!A:C,2,false),)</f>
        <v/>
      </c>
      <c r="D185" s="11" t="str">
        <f>iferror(vlookup(B185,'📦 ชื่อสินค้า'!A:D,4,false),"")</f>
        <v/>
      </c>
      <c r="E185" s="16"/>
      <c r="F185" s="6"/>
      <c r="G185" s="8" t="str">
        <f t="shared" si="1"/>
        <v/>
      </c>
      <c r="H185" s="11" t="str">
        <f t="shared" si="2"/>
        <v/>
      </c>
      <c r="I185" s="13"/>
    </row>
    <row r="186">
      <c r="A186" s="5"/>
      <c r="B186" s="6"/>
      <c r="C186" s="14" t="str">
        <f>iferror(vlookup(B186,'📦 ชื่อสินค้า'!A:C,2,false),)</f>
        <v/>
      </c>
      <c r="D186" s="11" t="str">
        <f>iferror(vlookup(B186,'📦 ชื่อสินค้า'!A:D,4,false),"")</f>
        <v/>
      </c>
      <c r="E186" s="16"/>
      <c r="F186" s="6"/>
      <c r="G186" s="8" t="str">
        <f t="shared" si="1"/>
        <v/>
      </c>
      <c r="H186" s="11" t="str">
        <f t="shared" si="2"/>
        <v/>
      </c>
      <c r="I186" s="13"/>
    </row>
    <row r="187">
      <c r="A187" s="5"/>
      <c r="B187" s="6"/>
      <c r="C187" s="14" t="str">
        <f>iferror(vlookup(B187,'📦 ชื่อสินค้า'!A:C,2,false),)</f>
        <v/>
      </c>
      <c r="D187" s="11" t="str">
        <f>iferror(vlookup(B187,'📦 ชื่อสินค้า'!A:D,4,false),"")</f>
        <v/>
      </c>
      <c r="E187" s="16"/>
      <c r="F187" s="6"/>
      <c r="G187" s="8" t="str">
        <f t="shared" si="1"/>
        <v/>
      </c>
      <c r="H187" s="11" t="str">
        <f t="shared" si="2"/>
        <v/>
      </c>
      <c r="I187" s="13"/>
    </row>
    <row r="188">
      <c r="A188" s="5"/>
      <c r="B188" s="6"/>
      <c r="C188" s="14" t="str">
        <f>iferror(vlookup(B188,'📦 ชื่อสินค้า'!A:C,2,false),)</f>
        <v/>
      </c>
      <c r="D188" s="11" t="str">
        <f>iferror(vlookup(B188,'📦 ชื่อสินค้า'!A:D,4,false),"")</f>
        <v/>
      </c>
      <c r="E188" s="16"/>
      <c r="F188" s="6"/>
      <c r="G188" s="8" t="str">
        <f t="shared" si="1"/>
        <v/>
      </c>
      <c r="H188" s="11" t="str">
        <f t="shared" si="2"/>
        <v/>
      </c>
      <c r="I188" s="13"/>
    </row>
    <row r="189">
      <c r="A189" s="5"/>
      <c r="B189" s="6"/>
      <c r="C189" s="14" t="str">
        <f>iferror(vlookup(B189,'📦 ชื่อสินค้า'!A:C,2,false),)</f>
        <v/>
      </c>
      <c r="D189" s="11" t="str">
        <f>iferror(vlookup(B189,'📦 ชื่อสินค้า'!A:D,4,false),"")</f>
        <v/>
      </c>
      <c r="E189" s="16"/>
      <c r="F189" s="6"/>
      <c r="G189" s="8" t="str">
        <f t="shared" si="1"/>
        <v/>
      </c>
      <c r="H189" s="11" t="str">
        <f t="shared" si="2"/>
        <v/>
      </c>
      <c r="I189" s="13"/>
    </row>
    <row r="190">
      <c r="A190" s="5"/>
      <c r="B190" s="6"/>
      <c r="C190" s="14" t="str">
        <f>iferror(vlookup(B190,'📦 ชื่อสินค้า'!A:C,2,false),)</f>
        <v/>
      </c>
      <c r="D190" s="11" t="str">
        <f>iferror(vlookup(B190,'📦 ชื่อสินค้า'!A:D,4,false),"")</f>
        <v/>
      </c>
      <c r="E190" s="16"/>
      <c r="F190" s="6"/>
      <c r="G190" s="8" t="str">
        <f t="shared" si="1"/>
        <v/>
      </c>
      <c r="H190" s="11" t="str">
        <f t="shared" si="2"/>
        <v/>
      </c>
      <c r="I190" s="13"/>
    </row>
    <row r="191">
      <c r="A191" s="5"/>
      <c r="B191" s="6"/>
      <c r="C191" s="14" t="str">
        <f>iferror(vlookup(B191,'📦 ชื่อสินค้า'!A:C,2,false),)</f>
        <v/>
      </c>
      <c r="D191" s="11" t="str">
        <f>iferror(vlookup(B191,'📦 ชื่อสินค้า'!A:D,4,false),"")</f>
        <v/>
      </c>
      <c r="E191" s="16"/>
      <c r="F191" s="6"/>
      <c r="G191" s="8" t="str">
        <f t="shared" si="1"/>
        <v/>
      </c>
      <c r="H191" s="11" t="str">
        <f t="shared" si="2"/>
        <v/>
      </c>
      <c r="I191" s="13"/>
    </row>
    <row r="192">
      <c r="A192" s="5"/>
      <c r="B192" s="6"/>
      <c r="C192" s="14" t="str">
        <f>iferror(vlookup(B192,'📦 ชื่อสินค้า'!A:C,2,false),)</f>
        <v/>
      </c>
      <c r="D192" s="11" t="str">
        <f>iferror(vlookup(B192,'📦 ชื่อสินค้า'!A:D,4,false),"")</f>
        <v/>
      </c>
      <c r="E192" s="16"/>
      <c r="F192" s="6"/>
      <c r="G192" s="8" t="str">
        <f t="shared" si="1"/>
        <v/>
      </c>
      <c r="H192" s="11" t="str">
        <f t="shared" si="2"/>
        <v/>
      </c>
      <c r="I192" s="13"/>
    </row>
    <row r="193">
      <c r="A193" s="5"/>
      <c r="B193" s="6"/>
      <c r="C193" s="14" t="str">
        <f>iferror(vlookup(B193,'📦 ชื่อสินค้า'!A:C,2,false),)</f>
        <v/>
      </c>
      <c r="D193" s="11" t="str">
        <f>iferror(vlookup(B193,'📦 ชื่อสินค้า'!A:D,4,false),"")</f>
        <v/>
      </c>
      <c r="E193" s="16"/>
      <c r="F193" s="6"/>
      <c r="G193" s="8" t="str">
        <f t="shared" si="1"/>
        <v/>
      </c>
      <c r="H193" s="11" t="str">
        <f t="shared" si="2"/>
        <v/>
      </c>
      <c r="I193" s="13"/>
    </row>
    <row r="194">
      <c r="A194" s="5"/>
      <c r="B194" s="6"/>
      <c r="C194" s="14" t="str">
        <f>iferror(vlookup(B194,'📦 ชื่อสินค้า'!A:C,2,false),)</f>
        <v/>
      </c>
      <c r="D194" s="11" t="str">
        <f>iferror(vlookup(B194,'📦 ชื่อสินค้า'!A:D,4,false),"")</f>
        <v/>
      </c>
      <c r="E194" s="16"/>
      <c r="F194" s="6"/>
      <c r="G194" s="8" t="str">
        <f t="shared" si="1"/>
        <v/>
      </c>
      <c r="H194" s="11" t="str">
        <f t="shared" si="2"/>
        <v/>
      </c>
      <c r="I194" s="13"/>
    </row>
    <row r="195">
      <c r="A195" s="5"/>
      <c r="B195" s="6"/>
      <c r="C195" s="14" t="str">
        <f>iferror(vlookup(B195,'📦 ชื่อสินค้า'!A:C,2,false),)</f>
        <v/>
      </c>
      <c r="D195" s="11" t="str">
        <f>iferror(vlookup(B195,'📦 ชื่อสินค้า'!A:D,4,false),"")</f>
        <v/>
      </c>
      <c r="E195" s="16"/>
      <c r="F195" s="6"/>
      <c r="G195" s="8" t="str">
        <f t="shared" si="1"/>
        <v/>
      </c>
      <c r="H195" s="11" t="str">
        <f t="shared" si="2"/>
        <v/>
      </c>
      <c r="I195" s="13"/>
    </row>
    <row r="196">
      <c r="A196" s="5"/>
      <c r="B196" s="6"/>
      <c r="C196" s="14" t="str">
        <f>iferror(vlookup(B196,'📦 ชื่อสินค้า'!A:C,2,false),)</f>
        <v/>
      </c>
      <c r="D196" s="11" t="str">
        <f>iferror(vlookup(B196,'📦 ชื่อสินค้า'!A:D,4,false),"")</f>
        <v/>
      </c>
      <c r="E196" s="16"/>
      <c r="F196" s="6"/>
      <c r="G196" s="8" t="str">
        <f t="shared" si="1"/>
        <v/>
      </c>
      <c r="H196" s="11" t="str">
        <f t="shared" si="2"/>
        <v/>
      </c>
      <c r="I196" s="13"/>
    </row>
    <row r="197">
      <c r="A197" s="5"/>
      <c r="B197" s="6"/>
      <c r="C197" s="14" t="str">
        <f>iferror(vlookup(B197,'📦 ชื่อสินค้า'!A:C,2,false),)</f>
        <v/>
      </c>
      <c r="D197" s="11" t="str">
        <f>iferror(vlookup(B197,'📦 ชื่อสินค้า'!A:D,4,false),"")</f>
        <v/>
      </c>
      <c r="E197" s="16"/>
      <c r="F197" s="6"/>
      <c r="G197" s="8" t="str">
        <f t="shared" si="1"/>
        <v/>
      </c>
      <c r="H197" s="11" t="str">
        <f t="shared" si="2"/>
        <v/>
      </c>
      <c r="I197" s="13"/>
    </row>
    <row r="198">
      <c r="A198" s="5"/>
      <c r="B198" s="6"/>
      <c r="C198" s="14" t="str">
        <f>iferror(vlookup(B198,'📦 ชื่อสินค้า'!A:C,2,false),)</f>
        <v/>
      </c>
      <c r="D198" s="11" t="str">
        <f>iferror(vlookup(B198,'📦 ชื่อสินค้า'!A:D,4,false),"")</f>
        <v/>
      </c>
      <c r="E198" s="16"/>
      <c r="F198" s="6"/>
      <c r="G198" s="8" t="str">
        <f t="shared" si="1"/>
        <v/>
      </c>
      <c r="H198" s="11" t="str">
        <f t="shared" si="2"/>
        <v/>
      </c>
      <c r="I198" s="13"/>
    </row>
    <row r="199">
      <c r="A199" s="5"/>
      <c r="B199" s="6"/>
      <c r="C199" s="14" t="str">
        <f>iferror(vlookup(B199,'📦 ชื่อสินค้า'!A:C,2,false),)</f>
        <v/>
      </c>
      <c r="D199" s="11" t="str">
        <f>iferror(vlookup(B199,'📦 ชื่อสินค้า'!A:D,4,false),"")</f>
        <v/>
      </c>
      <c r="E199" s="16"/>
      <c r="F199" s="6"/>
      <c r="G199" s="8" t="str">
        <f t="shared" si="1"/>
        <v/>
      </c>
      <c r="H199" s="11" t="str">
        <f t="shared" si="2"/>
        <v/>
      </c>
      <c r="I199" s="13"/>
    </row>
    <row r="200">
      <c r="A200" s="5"/>
      <c r="B200" s="6"/>
      <c r="C200" s="14" t="str">
        <f>iferror(vlookup(B200,'📦 ชื่อสินค้า'!A:C,2,false),)</f>
        <v/>
      </c>
      <c r="D200" s="11" t="str">
        <f>iferror(vlookup(B200,'📦 ชื่อสินค้า'!A:D,4,false),"")</f>
        <v/>
      </c>
      <c r="E200" s="16"/>
      <c r="F200" s="6"/>
      <c r="G200" s="8" t="str">
        <f t="shared" si="1"/>
        <v/>
      </c>
      <c r="H200" s="11" t="str">
        <f t="shared" si="2"/>
        <v/>
      </c>
      <c r="I200" s="13"/>
    </row>
    <row r="201">
      <c r="A201" s="5"/>
      <c r="B201" s="6"/>
      <c r="C201" s="14" t="str">
        <f>iferror(vlookup(B201,'📦 ชื่อสินค้า'!A:C,2,false),)</f>
        <v/>
      </c>
      <c r="D201" s="11" t="str">
        <f>iferror(vlookup(B201,'📦 ชื่อสินค้า'!A:D,4,false),"")</f>
        <v/>
      </c>
      <c r="E201" s="16"/>
      <c r="F201" s="6"/>
      <c r="G201" s="8" t="str">
        <f t="shared" si="1"/>
        <v/>
      </c>
      <c r="H201" s="11" t="str">
        <f t="shared" si="2"/>
        <v/>
      </c>
      <c r="I201" s="13"/>
    </row>
    <row r="202">
      <c r="A202" s="5"/>
      <c r="B202" s="6"/>
      <c r="C202" s="14" t="str">
        <f>iferror(vlookup(B202,'📦 ชื่อสินค้า'!A:C,2,false),)</f>
        <v/>
      </c>
      <c r="D202" s="11" t="str">
        <f>iferror(vlookup(B202,'📦 ชื่อสินค้า'!A:D,4,false),"")</f>
        <v/>
      </c>
      <c r="E202" s="16"/>
      <c r="F202" s="6"/>
      <c r="G202" s="8" t="str">
        <f t="shared" si="1"/>
        <v/>
      </c>
      <c r="H202" s="11" t="str">
        <f t="shared" si="2"/>
        <v/>
      </c>
      <c r="I202" s="13"/>
    </row>
    <row r="203">
      <c r="A203" s="5"/>
      <c r="B203" s="6"/>
      <c r="C203" s="14" t="str">
        <f>iferror(vlookup(B203,'📦 ชื่อสินค้า'!A:C,2,false),)</f>
        <v/>
      </c>
      <c r="D203" s="11" t="str">
        <f>iferror(vlookup(B203,'📦 ชื่อสินค้า'!A:D,4,false),"")</f>
        <v/>
      </c>
      <c r="E203" s="16"/>
      <c r="F203" s="6"/>
      <c r="G203" s="8" t="str">
        <f t="shared" si="1"/>
        <v/>
      </c>
      <c r="H203" s="11" t="str">
        <f t="shared" si="2"/>
        <v/>
      </c>
      <c r="I203" s="13"/>
    </row>
    <row r="204">
      <c r="A204" s="5"/>
      <c r="B204" s="6"/>
      <c r="C204" s="14" t="str">
        <f>iferror(vlookup(B204,'📦 ชื่อสินค้า'!A:C,2,false),)</f>
        <v/>
      </c>
      <c r="D204" s="11" t="str">
        <f>iferror(vlookup(B204,'📦 ชื่อสินค้า'!A:D,4,false),"")</f>
        <v/>
      </c>
      <c r="E204" s="16"/>
      <c r="F204" s="6"/>
      <c r="G204" s="8" t="str">
        <f t="shared" si="1"/>
        <v/>
      </c>
      <c r="H204" s="11" t="str">
        <f t="shared" si="2"/>
        <v/>
      </c>
      <c r="I204" s="13"/>
    </row>
    <row r="205">
      <c r="A205" s="5"/>
      <c r="B205" s="6"/>
      <c r="C205" s="14" t="str">
        <f>iferror(vlookup(B205,'📦 ชื่อสินค้า'!A:C,2,false),)</f>
        <v/>
      </c>
      <c r="D205" s="11" t="str">
        <f>iferror(vlookup(B205,'📦 ชื่อสินค้า'!A:D,4,false),"")</f>
        <v/>
      </c>
      <c r="E205" s="16"/>
      <c r="F205" s="6"/>
      <c r="G205" s="8" t="str">
        <f t="shared" si="1"/>
        <v/>
      </c>
      <c r="H205" s="11" t="str">
        <f t="shared" si="2"/>
        <v/>
      </c>
      <c r="I205" s="13"/>
    </row>
    <row r="206">
      <c r="A206" s="5"/>
      <c r="B206" s="6"/>
      <c r="C206" s="14" t="str">
        <f>iferror(vlookup(B206,'📦 ชื่อสินค้า'!A:C,2,false),)</f>
        <v/>
      </c>
      <c r="D206" s="11" t="str">
        <f>iferror(vlookup(B206,'📦 ชื่อสินค้า'!A:D,4,false),"")</f>
        <v/>
      </c>
      <c r="E206" s="16"/>
      <c r="F206" s="6"/>
      <c r="G206" s="8" t="str">
        <f t="shared" si="1"/>
        <v/>
      </c>
      <c r="H206" s="11" t="str">
        <f t="shared" si="2"/>
        <v/>
      </c>
      <c r="I206" s="13"/>
    </row>
    <row r="207">
      <c r="A207" s="5"/>
      <c r="B207" s="6"/>
      <c r="C207" s="14" t="str">
        <f>iferror(vlookup(B207,'📦 ชื่อสินค้า'!A:C,2,false),)</f>
        <v/>
      </c>
      <c r="D207" s="11" t="str">
        <f>iferror(vlookup(B207,'📦 ชื่อสินค้า'!A:D,4,false),"")</f>
        <v/>
      </c>
      <c r="E207" s="16"/>
      <c r="F207" s="6"/>
      <c r="G207" s="8" t="str">
        <f t="shared" si="1"/>
        <v/>
      </c>
      <c r="H207" s="11" t="str">
        <f t="shared" si="2"/>
        <v/>
      </c>
      <c r="I207" s="13"/>
    </row>
    <row r="208">
      <c r="A208" s="5"/>
      <c r="B208" s="6"/>
      <c r="C208" s="14" t="str">
        <f>iferror(vlookup(B208,'📦 ชื่อสินค้า'!A:C,2,false),)</f>
        <v/>
      </c>
      <c r="D208" s="11" t="str">
        <f>iferror(vlookup(B208,'📦 ชื่อสินค้า'!A:D,4,false),"")</f>
        <v/>
      </c>
      <c r="E208" s="16"/>
      <c r="F208" s="6"/>
      <c r="G208" s="8" t="str">
        <f t="shared" si="1"/>
        <v/>
      </c>
      <c r="H208" s="11" t="str">
        <f t="shared" si="2"/>
        <v/>
      </c>
      <c r="I208" s="13"/>
    </row>
    <row r="209">
      <c r="A209" s="5"/>
      <c r="B209" s="6"/>
      <c r="C209" s="14" t="str">
        <f>iferror(vlookup(B209,'📦 ชื่อสินค้า'!A:C,2,false),)</f>
        <v/>
      </c>
      <c r="D209" s="11" t="str">
        <f>iferror(vlookup(B209,'📦 ชื่อสินค้า'!A:D,4,false),"")</f>
        <v/>
      </c>
      <c r="E209" s="16"/>
      <c r="F209" s="6"/>
      <c r="G209" s="8" t="str">
        <f t="shared" si="1"/>
        <v/>
      </c>
      <c r="H209" s="11" t="str">
        <f t="shared" si="2"/>
        <v/>
      </c>
      <c r="I209" s="13"/>
    </row>
    <row r="210">
      <c r="A210" s="5"/>
      <c r="B210" s="6"/>
      <c r="C210" s="14" t="str">
        <f>iferror(vlookup(B210,'📦 ชื่อสินค้า'!A:C,2,false),)</f>
        <v/>
      </c>
      <c r="D210" s="11" t="str">
        <f>iferror(vlookup(B210,'📦 ชื่อสินค้า'!A:D,4,false),"")</f>
        <v/>
      </c>
      <c r="E210" s="16"/>
      <c r="F210" s="6"/>
      <c r="G210" s="8" t="str">
        <f t="shared" si="1"/>
        <v/>
      </c>
      <c r="H210" s="11" t="str">
        <f t="shared" si="2"/>
        <v/>
      </c>
      <c r="I210" s="13"/>
    </row>
    <row r="211">
      <c r="A211" s="5"/>
      <c r="B211" s="6"/>
      <c r="C211" s="14" t="str">
        <f>iferror(vlookup(B211,'📦 ชื่อสินค้า'!A:C,2,false),)</f>
        <v/>
      </c>
      <c r="D211" s="11" t="str">
        <f>iferror(vlookup(B211,'📦 ชื่อสินค้า'!A:D,4,false),"")</f>
        <v/>
      </c>
      <c r="E211" s="16"/>
      <c r="F211" s="6"/>
      <c r="G211" s="8" t="str">
        <f t="shared" si="1"/>
        <v/>
      </c>
      <c r="H211" s="11" t="str">
        <f t="shared" si="2"/>
        <v/>
      </c>
      <c r="I211" s="13"/>
    </row>
    <row r="212">
      <c r="A212" s="5"/>
      <c r="B212" s="6"/>
      <c r="C212" s="14" t="str">
        <f>iferror(vlookup(B212,'📦 ชื่อสินค้า'!A:C,2,false),)</f>
        <v/>
      </c>
      <c r="D212" s="11" t="str">
        <f>iferror(vlookup(B212,'📦 ชื่อสินค้า'!A:D,4,false),"")</f>
        <v/>
      </c>
      <c r="E212" s="16"/>
      <c r="F212" s="6"/>
      <c r="G212" s="8" t="str">
        <f t="shared" si="1"/>
        <v/>
      </c>
      <c r="H212" s="11" t="str">
        <f t="shared" si="2"/>
        <v/>
      </c>
      <c r="I212" s="13"/>
    </row>
    <row r="213">
      <c r="A213" s="5"/>
      <c r="B213" s="6"/>
      <c r="C213" s="14" t="str">
        <f>iferror(vlookup(B213,'📦 ชื่อสินค้า'!A:C,2,false),)</f>
        <v/>
      </c>
      <c r="D213" s="11" t="str">
        <f>iferror(vlookup(B213,'📦 ชื่อสินค้า'!A:D,4,false),"")</f>
        <v/>
      </c>
      <c r="E213" s="16"/>
      <c r="F213" s="6"/>
      <c r="G213" s="8" t="str">
        <f t="shared" si="1"/>
        <v/>
      </c>
      <c r="H213" s="11" t="str">
        <f t="shared" si="2"/>
        <v/>
      </c>
      <c r="I213" s="13"/>
    </row>
    <row r="214">
      <c r="A214" s="5"/>
      <c r="B214" s="6"/>
      <c r="C214" s="14" t="str">
        <f>iferror(vlookup(B214,'📦 ชื่อสินค้า'!A:C,2,false),)</f>
        <v/>
      </c>
      <c r="D214" s="11" t="str">
        <f>iferror(vlookup(B214,'📦 ชื่อสินค้า'!A:D,4,false),"")</f>
        <v/>
      </c>
      <c r="E214" s="16"/>
      <c r="F214" s="6"/>
      <c r="G214" s="8" t="str">
        <f t="shared" si="1"/>
        <v/>
      </c>
      <c r="H214" s="11" t="str">
        <f t="shared" si="2"/>
        <v/>
      </c>
      <c r="I214" s="13"/>
    </row>
    <row r="215">
      <c r="A215" s="5"/>
      <c r="B215" s="6"/>
      <c r="C215" s="14" t="str">
        <f>iferror(vlookup(B215,'📦 ชื่อสินค้า'!A:C,2,false),)</f>
        <v/>
      </c>
      <c r="D215" s="11" t="str">
        <f>iferror(vlookup(B215,'📦 ชื่อสินค้า'!A:D,4,false),"")</f>
        <v/>
      </c>
      <c r="E215" s="16"/>
      <c r="F215" s="6"/>
      <c r="G215" s="8" t="str">
        <f t="shared" si="1"/>
        <v/>
      </c>
      <c r="H215" s="11" t="str">
        <f t="shared" si="2"/>
        <v/>
      </c>
      <c r="I215" s="13"/>
    </row>
    <row r="216">
      <c r="A216" s="5"/>
      <c r="B216" s="6"/>
      <c r="C216" s="14" t="str">
        <f>iferror(vlookup(B216,'📦 ชื่อสินค้า'!A:C,2,false),)</f>
        <v/>
      </c>
      <c r="D216" s="11" t="str">
        <f>iferror(vlookup(B216,'📦 ชื่อสินค้า'!A:D,4,false),"")</f>
        <v/>
      </c>
      <c r="E216" s="16"/>
      <c r="F216" s="6"/>
      <c r="G216" s="8" t="str">
        <f t="shared" si="1"/>
        <v/>
      </c>
      <c r="H216" s="11" t="str">
        <f t="shared" si="2"/>
        <v/>
      </c>
      <c r="I216" s="13"/>
    </row>
    <row r="217">
      <c r="A217" s="5"/>
      <c r="B217" s="6"/>
      <c r="C217" s="14" t="str">
        <f>iferror(vlookup(B217,'📦 ชื่อสินค้า'!A:C,2,false),)</f>
        <v/>
      </c>
      <c r="D217" s="11" t="str">
        <f>iferror(vlookup(B217,'📦 ชื่อสินค้า'!A:D,4,false),"")</f>
        <v/>
      </c>
      <c r="E217" s="16"/>
      <c r="F217" s="6"/>
      <c r="G217" s="8" t="str">
        <f t="shared" si="1"/>
        <v/>
      </c>
      <c r="H217" s="11" t="str">
        <f t="shared" si="2"/>
        <v/>
      </c>
      <c r="I217" s="13"/>
    </row>
    <row r="218">
      <c r="A218" s="5"/>
      <c r="B218" s="6"/>
      <c r="C218" s="14" t="str">
        <f>iferror(vlookup(B218,'📦 ชื่อสินค้า'!A:C,2,false),)</f>
        <v/>
      </c>
      <c r="D218" s="11" t="str">
        <f>iferror(vlookup(B218,'📦 ชื่อสินค้า'!A:D,4,false),"")</f>
        <v/>
      </c>
      <c r="E218" s="16"/>
      <c r="F218" s="6"/>
      <c r="G218" s="8" t="str">
        <f t="shared" si="1"/>
        <v/>
      </c>
      <c r="H218" s="11" t="str">
        <f t="shared" si="2"/>
        <v/>
      </c>
      <c r="I218" s="13"/>
    </row>
    <row r="219">
      <c r="A219" s="5"/>
      <c r="B219" s="6"/>
      <c r="C219" s="14" t="str">
        <f>iferror(vlookup(B219,'📦 ชื่อสินค้า'!A:C,2,false),)</f>
        <v/>
      </c>
      <c r="D219" s="11" t="str">
        <f>iferror(vlookup(B219,'📦 ชื่อสินค้า'!A:D,4,false),"")</f>
        <v/>
      </c>
      <c r="E219" s="16"/>
      <c r="F219" s="6"/>
      <c r="G219" s="8" t="str">
        <f t="shared" si="1"/>
        <v/>
      </c>
      <c r="H219" s="11" t="str">
        <f t="shared" si="2"/>
        <v/>
      </c>
      <c r="I219" s="13"/>
    </row>
    <row r="220">
      <c r="A220" s="5"/>
      <c r="B220" s="6"/>
      <c r="C220" s="14" t="str">
        <f>iferror(vlookup(B220,'📦 ชื่อสินค้า'!A:C,2,false),)</f>
        <v/>
      </c>
      <c r="D220" s="11" t="str">
        <f>iferror(vlookup(B220,'📦 ชื่อสินค้า'!A:D,4,false),"")</f>
        <v/>
      </c>
      <c r="E220" s="16"/>
      <c r="F220" s="6"/>
      <c r="G220" s="8" t="str">
        <f t="shared" si="1"/>
        <v/>
      </c>
      <c r="H220" s="11" t="str">
        <f t="shared" si="2"/>
        <v/>
      </c>
      <c r="I220" s="13"/>
    </row>
    <row r="221">
      <c r="A221" s="5"/>
      <c r="B221" s="6"/>
      <c r="C221" s="14" t="str">
        <f>iferror(vlookup(B221,'📦 ชื่อสินค้า'!A:C,2,false),)</f>
        <v/>
      </c>
      <c r="D221" s="11" t="str">
        <f>iferror(vlookup(B221,'📦 ชื่อสินค้า'!A:D,4,false),"")</f>
        <v/>
      </c>
      <c r="E221" s="16"/>
      <c r="F221" s="6"/>
      <c r="G221" s="8" t="str">
        <f t="shared" si="1"/>
        <v/>
      </c>
      <c r="H221" s="11" t="str">
        <f t="shared" si="2"/>
        <v/>
      </c>
      <c r="I221" s="13"/>
    </row>
    <row r="222">
      <c r="A222" s="5"/>
      <c r="B222" s="6"/>
      <c r="C222" s="14" t="str">
        <f>iferror(vlookup(B222,'📦 ชื่อสินค้า'!A:C,2,false),)</f>
        <v/>
      </c>
      <c r="D222" s="11" t="str">
        <f>iferror(vlookup(B222,'📦 ชื่อสินค้า'!A:D,4,false),"")</f>
        <v/>
      </c>
      <c r="E222" s="16"/>
      <c r="F222" s="6"/>
      <c r="G222" s="8" t="str">
        <f t="shared" si="1"/>
        <v/>
      </c>
      <c r="H222" s="11" t="str">
        <f t="shared" si="2"/>
        <v/>
      </c>
      <c r="I222" s="13"/>
    </row>
    <row r="223">
      <c r="A223" s="5"/>
      <c r="B223" s="6"/>
      <c r="C223" s="14" t="str">
        <f>iferror(vlookup(B223,'📦 ชื่อสินค้า'!A:C,2,false),)</f>
        <v/>
      </c>
      <c r="D223" s="11" t="str">
        <f>iferror(vlookup(B223,'📦 ชื่อสินค้า'!A:D,4,false),"")</f>
        <v/>
      </c>
      <c r="E223" s="16"/>
      <c r="F223" s="6"/>
      <c r="G223" s="8" t="str">
        <f t="shared" si="1"/>
        <v/>
      </c>
      <c r="H223" s="11" t="str">
        <f t="shared" si="2"/>
        <v/>
      </c>
      <c r="I223" s="13"/>
    </row>
    <row r="224">
      <c r="A224" s="5"/>
      <c r="B224" s="6"/>
      <c r="C224" s="14" t="str">
        <f>iferror(vlookup(B224,'📦 ชื่อสินค้า'!A:C,2,false),)</f>
        <v/>
      </c>
      <c r="D224" s="11" t="str">
        <f>iferror(vlookup(B224,'📦 ชื่อสินค้า'!A:D,4,false),"")</f>
        <v/>
      </c>
      <c r="E224" s="16"/>
      <c r="F224" s="6"/>
      <c r="G224" s="8" t="str">
        <f t="shared" si="1"/>
        <v/>
      </c>
      <c r="H224" s="11" t="str">
        <f t="shared" si="2"/>
        <v/>
      </c>
      <c r="I224" s="13"/>
    </row>
    <row r="225">
      <c r="A225" s="5"/>
      <c r="B225" s="6"/>
      <c r="C225" s="14" t="str">
        <f>iferror(vlookup(B225,'📦 ชื่อสินค้า'!A:C,2,false),)</f>
        <v/>
      </c>
      <c r="D225" s="11" t="str">
        <f>iferror(vlookup(B225,'📦 ชื่อสินค้า'!A:D,4,false),"")</f>
        <v/>
      </c>
      <c r="E225" s="16"/>
      <c r="F225" s="6"/>
      <c r="G225" s="8" t="str">
        <f t="shared" si="1"/>
        <v/>
      </c>
      <c r="H225" s="11" t="str">
        <f t="shared" si="2"/>
        <v/>
      </c>
      <c r="I225" s="13"/>
    </row>
    <row r="226">
      <c r="A226" s="5"/>
      <c r="B226" s="6"/>
      <c r="C226" s="14" t="str">
        <f>iferror(vlookup(B226,'📦 ชื่อสินค้า'!A:C,2,false),)</f>
        <v/>
      </c>
      <c r="D226" s="11" t="str">
        <f>iferror(vlookup(B226,'📦 ชื่อสินค้า'!A:D,4,false),"")</f>
        <v/>
      </c>
      <c r="E226" s="16"/>
      <c r="F226" s="6"/>
      <c r="G226" s="8" t="str">
        <f t="shared" si="1"/>
        <v/>
      </c>
      <c r="H226" s="11" t="str">
        <f t="shared" si="2"/>
        <v/>
      </c>
      <c r="I226" s="13"/>
    </row>
    <row r="227">
      <c r="A227" s="5"/>
      <c r="B227" s="6"/>
      <c r="C227" s="14" t="str">
        <f>iferror(vlookup(B227,'📦 ชื่อสินค้า'!A:C,2,false),)</f>
        <v/>
      </c>
      <c r="D227" s="11" t="str">
        <f>iferror(vlookup(B227,'📦 ชื่อสินค้า'!A:D,4,false),"")</f>
        <v/>
      </c>
      <c r="E227" s="16"/>
      <c r="F227" s="6"/>
      <c r="G227" s="8" t="str">
        <f t="shared" si="1"/>
        <v/>
      </c>
      <c r="H227" s="11" t="str">
        <f t="shared" si="2"/>
        <v/>
      </c>
      <c r="I227" s="13"/>
    </row>
    <row r="228">
      <c r="A228" s="5"/>
      <c r="B228" s="6"/>
      <c r="C228" s="14" t="str">
        <f>iferror(vlookup(B228,'📦 ชื่อสินค้า'!A:C,2,false),)</f>
        <v/>
      </c>
      <c r="D228" s="11" t="str">
        <f>iferror(vlookup(B228,'📦 ชื่อสินค้า'!A:D,4,false),"")</f>
        <v/>
      </c>
      <c r="E228" s="16"/>
      <c r="F228" s="6"/>
      <c r="G228" s="8" t="str">
        <f t="shared" si="1"/>
        <v/>
      </c>
      <c r="H228" s="11" t="str">
        <f t="shared" si="2"/>
        <v/>
      </c>
      <c r="I228" s="13"/>
    </row>
    <row r="229">
      <c r="A229" s="5"/>
      <c r="B229" s="6"/>
      <c r="C229" s="14" t="str">
        <f>iferror(vlookup(B229,'📦 ชื่อสินค้า'!A:C,2,false),)</f>
        <v/>
      </c>
      <c r="D229" s="11" t="str">
        <f>iferror(vlookup(B229,'📦 ชื่อสินค้า'!A:D,4,false),"")</f>
        <v/>
      </c>
      <c r="E229" s="16"/>
      <c r="F229" s="6"/>
      <c r="G229" s="8" t="str">
        <f t="shared" si="1"/>
        <v/>
      </c>
      <c r="H229" s="11" t="str">
        <f t="shared" si="2"/>
        <v/>
      </c>
      <c r="I229" s="13"/>
    </row>
    <row r="230">
      <c r="A230" s="5"/>
      <c r="B230" s="6"/>
      <c r="C230" s="14" t="str">
        <f>iferror(vlookup(B230,'📦 ชื่อสินค้า'!A:C,2,false),)</f>
        <v/>
      </c>
      <c r="D230" s="11" t="str">
        <f>iferror(vlookup(B230,'📦 ชื่อสินค้า'!A:D,4,false),"")</f>
        <v/>
      </c>
      <c r="E230" s="16"/>
      <c r="F230" s="6"/>
      <c r="G230" s="8" t="str">
        <f t="shared" si="1"/>
        <v/>
      </c>
      <c r="H230" s="11" t="str">
        <f t="shared" si="2"/>
        <v/>
      </c>
      <c r="I230" s="13"/>
    </row>
    <row r="231">
      <c r="A231" s="5"/>
      <c r="B231" s="6"/>
      <c r="C231" s="14" t="str">
        <f>iferror(vlookup(B231,'📦 ชื่อสินค้า'!A:C,2,false),)</f>
        <v/>
      </c>
      <c r="D231" s="11" t="str">
        <f>iferror(vlookup(B231,'📦 ชื่อสินค้า'!A:D,4,false),"")</f>
        <v/>
      </c>
      <c r="E231" s="16"/>
      <c r="F231" s="6"/>
      <c r="G231" s="8" t="str">
        <f t="shared" si="1"/>
        <v/>
      </c>
      <c r="H231" s="11" t="str">
        <f t="shared" si="2"/>
        <v/>
      </c>
      <c r="I231" s="13"/>
    </row>
    <row r="232">
      <c r="A232" s="5"/>
      <c r="B232" s="6"/>
      <c r="C232" s="14" t="str">
        <f>iferror(vlookup(B232,'📦 ชื่อสินค้า'!A:C,2,false),)</f>
        <v/>
      </c>
      <c r="D232" s="11" t="str">
        <f>iferror(vlookup(B232,'📦 ชื่อสินค้า'!A:D,4,false),"")</f>
        <v/>
      </c>
      <c r="E232" s="16"/>
      <c r="F232" s="6"/>
      <c r="G232" s="8" t="str">
        <f t="shared" si="1"/>
        <v/>
      </c>
      <c r="H232" s="11" t="str">
        <f t="shared" si="2"/>
        <v/>
      </c>
      <c r="I232" s="13"/>
    </row>
    <row r="233">
      <c r="A233" s="5"/>
      <c r="B233" s="6"/>
      <c r="C233" s="14" t="str">
        <f>iferror(vlookup(B233,'📦 ชื่อสินค้า'!A:C,2,false),)</f>
        <v/>
      </c>
      <c r="D233" s="11" t="str">
        <f>iferror(vlookup(B233,'📦 ชื่อสินค้า'!A:D,4,false),"")</f>
        <v/>
      </c>
      <c r="E233" s="16"/>
      <c r="F233" s="6"/>
      <c r="G233" s="8" t="str">
        <f t="shared" si="1"/>
        <v/>
      </c>
      <c r="H233" s="11" t="str">
        <f t="shared" si="2"/>
        <v/>
      </c>
      <c r="I233" s="13"/>
    </row>
    <row r="234">
      <c r="A234" s="5"/>
      <c r="B234" s="6"/>
      <c r="C234" s="14" t="str">
        <f>iferror(vlookup(B234,'📦 ชื่อสินค้า'!A:C,2,false),)</f>
        <v/>
      </c>
      <c r="D234" s="11" t="str">
        <f>iferror(vlookup(B234,'📦 ชื่อสินค้า'!A:D,4,false),"")</f>
        <v/>
      </c>
      <c r="E234" s="16"/>
      <c r="F234" s="6"/>
      <c r="G234" s="8" t="str">
        <f t="shared" si="1"/>
        <v/>
      </c>
      <c r="H234" s="11" t="str">
        <f t="shared" si="2"/>
        <v/>
      </c>
      <c r="I234" s="13"/>
    </row>
    <row r="235">
      <c r="A235" s="5"/>
      <c r="B235" s="6"/>
      <c r="C235" s="14" t="str">
        <f>iferror(vlookup(B235,'📦 ชื่อสินค้า'!A:C,2,false),)</f>
        <v/>
      </c>
      <c r="D235" s="11" t="str">
        <f>iferror(vlookup(B235,'📦 ชื่อสินค้า'!A:D,4,false),"")</f>
        <v/>
      </c>
      <c r="E235" s="16"/>
      <c r="F235" s="6"/>
      <c r="G235" s="8" t="str">
        <f t="shared" si="1"/>
        <v/>
      </c>
      <c r="H235" s="11" t="str">
        <f t="shared" si="2"/>
        <v/>
      </c>
      <c r="I235" s="13"/>
    </row>
    <row r="236">
      <c r="A236" s="5"/>
      <c r="B236" s="6"/>
      <c r="C236" s="14" t="str">
        <f>iferror(vlookup(B236,'📦 ชื่อสินค้า'!A:C,2,false),)</f>
        <v/>
      </c>
      <c r="D236" s="11" t="str">
        <f>iferror(vlookup(B236,'📦 ชื่อสินค้า'!A:D,4,false),"")</f>
        <v/>
      </c>
      <c r="E236" s="16"/>
      <c r="F236" s="6"/>
      <c r="G236" s="8" t="str">
        <f t="shared" si="1"/>
        <v/>
      </c>
      <c r="H236" s="11" t="str">
        <f t="shared" si="2"/>
        <v/>
      </c>
      <c r="I236" s="13"/>
    </row>
    <row r="237">
      <c r="A237" s="5"/>
      <c r="B237" s="6"/>
      <c r="C237" s="14" t="str">
        <f>iferror(vlookup(B237,'📦 ชื่อสินค้า'!A:C,2,false),)</f>
        <v/>
      </c>
      <c r="D237" s="11" t="str">
        <f>iferror(vlookup(B237,'📦 ชื่อสินค้า'!A:D,4,false),"")</f>
        <v/>
      </c>
      <c r="E237" s="16"/>
      <c r="F237" s="6"/>
      <c r="G237" s="8" t="str">
        <f t="shared" si="1"/>
        <v/>
      </c>
      <c r="H237" s="11" t="str">
        <f t="shared" si="2"/>
        <v/>
      </c>
      <c r="I237" s="13"/>
    </row>
    <row r="238">
      <c r="A238" s="5"/>
      <c r="B238" s="6"/>
      <c r="C238" s="14" t="str">
        <f>iferror(vlookup(B238,'📦 ชื่อสินค้า'!A:C,2,false),)</f>
        <v/>
      </c>
      <c r="D238" s="11" t="str">
        <f>iferror(vlookup(B238,'📦 ชื่อสินค้า'!A:D,4,false),"")</f>
        <v/>
      </c>
      <c r="E238" s="16"/>
      <c r="F238" s="6"/>
      <c r="G238" s="8" t="str">
        <f t="shared" si="1"/>
        <v/>
      </c>
      <c r="H238" s="11" t="str">
        <f t="shared" si="2"/>
        <v/>
      </c>
      <c r="I238" s="13"/>
    </row>
    <row r="239">
      <c r="A239" s="5"/>
      <c r="B239" s="6"/>
      <c r="C239" s="14" t="str">
        <f>iferror(vlookup(B239,'📦 ชื่อสินค้า'!A:C,2,false),)</f>
        <v/>
      </c>
      <c r="D239" s="11" t="str">
        <f>iferror(vlookup(B239,'📦 ชื่อสินค้า'!A:D,4,false),"")</f>
        <v/>
      </c>
      <c r="E239" s="16"/>
      <c r="F239" s="6"/>
      <c r="G239" s="8" t="str">
        <f t="shared" si="1"/>
        <v/>
      </c>
      <c r="H239" s="11" t="str">
        <f t="shared" si="2"/>
        <v/>
      </c>
      <c r="I239" s="13"/>
    </row>
    <row r="240">
      <c r="A240" s="5"/>
      <c r="B240" s="6"/>
      <c r="C240" s="14" t="str">
        <f>iferror(vlookup(B240,'📦 ชื่อสินค้า'!A:C,2,false),)</f>
        <v/>
      </c>
      <c r="D240" s="11" t="str">
        <f>iferror(vlookup(B240,'📦 ชื่อสินค้า'!A:D,4,false),"")</f>
        <v/>
      </c>
      <c r="E240" s="16"/>
      <c r="F240" s="6"/>
      <c r="G240" s="8" t="str">
        <f t="shared" si="1"/>
        <v/>
      </c>
      <c r="H240" s="11" t="str">
        <f t="shared" si="2"/>
        <v/>
      </c>
      <c r="I240" s="13"/>
    </row>
    <row r="241">
      <c r="A241" s="5"/>
      <c r="B241" s="6"/>
      <c r="C241" s="14" t="str">
        <f>iferror(vlookup(B241,'📦 ชื่อสินค้า'!A:C,2,false),)</f>
        <v/>
      </c>
      <c r="D241" s="11" t="str">
        <f>iferror(vlookup(B241,'📦 ชื่อสินค้า'!A:D,4,false),"")</f>
        <v/>
      </c>
      <c r="E241" s="16"/>
      <c r="F241" s="6"/>
      <c r="G241" s="8" t="str">
        <f t="shared" si="1"/>
        <v/>
      </c>
      <c r="H241" s="11" t="str">
        <f t="shared" si="2"/>
        <v/>
      </c>
      <c r="I241" s="13"/>
    </row>
    <row r="242">
      <c r="A242" s="5"/>
      <c r="B242" s="6"/>
      <c r="C242" s="14" t="str">
        <f>iferror(vlookup(B242,'📦 ชื่อสินค้า'!A:C,2,false),)</f>
        <v/>
      </c>
      <c r="D242" s="11" t="str">
        <f>iferror(vlookup(B242,'📦 ชื่อสินค้า'!A:D,4,false),"")</f>
        <v/>
      </c>
      <c r="E242" s="16"/>
      <c r="F242" s="6"/>
      <c r="G242" s="8" t="str">
        <f t="shared" si="1"/>
        <v/>
      </c>
      <c r="H242" s="11" t="str">
        <f t="shared" si="2"/>
        <v/>
      </c>
      <c r="I242" s="13"/>
    </row>
    <row r="243">
      <c r="A243" s="5"/>
      <c r="B243" s="6"/>
      <c r="C243" s="14" t="str">
        <f>iferror(vlookup(B243,'📦 ชื่อสินค้า'!A:C,2,false),)</f>
        <v/>
      </c>
      <c r="D243" s="11" t="str">
        <f>iferror(vlookup(B243,'📦 ชื่อสินค้า'!A:D,4,false),"")</f>
        <v/>
      </c>
      <c r="E243" s="16"/>
      <c r="F243" s="6"/>
      <c r="G243" s="8" t="str">
        <f t="shared" si="1"/>
        <v/>
      </c>
      <c r="H243" s="11" t="str">
        <f t="shared" si="2"/>
        <v/>
      </c>
      <c r="I243" s="13"/>
    </row>
    <row r="244">
      <c r="A244" s="5"/>
      <c r="B244" s="6"/>
      <c r="C244" s="14" t="str">
        <f>iferror(vlookup(B244,'📦 ชื่อสินค้า'!A:C,2,false),)</f>
        <v/>
      </c>
      <c r="D244" s="11" t="str">
        <f>iferror(vlookup(B244,'📦 ชื่อสินค้า'!A:D,4,false),"")</f>
        <v/>
      </c>
      <c r="E244" s="16"/>
      <c r="F244" s="6"/>
      <c r="G244" s="8" t="str">
        <f t="shared" si="1"/>
        <v/>
      </c>
      <c r="H244" s="11" t="str">
        <f t="shared" si="2"/>
        <v/>
      </c>
      <c r="I244" s="13"/>
    </row>
    <row r="245">
      <c r="A245" s="5"/>
      <c r="B245" s="6"/>
      <c r="C245" s="14" t="str">
        <f>iferror(vlookup(B245,'📦 ชื่อสินค้า'!A:C,2,false),)</f>
        <v/>
      </c>
      <c r="D245" s="11" t="str">
        <f>iferror(vlookup(B245,'📦 ชื่อสินค้า'!A:D,4,false),"")</f>
        <v/>
      </c>
      <c r="E245" s="16"/>
      <c r="F245" s="6"/>
      <c r="G245" s="8" t="str">
        <f t="shared" si="1"/>
        <v/>
      </c>
      <c r="H245" s="11" t="str">
        <f t="shared" si="2"/>
        <v/>
      </c>
      <c r="I245" s="13"/>
    </row>
    <row r="246">
      <c r="A246" s="5"/>
      <c r="B246" s="6"/>
      <c r="C246" s="14" t="str">
        <f>iferror(vlookup(B246,'📦 ชื่อสินค้า'!A:C,2,false),)</f>
        <v/>
      </c>
      <c r="D246" s="11" t="str">
        <f>iferror(vlookup(B246,'📦 ชื่อสินค้า'!A:D,4,false),"")</f>
        <v/>
      </c>
      <c r="E246" s="16"/>
      <c r="F246" s="6"/>
      <c r="G246" s="8" t="str">
        <f t="shared" si="1"/>
        <v/>
      </c>
      <c r="H246" s="11" t="str">
        <f t="shared" si="2"/>
        <v/>
      </c>
      <c r="I246" s="13"/>
    </row>
    <row r="247">
      <c r="A247" s="5"/>
      <c r="B247" s="6"/>
      <c r="C247" s="14" t="str">
        <f>iferror(vlookup(B247,'📦 ชื่อสินค้า'!A:C,2,false),)</f>
        <v/>
      </c>
      <c r="D247" s="11" t="str">
        <f>iferror(vlookup(B247,'📦 ชื่อสินค้า'!A:D,4,false),"")</f>
        <v/>
      </c>
      <c r="E247" s="16"/>
      <c r="F247" s="6"/>
      <c r="G247" s="8" t="str">
        <f t="shared" si="1"/>
        <v/>
      </c>
      <c r="H247" s="11" t="str">
        <f t="shared" si="2"/>
        <v/>
      </c>
      <c r="I247" s="13"/>
    </row>
    <row r="248">
      <c r="A248" s="5"/>
      <c r="B248" s="6"/>
      <c r="C248" s="14" t="str">
        <f>iferror(vlookup(B248,'📦 ชื่อสินค้า'!A:C,2,false),)</f>
        <v/>
      </c>
      <c r="D248" s="11" t="str">
        <f>iferror(vlookup(B248,'📦 ชื่อสินค้า'!A:D,4,false),"")</f>
        <v/>
      </c>
      <c r="E248" s="16"/>
      <c r="F248" s="6"/>
      <c r="G248" s="8" t="str">
        <f t="shared" si="1"/>
        <v/>
      </c>
      <c r="H248" s="11" t="str">
        <f t="shared" si="2"/>
        <v/>
      </c>
      <c r="I248" s="13"/>
    </row>
    <row r="249">
      <c r="A249" s="5"/>
      <c r="B249" s="6"/>
      <c r="C249" s="14" t="str">
        <f>iferror(vlookup(B249,'📦 ชื่อสินค้า'!A:C,2,false),)</f>
        <v/>
      </c>
      <c r="D249" s="11" t="str">
        <f>iferror(vlookup(B249,'📦 ชื่อสินค้า'!A:D,4,false),"")</f>
        <v/>
      </c>
      <c r="E249" s="16"/>
      <c r="F249" s="6"/>
      <c r="G249" s="8" t="str">
        <f t="shared" si="1"/>
        <v/>
      </c>
      <c r="H249" s="11" t="str">
        <f t="shared" si="2"/>
        <v/>
      </c>
      <c r="I249" s="13"/>
    </row>
    <row r="250">
      <c r="A250" s="5"/>
      <c r="B250" s="6"/>
      <c r="C250" s="14" t="str">
        <f>iferror(vlookup(B250,'📦 ชื่อสินค้า'!A:C,2,false),)</f>
        <v/>
      </c>
      <c r="D250" s="11" t="str">
        <f>iferror(vlookup(B250,'📦 ชื่อสินค้า'!A:D,4,false),"")</f>
        <v/>
      </c>
      <c r="E250" s="16"/>
      <c r="F250" s="6"/>
      <c r="G250" s="8" t="str">
        <f t="shared" si="1"/>
        <v/>
      </c>
      <c r="H250" s="11" t="str">
        <f t="shared" si="2"/>
        <v/>
      </c>
      <c r="I250" s="13"/>
    </row>
    <row r="251">
      <c r="A251" s="5"/>
      <c r="B251" s="6"/>
      <c r="C251" s="14" t="str">
        <f>iferror(vlookup(B251,'📦 ชื่อสินค้า'!A:C,2,false),)</f>
        <v/>
      </c>
      <c r="D251" s="11" t="str">
        <f>iferror(vlookup(B251,'📦 ชื่อสินค้า'!A:D,4,false),"")</f>
        <v/>
      </c>
      <c r="E251" s="16"/>
      <c r="F251" s="6"/>
      <c r="G251" s="8" t="str">
        <f t="shared" si="1"/>
        <v/>
      </c>
      <c r="H251" s="11" t="str">
        <f t="shared" si="2"/>
        <v/>
      </c>
      <c r="I251" s="13"/>
    </row>
    <row r="252">
      <c r="A252" s="5"/>
      <c r="B252" s="6"/>
      <c r="C252" s="14" t="str">
        <f>iferror(vlookup(B252,'📦 ชื่อสินค้า'!A:C,2,false),)</f>
        <v/>
      </c>
      <c r="D252" s="11" t="str">
        <f>iferror(vlookup(B252,'📦 ชื่อสินค้า'!A:D,4,false),"")</f>
        <v/>
      </c>
      <c r="E252" s="16"/>
      <c r="F252" s="6"/>
      <c r="G252" s="8" t="str">
        <f t="shared" si="1"/>
        <v/>
      </c>
      <c r="H252" s="11" t="str">
        <f t="shared" si="2"/>
        <v/>
      </c>
      <c r="I252" s="13"/>
    </row>
    <row r="253">
      <c r="A253" s="5"/>
      <c r="B253" s="6"/>
      <c r="C253" s="14" t="str">
        <f>iferror(vlookup(B253,'📦 ชื่อสินค้า'!A:C,2,false),)</f>
        <v/>
      </c>
      <c r="D253" s="11" t="str">
        <f>iferror(vlookup(B253,'📦 ชื่อสินค้า'!A:D,4,false),"")</f>
        <v/>
      </c>
      <c r="E253" s="16"/>
      <c r="F253" s="6"/>
      <c r="G253" s="8" t="str">
        <f t="shared" si="1"/>
        <v/>
      </c>
      <c r="H253" s="11" t="str">
        <f t="shared" si="2"/>
        <v/>
      </c>
      <c r="I253" s="13"/>
    </row>
    <row r="254">
      <c r="A254" s="5"/>
      <c r="B254" s="6"/>
      <c r="C254" s="14" t="str">
        <f>iferror(vlookup(B254,'📦 ชื่อสินค้า'!A:C,2,false),)</f>
        <v/>
      </c>
      <c r="D254" s="11" t="str">
        <f>iferror(vlookup(B254,'📦 ชื่อสินค้า'!A:D,4,false),"")</f>
        <v/>
      </c>
      <c r="E254" s="16"/>
      <c r="F254" s="6"/>
      <c r="G254" s="8" t="str">
        <f t="shared" si="1"/>
        <v/>
      </c>
      <c r="H254" s="11" t="str">
        <f t="shared" si="2"/>
        <v/>
      </c>
      <c r="I254" s="13"/>
    </row>
    <row r="255">
      <c r="A255" s="5"/>
      <c r="B255" s="6"/>
      <c r="C255" s="14" t="str">
        <f>iferror(vlookup(B255,'📦 ชื่อสินค้า'!A:C,2,false),)</f>
        <v/>
      </c>
      <c r="D255" s="11" t="str">
        <f>iferror(vlookup(B255,'📦 ชื่อสินค้า'!A:D,4,false),"")</f>
        <v/>
      </c>
      <c r="E255" s="16"/>
      <c r="F255" s="6"/>
      <c r="G255" s="8" t="str">
        <f t="shared" si="1"/>
        <v/>
      </c>
      <c r="H255" s="11" t="str">
        <f t="shared" si="2"/>
        <v/>
      </c>
      <c r="I255" s="13"/>
    </row>
    <row r="256">
      <c r="A256" s="5"/>
      <c r="B256" s="6"/>
      <c r="C256" s="14" t="str">
        <f>iferror(vlookup(B256,'📦 ชื่อสินค้า'!A:C,2,false),)</f>
        <v/>
      </c>
      <c r="D256" s="11" t="str">
        <f>iferror(vlookup(B256,'📦 ชื่อสินค้า'!A:D,4,false),"")</f>
        <v/>
      </c>
      <c r="E256" s="16"/>
      <c r="F256" s="6"/>
      <c r="G256" s="8" t="str">
        <f t="shared" si="1"/>
        <v/>
      </c>
      <c r="H256" s="11" t="str">
        <f t="shared" si="2"/>
        <v/>
      </c>
      <c r="I256" s="13"/>
    </row>
    <row r="257">
      <c r="A257" s="5"/>
      <c r="B257" s="6"/>
      <c r="C257" s="14" t="str">
        <f>iferror(vlookup(B257,'📦 ชื่อสินค้า'!A:C,2,false),)</f>
        <v/>
      </c>
      <c r="D257" s="11" t="str">
        <f>iferror(vlookup(B257,'📦 ชื่อสินค้า'!A:D,4,false),"")</f>
        <v/>
      </c>
      <c r="E257" s="16"/>
      <c r="F257" s="6"/>
      <c r="G257" s="8" t="str">
        <f t="shared" si="1"/>
        <v/>
      </c>
      <c r="H257" s="11" t="str">
        <f t="shared" si="2"/>
        <v/>
      </c>
      <c r="I257" s="13"/>
    </row>
    <row r="258">
      <c r="A258" s="5"/>
      <c r="B258" s="6"/>
      <c r="C258" s="14" t="str">
        <f>iferror(vlookup(B258,'📦 ชื่อสินค้า'!A:C,2,false),)</f>
        <v/>
      </c>
      <c r="D258" s="11" t="str">
        <f>iferror(vlookup(B258,'📦 ชื่อสินค้า'!A:D,4,false),"")</f>
        <v/>
      </c>
      <c r="E258" s="16"/>
      <c r="F258" s="6"/>
      <c r="G258" s="8" t="str">
        <f t="shared" si="1"/>
        <v/>
      </c>
      <c r="H258" s="11" t="str">
        <f t="shared" si="2"/>
        <v/>
      </c>
      <c r="I258" s="13"/>
    </row>
    <row r="259">
      <c r="A259" s="5"/>
      <c r="B259" s="6"/>
      <c r="C259" s="14" t="str">
        <f>iferror(vlookup(B259,'📦 ชื่อสินค้า'!A:C,2,false),)</f>
        <v/>
      </c>
      <c r="D259" s="11" t="str">
        <f>iferror(vlookup(B259,'📦 ชื่อสินค้า'!A:D,4,false),"")</f>
        <v/>
      </c>
      <c r="E259" s="16"/>
      <c r="F259" s="6"/>
      <c r="G259" s="8" t="str">
        <f t="shared" si="1"/>
        <v/>
      </c>
      <c r="H259" s="11" t="str">
        <f t="shared" si="2"/>
        <v/>
      </c>
      <c r="I259" s="13"/>
    </row>
    <row r="260">
      <c r="A260" s="5"/>
      <c r="B260" s="6"/>
      <c r="C260" s="14" t="str">
        <f>iferror(vlookup(B260,'📦 ชื่อสินค้า'!A:C,2,false),)</f>
        <v/>
      </c>
      <c r="D260" s="11" t="str">
        <f>iferror(vlookup(B260,'📦 ชื่อสินค้า'!A:D,4,false),"")</f>
        <v/>
      </c>
      <c r="E260" s="16"/>
      <c r="F260" s="6"/>
      <c r="G260" s="8" t="str">
        <f t="shared" si="1"/>
        <v/>
      </c>
      <c r="H260" s="11" t="str">
        <f t="shared" si="2"/>
        <v/>
      </c>
      <c r="I260" s="13"/>
    </row>
    <row r="261">
      <c r="A261" s="5"/>
      <c r="B261" s="6"/>
      <c r="C261" s="14" t="str">
        <f>iferror(vlookup(B261,'📦 ชื่อสินค้า'!A:C,2,false),)</f>
        <v/>
      </c>
      <c r="D261" s="11" t="str">
        <f>iferror(vlookup(B261,'📦 ชื่อสินค้า'!A:D,4,false),"")</f>
        <v/>
      </c>
      <c r="E261" s="16"/>
      <c r="F261" s="6"/>
      <c r="G261" s="8" t="str">
        <f t="shared" si="1"/>
        <v/>
      </c>
      <c r="H261" s="11" t="str">
        <f t="shared" si="2"/>
        <v/>
      </c>
      <c r="I261" s="13"/>
    </row>
    <row r="262">
      <c r="A262" s="5"/>
      <c r="B262" s="6"/>
      <c r="C262" s="14" t="str">
        <f>iferror(vlookup(B262,'📦 ชื่อสินค้า'!A:C,2,false),)</f>
        <v/>
      </c>
      <c r="D262" s="11" t="str">
        <f>iferror(vlookup(B262,'📦 ชื่อสินค้า'!A:D,4,false),"")</f>
        <v/>
      </c>
      <c r="E262" s="16"/>
      <c r="F262" s="6"/>
      <c r="G262" s="8" t="str">
        <f t="shared" si="1"/>
        <v/>
      </c>
      <c r="H262" s="11" t="str">
        <f t="shared" si="2"/>
        <v/>
      </c>
      <c r="I262" s="13"/>
    </row>
    <row r="263">
      <c r="A263" s="5"/>
      <c r="B263" s="6"/>
      <c r="C263" s="14" t="str">
        <f>iferror(vlookup(B263,'📦 ชื่อสินค้า'!A:C,2,false),)</f>
        <v/>
      </c>
      <c r="D263" s="11" t="str">
        <f>iferror(vlookup(B263,'📦 ชื่อสินค้า'!A:D,4,false),"")</f>
        <v/>
      </c>
      <c r="E263" s="16"/>
      <c r="F263" s="6"/>
      <c r="G263" s="8" t="str">
        <f t="shared" si="1"/>
        <v/>
      </c>
      <c r="H263" s="11" t="str">
        <f t="shared" si="2"/>
        <v/>
      </c>
      <c r="I263" s="13"/>
    </row>
    <row r="264">
      <c r="A264" s="5"/>
      <c r="B264" s="6"/>
      <c r="C264" s="14" t="str">
        <f>iferror(vlookup(B264,'📦 ชื่อสินค้า'!A:C,2,false),)</f>
        <v/>
      </c>
      <c r="D264" s="11" t="str">
        <f>iferror(vlookup(B264,'📦 ชื่อสินค้า'!A:D,4,false),"")</f>
        <v/>
      </c>
      <c r="E264" s="16"/>
      <c r="F264" s="6"/>
      <c r="G264" s="8" t="str">
        <f t="shared" si="1"/>
        <v/>
      </c>
      <c r="H264" s="11" t="str">
        <f t="shared" si="2"/>
        <v/>
      </c>
      <c r="I264" s="13"/>
    </row>
    <row r="265">
      <c r="A265" s="5"/>
      <c r="B265" s="6"/>
      <c r="C265" s="14" t="str">
        <f>iferror(vlookup(B265,'📦 ชื่อสินค้า'!A:C,2,false),)</f>
        <v/>
      </c>
      <c r="D265" s="11" t="str">
        <f>iferror(vlookup(B265,'📦 ชื่อสินค้า'!A:D,4,false),"")</f>
        <v/>
      </c>
      <c r="E265" s="16"/>
      <c r="F265" s="6"/>
      <c r="G265" s="8" t="str">
        <f t="shared" si="1"/>
        <v/>
      </c>
      <c r="H265" s="11" t="str">
        <f t="shared" si="2"/>
        <v/>
      </c>
      <c r="I265" s="13"/>
    </row>
    <row r="266">
      <c r="A266" s="5"/>
      <c r="B266" s="6"/>
      <c r="C266" s="14" t="str">
        <f>iferror(vlookup(B266,'📦 ชื่อสินค้า'!A:C,2,false),)</f>
        <v/>
      </c>
      <c r="D266" s="11" t="str">
        <f>iferror(vlookup(B266,'📦 ชื่อสินค้า'!A:D,4,false),"")</f>
        <v/>
      </c>
      <c r="E266" s="16"/>
      <c r="F266" s="6"/>
      <c r="G266" s="8" t="str">
        <f t="shared" si="1"/>
        <v/>
      </c>
      <c r="H266" s="11" t="str">
        <f t="shared" si="2"/>
        <v/>
      </c>
      <c r="I266" s="13"/>
    </row>
    <row r="267">
      <c r="A267" s="5"/>
      <c r="B267" s="6"/>
      <c r="C267" s="14" t="str">
        <f>iferror(vlookup(B267,'📦 ชื่อสินค้า'!A:C,2,false),)</f>
        <v/>
      </c>
      <c r="D267" s="11" t="str">
        <f>iferror(vlookup(B267,'📦 ชื่อสินค้า'!A:D,4,false),"")</f>
        <v/>
      </c>
      <c r="E267" s="16"/>
      <c r="F267" s="6"/>
      <c r="G267" s="8" t="str">
        <f t="shared" si="1"/>
        <v/>
      </c>
      <c r="H267" s="11" t="str">
        <f t="shared" si="2"/>
        <v/>
      </c>
      <c r="I267" s="13"/>
    </row>
    <row r="268">
      <c r="A268" s="5"/>
      <c r="B268" s="6"/>
      <c r="C268" s="14" t="str">
        <f>iferror(vlookup(B268,'📦 ชื่อสินค้า'!A:C,2,false),)</f>
        <v/>
      </c>
      <c r="D268" s="11" t="str">
        <f>iferror(vlookup(B268,'📦 ชื่อสินค้า'!A:D,4,false),"")</f>
        <v/>
      </c>
      <c r="E268" s="16"/>
      <c r="F268" s="6"/>
      <c r="G268" s="8" t="str">
        <f t="shared" si="1"/>
        <v/>
      </c>
      <c r="H268" s="11" t="str">
        <f t="shared" si="2"/>
        <v/>
      </c>
      <c r="I268" s="13"/>
    </row>
    <row r="269">
      <c r="A269" s="5"/>
      <c r="B269" s="6"/>
      <c r="C269" s="14" t="str">
        <f>iferror(vlookup(B269,'📦 ชื่อสินค้า'!A:C,2,false),)</f>
        <v/>
      </c>
      <c r="D269" s="11" t="str">
        <f>iferror(vlookup(B269,'📦 ชื่อสินค้า'!A:D,4,false),"")</f>
        <v/>
      </c>
      <c r="E269" s="16"/>
      <c r="F269" s="6"/>
      <c r="G269" s="8" t="str">
        <f t="shared" si="1"/>
        <v/>
      </c>
      <c r="H269" s="11" t="str">
        <f t="shared" si="2"/>
        <v/>
      </c>
      <c r="I269" s="13"/>
    </row>
    <row r="270">
      <c r="A270" s="5"/>
      <c r="B270" s="6"/>
      <c r="C270" s="14" t="str">
        <f>iferror(vlookup(B270,'📦 ชื่อสินค้า'!A:C,2,false),)</f>
        <v/>
      </c>
      <c r="D270" s="11" t="str">
        <f>iferror(vlookup(B270,'📦 ชื่อสินค้า'!A:D,4,false),"")</f>
        <v/>
      </c>
      <c r="E270" s="16"/>
      <c r="F270" s="6"/>
      <c r="G270" s="8" t="str">
        <f t="shared" si="1"/>
        <v/>
      </c>
      <c r="H270" s="11" t="str">
        <f t="shared" si="2"/>
        <v/>
      </c>
      <c r="I270" s="13"/>
    </row>
    <row r="271">
      <c r="A271" s="5"/>
      <c r="B271" s="6"/>
      <c r="C271" s="14" t="str">
        <f>iferror(vlookup(B271,'📦 ชื่อสินค้า'!A:C,2,false),)</f>
        <v/>
      </c>
      <c r="D271" s="11" t="str">
        <f>iferror(vlookup(B271,'📦 ชื่อสินค้า'!A:D,4,false),"")</f>
        <v/>
      </c>
      <c r="E271" s="16"/>
      <c r="F271" s="6"/>
      <c r="G271" s="8" t="str">
        <f t="shared" si="1"/>
        <v/>
      </c>
      <c r="H271" s="11" t="str">
        <f t="shared" si="2"/>
        <v/>
      </c>
      <c r="I271" s="13"/>
    </row>
    <row r="272">
      <c r="A272" s="5"/>
      <c r="B272" s="6"/>
      <c r="C272" s="14" t="str">
        <f>iferror(vlookup(B272,'📦 ชื่อสินค้า'!A:C,2,false),)</f>
        <v/>
      </c>
      <c r="D272" s="11" t="str">
        <f>iferror(vlookup(B272,'📦 ชื่อสินค้า'!A:D,4,false),"")</f>
        <v/>
      </c>
      <c r="E272" s="16"/>
      <c r="F272" s="6"/>
      <c r="G272" s="8" t="str">
        <f t="shared" si="1"/>
        <v/>
      </c>
      <c r="H272" s="11" t="str">
        <f t="shared" si="2"/>
        <v/>
      </c>
      <c r="I272" s="13"/>
    </row>
    <row r="273">
      <c r="A273" s="5"/>
      <c r="B273" s="6"/>
      <c r="C273" s="14" t="str">
        <f>iferror(vlookup(B273,'📦 ชื่อสินค้า'!A:C,2,false),)</f>
        <v/>
      </c>
      <c r="D273" s="11" t="str">
        <f>iferror(vlookup(B273,'📦 ชื่อสินค้า'!A:D,4,false),"")</f>
        <v/>
      </c>
      <c r="E273" s="16"/>
      <c r="F273" s="6"/>
      <c r="G273" s="8" t="str">
        <f t="shared" si="1"/>
        <v/>
      </c>
      <c r="H273" s="11" t="str">
        <f t="shared" si="2"/>
        <v/>
      </c>
      <c r="I273" s="13"/>
    </row>
    <row r="274">
      <c r="A274" s="5"/>
      <c r="B274" s="6"/>
      <c r="C274" s="14" t="str">
        <f>iferror(vlookup(B274,'📦 ชื่อสินค้า'!A:C,2,false),)</f>
        <v/>
      </c>
      <c r="D274" s="11" t="str">
        <f>iferror(vlookup(B274,'📦 ชื่อสินค้า'!A:D,4,false),"")</f>
        <v/>
      </c>
      <c r="E274" s="16"/>
      <c r="F274" s="6"/>
      <c r="G274" s="8" t="str">
        <f t="shared" si="1"/>
        <v/>
      </c>
      <c r="H274" s="11" t="str">
        <f t="shared" si="2"/>
        <v/>
      </c>
      <c r="I274" s="13"/>
    </row>
    <row r="275">
      <c r="A275" s="5"/>
      <c r="B275" s="6"/>
      <c r="C275" s="14" t="str">
        <f>iferror(vlookup(B275,'📦 ชื่อสินค้า'!A:C,2,false),)</f>
        <v/>
      </c>
      <c r="D275" s="11" t="str">
        <f>iferror(vlookup(B275,'📦 ชื่อสินค้า'!A:D,4,false),"")</f>
        <v/>
      </c>
      <c r="E275" s="16"/>
      <c r="F275" s="6"/>
      <c r="G275" s="8" t="str">
        <f t="shared" si="1"/>
        <v/>
      </c>
      <c r="H275" s="11" t="str">
        <f t="shared" si="2"/>
        <v/>
      </c>
      <c r="I275" s="13"/>
    </row>
    <row r="276">
      <c r="A276" s="5"/>
      <c r="B276" s="6"/>
      <c r="C276" s="14" t="str">
        <f>iferror(vlookup(B276,'📦 ชื่อสินค้า'!A:C,2,false),)</f>
        <v/>
      </c>
      <c r="D276" s="11" t="str">
        <f>iferror(vlookup(B276,'📦 ชื่อสินค้า'!A:D,4,false),"")</f>
        <v/>
      </c>
      <c r="E276" s="16"/>
      <c r="F276" s="6"/>
      <c r="G276" s="8" t="str">
        <f t="shared" si="1"/>
        <v/>
      </c>
      <c r="H276" s="11" t="str">
        <f t="shared" si="2"/>
        <v/>
      </c>
      <c r="I276" s="13"/>
    </row>
    <row r="277">
      <c r="A277" s="5"/>
      <c r="B277" s="6"/>
      <c r="C277" s="14" t="str">
        <f>iferror(vlookup(B277,'📦 ชื่อสินค้า'!A:C,2,false),)</f>
        <v/>
      </c>
      <c r="D277" s="11" t="str">
        <f>iferror(vlookup(B277,'📦 ชื่อสินค้า'!A:D,4,false),"")</f>
        <v/>
      </c>
      <c r="E277" s="16"/>
      <c r="F277" s="6"/>
      <c r="G277" s="8" t="str">
        <f t="shared" si="1"/>
        <v/>
      </c>
      <c r="H277" s="11" t="str">
        <f t="shared" si="2"/>
        <v/>
      </c>
      <c r="I277" s="13"/>
    </row>
    <row r="278">
      <c r="A278" s="5"/>
      <c r="B278" s="6"/>
      <c r="C278" s="14" t="str">
        <f>iferror(vlookup(B278,'📦 ชื่อสินค้า'!A:C,2,false),)</f>
        <v/>
      </c>
      <c r="D278" s="11" t="str">
        <f>iferror(vlookup(B278,'📦 ชื่อสินค้า'!A:D,4,false),"")</f>
        <v/>
      </c>
      <c r="E278" s="16"/>
      <c r="F278" s="6"/>
      <c r="G278" s="8" t="str">
        <f t="shared" si="1"/>
        <v/>
      </c>
      <c r="H278" s="11" t="str">
        <f t="shared" si="2"/>
        <v/>
      </c>
      <c r="I278" s="13"/>
    </row>
    <row r="279">
      <c r="A279" s="5"/>
      <c r="B279" s="6"/>
      <c r="C279" s="14" t="str">
        <f>iferror(vlookup(B279,'📦 ชื่อสินค้า'!A:C,2,false),)</f>
        <v/>
      </c>
      <c r="D279" s="11" t="str">
        <f>iferror(vlookup(B279,'📦 ชื่อสินค้า'!A:D,4,false),"")</f>
        <v/>
      </c>
      <c r="E279" s="16"/>
      <c r="F279" s="6"/>
      <c r="G279" s="8" t="str">
        <f t="shared" si="1"/>
        <v/>
      </c>
      <c r="H279" s="11" t="str">
        <f t="shared" si="2"/>
        <v/>
      </c>
      <c r="I279" s="13"/>
    </row>
    <row r="280">
      <c r="A280" s="5"/>
      <c r="B280" s="6"/>
      <c r="C280" s="14" t="str">
        <f>iferror(vlookup(B280,'📦 ชื่อสินค้า'!A:C,2,false),)</f>
        <v/>
      </c>
      <c r="D280" s="11" t="str">
        <f>iferror(vlookup(B280,'📦 ชื่อสินค้า'!A:D,4,false),"")</f>
        <v/>
      </c>
      <c r="E280" s="16"/>
      <c r="F280" s="6"/>
      <c r="G280" s="8" t="str">
        <f t="shared" si="1"/>
        <v/>
      </c>
      <c r="H280" s="11" t="str">
        <f t="shared" si="2"/>
        <v/>
      </c>
      <c r="I280" s="13"/>
    </row>
    <row r="281">
      <c r="A281" s="5"/>
      <c r="B281" s="6"/>
      <c r="C281" s="14" t="str">
        <f>iferror(vlookup(B281,'📦 ชื่อสินค้า'!A:C,2,false),)</f>
        <v/>
      </c>
      <c r="D281" s="11" t="str">
        <f>iferror(vlookup(B281,'📦 ชื่อสินค้า'!A:D,4,false),"")</f>
        <v/>
      </c>
      <c r="E281" s="16"/>
      <c r="F281" s="6"/>
      <c r="G281" s="8" t="str">
        <f t="shared" si="1"/>
        <v/>
      </c>
      <c r="H281" s="11" t="str">
        <f t="shared" si="2"/>
        <v/>
      </c>
      <c r="I281" s="13"/>
    </row>
    <row r="282">
      <c r="A282" s="5"/>
      <c r="B282" s="6"/>
      <c r="C282" s="14" t="str">
        <f>iferror(vlookup(B282,'📦 ชื่อสินค้า'!A:C,2,false),)</f>
        <v/>
      </c>
      <c r="D282" s="11" t="str">
        <f>iferror(vlookup(B282,'📦 ชื่อสินค้า'!A:D,4,false),"")</f>
        <v/>
      </c>
      <c r="E282" s="16"/>
      <c r="F282" s="6"/>
      <c r="G282" s="8" t="str">
        <f t="shared" si="1"/>
        <v/>
      </c>
      <c r="H282" s="11" t="str">
        <f t="shared" si="2"/>
        <v/>
      </c>
      <c r="I282" s="13"/>
    </row>
    <row r="283">
      <c r="A283" s="5"/>
      <c r="B283" s="6"/>
      <c r="C283" s="14" t="str">
        <f>iferror(vlookup(B283,'📦 ชื่อสินค้า'!A:C,2,false),)</f>
        <v/>
      </c>
      <c r="D283" s="11" t="str">
        <f>iferror(vlookup(B283,'📦 ชื่อสินค้า'!A:D,4,false),"")</f>
        <v/>
      </c>
      <c r="E283" s="16"/>
      <c r="F283" s="6"/>
      <c r="G283" s="8" t="str">
        <f t="shared" si="1"/>
        <v/>
      </c>
      <c r="H283" s="11" t="str">
        <f t="shared" si="2"/>
        <v/>
      </c>
      <c r="I283" s="13"/>
    </row>
    <row r="284">
      <c r="A284" s="5"/>
      <c r="B284" s="6"/>
      <c r="C284" s="14" t="str">
        <f>iferror(vlookup(B284,'📦 ชื่อสินค้า'!A:C,2,false),)</f>
        <v/>
      </c>
      <c r="D284" s="11" t="str">
        <f>iferror(vlookup(B284,'📦 ชื่อสินค้า'!A:D,4,false),"")</f>
        <v/>
      </c>
      <c r="E284" s="16"/>
      <c r="F284" s="6"/>
      <c r="G284" s="8" t="str">
        <f t="shared" si="1"/>
        <v/>
      </c>
      <c r="H284" s="11" t="str">
        <f t="shared" si="2"/>
        <v/>
      </c>
      <c r="I284" s="13"/>
    </row>
    <row r="285">
      <c r="A285" s="5"/>
      <c r="B285" s="6"/>
      <c r="C285" s="14" t="str">
        <f>iferror(vlookup(B285,'📦 ชื่อสินค้า'!A:C,2,false),)</f>
        <v/>
      </c>
      <c r="D285" s="11" t="str">
        <f>iferror(vlookup(B285,'📦 ชื่อสินค้า'!A:D,4,false),"")</f>
        <v/>
      </c>
      <c r="E285" s="16"/>
      <c r="F285" s="6"/>
      <c r="G285" s="8" t="str">
        <f t="shared" si="1"/>
        <v/>
      </c>
      <c r="H285" s="11" t="str">
        <f t="shared" si="2"/>
        <v/>
      </c>
      <c r="I285" s="13"/>
    </row>
    <row r="286">
      <c r="A286" s="5"/>
      <c r="B286" s="6"/>
      <c r="C286" s="14" t="str">
        <f>iferror(vlookup(B286,'📦 ชื่อสินค้า'!A:C,2,false),)</f>
        <v/>
      </c>
      <c r="D286" s="11" t="str">
        <f>iferror(vlookup(B286,'📦 ชื่อสินค้า'!A:D,4,false),"")</f>
        <v/>
      </c>
      <c r="E286" s="16"/>
      <c r="F286" s="6"/>
      <c r="G286" s="8" t="str">
        <f t="shared" si="1"/>
        <v/>
      </c>
      <c r="H286" s="11" t="str">
        <f t="shared" si="2"/>
        <v/>
      </c>
      <c r="I286" s="13"/>
    </row>
    <row r="287">
      <c r="A287" s="5"/>
      <c r="B287" s="6"/>
      <c r="C287" s="14" t="str">
        <f>iferror(vlookup(B287,'📦 ชื่อสินค้า'!A:C,2,false),)</f>
        <v/>
      </c>
      <c r="D287" s="11" t="str">
        <f>iferror(vlookup(B287,'📦 ชื่อสินค้า'!A:D,4,false),"")</f>
        <v/>
      </c>
      <c r="E287" s="16"/>
      <c r="F287" s="6"/>
      <c r="G287" s="8" t="str">
        <f t="shared" si="1"/>
        <v/>
      </c>
      <c r="H287" s="11" t="str">
        <f t="shared" si="2"/>
        <v/>
      </c>
      <c r="I287" s="13"/>
    </row>
    <row r="288">
      <c r="A288" s="5"/>
      <c r="B288" s="6"/>
      <c r="C288" s="14" t="str">
        <f>iferror(vlookup(B288,'📦 ชื่อสินค้า'!A:C,2,false),)</f>
        <v/>
      </c>
      <c r="D288" s="11" t="str">
        <f>iferror(vlookup(B288,'📦 ชื่อสินค้า'!A:D,4,false),"")</f>
        <v/>
      </c>
      <c r="E288" s="16"/>
      <c r="F288" s="6"/>
      <c r="G288" s="8" t="str">
        <f t="shared" si="1"/>
        <v/>
      </c>
      <c r="H288" s="11" t="str">
        <f t="shared" si="2"/>
        <v/>
      </c>
      <c r="I288" s="13"/>
    </row>
    <row r="289">
      <c r="A289" s="5"/>
      <c r="B289" s="6"/>
      <c r="C289" s="14" t="str">
        <f>iferror(vlookup(B289,'📦 ชื่อสินค้า'!A:C,2,false),)</f>
        <v/>
      </c>
      <c r="D289" s="11" t="str">
        <f>iferror(vlookup(B289,'📦 ชื่อสินค้า'!A:D,4,false),"")</f>
        <v/>
      </c>
      <c r="E289" s="16"/>
      <c r="F289" s="6"/>
      <c r="G289" s="8" t="str">
        <f t="shared" si="1"/>
        <v/>
      </c>
      <c r="H289" s="11" t="str">
        <f t="shared" si="2"/>
        <v/>
      </c>
      <c r="I289" s="13"/>
    </row>
    <row r="290">
      <c r="A290" s="5"/>
      <c r="B290" s="6"/>
      <c r="C290" s="14" t="str">
        <f>iferror(vlookup(B290,'📦 ชื่อสินค้า'!A:C,2,false),)</f>
        <v/>
      </c>
      <c r="D290" s="11" t="str">
        <f>iferror(vlookup(B290,'📦 ชื่อสินค้า'!A:D,4,false),"")</f>
        <v/>
      </c>
      <c r="E290" s="16"/>
      <c r="F290" s="6"/>
      <c r="G290" s="8" t="str">
        <f t="shared" si="1"/>
        <v/>
      </c>
      <c r="H290" s="11" t="str">
        <f t="shared" si="2"/>
        <v/>
      </c>
      <c r="I290" s="13"/>
    </row>
    <row r="291">
      <c r="A291" s="5"/>
      <c r="B291" s="6"/>
      <c r="C291" s="14" t="str">
        <f>iferror(vlookup(B291,'📦 ชื่อสินค้า'!A:C,2,false),)</f>
        <v/>
      </c>
      <c r="D291" s="11" t="str">
        <f>iferror(vlookup(B291,'📦 ชื่อสินค้า'!A:D,4,false),"")</f>
        <v/>
      </c>
      <c r="E291" s="16"/>
      <c r="F291" s="6"/>
      <c r="G291" s="8" t="str">
        <f t="shared" si="1"/>
        <v/>
      </c>
      <c r="H291" s="11" t="str">
        <f t="shared" si="2"/>
        <v/>
      </c>
      <c r="I291" s="13"/>
    </row>
    <row r="292">
      <c r="A292" s="5"/>
      <c r="B292" s="6"/>
      <c r="C292" s="14" t="str">
        <f>iferror(vlookup(B292,'📦 ชื่อสินค้า'!A:C,2,false),)</f>
        <v/>
      </c>
      <c r="D292" s="11" t="str">
        <f>iferror(vlookup(B292,'📦 ชื่อสินค้า'!A:D,4,false),"")</f>
        <v/>
      </c>
      <c r="E292" s="16"/>
      <c r="F292" s="6"/>
      <c r="G292" s="8" t="str">
        <f t="shared" si="1"/>
        <v/>
      </c>
      <c r="H292" s="11" t="str">
        <f t="shared" si="2"/>
        <v/>
      </c>
      <c r="I292" s="13"/>
    </row>
    <row r="293">
      <c r="A293" s="5"/>
      <c r="B293" s="6"/>
      <c r="C293" s="14" t="str">
        <f>iferror(vlookup(B293,'📦 ชื่อสินค้า'!A:C,2,false),)</f>
        <v/>
      </c>
      <c r="D293" s="11" t="str">
        <f>iferror(vlookup(B293,'📦 ชื่อสินค้า'!A:D,4,false),"")</f>
        <v/>
      </c>
      <c r="E293" s="16"/>
      <c r="F293" s="6"/>
      <c r="G293" s="8" t="str">
        <f t="shared" si="1"/>
        <v/>
      </c>
      <c r="H293" s="11" t="str">
        <f t="shared" si="2"/>
        <v/>
      </c>
      <c r="I293" s="13"/>
    </row>
    <row r="294">
      <c r="A294" s="5"/>
      <c r="B294" s="6"/>
      <c r="C294" s="14" t="str">
        <f>iferror(vlookup(B294,'📦 ชื่อสินค้า'!A:C,2,false),)</f>
        <v/>
      </c>
      <c r="D294" s="11" t="str">
        <f>iferror(vlookup(B294,'📦 ชื่อสินค้า'!A:D,4,false),"")</f>
        <v/>
      </c>
      <c r="E294" s="16"/>
      <c r="F294" s="6"/>
      <c r="G294" s="8" t="str">
        <f t="shared" si="1"/>
        <v/>
      </c>
      <c r="H294" s="11" t="str">
        <f t="shared" si="2"/>
        <v/>
      </c>
      <c r="I294" s="13"/>
    </row>
    <row r="295">
      <c r="A295" s="5"/>
      <c r="B295" s="6"/>
      <c r="C295" s="14" t="str">
        <f>iferror(vlookup(B295,'📦 ชื่อสินค้า'!A:C,2,false),)</f>
        <v/>
      </c>
      <c r="D295" s="11" t="str">
        <f>iferror(vlookup(B295,'📦 ชื่อสินค้า'!A:D,4,false),"")</f>
        <v/>
      </c>
      <c r="E295" s="16"/>
      <c r="F295" s="6"/>
      <c r="G295" s="8" t="str">
        <f t="shared" si="1"/>
        <v/>
      </c>
      <c r="H295" s="11" t="str">
        <f t="shared" si="2"/>
        <v/>
      </c>
      <c r="I295" s="13"/>
    </row>
    <row r="296">
      <c r="A296" s="5"/>
      <c r="B296" s="6"/>
      <c r="C296" s="14" t="str">
        <f>iferror(vlookup(B296,'📦 ชื่อสินค้า'!A:C,2,false),)</f>
        <v/>
      </c>
      <c r="D296" s="11" t="str">
        <f>iferror(vlookup(B296,'📦 ชื่อสินค้า'!A:D,4,false),"")</f>
        <v/>
      </c>
      <c r="E296" s="16"/>
      <c r="F296" s="6"/>
      <c r="G296" s="8" t="str">
        <f t="shared" si="1"/>
        <v/>
      </c>
      <c r="H296" s="11" t="str">
        <f t="shared" si="2"/>
        <v/>
      </c>
      <c r="I296" s="13"/>
    </row>
    <row r="297">
      <c r="A297" s="5"/>
      <c r="B297" s="6"/>
      <c r="C297" s="14" t="str">
        <f>iferror(vlookup(B297,'📦 ชื่อสินค้า'!A:C,2,false),)</f>
        <v/>
      </c>
      <c r="D297" s="11" t="str">
        <f>iferror(vlookup(B297,'📦 ชื่อสินค้า'!A:D,4,false),"")</f>
        <v/>
      </c>
      <c r="E297" s="16"/>
      <c r="F297" s="6"/>
      <c r="G297" s="8" t="str">
        <f t="shared" si="1"/>
        <v/>
      </c>
      <c r="H297" s="11" t="str">
        <f t="shared" si="2"/>
        <v/>
      </c>
      <c r="I297" s="13"/>
    </row>
    <row r="298">
      <c r="A298" s="5"/>
      <c r="B298" s="6"/>
      <c r="C298" s="14" t="str">
        <f>iferror(vlookup(B298,'📦 ชื่อสินค้า'!A:C,2,false),)</f>
        <v/>
      </c>
      <c r="D298" s="11" t="str">
        <f>iferror(vlookup(B298,'📦 ชื่อสินค้า'!A:D,4,false),"")</f>
        <v/>
      </c>
      <c r="E298" s="16"/>
      <c r="F298" s="6"/>
      <c r="G298" s="8" t="str">
        <f t="shared" si="1"/>
        <v/>
      </c>
      <c r="H298" s="11" t="str">
        <f t="shared" si="2"/>
        <v/>
      </c>
      <c r="I298" s="13"/>
    </row>
    <row r="299">
      <c r="A299" s="5"/>
      <c r="B299" s="6"/>
      <c r="C299" s="14" t="str">
        <f>iferror(vlookup(B299,'📦 ชื่อสินค้า'!A:C,2,false),)</f>
        <v/>
      </c>
      <c r="D299" s="11" t="str">
        <f>iferror(vlookup(B299,'📦 ชื่อสินค้า'!A:D,4,false),"")</f>
        <v/>
      </c>
      <c r="E299" s="16"/>
      <c r="F299" s="6"/>
      <c r="G299" s="8" t="str">
        <f t="shared" si="1"/>
        <v/>
      </c>
      <c r="H299" s="11" t="str">
        <f t="shared" si="2"/>
        <v/>
      </c>
      <c r="I299" s="13"/>
    </row>
    <row r="300">
      <c r="A300" s="5"/>
      <c r="B300" s="6"/>
      <c r="C300" s="14" t="str">
        <f>iferror(vlookup(B300,'📦 ชื่อสินค้า'!A:C,2,false),)</f>
        <v/>
      </c>
      <c r="D300" s="11" t="str">
        <f>iferror(vlookup(B300,'📦 ชื่อสินค้า'!A:D,4,false),"")</f>
        <v/>
      </c>
      <c r="E300" s="16"/>
      <c r="F300" s="6"/>
      <c r="G300" s="8" t="str">
        <f t="shared" si="1"/>
        <v/>
      </c>
      <c r="H300" s="11" t="str">
        <f t="shared" si="2"/>
        <v/>
      </c>
      <c r="I300" s="13"/>
    </row>
    <row r="301">
      <c r="A301" s="5"/>
      <c r="B301" s="6"/>
      <c r="C301" s="14" t="str">
        <f>iferror(vlookup(B301,'📦 ชื่อสินค้า'!A:C,2,false),)</f>
        <v/>
      </c>
      <c r="D301" s="11" t="str">
        <f>iferror(vlookup(B301,'📦 ชื่อสินค้า'!A:D,4,false),"")</f>
        <v/>
      </c>
      <c r="E301" s="16"/>
      <c r="F301" s="6"/>
      <c r="G301" s="8" t="str">
        <f t="shared" si="1"/>
        <v/>
      </c>
      <c r="H301" s="11" t="str">
        <f t="shared" si="2"/>
        <v/>
      </c>
      <c r="I301" s="13"/>
    </row>
    <row r="302">
      <c r="A302" s="5"/>
      <c r="B302" s="6"/>
      <c r="C302" s="14" t="str">
        <f>iferror(vlookup(B302,'📦 ชื่อสินค้า'!A:C,2,false),)</f>
        <v/>
      </c>
      <c r="D302" s="11" t="str">
        <f>iferror(vlookup(B302,'📦 ชื่อสินค้า'!A:D,4,false),"")</f>
        <v/>
      </c>
      <c r="E302" s="16"/>
      <c r="F302" s="6"/>
      <c r="G302" s="8" t="str">
        <f t="shared" si="1"/>
        <v/>
      </c>
      <c r="H302" s="11" t="str">
        <f t="shared" si="2"/>
        <v/>
      </c>
      <c r="I302" s="13"/>
    </row>
    <row r="303">
      <c r="A303" s="5"/>
      <c r="B303" s="6"/>
      <c r="C303" s="14" t="str">
        <f>iferror(vlookup(B303,'📦 ชื่อสินค้า'!A:C,2,false),)</f>
        <v/>
      </c>
      <c r="D303" s="11" t="str">
        <f>iferror(vlookup(B303,'📦 ชื่อสินค้า'!A:D,4,false),"")</f>
        <v/>
      </c>
      <c r="E303" s="16"/>
      <c r="F303" s="6"/>
      <c r="G303" s="8" t="str">
        <f t="shared" si="1"/>
        <v/>
      </c>
      <c r="H303" s="11" t="str">
        <f t="shared" si="2"/>
        <v/>
      </c>
      <c r="I303" s="13"/>
    </row>
    <row r="304">
      <c r="A304" s="5"/>
      <c r="B304" s="6"/>
      <c r="C304" s="14" t="str">
        <f>iferror(vlookup(B304,'📦 ชื่อสินค้า'!A:C,2,false),)</f>
        <v/>
      </c>
      <c r="D304" s="11" t="str">
        <f>iferror(vlookup(B304,'📦 ชื่อสินค้า'!A:D,4,false),"")</f>
        <v/>
      </c>
      <c r="E304" s="16"/>
      <c r="F304" s="6"/>
      <c r="G304" s="8" t="str">
        <f t="shared" si="1"/>
        <v/>
      </c>
      <c r="H304" s="11" t="str">
        <f t="shared" si="2"/>
        <v/>
      </c>
      <c r="I304" s="13"/>
    </row>
    <row r="305">
      <c r="A305" s="5"/>
      <c r="B305" s="6"/>
      <c r="C305" s="14" t="str">
        <f>iferror(vlookup(B305,'📦 ชื่อสินค้า'!A:C,2,false),)</f>
        <v/>
      </c>
      <c r="D305" s="11" t="str">
        <f>iferror(vlookup(B305,'📦 ชื่อสินค้า'!A:D,4,false),"")</f>
        <v/>
      </c>
      <c r="E305" s="16"/>
      <c r="F305" s="6"/>
      <c r="G305" s="8" t="str">
        <f t="shared" si="1"/>
        <v/>
      </c>
      <c r="H305" s="11" t="str">
        <f t="shared" si="2"/>
        <v/>
      </c>
      <c r="I305" s="13"/>
    </row>
    <row r="306">
      <c r="A306" s="5"/>
      <c r="B306" s="6"/>
      <c r="C306" s="14" t="str">
        <f>iferror(vlookup(B306,'📦 ชื่อสินค้า'!A:C,2,false),)</f>
        <v/>
      </c>
      <c r="D306" s="11" t="str">
        <f>iferror(vlookup(B306,'📦 ชื่อสินค้า'!A:D,4,false),"")</f>
        <v/>
      </c>
      <c r="E306" s="16"/>
      <c r="F306" s="6"/>
      <c r="G306" s="8" t="str">
        <f t="shared" si="1"/>
        <v/>
      </c>
      <c r="H306" s="11" t="str">
        <f t="shared" si="2"/>
        <v/>
      </c>
      <c r="I306" s="13"/>
    </row>
    <row r="307">
      <c r="A307" s="5"/>
      <c r="B307" s="6"/>
      <c r="C307" s="14" t="str">
        <f>iferror(vlookup(B307,'📦 ชื่อสินค้า'!A:C,2,false),)</f>
        <v/>
      </c>
      <c r="D307" s="11" t="str">
        <f>iferror(vlookup(B307,'📦 ชื่อสินค้า'!A:D,4,false),"")</f>
        <v/>
      </c>
      <c r="E307" s="16"/>
      <c r="F307" s="6"/>
      <c r="G307" s="8" t="str">
        <f t="shared" si="1"/>
        <v/>
      </c>
      <c r="H307" s="11" t="str">
        <f t="shared" si="2"/>
        <v/>
      </c>
      <c r="I307" s="13"/>
    </row>
    <row r="308">
      <c r="A308" s="5"/>
      <c r="B308" s="6"/>
      <c r="C308" s="14" t="str">
        <f>iferror(vlookup(B308,'📦 ชื่อสินค้า'!A:C,2,false),)</f>
        <v/>
      </c>
      <c r="D308" s="11" t="str">
        <f>iferror(vlookup(B308,'📦 ชื่อสินค้า'!A:D,4,false),"")</f>
        <v/>
      </c>
      <c r="E308" s="16"/>
      <c r="F308" s="6"/>
      <c r="G308" s="8" t="str">
        <f t="shared" si="1"/>
        <v/>
      </c>
      <c r="H308" s="11" t="str">
        <f t="shared" si="2"/>
        <v/>
      </c>
      <c r="I308" s="13"/>
    </row>
    <row r="309">
      <c r="A309" s="5"/>
      <c r="B309" s="6"/>
      <c r="C309" s="14" t="str">
        <f>iferror(vlookup(B309,'📦 ชื่อสินค้า'!A:C,2,false),)</f>
        <v/>
      </c>
      <c r="D309" s="11" t="str">
        <f>iferror(vlookup(B309,'📦 ชื่อสินค้า'!A:D,4,false),"")</f>
        <v/>
      </c>
      <c r="E309" s="16"/>
      <c r="F309" s="6"/>
      <c r="G309" s="8" t="str">
        <f t="shared" si="1"/>
        <v/>
      </c>
      <c r="H309" s="11" t="str">
        <f t="shared" si="2"/>
        <v/>
      </c>
      <c r="I309" s="13"/>
    </row>
    <row r="310">
      <c r="A310" s="5"/>
      <c r="B310" s="6"/>
      <c r="C310" s="14" t="str">
        <f>iferror(vlookup(B310,'📦 ชื่อสินค้า'!A:C,2,false),)</f>
        <v/>
      </c>
      <c r="D310" s="11" t="str">
        <f>iferror(vlookup(B310,'📦 ชื่อสินค้า'!A:D,4,false),"")</f>
        <v/>
      </c>
      <c r="E310" s="16"/>
      <c r="F310" s="6"/>
      <c r="G310" s="8" t="str">
        <f t="shared" si="1"/>
        <v/>
      </c>
      <c r="H310" s="11" t="str">
        <f t="shared" si="2"/>
        <v/>
      </c>
      <c r="I310" s="13"/>
    </row>
    <row r="311">
      <c r="A311" s="5"/>
      <c r="B311" s="6"/>
      <c r="C311" s="14" t="str">
        <f>iferror(vlookup(B311,'📦 ชื่อสินค้า'!A:C,2,false),)</f>
        <v/>
      </c>
      <c r="D311" s="11" t="str">
        <f>iferror(vlookup(B311,'📦 ชื่อสินค้า'!A:D,4,false),"")</f>
        <v/>
      </c>
      <c r="E311" s="16"/>
      <c r="F311" s="6"/>
      <c r="G311" s="8" t="str">
        <f t="shared" si="1"/>
        <v/>
      </c>
      <c r="H311" s="11" t="str">
        <f t="shared" si="2"/>
        <v/>
      </c>
      <c r="I311" s="13"/>
    </row>
    <row r="312">
      <c r="A312" s="5"/>
      <c r="B312" s="6"/>
      <c r="C312" s="14" t="str">
        <f>iferror(vlookup(B312,'📦 ชื่อสินค้า'!A:C,2,false),)</f>
        <v/>
      </c>
      <c r="D312" s="11" t="str">
        <f>iferror(vlookup(B312,'📦 ชื่อสินค้า'!A:D,4,false),"")</f>
        <v/>
      </c>
      <c r="E312" s="16"/>
      <c r="F312" s="6"/>
      <c r="G312" s="8" t="str">
        <f t="shared" si="1"/>
        <v/>
      </c>
      <c r="H312" s="11" t="str">
        <f t="shared" si="2"/>
        <v/>
      </c>
      <c r="I312" s="13"/>
    </row>
    <row r="313">
      <c r="A313" s="5"/>
      <c r="B313" s="6"/>
      <c r="C313" s="14" t="str">
        <f>iferror(vlookup(B313,'📦 ชื่อสินค้า'!A:C,2,false),)</f>
        <v/>
      </c>
      <c r="D313" s="11" t="str">
        <f>iferror(vlookup(B313,'📦 ชื่อสินค้า'!A:D,4,false),"")</f>
        <v/>
      </c>
      <c r="E313" s="16"/>
      <c r="F313" s="6"/>
      <c r="G313" s="8" t="str">
        <f t="shared" si="1"/>
        <v/>
      </c>
      <c r="H313" s="11" t="str">
        <f t="shared" si="2"/>
        <v/>
      </c>
      <c r="I313" s="13"/>
    </row>
    <row r="314">
      <c r="A314" s="5"/>
      <c r="B314" s="6"/>
      <c r="C314" s="14" t="str">
        <f>iferror(vlookup(B314,'📦 ชื่อสินค้า'!A:C,2,false),)</f>
        <v/>
      </c>
      <c r="D314" s="11" t="str">
        <f>iferror(vlookup(B314,'📦 ชื่อสินค้า'!A:D,4,false),"")</f>
        <v/>
      </c>
      <c r="E314" s="16"/>
      <c r="F314" s="6"/>
      <c r="G314" s="8" t="str">
        <f t="shared" si="1"/>
        <v/>
      </c>
      <c r="H314" s="11" t="str">
        <f t="shared" si="2"/>
        <v/>
      </c>
      <c r="I314" s="13"/>
    </row>
    <row r="315">
      <c r="A315" s="5"/>
      <c r="B315" s="6"/>
      <c r="C315" s="14" t="str">
        <f>iferror(vlookup(B315,'📦 ชื่อสินค้า'!A:C,2,false),)</f>
        <v/>
      </c>
      <c r="D315" s="11" t="str">
        <f>iferror(vlookup(B315,'📦 ชื่อสินค้า'!A:D,4,false),"")</f>
        <v/>
      </c>
      <c r="E315" s="16"/>
      <c r="F315" s="6"/>
      <c r="G315" s="8" t="str">
        <f t="shared" si="1"/>
        <v/>
      </c>
      <c r="H315" s="11" t="str">
        <f t="shared" si="2"/>
        <v/>
      </c>
      <c r="I315" s="13"/>
    </row>
    <row r="316">
      <c r="A316" s="5"/>
      <c r="B316" s="6"/>
      <c r="C316" s="14" t="str">
        <f>iferror(vlookup(B316,'📦 ชื่อสินค้า'!A:C,2,false),)</f>
        <v/>
      </c>
      <c r="D316" s="11" t="str">
        <f>iferror(vlookup(B316,'📦 ชื่อสินค้า'!A:D,4,false),"")</f>
        <v/>
      </c>
      <c r="E316" s="16"/>
      <c r="F316" s="6"/>
      <c r="G316" s="8" t="str">
        <f t="shared" si="1"/>
        <v/>
      </c>
      <c r="H316" s="11" t="str">
        <f t="shared" si="2"/>
        <v/>
      </c>
      <c r="I316" s="13"/>
    </row>
    <row r="317">
      <c r="A317" s="5"/>
      <c r="B317" s="6"/>
      <c r="C317" s="14" t="str">
        <f>iferror(vlookup(B317,'📦 ชื่อสินค้า'!A:C,2,false),)</f>
        <v/>
      </c>
      <c r="D317" s="11" t="str">
        <f>iferror(vlookup(B317,'📦 ชื่อสินค้า'!A:D,4,false),"")</f>
        <v/>
      </c>
      <c r="E317" s="16"/>
      <c r="F317" s="6"/>
      <c r="G317" s="8" t="str">
        <f t="shared" si="1"/>
        <v/>
      </c>
      <c r="H317" s="11" t="str">
        <f t="shared" si="2"/>
        <v/>
      </c>
      <c r="I317" s="13"/>
    </row>
    <row r="318">
      <c r="A318" s="5"/>
      <c r="B318" s="6"/>
      <c r="C318" s="14" t="str">
        <f>iferror(vlookup(B318,'📦 ชื่อสินค้า'!A:C,2,false),)</f>
        <v/>
      </c>
      <c r="D318" s="11" t="str">
        <f>iferror(vlookup(B318,'📦 ชื่อสินค้า'!A:D,4,false),"")</f>
        <v/>
      </c>
      <c r="E318" s="16"/>
      <c r="F318" s="6"/>
      <c r="G318" s="8" t="str">
        <f t="shared" si="1"/>
        <v/>
      </c>
      <c r="H318" s="11" t="str">
        <f t="shared" si="2"/>
        <v/>
      </c>
      <c r="I318" s="13"/>
    </row>
    <row r="319">
      <c r="A319" s="5"/>
      <c r="B319" s="6"/>
      <c r="C319" s="14" t="str">
        <f>iferror(vlookup(B319,'📦 ชื่อสินค้า'!A:C,2,false),)</f>
        <v/>
      </c>
      <c r="D319" s="11" t="str">
        <f>iferror(vlookup(B319,'📦 ชื่อสินค้า'!A:D,4,false),"")</f>
        <v/>
      </c>
      <c r="E319" s="16"/>
      <c r="F319" s="6"/>
      <c r="G319" s="8" t="str">
        <f t="shared" si="1"/>
        <v/>
      </c>
      <c r="H319" s="11" t="str">
        <f t="shared" si="2"/>
        <v/>
      </c>
      <c r="I319" s="13"/>
    </row>
    <row r="320">
      <c r="A320" s="5"/>
      <c r="B320" s="6"/>
      <c r="C320" s="14" t="str">
        <f>iferror(vlookup(B320,'📦 ชื่อสินค้า'!A:C,2,false),)</f>
        <v/>
      </c>
      <c r="D320" s="11" t="str">
        <f>iferror(vlookup(B320,'📦 ชื่อสินค้า'!A:D,4,false),"")</f>
        <v/>
      </c>
      <c r="E320" s="16"/>
      <c r="F320" s="6"/>
      <c r="G320" s="8" t="str">
        <f t="shared" si="1"/>
        <v/>
      </c>
      <c r="H320" s="11" t="str">
        <f t="shared" si="2"/>
        <v/>
      </c>
      <c r="I320" s="13"/>
    </row>
    <row r="321">
      <c r="A321" s="5"/>
      <c r="B321" s="6"/>
      <c r="C321" s="14" t="str">
        <f>iferror(vlookup(B321,'📦 ชื่อสินค้า'!A:C,2,false),)</f>
        <v/>
      </c>
      <c r="D321" s="11" t="str">
        <f>iferror(vlookup(B321,'📦 ชื่อสินค้า'!A:D,4,false),"")</f>
        <v/>
      </c>
      <c r="E321" s="16"/>
      <c r="F321" s="6"/>
      <c r="G321" s="8" t="str">
        <f t="shared" si="1"/>
        <v/>
      </c>
      <c r="H321" s="11" t="str">
        <f t="shared" si="2"/>
        <v/>
      </c>
      <c r="I321" s="13"/>
    </row>
    <row r="322">
      <c r="A322" s="5"/>
      <c r="B322" s="6"/>
      <c r="C322" s="14" t="str">
        <f>iferror(vlookup(B322,'📦 ชื่อสินค้า'!A:C,2,false),)</f>
        <v/>
      </c>
      <c r="D322" s="11" t="str">
        <f>iferror(vlookup(B322,'📦 ชื่อสินค้า'!A:D,4,false),"")</f>
        <v/>
      </c>
      <c r="E322" s="16"/>
      <c r="F322" s="6"/>
      <c r="G322" s="8" t="str">
        <f t="shared" si="1"/>
        <v/>
      </c>
      <c r="H322" s="11" t="str">
        <f t="shared" si="2"/>
        <v/>
      </c>
      <c r="I322" s="13"/>
    </row>
    <row r="323">
      <c r="A323" s="5"/>
      <c r="B323" s="6"/>
      <c r="C323" s="14" t="str">
        <f>iferror(vlookup(B323,'📦 ชื่อสินค้า'!A:C,2,false),)</f>
        <v/>
      </c>
      <c r="D323" s="11" t="str">
        <f>iferror(vlookup(B323,'📦 ชื่อสินค้า'!A:D,4,false),"")</f>
        <v/>
      </c>
      <c r="E323" s="16"/>
      <c r="F323" s="6"/>
      <c r="G323" s="8" t="str">
        <f t="shared" si="1"/>
        <v/>
      </c>
      <c r="H323" s="11" t="str">
        <f t="shared" si="2"/>
        <v/>
      </c>
      <c r="I323" s="13"/>
    </row>
    <row r="324">
      <c r="A324" s="5"/>
      <c r="B324" s="6"/>
      <c r="C324" s="14" t="str">
        <f>iferror(vlookup(B324,'📦 ชื่อสินค้า'!A:C,2,false),)</f>
        <v/>
      </c>
      <c r="D324" s="11" t="str">
        <f>iferror(vlookup(B324,'📦 ชื่อสินค้า'!A:D,4,false),"")</f>
        <v/>
      </c>
      <c r="E324" s="16"/>
      <c r="F324" s="6"/>
      <c r="G324" s="8" t="str">
        <f t="shared" si="1"/>
        <v/>
      </c>
      <c r="H324" s="11" t="str">
        <f t="shared" si="2"/>
        <v/>
      </c>
      <c r="I324" s="13"/>
    </row>
    <row r="325">
      <c r="A325" s="5"/>
      <c r="B325" s="6"/>
      <c r="C325" s="14" t="str">
        <f>iferror(vlookup(B325,'📦 ชื่อสินค้า'!A:C,2,false),)</f>
        <v/>
      </c>
      <c r="D325" s="11" t="str">
        <f>iferror(vlookup(B325,'📦 ชื่อสินค้า'!A:D,4,false),"")</f>
        <v/>
      </c>
      <c r="E325" s="16"/>
      <c r="F325" s="6"/>
      <c r="G325" s="8" t="str">
        <f t="shared" si="1"/>
        <v/>
      </c>
      <c r="H325" s="11" t="str">
        <f t="shared" si="2"/>
        <v/>
      </c>
      <c r="I325" s="13"/>
    </row>
    <row r="326">
      <c r="A326" s="5"/>
      <c r="B326" s="6"/>
      <c r="C326" s="14" t="str">
        <f>iferror(vlookup(B326,'📦 ชื่อสินค้า'!A:C,2,false),)</f>
        <v/>
      </c>
      <c r="D326" s="11" t="str">
        <f>iferror(vlookup(B326,'📦 ชื่อสินค้า'!A:D,4,false),"")</f>
        <v/>
      </c>
      <c r="E326" s="16"/>
      <c r="F326" s="6"/>
      <c r="G326" s="8" t="str">
        <f t="shared" si="1"/>
        <v/>
      </c>
      <c r="H326" s="11" t="str">
        <f t="shared" si="2"/>
        <v/>
      </c>
      <c r="I326" s="13"/>
    </row>
    <row r="327">
      <c r="A327" s="5"/>
      <c r="B327" s="6"/>
      <c r="C327" s="14" t="str">
        <f>iferror(vlookup(B327,'📦 ชื่อสินค้า'!A:C,2,false),)</f>
        <v/>
      </c>
      <c r="D327" s="11" t="str">
        <f>iferror(vlookup(B327,'📦 ชื่อสินค้า'!A:D,4,false),"")</f>
        <v/>
      </c>
      <c r="E327" s="16"/>
      <c r="F327" s="6"/>
      <c r="G327" s="8" t="str">
        <f t="shared" si="1"/>
        <v/>
      </c>
      <c r="H327" s="11" t="str">
        <f t="shared" si="2"/>
        <v/>
      </c>
      <c r="I327" s="13"/>
    </row>
    <row r="328">
      <c r="A328" s="5"/>
      <c r="B328" s="6"/>
      <c r="C328" s="14" t="str">
        <f>iferror(vlookup(B328,'📦 ชื่อสินค้า'!A:C,2,false),)</f>
        <v/>
      </c>
      <c r="D328" s="11" t="str">
        <f>iferror(vlookup(B328,'📦 ชื่อสินค้า'!A:D,4,false),"")</f>
        <v/>
      </c>
      <c r="E328" s="16"/>
      <c r="F328" s="6"/>
      <c r="G328" s="8" t="str">
        <f t="shared" si="1"/>
        <v/>
      </c>
      <c r="H328" s="11" t="str">
        <f t="shared" si="2"/>
        <v/>
      </c>
      <c r="I328" s="13"/>
    </row>
    <row r="329">
      <c r="A329" s="5"/>
      <c r="B329" s="6"/>
      <c r="C329" s="14" t="str">
        <f>iferror(vlookup(B329,'📦 ชื่อสินค้า'!A:C,2,false),)</f>
        <v/>
      </c>
      <c r="D329" s="11" t="str">
        <f>iferror(vlookup(B329,'📦 ชื่อสินค้า'!A:D,4,false),"")</f>
        <v/>
      </c>
      <c r="E329" s="16"/>
      <c r="F329" s="6"/>
      <c r="G329" s="8" t="str">
        <f t="shared" si="1"/>
        <v/>
      </c>
      <c r="H329" s="11" t="str">
        <f t="shared" si="2"/>
        <v/>
      </c>
      <c r="I329" s="13"/>
    </row>
    <row r="330">
      <c r="A330" s="5"/>
      <c r="B330" s="6"/>
      <c r="C330" s="14" t="str">
        <f>iferror(vlookup(B330,'📦 ชื่อสินค้า'!A:C,2,false),)</f>
        <v/>
      </c>
      <c r="D330" s="11" t="str">
        <f>iferror(vlookup(B330,'📦 ชื่อสินค้า'!A:D,4,false),"")</f>
        <v/>
      </c>
      <c r="E330" s="16"/>
      <c r="F330" s="6"/>
      <c r="G330" s="8" t="str">
        <f t="shared" si="1"/>
        <v/>
      </c>
      <c r="H330" s="11" t="str">
        <f t="shared" si="2"/>
        <v/>
      </c>
      <c r="I330" s="13"/>
    </row>
    <row r="331">
      <c r="A331" s="5"/>
      <c r="B331" s="6"/>
      <c r="C331" s="14" t="str">
        <f>iferror(vlookup(B331,'📦 ชื่อสินค้า'!A:C,2,false),)</f>
        <v/>
      </c>
      <c r="D331" s="11" t="str">
        <f>iferror(vlookup(B331,'📦 ชื่อสินค้า'!A:D,4,false),"")</f>
        <v/>
      </c>
      <c r="E331" s="16"/>
      <c r="F331" s="6"/>
      <c r="G331" s="8" t="str">
        <f t="shared" si="1"/>
        <v/>
      </c>
      <c r="H331" s="11" t="str">
        <f t="shared" si="2"/>
        <v/>
      </c>
      <c r="I331" s="13"/>
    </row>
    <row r="332">
      <c r="A332" s="5"/>
      <c r="B332" s="6"/>
      <c r="C332" s="14" t="str">
        <f>iferror(vlookup(B332,'📦 ชื่อสินค้า'!A:C,2,false),)</f>
        <v/>
      </c>
      <c r="D332" s="11" t="str">
        <f>iferror(vlookup(B332,'📦 ชื่อสินค้า'!A:D,4,false),"")</f>
        <v/>
      </c>
      <c r="E332" s="16"/>
      <c r="F332" s="6"/>
      <c r="G332" s="8" t="str">
        <f t="shared" si="1"/>
        <v/>
      </c>
      <c r="H332" s="11" t="str">
        <f t="shared" si="2"/>
        <v/>
      </c>
      <c r="I332" s="13"/>
    </row>
    <row r="333">
      <c r="A333" s="5"/>
      <c r="B333" s="6"/>
      <c r="C333" s="14" t="str">
        <f>iferror(vlookup(B333,'📦 ชื่อสินค้า'!A:C,2,false),)</f>
        <v/>
      </c>
      <c r="D333" s="11" t="str">
        <f>iferror(vlookup(B333,'📦 ชื่อสินค้า'!A:D,4,false),"")</f>
        <v/>
      </c>
      <c r="E333" s="16"/>
      <c r="F333" s="6"/>
      <c r="G333" s="8" t="str">
        <f t="shared" si="1"/>
        <v/>
      </c>
      <c r="H333" s="11" t="str">
        <f t="shared" si="2"/>
        <v/>
      </c>
      <c r="I333" s="13"/>
    </row>
    <row r="334">
      <c r="A334" s="5"/>
      <c r="B334" s="6"/>
      <c r="C334" s="14" t="str">
        <f>iferror(vlookup(B334,'📦 ชื่อสินค้า'!A:C,2,false),)</f>
        <v/>
      </c>
      <c r="D334" s="11" t="str">
        <f>iferror(vlookup(B334,'📦 ชื่อสินค้า'!A:D,4,false),"")</f>
        <v/>
      </c>
      <c r="E334" s="16"/>
      <c r="F334" s="6"/>
      <c r="G334" s="8" t="str">
        <f t="shared" si="1"/>
        <v/>
      </c>
      <c r="H334" s="11" t="str">
        <f t="shared" si="2"/>
        <v/>
      </c>
      <c r="I334" s="13"/>
    </row>
    <row r="335">
      <c r="A335" s="5"/>
      <c r="B335" s="6"/>
      <c r="C335" s="14" t="str">
        <f>iferror(vlookup(B335,'📦 ชื่อสินค้า'!A:C,2,false),)</f>
        <v/>
      </c>
      <c r="D335" s="11" t="str">
        <f>iferror(vlookup(B335,'📦 ชื่อสินค้า'!A:D,4,false),"")</f>
        <v/>
      </c>
      <c r="E335" s="16"/>
      <c r="F335" s="6"/>
      <c r="G335" s="8" t="str">
        <f t="shared" si="1"/>
        <v/>
      </c>
      <c r="H335" s="11" t="str">
        <f t="shared" si="2"/>
        <v/>
      </c>
      <c r="I335" s="13"/>
    </row>
    <row r="336">
      <c r="A336" s="5"/>
      <c r="B336" s="6"/>
      <c r="C336" s="14" t="str">
        <f>iferror(vlookup(B336,'📦 ชื่อสินค้า'!A:C,2,false),)</f>
        <v/>
      </c>
      <c r="D336" s="11" t="str">
        <f>iferror(vlookup(B336,'📦 ชื่อสินค้า'!A:D,4,false),"")</f>
        <v/>
      </c>
      <c r="E336" s="16"/>
      <c r="F336" s="6"/>
      <c r="G336" s="8" t="str">
        <f t="shared" si="1"/>
        <v/>
      </c>
      <c r="H336" s="11" t="str">
        <f t="shared" si="2"/>
        <v/>
      </c>
      <c r="I336" s="13"/>
    </row>
    <row r="337">
      <c r="A337" s="5"/>
      <c r="B337" s="6"/>
      <c r="C337" s="14" t="str">
        <f>iferror(vlookup(B337,'📦 ชื่อสินค้า'!A:C,2,false),)</f>
        <v/>
      </c>
      <c r="D337" s="11" t="str">
        <f>iferror(vlookup(B337,'📦 ชื่อสินค้า'!A:D,4,false),"")</f>
        <v/>
      </c>
      <c r="E337" s="16"/>
      <c r="F337" s="6"/>
      <c r="G337" s="8" t="str">
        <f t="shared" si="1"/>
        <v/>
      </c>
      <c r="H337" s="11" t="str">
        <f t="shared" si="2"/>
        <v/>
      </c>
      <c r="I337" s="13"/>
    </row>
    <row r="338">
      <c r="A338" s="5"/>
      <c r="B338" s="6"/>
      <c r="C338" s="14" t="str">
        <f>iferror(vlookup(B338,'📦 ชื่อสินค้า'!A:C,2,false),)</f>
        <v/>
      </c>
      <c r="D338" s="11" t="str">
        <f>iferror(vlookup(B338,'📦 ชื่อสินค้า'!A:D,4,false),"")</f>
        <v/>
      </c>
      <c r="E338" s="16"/>
      <c r="F338" s="6"/>
      <c r="G338" s="8" t="str">
        <f t="shared" si="1"/>
        <v/>
      </c>
      <c r="H338" s="11" t="str">
        <f t="shared" si="2"/>
        <v/>
      </c>
      <c r="I338" s="13"/>
    </row>
    <row r="339">
      <c r="A339" s="5"/>
      <c r="B339" s="6"/>
      <c r="C339" s="14" t="str">
        <f>iferror(vlookup(B339,'📦 ชื่อสินค้า'!A:C,2,false),)</f>
        <v/>
      </c>
      <c r="D339" s="11" t="str">
        <f>iferror(vlookup(B339,'📦 ชื่อสินค้า'!A:D,4,false),"")</f>
        <v/>
      </c>
      <c r="E339" s="16"/>
      <c r="F339" s="6"/>
      <c r="G339" s="8" t="str">
        <f t="shared" si="1"/>
        <v/>
      </c>
      <c r="H339" s="11" t="str">
        <f t="shared" si="2"/>
        <v/>
      </c>
      <c r="I339" s="13"/>
    </row>
    <row r="340">
      <c r="A340" s="5"/>
      <c r="B340" s="6"/>
      <c r="C340" s="14" t="str">
        <f>iferror(vlookup(B340,'📦 ชื่อสินค้า'!A:C,2,false),)</f>
        <v/>
      </c>
      <c r="D340" s="11" t="str">
        <f>iferror(vlookup(B340,'📦 ชื่อสินค้า'!A:D,4,false),"")</f>
        <v/>
      </c>
      <c r="E340" s="16"/>
      <c r="F340" s="6"/>
      <c r="G340" s="8" t="str">
        <f t="shared" si="1"/>
        <v/>
      </c>
      <c r="H340" s="11" t="str">
        <f t="shared" si="2"/>
        <v/>
      </c>
      <c r="I340" s="13"/>
    </row>
    <row r="341">
      <c r="A341" s="5"/>
      <c r="B341" s="6"/>
      <c r="C341" s="14" t="str">
        <f>iferror(vlookup(B341,'📦 ชื่อสินค้า'!A:C,2,false),)</f>
        <v/>
      </c>
      <c r="D341" s="11" t="str">
        <f>iferror(vlookup(B341,'📦 ชื่อสินค้า'!A:D,4,false),"")</f>
        <v/>
      </c>
      <c r="E341" s="16"/>
      <c r="F341" s="6"/>
      <c r="G341" s="8" t="str">
        <f t="shared" si="1"/>
        <v/>
      </c>
      <c r="H341" s="11" t="str">
        <f t="shared" si="2"/>
        <v/>
      </c>
      <c r="I341" s="13"/>
    </row>
    <row r="342">
      <c r="A342" s="5"/>
      <c r="B342" s="6"/>
      <c r="C342" s="14" t="str">
        <f>iferror(vlookup(B342,'📦 ชื่อสินค้า'!A:C,2,false),)</f>
        <v/>
      </c>
      <c r="D342" s="11" t="str">
        <f>iferror(vlookup(B342,'📦 ชื่อสินค้า'!A:D,4,false),"")</f>
        <v/>
      </c>
      <c r="E342" s="16"/>
      <c r="F342" s="6"/>
      <c r="G342" s="8" t="str">
        <f t="shared" si="1"/>
        <v/>
      </c>
      <c r="H342" s="11" t="str">
        <f t="shared" si="2"/>
        <v/>
      </c>
      <c r="I342" s="13"/>
    </row>
    <row r="343">
      <c r="A343" s="5"/>
      <c r="B343" s="6"/>
      <c r="C343" s="14" t="str">
        <f>iferror(vlookup(B343,'📦 ชื่อสินค้า'!A:C,2,false),)</f>
        <v/>
      </c>
      <c r="D343" s="11" t="str">
        <f>iferror(vlookup(B343,'📦 ชื่อสินค้า'!A:D,4,false),"")</f>
        <v/>
      </c>
      <c r="E343" s="16"/>
      <c r="F343" s="6"/>
      <c r="G343" s="8" t="str">
        <f t="shared" si="1"/>
        <v/>
      </c>
      <c r="H343" s="11" t="str">
        <f t="shared" si="2"/>
        <v/>
      </c>
      <c r="I343" s="13"/>
    </row>
    <row r="344">
      <c r="A344" s="5"/>
      <c r="B344" s="6"/>
      <c r="C344" s="14" t="str">
        <f>iferror(vlookup(B344,'📦 ชื่อสินค้า'!A:C,2,false),)</f>
        <v/>
      </c>
      <c r="D344" s="11" t="str">
        <f>iferror(vlookup(B344,'📦 ชื่อสินค้า'!A:D,4,false),"")</f>
        <v/>
      </c>
      <c r="E344" s="16"/>
      <c r="F344" s="6"/>
      <c r="G344" s="8" t="str">
        <f t="shared" si="1"/>
        <v/>
      </c>
      <c r="H344" s="11" t="str">
        <f t="shared" si="2"/>
        <v/>
      </c>
      <c r="I344" s="13"/>
    </row>
    <row r="345">
      <c r="A345" s="5"/>
      <c r="B345" s="6"/>
      <c r="C345" s="14" t="str">
        <f>iferror(vlookup(B345,'📦 ชื่อสินค้า'!A:C,2,false),)</f>
        <v/>
      </c>
      <c r="D345" s="11" t="str">
        <f>iferror(vlookup(B345,'📦 ชื่อสินค้า'!A:D,4,false),"")</f>
        <v/>
      </c>
      <c r="E345" s="16"/>
      <c r="F345" s="6"/>
      <c r="G345" s="8" t="str">
        <f t="shared" si="1"/>
        <v/>
      </c>
      <c r="H345" s="11" t="str">
        <f t="shared" si="2"/>
        <v/>
      </c>
      <c r="I345" s="13"/>
    </row>
    <row r="346">
      <c r="A346" s="5"/>
      <c r="B346" s="6"/>
      <c r="C346" s="14" t="str">
        <f>iferror(vlookup(B346,'📦 ชื่อสินค้า'!A:C,2,false),)</f>
        <v/>
      </c>
      <c r="D346" s="11" t="str">
        <f>iferror(vlookup(B346,'📦 ชื่อสินค้า'!A:D,4,false),"")</f>
        <v/>
      </c>
      <c r="E346" s="16"/>
      <c r="F346" s="6"/>
      <c r="G346" s="8" t="str">
        <f t="shared" si="1"/>
        <v/>
      </c>
      <c r="H346" s="11" t="str">
        <f t="shared" si="2"/>
        <v/>
      </c>
      <c r="I346" s="13"/>
    </row>
    <row r="347">
      <c r="A347" s="5"/>
      <c r="B347" s="6"/>
      <c r="C347" s="14" t="str">
        <f>iferror(vlookup(B347,'📦 ชื่อสินค้า'!A:C,2,false),)</f>
        <v/>
      </c>
      <c r="D347" s="11" t="str">
        <f>iferror(vlookup(B347,'📦 ชื่อสินค้า'!A:D,4,false),"")</f>
        <v/>
      </c>
      <c r="E347" s="16"/>
      <c r="F347" s="6"/>
      <c r="G347" s="8" t="str">
        <f t="shared" si="1"/>
        <v/>
      </c>
      <c r="H347" s="11" t="str">
        <f t="shared" si="2"/>
        <v/>
      </c>
      <c r="I347" s="13"/>
    </row>
    <row r="348">
      <c r="A348" s="5"/>
      <c r="B348" s="6"/>
      <c r="C348" s="14" t="str">
        <f>iferror(vlookup(B348,'📦 ชื่อสินค้า'!A:C,2,false),)</f>
        <v/>
      </c>
      <c r="D348" s="11" t="str">
        <f>iferror(vlookup(B348,'📦 ชื่อสินค้า'!A:D,4,false),"")</f>
        <v/>
      </c>
      <c r="E348" s="16"/>
      <c r="F348" s="6"/>
      <c r="G348" s="8" t="str">
        <f t="shared" si="1"/>
        <v/>
      </c>
      <c r="H348" s="11" t="str">
        <f t="shared" si="2"/>
        <v/>
      </c>
      <c r="I348" s="13"/>
    </row>
    <row r="349">
      <c r="A349" s="5"/>
      <c r="B349" s="6"/>
      <c r="C349" s="14" t="str">
        <f>iferror(vlookup(B349,'📦 ชื่อสินค้า'!A:C,2,false),)</f>
        <v/>
      </c>
      <c r="D349" s="11" t="str">
        <f>iferror(vlookup(B349,'📦 ชื่อสินค้า'!A:D,4,false),"")</f>
        <v/>
      </c>
      <c r="E349" s="16"/>
      <c r="F349" s="6"/>
      <c r="G349" s="8" t="str">
        <f t="shared" si="1"/>
        <v/>
      </c>
      <c r="H349" s="11" t="str">
        <f t="shared" si="2"/>
        <v/>
      </c>
      <c r="I349" s="13"/>
    </row>
    <row r="350">
      <c r="A350" s="5"/>
      <c r="B350" s="6"/>
      <c r="C350" s="14" t="str">
        <f>iferror(vlookup(B350,'📦 ชื่อสินค้า'!A:C,2,false),)</f>
        <v/>
      </c>
      <c r="D350" s="11" t="str">
        <f>iferror(vlookup(B350,'📦 ชื่อสินค้า'!A:D,4,false),"")</f>
        <v/>
      </c>
      <c r="E350" s="16"/>
      <c r="F350" s="6"/>
      <c r="G350" s="8" t="str">
        <f t="shared" si="1"/>
        <v/>
      </c>
      <c r="H350" s="11" t="str">
        <f t="shared" si="2"/>
        <v/>
      </c>
      <c r="I350" s="13"/>
    </row>
    <row r="351">
      <c r="A351" s="5"/>
      <c r="B351" s="6"/>
      <c r="C351" s="14" t="str">
        <f>iferror(vlookup(B351,'📦 ชื่อสินค้า'!A:C,2,false),)</f>
        <v/>
      </c>
      <c r="D351" s="11" t="str">
        <f>iferror(vlookup(B351,'📦 ชื่อสินค้า'!A:D,4,false),"")</f>
        <v/>
      </c>
      <c r="E351" s="16"/>
      <c r="F351" s="6"/>
      <c r="G351" s="8" t="str">
        <f t="shared" si="1"/>
        <v/>
      </c>
      <c r="H351" s="11" t="str">
        <f t="shared" si="2"/>
        <v/>
      </c>
      <c r="I351" s="13"/>
    </row>
    <row r="352">
      <c r="A352" s="5"/>
      <c r="B352" s="6"/>
      <c r="C352" s="14" t="str">
        <f>iferror(vlookup(B352,'📦 ชื่อสินค้า'!A:C,2,false),)</f>
        <v/>
      </c>
      <c r="D352" s="11" t="str">
        <f>iferror(vlookup(B352,'📦 ชื่อสินค้า'!A:D,4,false),"")</f>
        <v/>
      </c>
      <c r="E352" s="16"/>
      <c r="F352" s="6"/>
      <c r="G352" s="8" t="str">
        <f t="shared" si="1"/>
        <v/>
      </c>
      <c r="H352" s="11" t="str">
        <f t="shared" si="2"/>
        <v/>
      </c>
      <c r="I352" s="13"/>
    </row>
    <row r="353">
      <c r="A353" s="5"/>
      <c r="B353" s="6"/>
      <c r="C353" s="14" t="str">
        <f>iferror(vlookup(B353,'📦 ชื่อสินค้า'!A:C,2,false),)</f>
        <v/>
      </c>
      <c r="D353" s="11" t="str">
        <f>iferror(vlookup(B353,'📦 ชื่อสินค้า'!A:D,4,false),"")</f>
        <v/>
      </c>
      <c r="E353" s="16"/>
      <c r="F353" s="6"/>
      <c r="G353" s="8" t="str">
        <f t="shared" si="1"/>
        <v/>
      </c>
      <c r="H353" s="11" t="str">
        <f t="shared" si="2"/>
        <v/>
      </c>
      <c r="I353" s="13"/>
    </row>
    <row r="354">
      <c r="A354" s="5"/>
      <c r="B354" s="6"/>
      <c r="C354" s="14" t="str">
        <f>iferror(vlookup(B354,'📦 ชื่อสินค้า'!A:C,2,false),)</f>
        <v/>
      </c>
      <c r="D354" s="11" t="str">
        <f>iferror(vlookup(B354,'📦 ชื่อสินค้า'!A:D,4,false),"")</f>
        <v/>
      </c>
      <c r="E354" s="16"/>
      <c r="F354" s="6"/>
      <c r="G354" s="8" t="str">
        <f t="shared" si="1"/>
        <v/>
      </c>
      <c r="H354" s="11" t="str">
        <f t="shared" si="2"/>
        <v/>
      </c>
      <c r="I354" s="13"/>
    </row>
    <row r="355">
      <c r="A355" s="5"/>
      <c r="B355" s="6"/>
      <c r="C355" s="14" t="str">
        <f>iferror(vlookup(B355,'📦 ชื่อสินค้า'!A:C,2,false),)</f>
        <v/>
      </c>
      <c r="D355" s="11" t="str">
        <f>iferror(vlookup(B355,'📦 ชื่อสินค้า'!A:D,4,false),"")</f>
        <v/>
      </c>
      <c r="E355" s="16"/>
      <c r="F355" s="6"/>
      <c r="G355" s="8" t="str">
        <f t="shared" si="1"/>
        <v/>
      </c>
      <c r="H355" s="11" t="str">
        <f t="shared" si="2"/>
        <v/>
      </c>
      <c r="I355" s="13"/>
    </row>
    <row r="356">
      <c r="A356" s="5"/>
      <c r="B356" s="6"/>
      <c r="C356" s="14" t="str">
        <f>iferror(vlookup(B356,'📦 ชื่อสินค้า'!A:C,2,false),)</f>
        <v/>
      </c>
      <c r="D356" s="11" t="str">
        <f>iferror(vlookup(B356,'📦 ชื่อสินค้า'!A:D,4,false),"")</f>
        <v/>
      </c>
      <c r="E356" s="16"/>
      <c r="F356" s="6"/>
      <c r="G356" s="8" t="str">
        <f t="shared" si="1"/>
        <v/>
      </c>
      <c r="H356" s="11" t="str">
        <f t="shared" si="2"/>
        <v/>
      </c>
      <c r="I356" s="13"/>
    </row>
    <row r="357">
      <c r="A357" s="5"/>
      <c r="B357" s="6"/>
      <c r="C357" s="14" t="str">
        <f>iferror(vlookup(B357,'📦 ชื่อสินค้า'!A:C,2,false),)</f>
        <v/>
      </c>
      <c r="D357" s="11" t="str">
        <f>iferror(vlookup(B357,'📦 ชื่อสินค้า'!A:D,4,false),"")</f>
        <v/>
      </c>
      <c r="E357" s="16"/>
      <c r="F357" s="6"/>
      <c r="G357" s="8" t="str">
        <f t="shared" si="1"/>
        <v/>
      </c>
      <c r="H357" s="11" t="str">
        <f t="shared" si="2"/>
        <v/>
      </c>
      <c r="I357" s="13"/>
    </row>
    <row r="358">
      <c r="A358" s="5"/>
      <c r="B358" s="6"/>
      <c r="C358" s="14" t="str">
        <f>iferror(vlookup(B358,'📦 ชื่อสินค้า'!A:C,2,false),)</f>
        <v/>
      </c>
      <c r="D358" s="11" t="str">
        <f>iferror(vlookup(B358,'📦 ชื่อสินค้า'!A:D,4,false),"")</f>
        <v/>
      </c>
      <c r="E358" s="16"/>
      <c r="F358" s="6"/>
      <c r="G358" s="8" t="str">
        <f t="shared" si="1"/>
        <v/>
      </c>
      <c r="H358" s="11" t="str">
        <f t="shared" si="2"/>
        <v/>
      </c>
      <c r="I358" s="13"/>
    </row>
    <row r="359">
      <c r="A359" s="5"/>
      <c r="B359" s="6"/>
      <c r="C359" s="14" t="str">
        <f>iferror(vlookup(B359,'📦 ชื่อสินค้า'!A:C,2,false),)</f>
        <v/>
      </c>
      <c r="D359" s="11" t="str">
        <f>iferror(vlookup(B359,'📦 ชื่อสินค้า'!A:D,4,false),"")</f>
        <v/>
      </c>
      <c r="E359" s="16"/>
      <c r="F359" s="6"/>
      <c r="G359" s="8" t="str">
        <f t="shared" si="1"/>
        <v/>
      </c>
      <c r="H359" s="11" t="str">
        <f t="shared" si="2"/>
        <v/>
      </c>
      <c r="I359" s="13"/>
    </row>
    <row r="360">
      <c r="A360" s="5"/>
      <c r="B360" s="6"/>
      <c r="C360" s="14" t="str">
        <f>iferror(vlookup(B360,'📦 ชื่อสินค้า'!A:C,2,false),)</f>
        <v/>
      </c>
      <c r="D360" s="11" t="str">
        <f>iferror(vlookup(B360,'📦 ชื่อสินค้า'!A:D,4,false),"")</f>
        <v/>
      </c>
      <c r="E360" s="16"/>
      <c r="F360" s="6"/>
      <c r="G360" s="8" t="str">
        <f t="shared" si="1"/>
        <v/>
      </c>
      <c r="H360" s="11" t="str">
        <f t="shared" si="2"/>
        <v/>
      </c>
      <c r="I360" s="13"/>
    </row>
    <row r="361">
      <c r="A361" s="5"/>
      <c r="B361" s="6"/>
      <c r="C361" s="14" t="str">
        <f>iferror(vlookup(B361,'📦 ชื่อสินค้า'!A:C,2,false),)</f>
        <v/>
      </c>
      <c r="D361" s="11" t="str">
        <f>iferror(vlookup(B361,'📦 ชื่อสินค้า'!A:D,4,false),"")</f>
        <v/>
      </c>
      <c r="E361" s="16"/>
      <c r="F361" s="6"/>
      <c r="G361" s="8" t="str">
        <f t="shared" si="1"/>
        <v/>
      </c>
      <c r="H361" s="11" t="str">
        <f t="shared" si="2"/>
        <v/>
      </c>
      <c r="I361" s="13"/>
    </row>
    <row r="362">
      <c r="A362" s="5"/>
      <c r="B362" s="6"/>
      <c r="C362" s="14" t="str">
        <f>iferror(vlookup(B362,'📦 ชื่อสินค้า'!A:C,2,false),)</f>
        <v/>
      </c>
      <c r="D362" s="11" t="str">
        <f>iferror(vlookup(B362,'📦 ชื่อสินค้า'!A:D,4,false),"")</f>
        <v/>
      </c>
      <c r="E362" s="16"/>
      <c r="F362" s="6"/>
      <c r="G362" s="8" t="str">
        <f t="shared" si="1"/>
        <v/>
      </c>
      <c r="H362" s="11" t="str">
        <f t="shared" si="2"/>
        <v/>
      </c>
      <c r="I362" s="13"/>
    </row>
    <row r="363">
      <c r="A363" s="5"/>
      <c r="B363" s="6"/>
      <c r="C363" s="14" t="str">
        <f>iferror(vlookup(B363,'📦 ชื่อสินค้า'!A:C,2,false),)</f>
        <v/>
      </c>
      <c r="D363" s="11" t="str">
        <f>iferror(vlookup(B363,'📦 ชื่อสินค้า'!A:D,4,false),"")</f>
        <v/>
      </c>
      <c r="E363" s="16"/>
      <c r="F363" s="6"/>
      <c r="G363" s="8" t="str">
        <f t="shared" si="1"/>
        <v/>
      </c>
      <c r="H363" s="11" t="str">
        <f t="shared" si="2"/>
        <v/>
      </c>
      <c r="I363" s="13"/>
    </row>
    <row r="364">
      <c r="A364" s="5"/>
      <c r="B364" s="6"/>
      <c r="C364" s="14" t="str">
        <f>iferror(vlookup(B364,'📦 ชื่อสินค้า'!A:C,2,false),)</f>
        <v/>
      </c>
      <c r="D364" s="11" t="str">
        <f>iferror(vlookup(B364,'📦 ชื่อสินค้า'!A:D,4,false),"")</f>
        <v/>
      </c>
      <c r="E364" s="16"/>
      <c r="F364" s="6"/>
      <c r="G364" s="8" t="str">
        <f t="shared" si="1"/>
        <v/>
      </c>
      <c r="H364" s="11" t="str">
        <f t="shared" si="2"/>
        <v/>
      </c>
      <c r="I364" s="13"/>
    </row>
    <row r="365">
      <c r="A365" s="5"/>
      <c r="B365" s="6"/>
      <c r="C365" s="14" t="str">
        <f>iferror(vlookup(B365,'📦 ชื่อสินค้า'!A:C,2,false),)</f>
        <v/>
      </c>
      <c r="D365" s="11" t="str">
        <f>iferror(vlookup(B365,'📦 ชื่อสินค้า'!A:D,4,false),"")</f>
        <v/>
      </c>
      <c r="E365" s="16"/>
      <c r="F365" s="6"/>
      <c r="G365" s="8" t="str">
        <f t="shared" si="1"/>
        <v/>
      </c>
      <c r="H365" s="11" t="str">
        <f t="shared" si="2"/>
        <v/>
      </c>
      <c r="I365" s="13"/>
    </row>
    <row r="366">
      <c r="A366" s="5"/>
      <c r="B366" s="6"/>
      <c r="C366" s="14" t="str">
        <f>iferror(vlookup(B366,'📦 ชื่อสินค้า'!A:C,2,false),)</f>
        <v/>
      </c>
      <c r="D366" s="11" t="str">
        <f>iferror(vlookup(B366,'📦 ชื่อสินค้า'!A:D,4,false),"")</f>
        <v/>
      </c>
      <c r="E366" s="16"/>
      <c r="F366" s="6"/>
      <c r="G366" s="8" t="str">
        <f t="shared" si="1"/>
        <v/>
      </c>
      <c r="H366" s="11" t="str">
        <f t="shared" si="2"/>
        <v/>
      </c>
      <c r="I366" s="13"/>
    </row>
    <row r="367">
      <c r="A367" s="5"/>
      <c r="B367" s="6"/>
      <c r="C367" s="14" t="str">
        <f>iferror(vlookup(B367,'📦 ชื่อสินค้า'!A:C,2,false),)</f>
        <v/>
      </c>
      <c r="D367" s="11" t="str">
        <f>iferror(vlookup(B367,'📦 ชื่อสินค้า'!A:D,4,false),"")</f>
        <v/>
      </c>
      <c r="E367" s="16"/>
      <c r="F367" s="6"/>
      <c r="G367" s="8" t="str">
        <f t="shared" si="1"/>
        <v/>
      </c>
      <c r="H367" s="11" t="str">
        <f t="shared" si="2"/>
        <v/>
      </c>
      <c r="I367" s="13"/>
    </row>
    <row r="368">
      <c r="A368" s="5"/>
      <c r="B368" s="6"/>
      <c r="C368" s="14" t="str">
        <f>iferror(vlookup(B368,'📦 ชื่อสินค้า'!A:C,2,false),)</f>
        <v/>
      </c>
      <c r="D368" s="11" t="str">
        <f>iferror(vlookup(B368,'📦 ชื่อสินค้า'!A:D,4,false),"")</f>
        <v/>
      </c>
      <c r="E368" s="16"/>
      <c r="F368" s="6"/>
      <c r="G368" s="8" t="str">
        <f t="shared" si="1"/>
        <v/>
      </c>
      <c r="H368" s="11" t="str">
        <f t="shared" si="2"/>
        <v/>
      </c>
      <c r="I368" s="13"/>
    </row>
    <row r="369">
      <c r="A369" s="5"/>
      <c r="B369" s="6"/>
      <c r="C369" s="14" t="str">
        <f>iferror(vlookup(B369,'📦 ชื่อสินค้า'!A:C,2,false),)</f>
        <v/>
      </c>
      <c r="D369" s="11" t="str">
        <f>iferror(vlookup(B369,'📦 ชื่อสินค้า'!A:D,4,false),"")</f>
        <v/>
      </c>
      <c r="E369" s="16"/>
      <c r="F369" s="6"/>
      <c r="G369" s="8" t="str">
        <f t="shared" si="1"/>
        <v/>
      </c>
      <c r="H369" s="11" t="str">
        <f t="shared" si="2"/>
        <v/>
      </c>
      <c r="I369" s="13"/>
    </row>
    <row r="370">
      <c r="A370" s="5"/>
      <c r="B370" s="6"/>
      <c r="C370" s="14" t="str">
        <f>iferror(vlookup(B370,'📦 ชื่อสินค้า'!A:C,2,false),)</f>
        <v/>
      </c>
      <c r="D370" s="11" t="str">
        <f>iferror(vlookup(B370,'📦 ชื่อสินค้า'!A:D,4,false),"")</f>
        <v/>
      </c>
      <c r="E370" s="16"/>
      <c r="F370" s="6"/>
      <c r="G370" s="8" t="str">
        <f t="shared" si="1"/>
        <v/>
      </c>
      <c r="H370" s="11" t="str">
        <f t="shared" si="2"/>
        <v/>
      </c>
      <c r="I370" s="13"/>
    </row>
    <row r="371">
      <c r="A371" s="5"/>
      <c r="B371" s="6"/>
      <c r="C371" s="14" t="str">
        <f>iferror(vlookup(B371,'📦 ชื่อสินค้า'!A:C,2,false),)</f>
        <v/>
      </c>
      <c r="D371" s="11" t="str">
        <f>iferror(vlookup(B371,'📦 ชื่อสินค้า'!A:D,4,false),"")</f>
        <v/>
      </c>
      <c r="E371" s="16"/>
      <c r="F371" s="6"/>
      <c r="G371" s="8" t="str">
        <f t="shared" si="1"/>
        <v/>
      </c>
      <c r="H371" s="11" t="str">
        <f t="shared" si="2"/>
        <v/>
      </c>
      <c r="I371" s="13"/>
    </row>
    <row r="372">
      <c r="A372" s="5"/>
      <c r="B372" s="6"/>
      <c r="C372" s="14" t="str">
        <f>iferror(vlookup(B372,'📦 ชื่อสินค้า'!A:C,2,false),)</f>
        <v/>
      </c>
      <c r="D372" s="11" t="str">
        <f>iferror(vlookup(B372,'📦 ชื่อสินค้า'!A:D,4,false),"")</f>
        <v/>
      </c>
      <c r="E372" s="16"/>
      <c r="F372" s="6"/>
      <c r="G372" s="8" t="str">
        <f t="shared" si="1"/>
        <v/>
      </c>
      <c r="H372" s="11" t="str">
        <f t="shared" si="2"/>
        <v/>
      </c>
      <c r="I372" s="13"/>
    </row>
    <row r="373">
      <c r="A373" s="5"/>
      <c r="B373" s="6"/>
      <c r="C373" s="14" t="str">
        <f>iferror(vlookup(B373,'📦 ชื่อสินค้า'!A:C,2,false),)</f>
        <v/>
      </c>
      <c r="D373" s="11" t="str">
        <f>iferror(vlookup(B373,'📦 ชื่อสินค้า'!A:D,4,false),"")</f>
        <v/>
      </c>
      <c r="E373" s="16"/>
      <c r="F373" s="6"/>
      <c r="G373" s="8" t="str">
        <f t="shared" si="1"/>
        <v/>
      </c>
      <c r="H373" s="11" t="str">
        <f t="shared" si="2"/>
        <v/>
      </c>
      <c r="I373" s="13"/>
    </row>
    <row r="374">
      <c r="A374" s="5"/>
      <c r="B374" s="6"/>
      <c r="C374" s="14" t="str">
        <f>iferror(vlookup(B374,'📦 ชื่อสินค้า'!A:C,2,false),)</f>
        <v/>
      </c>
      <c r="D374" s="11" t="str">
        <f>iferror(vlookup(B374,'📦 ชื่อสินค้า'!A:D,4,false),"")</f>
        <v/>
      </c>
      <c r="E374" s="16"/>
      <c r="F374" s="6"/>
      <c r="G374" s="8" t="str">
        <f t="shared" si="1"/>
        <v/>
      </c>
      <c r="H374" s="11" t="str">
        <f t="shared" si="2"/>
        <v/>
      </c>
      <c r="I374" s="13"/>
    </row>
    <row r="375">
      <c r="A375" s="5"/>
      <c r="B375" s="6"/>
      <c r="C375" s="14" t="str">
        <f>iferror(vlookup(B375,'📦 ชื่อสินค้า'!A:C,2,false),)</f>
        <v/>
      </c>
      <c r="D375" s="11" t="str">
        <f>iferror(vlookup(B375,'📦 ชื่อสินค้า'!A:D,4,false),"")</f>
        <v/>
      </c>
      <c r="E375" s="16"/>
      <c r="F375" s="6"/>
      <c r="G375" s="8" t="str">
        <f t="shared" si="1"/>
        <v/>
      </c>
      <c r="H375" s="11" t="str">
        <f t="shared" si="2"/>
        <v/>
      </c>
      <c r="I375" s="13"/>
    </row>
    <row r="376">
      <c r="A376" s="5"/>
      <c r="B376" s="6"/>
      <c r="C376" s="14" t="str">
        <f>iferror(vlookup(B376,'📦 ชื่อสินค้า'!A:C,2,false),)</f>
        <v/>
      </c>
      <c r="D376" s="11" t="str">
        <f>iferror(vlookup(B376,'📦 ชื่อสินค้า'!A:D,4,false),"")</f>
        <v/>
      </c>
      <c r="E376" s="16"/>
      <c r="F376" s="6"/>
      <c r="G376" s="8" t="str">
        <f t="shared" si="1"/>
        <v/>
      </c>
      <c r="H376" s="11" t="str">
        <f t="shared" si="2"/>
        <v/>
      </c>
      <c r="I376" s="13"/>
    </row>
    <row r="377">
      <c r="A377" s="5"/>
      <c r="B377" s="6"/>
      <c r="C377" s="14" t="str">
        <f>iferror(vlookup(B377,'📦 ชื่อสินค้า'!A:C,2,false),)</f>
        <v/>
      </c>
      <c r="D377" s="11" t="str">
        <f>iferror(vlookup(B377,'📦 ชื่อสินค้า'!A:D,4,false),"")</f>
        <v/>
      </c>
      <c r="E377" s="16"/>
      <c r="F377" s="6"/>
      <c r="G377" s="8" t="str">
        <f t="shared" si="1"/>
        <v/>
      </c>
      <c r="H377" s="11" t="str">
        <f t="shared" si="2"/>
        <v/>
      </c>
      <c r="I377" s="13"/>
    </row>
    <row r="378">
      <c r="A378" s="5"/>
      <c r="B378" s="6"/>
      <c r="C378" s="14" t="str">
        <f>iferror(vlookup(B378,'📦 ชื่อสินค้า'!A:C,2,false),)</f>
        <v/>
      </c>
      <c r="D378" s="11" t="str">
        <f>iferror(vlookup(B378,'📦 ชื่อสินค้า'!A:D,4,false),"")</f>
        <v/>
      </c>
      <c r="E378" s="16"/>
      <c r="F378" s="6"/>
      <c r="G378" s="8" t="str">
        <f t="shared" si="1"/>
        <v/>
      </c>
      <c r="H378" s="11" t="str">
        <f t="shared" si="2"/>
        <v/>
      </c>
      <c r="I378" s="13"/>
    </row>
    <row r="379">
      <c r="A379" s="5"/>
      <c r="B379" s="6"/>
      <c r="C379" s="14" t="str">
        <f>iferror(vlookup(B379,'📦 ชื่อสินค้า'!A:C,2,false),)</f>
        <v/>
      </c>
      <c r="D379" s="11" t="str">
        <f>iferror(vlookup(B379,'📦 ชื่อสินค้า'!A:D,4,false),"")</f>
        <v/>
      </c>
      <c r="E379" s="16"/>
      <c r="F379" s="6"/>
      <c r="G379" s="8" t="str">
        <f t="shared" si="1"/>
        <v/>
      </c>
      <c r="H379" s="11" t="str">
        <f t="shared" si="2"/>
        <v/>
      </c>
      <c r="I379" s="13"/>
    </row>
    <row r="380">
      <c r="A380" s="5"/>
      <c r="B380" s="6"/>
      <c r="C380" s="14" t="str">
        <f>iferror(vlookup(B380,'📦 ชื่อสินค้า'!A:C,2,false),)</f>
        <v/>
      </c>
      <c r="D380" s="11" t="str">
        <f>iferror(vlookup(B380,'📦 ชื่อสินค้า'!A:D,4,false),"")</f>
        <v/>
      </c>
      <c r="E380" s="16"/>
      <c r="F380" s="6"/>
      <c r="G380" s="8" t="str">
        <f t="shared" si="1"/>
        <v/>
      </c>
      <c r="H380" s="11" t="str">
        <f t="shared" si="2"/>
        <v/>
      </c>
      <c r="I380" s="13"/>
    </row>
    <row r="381">
      <c r="A381" s="5"/>
      <c r="B381" s="6"/>
      <c r="C381" s="14" t="str">
        <f>iferror(vlookup(B381,'📦 ชื่อสินค้า'!A:C,2,false),)</f>
        <v/>
      </c>
      <c r="D381" s="11" t="str">
        <f>iferror(vlookup(B381,'📦 ชื่อสินค้า'!A:D,4,false),"")</f>
        <v/>
      </c>
      <c r="E381" s="16"/>
      <c r="F381" s="6"/>
      <c r="G381" s="8" t="str">
        <f t="shared" si="1"/>
        <v/>
      </c>
      <c r="H381" s="11" t="str">
        <f t="shared" si="2"/>
        <v/>
      </c>
      <c r="I381" s="13"/>
    </row>
    <row r="382">
      <c r="A382" s="5"/>
      <c r="B382" s="6"/>
      <c r="C382" s="14" t="str">
        <f>iferror(vlookup(B382,'📦 ชื่อสินค้า'!A:C,2,false),)</f>
        <v/>
      </c>
      <c r="D382" s="11" t="str">
        <f>iferror(vlookup(B382,'📦 ชื่อสินค้า'!A:D,4,false),"")</f>
        <v/>
      </c>
      <c r="E382" s="16"/>
      <c r="F382" s="6"/>
      <c r="G382" s="8" t="str">
        <f t="shared" si="1"/>
        <v/>
      </c>
      <c r="H382" s="11" t="str">
        <f t="shared" si="2"/>
        <v/>
      </c>
      <c r="I382" s="13"/>
    </row>
    <row r="383">
      <c r="A383" s="5"/>
      <c r="B383" s="6"/>
      <c r="C383" s="14" t="str">
        <f>iferror(vlookup(B383,'📦 ชื่อสินค้า'!A:C,2,false),)</f>
        <v/>
      </c>
      <c r="D383" s="11" t="str">
        <f>iferror(vlookup(B383,'📦 ชื่อสินค้า'!A:D,4,false),"")</f>
        <v/>
      </c>
      <c r="E383" s="16"/>
      <c r="F383" s="6"/>
      <c r="G383" s="8" t="str">
        <f t="shared" si="1"/>
        <v/>
      </c>
      <c r="H383" s="11" t="str">
        <f t="shared" si="2"/>
        <v/>
      </c>
      <c r="I383" s="13"/>
    </row>
    <row r="384">
      <c r="A384" s="5"/>
      <c r="B384" s="6"/>
      <c r="C384" s="14" t="str">
        <f>iferror(vlookup(B384,'📦 ชื่อสินค้า'!A:C,2,false),)</f>
        <v/>
      </c>
      <c r="D384" s="11" t="str">
        <f>iferror(vlookup(B384,'📦 ชื่อสินค้า'!A:D,4,false),"")</f>
        <v/>
      </c>
      <c r="E384" s="16"/>
      <c r="F384" s="6"/>
      <c r="G384" s="8" t="str">
        <f t="shared" si="1"/>
        <v/>
      </c>
      <c r="H384" s="11" t="str">
        <f t="shared" si="2"/>
        <v/>
      </c>
      <c r="I384" s="13"/>
    </row>
    <row r="385">
      <c r="A385" s="5"/>
      <c r="B385" s="6"/>
      <c r="C385" s="14" t="str">
        <f>iferror(vlookup(B385,'📦 ชื่อสินค้า'!A:C,2,false),)</f>
        <v/>
      </c>
      <c r="D385" s="11" t="str">
        <f>iferror(vlookup(B385,'📦 ชื่อสินค้า'!A:D,4,false),"")</f>
        <v/>
      </c>
      <c r="E385" s="16"/>
      <c r="F385" s="6"/>
      <c r="G385" s="8" t="str">
        <f t="shared" si="1"/>
        <v/>
      </c>
      <c r="H385" s="11" t="str">
        <f t="shared" si="2"/>
        <v/>
      </c>
      <c r="I385" s="13"/>
    </row>
    <row r="386">
      <c r="A386" s="5"/>
      <c r="B386" s="6"/>
      <c r="C386" s="14" t="str">
        <f>iferror(vlookup(B386,'📦 ชื่อสินค้า'!A:C,2,false),)</f>
        <v/>
      </c>
      <c r="D386" s="11" t="str">
        <f>iferror(vlookup(B386,'📦 ชื่อสินค้า'!A:D,4,false),"")</f>
        <v/>
      </c>
      <c r="E386" s="16"/>
      <c r="F386" s="6"/>
      <c r="G386" s="8" t="str">
        <f t="shared" si="1"/>
        <v/>
      </c>
      <c r="H386" s="11" t="str">
        <f t="shared" si="2"/>
        <v/>
      </c>
      <c r="I386" s="13"/>
    </row>
    <row r="387">
      <c r="A387" s="5"/>
      <c r="B387" s="6"/>
      <c r="C387" s="14" t="str">
        <f>iferror(vlookup(B387,'📦 ชื่อสินค้า'!A:C,2,false),)</f>
        <v/>
      </c>
      <c r="D387" s="11" t="str">
        <f>iferror(vlookup(B387,'📦 ชื่อสินค้า'!A:D,4,false),"")</f>
        <v/>
      </c>
      <c r="E387" s="16"/>
      <c r="F387" s="6"/>
      <c r="G387" s="8" t="str">
        <f t="shared" si="1"/>
        <v/>
      </c>
      <c r="H387" s="11" t="str">
        <f t="shared" si="2"/>
        <v/>
      </c>
      <c r="I387" s="13"/>
    </row>
    <row r="388">
      <c r="A388" s="5"/>
      <c r="B388" s="6"/>
      <c r="C388" s="14" t="str">
        <f>iferror(vlookup(B388,'📦 ชื่อสินค้า'!A:C,2,false),)</f>
        <v/>
      </c>
      <c r="D388" s="11" t="str">
        <f>iferror(vlookup(B388,'📦 ชื่อสินค้า'!A:D,4,false),"")</f>
        <v/>
      </c>
      <c r="E388" s="16"/>
      <c r="F388" s="6"/>
      <c r="G388" s="8" t="str">
        <f t="shared" si="1"/>
        <v/>
      </c>
      <c r="H388" s="11" t="str">
        <f t="shared" si="2"/>
        <v/>
      </c>
      <c r="I388" s="13"/>
    </row>
    <row r="389">
      <c r="A389" s="5"/>
      <c r="B389" s="6"/>
      <c r="C389" s="14" t="str">
        <f>iferror(vlookup(B389,'📦 ชื่อสินค้า'!A:C,2,false),)</f>
        <v/>
      </c>
      <c r="D389" s="11" t="str">
        <f>iferror(vlookup(B389,'📦 ชื่อสินค้า'!A:D,4,false),"")</f>
        <v/>
      </c>
      <c r="E389" s="16"/>
      <c r="F389" s="6"/>
      <c r="G389" s="8" t="str">
        <f t="shared" si="1"/>
        <v/>
      </c>
      <c r="H389" s="11" t="str">
        <f t="shared" si="2"/>
        <v/>
      </c>
      <c r="I389" s="13"/>
    </row>
    <row r="390">
      <c r="A390" s="5"/>
      <c r="B390" s="6"/>
      <c r="C390" s="14" t="str">
        <f>iferror(vlookup(B390,'📦 ชื่อสินค้า'!A:C,2,false),)</f>
        <v/>
      </c>
      <c r="D390" s="11" t="str">
        <f>iferror(vlookup(B390,'📦 ชื่อสินค้า'!A:D,4,false),"")</f>
        <v/>
      </c>
      <c r="E390" s="16"/>
      <c r="F390" s="6"/>
      <c r="G390" s="8" t="str">
        <f t="shared" si="1"/>
        <v/>
      </c>
      <c r="H390" s="11" t="str">
        <f t="shared" si="2"/>
        <v/>
      </c>
      <c r="I390" s="13"/>
    </row>
    <row r="391">
      <c r="A391" s="5"/>
      <c r="B391" s="6"/>
      <c r="C391" s="14" t="str">
        <f>iferror(vlookup(B391,'📦 ชื่อสินค้า'!A:C,2,false),)</f>
        <v/>
      </c>
      <c r="D391" s="11" t="str">
        <f>iferror(vlookup(B391,'📦 ชื่อสินค้า'!A:D,4,false),"")</f>
        <v/>
      </c>
      <c r="E391" s="16"/>
      <c r="F391" s="6"/>
      <c r="G391" s="8" t="str">
        <f t="shared" si="1"/>
        <v/>
      </c>
      <c r="H391" s="11" t="str">
        <f t="shared" si="2"/>
        <v/>
      </c>
      <c r="I391" s="13"/>
    </row>
    <row r="392">
      <c r="A392" s="5"/>
      <c r="B392" s="6"/>
      <c r="C392" s="14" t="str">
        <f>iferror(vlookup(B392,'📦 ชื่อสินค้า'!A:C,2,false),)</f>
        <v/>
      </c>
      <c r="D392" s="11" t="str">
        <f>iferror(vlookup(B392,'📦 ชื่อสินค้า'!A:D,4,false),"")</f>
        <v/>
      </c>
      <c r="E392" s="16"/>
      <c r="F392" s="6"/>
      <c r="G392" s="8" t="str">
        <f t="shared" si="1"/>
        <v/>
      </c>
      <c r="H392" s="11" t="str">
        <f t="shared" si="2"/>
        <v/>
      </c>
      <c r="I392" s="13"/>
    </row>
    <row r="393">
      <c r="A393" s="5"/>
      <c r="B393" s="6"/>
      <c r="C393" s="14" t="str">
        <f>iferror(vlookup(B393,'📦 ชื่อสินค้า'!A:C,2,false),)</f>
        <v/>
      </c>
      <c r="D393" s="11" t="str">
        <f>iferror(vlookup(B393,'📦 ชื่อสินค้า'!A:D,4,false),"")</f>
        <v/>
      </c>
      <c r="E393" s="16"/>
      <c r="F393" s="6"/>
      <c r="G393" s="8" t="str">
        <f t="shared" si="1"/>
        <v/>
      </c>
      <c r="H393" s="11" t="str">
        <f t="shared" si="2"/>
        <v/>
      </c>
      <c r="I393" s="13"/>
    </row>
    <row r="394">
      <c r="A394" s="5"/>
      <c r="B394" s="6"/>
      <c r="C394" s="14" t="str">
        <f>iferror(vlookup(B394,'📦 ชื่อสินค้า'!A:C,2,false),)</f>
        <v/>
      </c>
      <c r="D394" s="11" t="str">
        <f>iferror(vlookup(B394,'📦 ชื่อสินค้า'!A:D,4,false),"")</f>
        <v/>
      </c>
      <c r="E394" s="16"/>
      <c r="F394" s="6"/>
      <c r="G394" s="8" t="str">
        <f t="shared" si="1"/>
        <v/>
      </c>
      <c r="H394" s="11" t="str">
        <f t="shared" si="2"/>
        <v/>
      </c>
      <c r="I394" s="13"/>
    </row>
    <row r="395">
      <c r="A395" s="5"/>
      <c r="B395" s="6"/>
      <c r="C395" s="14" t="str">
        <f>iferror(vlookup(B395,'📦 ชื่อสินค้า'!A:C,2,false),)</f>
        <v/>
      </c>
      <c r="D395" s="11" t="str">
        <f>iferror(vlookup(B395,'📦 ชื่อสินค้า'!A:D,4,false),"")</f>
        <v/>
      </c>
      <c r="E395" s="16"/>
      <c r="F395" s="6"/>
      <c r="G395" s="8" t="str">
        <f t="shared" si="1"/>
        <v/>
      </c>
      <c r="H395" s="11" t="str">
        <f t="shared" si="2"/>
        <v/>
      </c>
      <c r="I395" s="13"/>
    </row>
    <row r="396">
      <c r="A396" s="5"/>
      <c r="B396" s="6"/>
      <c r="C396" s="14" t="str">
        <f>iferror(vlookup(B396,'📦 ชื่อสินค้า'!A:C,2,false),)</f>
        <v/>
      </c>
      <c r="D396" s="11" t="str">
        <f>iferror(vlookup(B396,'📦 ชื่อสินค้า'!A:D,4,false),"")</f>
        <v/>
      </c>
      <c r="E396" s="16"/>
      <c r="F396" s="6"/>
      <c r="G396" s="8" t="str">
        <f t="shared" si="1"/>
        <v/>
      </c>
      <c r="H396" s="11" t="str">
        <f t="shared" si="2"/>
        <v/>
      </c>
      <c r="I396" s="13"/>
    </row>
    <row r="397">
      <c r="A397" s="5"/>
      <c r="B397" s="6"/>
      <c r="C397" s="14" t="str">
        <f>iferror(vlookup(B397,'📦 ชื่อสินค้า'!A:C,2,false),)</f>
        <v/>
      </c>
      <c r="D397" s="11" t="str">
        <f>iferror(vlookup(B397,'📦 ชื่อสินค้า'!A:D,4,false),"")</f>
        <v/>
      </c>
      <c r="E397" s="16"/>
      <c r="F397" s="6"/>
      <c r="G397" s="8" t="str">
        <f t="shared" si="1"/>
        <v/>
      </c>
      <c r="H397" s="11" t="str">
        <f t="shared" si="2"/>
        <v/>
      </c>
      <c r="I397" s="13"/>
    </row>
    <row r="398">
      <c r="A398" s="5"/>
      <c r="B398" s="6"/>
      <c r="C398" s="14" t="str">
        <f>iferror(vlookup(B398,'📦 ชื่อสินค้า'!A:C,2,false),)</f>
        <v/>
      </c>
      <c r="D398" s="11" t="str">
        <f>iferror(vlookup(B398,'📦 ชื่อสินค้า'!A:D,4,false),"")</f>
        <v/>
      </c>
      <c r="E398" s="16"/>
      <c r="F398" s="6"/>
      <c r="G398" s="8" t="str">
        <f t="shared" si="1"/>
        <v/>
      </c>
      <c r="H398" s="11" t="str">
        <f t="shared" si="2"/>
        <v/>
      </c>
      <c r="I398" s="13"/>
    </row>
    <row r="399">
      <c r="A399" s="5"/>
      <c r="B399" s="6"/>
      <c r="C399" s="14" t="str">
        <f>iferror(vlookup(B399,'📦 ชื่อสินค้า'!A:C,2,false),)</f>
        <v/>
      </c>
      <c r="D399" s="11" t="str">
        <f>iferror(vlookup(B399,'📦 ชื่อสินค้า'!A:D,4,false),"")</f>
        <v/>
      </c>
      <c r="E399" s="16"/>
      <c r="F399" s="6"/>
      <c r="G399" s="8" t="str">
        <f t="shared" si="1"/>
        <v/>
      </c>
      <c r="H399" s="11" t="str">
        <f t="shared" si="2"/>
        <v/>
      </c>
      <c r="I399" s="13"/>
    </row>
    <row r="400">
      <c r="A400" s="5"/>
      <c r="B400" s="6"/>
      <c r="C400" s="14" t="str">
        <f>iferror(vlookup(B400,'📦 ชื่อสินค้า'!A:C,2,false),)</f>
        <v/>
      </c>
      <c r="D400" s="11" t="str">
        <f>iferror(vlookup(B400,'📦 ชื่อสินค้า'!A:D,4,false),"")</f>
        <v/>
      </c>
      <c r="E400" s="16"/>
      <c r="F400" s="6"/>
      <c r="G400" s="8" t="str">
        <f t="shared" si="1"/>
        <v/>
      </c>
      <c r="H400" s="11" t="str">
        <f t="shared" si="2"/>
        <v/>
      </c>
      <c r="I400" s="13"/>
    </row>
    <row r="401">
      <c r="A401" s="5"/>
      <c r="B401" s="6"/>
      <c r="C401" s="14" t="str">
        <f>iferror(vlookup(B401,'📦 ชื่อสินค้า'!A:C,2,false),)</f>
        <v/>
      </c>
      <c r="D401" s="11" t="str">
        <f>iferror(vlookup(B401,'📦 ชื่อสินค้า'!A:D,4,false),"")</f>
        <v/>
      </c>
      <c r="E401" s="16"/>
      <c r="F401" s="6"/>
      <c r="G401" s="8" t="str">
        <f t="shared" si="1"/>
        <v/>
      </c>
      <c r="H401" s="11" t="str">
        <f t="shared" si="2"/>
        <v/>
      </c>
      <c r="I401" s="13"/>
    </row>
    <row r="402">
      <c r="A402" s="5"/>
      <c r="B402" s="6"/>
      <c r="C402" s="14" t="str">
        <f>iferror(vlookup(B402,'📦 ชื่อสินค้า'!A:C,2,false),)</f>
        <v/>
      </c>
      <c r="D402" s="11" t="str">
        <f>iferror(vlookup(B402,'📦 ชื่อสินค้า'!A:D,4,false),"")</f>
        <v/>
      </c>
      <c r="E402" s="16"/>
      <c r="F402" s="6"/>
      <c r="G402" s="8" t="str">
        <f t="shared" si="1"/>
        <v/>
      </c>
      <c r="H402" s="11" t="str">
        <f t="shared" si="2"/>
        <v/>
      </c>
      <c r="I402" s="13"/>
    </row>
    <row r="403">
      <c r="A403" s="5"/>
      <c r="B403" s="6"/>
      <c r="C403" s="14" t="str">
        <f>iferror(vlookup(B403,'📦 ชื่อสินค้า'!A:C,2,false),)</f>
        <v/>
      </c>
      <c r="D403" s="11" t="str">
        <f>iferror(vlookup(B403,'📦 ชื่อสินค้า'!A:D,4,false),"")</f>
        <v/>
      </c>
      <c r="E403" s="16"/>
      <c r="F403" s="6"/>
      <c r="G403" s="8" t="str">
        <f t="shared" si="1"/>
        <v/>
      </c>
      <c r="H403" s="11" t="str">
        <f t="shared" si="2"/>
        <v/>
      </c>
      <c r="I403" s="13"/>
    </row>
    <row r="404">
      <c r="A404" s="5"/>
      <c r="B404" s="6"/>
      <c r="C404" s="14" t="str">
        <f>iferror(vlookup(B404,'📦 ชื่อสินค้า'!A:C,2,false),)</f>
        <v/>
      </c>
      <c r="D404" s="11" t="str">
        <f>iferror(vlookup(B404,'📦 ชื่อสินค้า'!A:D,4,false),"")</f>
        <v/>
      </c>
      <c r="E404" s="16"/>
      <c r="F404" s="6"/>
      <c r="G404" s="8" t="str">
        <f t="shared" si="1"/>
        <v/>
      </c>
      <c r="H404" s="11" t="str">
        <f t="shared" si="2"/>
        <v/>
      </c>
      <c r="I404" s="13"/>
    </row>
    <row r="405">
      <c r="A405" s="5"/>
      <c r="B405" s="6"/>
      <c r="C405" s="14" t="str">
        <f>iferror(vlookup(B405,'📦 ชื่อสินค้า'!A:C,2,false),)</f>
        <v/>
      </c>
      <c r="D405" s="11" t="str">
        <f>iferror(vlookup(B405,'📦 ชื่อสินค้า'!A:D,4,false),"")</f>
        <v/>
      </c>
      <c r="E405" s="16"/>
      <c r="F405" s="6"/>
      <c r="G405" s="8" t="str">
        <f t="shared" si="1"/>
        <v/>
      </c>
      <c r="H405" s="11" t="str">
        <f t="shared" si="2"/>
        <v/>
      </c>
      <c r="I405" s="13"/>
    </row>
    <row r="406">
      <c r="A406" s="5"/>
      <c r="B406" s="6"/>
      <c r="C406" s="14" t="str">
        <f>iferror(vlookup(B406,'📦 ชื่อสินค้า'!A:C,2,false),)</f>
        <v/>
      </c>
      <c r="D406" s="11" t="str">
        <f>iferror(vlookup(B406,'📦 ชื่อสินค้า'!A:D,4,false),"")</f>
        <v/>
      </c>
      <c r="E406" s="16"/>
      <c r="F406" s="6"/>
      <c r="G406" s="8" t="str">
        <f t="shared" si="1"/>
        <v/>
      </c>
      <c r="H406" s="11" t="str">
        <f t="shared" si="2"/>
        <v/>
      </c>
      <c r="I406" s="13"/>
    </row>
    <row r="407">
      <c r="A407" s="5"/>
      <c r="B407" s="6"/>
      <c r="C407" s="14" t="str">
        <f>iferror(vlookup(B407,'📦 ชื่อสินค้า'!A:C,2,false),)</f>
        <v/>
      </c>
      <c r="D407" s="11" t="str">
        <f>iferror(vlookup(B407,'📦 ชื่อสินค้า'!A:D,4,false),"")</f>
        <v/>
      </c>
      <c r="E407" s="16"/>
      <c r="F407" s="6"/>
      <c r="G407" s="8" t="str">
        <f t="shared" si="1"/>
        <v/>
      </c>
      <c r="H407" s="11" t="str">
        <f t="shared" si="2"/>
        <v/>
      </c>
      <c r="I407" s="13"/>
    </row>
    <row r="408">
      <c r="A408" s="5"/>
      <c r="B408" s="6"/>
      <c r="C408" s="14" t="str">
        <f>iferror(vlookup(B408,'📦 ชื่อสินค้า'!A:C,2,false),)</f>
        <v/>
      </c>
      <c r="D408" s="11" t="str">
        <f>iferror(vlookup(B408,'📦 ชื่อสินค้า'!A:D,4,false),"")</f>
        <v/>
      </c>
      <c r="E408" s="16"/>
      <c r="F408" s="6"/>
      <c r="G408" s="8" t="str">
        <f t="shared" si="1"/>
        <v/>
      </c>
      <c r="H408" s="11" t="str">
        <f t="shared" si="2"/>
        <v/>
      </c>
      <c r="I408" s="13"/>
    </row>
    <row r="409">
      <c r="A409" s="5"/>
      <c r="B409" s="6"/>
      <c r="C409" s="14" t="str">
        <f>iferror(vlookup(B409,'📦 ชื่อสินค้า'!A:C,2,false),)</f>
        <v/>
      </c>
      <c r="D409" s="11" t="str">
        <f>iferror(vlookup(B409,'📦 ชื่อสินค้า'!A:D,4,false),"")</f>
        <v/>
      </c>
      <c r="E409" s="16"/>
      <c r="F409" s="6"/>
      <c r="G409" s="8" t="str">
        <f t="shared" si="1"/>
        <v/>
      </c>
      <c r="H409" s="11" t="str">
        <f t="shared" si="2"/>
        <v/>
      </c>
      <c r="I409" s="13"/>
    </row>
    <row r="410">
      <c r="A410" s="5"/>
      <c r="B410" s="6"/>
      <c r="C410" s="14" t="str">
        <f>iferror(vlookup(B410,'📦 ชื่อสินค้า'!A:C,2,false),)</f>
        <v/>
      </c>
      <c r="D410" s="11" t="str">
        <f>iferror(vlookup(B410,'📦 ชื่อสินค้า'!A:D,4,false),"")</f>
        <v/>
      </c>
      <c r="E410" s="16"/>
      <c r="F410" s="6"/>
      <c r="G410" s="8" t="str">
        <f t="shared" si="1"/>
        <v/>
      </c>
      <c r="H410" s="11" t="str">
        <f t="shared" si="2"/>
        <v/>
      </c>
      <c r="I410" s="13"/>
    </row>
    <row r="411">
      <c r="A411" s="5"/>
      <c r="B411" s="6"/>
      <c r="C411" s="14" t="str">
        <f>iferror(vlookup(B411,'📦 ชื่อสินค้า'!A:C,2,false),)</f>
        <v/>
      </c>
      <c r="D411" s="11" t="str">
        <f>iferror(vlookup(B411,'📦 ชื่อสินค้า'!A:D,4,false),"")</f>
        <v/>
      </c>
      <c r="E411" s="16"/>
      <c r="F411" s="6"/>
      <c r="G411" s="8" t="str">
        <f t="shared" si="1"/>
        <v/>
      </c>
      <c r="H411" s="11" t="str">
        <f t="shared" si="2"/>
        <v/>
      </c>
      <c r="I411" s="13"/>
    </row>
    <row r="412">
      <c r="A412" s="5"/>
      <c r="B412" s="6"/>
      <c r="C412" s="14" t="str">
        <f>iferror(vlookup(B412,'📦 ชื่อสินค้า'!A:C,2,false),)</f>
        <v/>
      </c>
      <c r="D412" s="11" t="str">
        <f>iferror(vlookup(B412,'📦 ชื่อสินค้า'!A:D,4,false),"")</f>
        <v/>
      </c>
      <c r="E412" s="16"/>
      <c r="F412" s="6"/>
      <c r="G412" s="8" t="str">
        <f t="shared" si="1"/>
        <v/>
      </c>
      <c r="H412" s="11" t="str">
        <f t="shared" si="2"/>
        <v/>
      </c>
      <c r="I412" s="13"/>
    </row>
    <row r="413">
      <c r="A413" s="5"/>
      <c r="B413" s="6"/>
      <c r="C413" s="14" t="str">
        <f>iferror(vlookup(B413,'📦 ชื่อสินค้า'!A:C,2,false),)</f>
        <v/>
      </c>
      <c r="D413" s="11" t="str">
        <f>iferror(vlookup(B413,'📦 ชื่อสินค้า'!A:D,4,false),"")</f>
        <v/>
      </c>
      <c r="E413" s="16"/>
      <c r="F413" s="6"/>
      <c r="G413" s="8" t="str">
        <f t="shared" si="1"/>
        <v/>
      </c>
      <c r="H413" s="11" t="str">
        <f t="shared" si="2"/>
        <v/>
      </c>
      <c r="I413" s="13"/>
    </row>
    <row r="414">
      <c r="A414" s="5"/>
      <c r="B414" s="6"/>
      <c r="C414" s="14" t="str">
        <f>iferror(vlookup(B414,'📦 ชื่อสินค้า'!A:C,2,false),)</f>
        <v/>
      </c>
      <c r="D414" s="11" t="str">
        <f>iferror(vlookup(B414,'📦 ชื่อสินค้า'!A:D,4,false),"")</f>
        <v/>
      </c>
      <c r="E414" s="16"/>
      <c r="F414" s="6"/>
      <c r="G414" s="8" t="str">
        <f t="shared" si="1"/>
        <v/>
      </c>
      <c r="H414" s="11" t="str">
        <f t="shared" si="2"/>
        <v/>
      </c>
      <c r="I414" s="13"/>
    </row>
    <row r="415">
      <c r="A415" s="5"/>
      <c r="B415" s="6"/>
      <c r="C415" s="14" t="str">
        <f>iferror(vlookup(B415,'📦 ชื่อสินค้า'!A:C,2,false),)</f>
        <v/>
      </c>
      <c r="D415" s="11" t="str">
        <f>iferror(vlookup(B415,'📦 ชื่อสินค้า'!A:D,4,false),"")</f>
        <v/>
      </c>
      <c r="E415" s="16"/>
      <c r="F415" s="6"/>
      <c r="G415" s="8" t="str">
        <f t="shared" si="1"/>
        <v/>
      </c>
      <c r="H415" s="11" t="str">
        <f t="shared" si="2"/>
        <v/>
      </c>
      <c r="I415" s="13"/>
    </row>
    <row r="416">
      <c r="A416" s="5"/>
      <c r="B416" s="6"/>
      <c r="C416" s="14" t="str">
        <f>iferror(vlookup(B416,'📦 ชื่อสินค้า'!A:C,2,false),)</f>
        <v/>
      </c>
      <c r="D416" s="11" t="str">
        <f>iferror(vlookup(B416,'📦 ชื่อสินค้า'!A:D,4,false),"")</f>
        <v/>
      </c>
      <c r="E416" s="16"/>
      <c r="F416" s="6"/>
      <c r="G416" s="8" t="str">
        <f t="shared" si="1"/>
        <v/>
      </c>
      <c r="H416" s="11" t="str">
        <f t="shared" si="2"/>
        <v/>
      </c>
      <c r="I416" s="13"/>
    </row>
    <row r="417">
      <c r="A417" s="5"/>
      <c r="B417" s="6"/>
      <c r="C417" s="14" t="str">
        <f>iferror(vlookup(B417,'📦 ชื่อสินค้า'!A:C,2,false),)</f>
        <v/>
      </c>
      <c r="D417" s="11" t="str">
        <f>iferror(vlookup(B417,'📦 ชื่อสินค้า'!A:D,4,false),"")</f>
        <v/>
      </c>
      <c r="E417" s="16"/>
      <c r="F417" s="6"/>
      <c r="G417" s="8" t="str">
        <f t="shared" si="1"/>
        <v/>
      </c>
      <c r="H417" s="11" t="str">
        <f t="shared" si="2"/>
        <v/>
      </c>
      <c r="I417" s="13"/>
    </row>
    <row r="418">
      <c r="A418" s="5"/>
      <c r="B418" s="6"/>
      <c r="C418" s="14" t="str">
        <f>iferror(vlookup(B418,'📦 ชื่อสินค้า'!A:C,2,false),)</f>
        <v/>
      </c>
      <c r="D418" s="11" t="str">
        <f>iferror(vlookup(B418,'📦 ชื่อสินค้า'!A:D,4,false),"")</f>
        <v/>
      </c>
      <c r="E418" s="16"/>
      <c r="F418" s="6"/>
      <c r="G418" s="8" t="str">
        <f t="shared" si="1"/>
        <v/>
      </c>
      <c r="H418" s="11" t="str">
        <f t="shared" si="2"/>
        <v/>
      </c>
      <c r="I418" s="13"/>
    </row>
    <row r="419">
      <c r="A419" s="5"/>
      <c r="B419" s="6"/>
      <c r="C419" s="14" t="str">
        <f>iferror(vlookup(B419,'📦 ชื่อสินค้า'!A:C,2,false),)</f>
        <v/>
      </c>
      <c r="D419" s="11" t="str">
        <f>iferror(vlookup(B419,'📦 ชื่อสินค้า'!A:D,4,false),"")</f>
        <v/>
      </c>
      <c r="E419" s="16"/>
      <c r="F419" s="6"/>
      <c r="G419" s="8" t="str">
        <f t="shared" si="1"/>
        <v/>
      </c>
      <c r="H419" s="11" t="str">
        <f t="shared" si="2"/>
        <v/>
      </c>
      <c r="I419" s="13"/>
    </row>
    <row r="420">
      <c r="A420" s="5"/>
      <c r="B420" s="6"/>
      <c r="C420" s="14" t="str">
        <f>iferror(vlookup(B420,'📦 ชื่อสินค้า'!A:C,2,false),)</f>
        <v/>
      </c>
      <c r="D420" s="11" t="str">
        <f>iferror(vlookup(B420,'📦 ชื่อสินค้า'!A:D,4,false),"")</f>
        <v/>
      </c>
      <c r="E420" s="16"/>
      <c r="F420" s="6"/>
      <c r="G420" s="8" t="str">
        <f t="shared" si="1"/>
        <v/>
      </c>
      <c r="H420" s="11" t="str">
        <f t="shared" si="2"/>
        <v/>
      </c>
      <c r="I420" s="13"/>
    </row>
    <row r="421">
      <c r="A421" s="5"/>
      <c r="B421" s="6"/>
      <c r="C421" s="14" t="str">
        <f>iferror(vlookup(B421,'📦 ชื่อสินค้า'!A:C,2,false),)</f>
        <v/>
      </c>
      <c r="D421" s="11" t="str">
        <f>iferror(vlookup(B421,'📦 ชื่อสินค้า'!A:D,4,false),"")</f>
        <v/>
      </c>
      <c r="E421" s="16"/>
      <c r="F421" s="6"/>
      <c r="G421" s="8" t="str">
        <f t="shared" si="1"/>
        <v/>
      </c>
      <c r="H421" s="11" t="str">
        <f t="shared" si="2"/>
        <v/>
      </c>
      <c r="I421" s="13"/>
    </row>
    <row r="422">
      <c r="A422" s="5"/>
      <c r="B422" s="6"/>
      <c r="C422" s="14" t="str">
        <f>iferror(vlookup(B422,'📦 ชื่อสินค้า'!A:C,2,false),)</f>
        <v/>
      </c>
      <c r="D422" s="11" t="str">
        <f>iferror(vlookup(B422,'📦 ชื่อสินค้า'!A:D,4,false),"")</f>
        <v/>
      </c>
      <c r="E422" s="16"/>
      <c r="F422" s="6"/>
      <c r="G422" s="8" t="str">
        <f t="shared" si="1"/>
        <v/>
      </c>
      <c r="H422" s="11" t="str">
        <f t="shared" si="2"/>
        <v/>
      </c>
      <c r="I422" s="13"/>
    </row>
    <row r="423">
      <c r="A423" s="5"/>
      <c r="B423" s="6"/>
      <c r="C423" s="14" t="str">
        <f>iferror(vlookup(B423,'📦 ชื่อสินค้า'!A:C,2,false),)</f>
        <v/>
      </c>
      <c r="D423" s="11" t="str">
        <f>iferror(vlookup(B423,'📦 ชื่อสินค้า'!A:D,4,false),"")</f>
        <v/>
      </c>
      <c r="E423" s="16"/>
      <c r="F423" s="6"/>
      <c r="G423" s="8" t="str">
        <f t="shared" si="1"/>
        <v/>
      </c>
      <c r="H423" s="11" t="str">
        <f t="shared" si="2"/>
        <v/>
      </c>
      <c r="I423" s="13"/>
    </row>
    <row r="424">
      <c r="A424" s="5"/>
      <c r="B424" s="6"/>
      <c r="C424" s="14" t="str">
        <f>iferror(vlookup(B424,'📦 ชื่อสินค้า'!A:C,2,false),)</f>
        <v/>
      </c>
      <c r="D424" s="11" t="str">
        <f>iferror(vlookup(B424,'📦 ชื่อสินค้า'!A:D,4,false),"")</f>
        <v/>
      </c>
      <c r="E424" s="16"/>
      <c r="F424" s="6"/>
      <c r="G424" s="8" t="str">
        <f t="shared" si="1"/>
        <v/>
      </c>
      <c r="H424" s="11" t="str">
        <f t="shared" si="2"/>
        <v/>
      </c>
      <c r="I424" s="13"/>
    </row>
    <row r="425">
      <c r="A425" s="5"/>
      <c r="B425" s="6"/>
      <c r="C425" s="14" t="str">
        <f>iferror(vlookup(B425,'📦 ชื่อสินค้า'!A:C,2,false),)</f>
        <v/>
      </c>
      <c r="D425" s="11" t="str">
        <f>iferror(vlookup(B425,'📦 ชื่อสินค้า'!A:D,4,false),"")</f>
        <v/>
      </c>
      <c r="E425" s="16"/>
      <c r="F425" s="6"/>
      <c r="G425" s="8" t="str">
        <f t="shared" si="1"/>
        <v/>
      </c>
      <c r="H425" s="11" t="str">
        <f t="shared" si="2"/>
        <v/>
      </c>
      <c r="I425" s="13"/>
    </row>
    <row r="426">
      <c r="A426" s="5"/>
      <c r="B426" s="6"/>
      <c r="C426" s="14" t="str">
        <f>iferror(vlookup(B426,'📦 ชื่อสินค้า'!A:C,2,false),)</f>
        <v/>
      </c>
      <c r="D426" s="11" t="str">
        <f>iferror(vlookup(B426,'📦 ชื่อสินค้า'!A:D,4,false),"")</f>
        <v/>
      </c>
      <c r="E426" s="16"/>
      <c r="F426" s="6"/>
      <c r="G426" s="8" t="str">
        <f t="shared" si="1"/>
        <v/>
      </c>
      <c r="H426" s="11" t="str">
        <f t="shared" si="2"/>
        <v/>
      </c>
      <c r="I426" s="13"/>
    </row>
    <row r="427">
      <c r="A427" s="5"/>
      <c r="B427" s="6"/>
      <c r="C427" s="14" t="str">
        <f>iferror(vlookup(B427,'📦 ชื่อสินค้า'!A:C,2,false),)</f>
        <v/>
      </c>
      <c r="D427" s="11" t="str">
        <f>iferror(vlookup(B427,'📦 ชื่อสินค้า'!A:D,4,false),"")</f>
        <v/>
      </c>
      <c r="E427" s="16"/>
      <c r="F427" s="6"/>
      <c r="G427" s="8" t="str">
        <f t="shared" si="1"/>
        <v/>
      </c>
      <c r="H427" s="11" t="str">
        <f t="shared" si="2"/>
        <v/>
      </c>
      <c r="I427" s="13"/>
    </row>
    <row r="428">
      <c r="A428" s="5"/>
      <c r="B428" s="6"/>
      <c r="C428" s="14" t="str">
        <f>iferror(vlookup(B428,'📦 ชื่อสินค้า'!A:C,2,false),)</f>
        <v/>
      </c>
      <c r="D428" s="11" t="str">
        <f>iferror(vlookup(B428,'📦 ชื่อสินค้า'!A:D,4,false),"")</f>
        <v/>
      </c>
      <c r="E428" s="16"/>
      <c r="F428" s="6"/>
      <c r="G428" s="8" t="str">
        <f t="shared" si="1"/>
        <v/>
      </c>
      <c r="H428" s="11" t="str">
        <f t="shared" si="2"/>
        <v/>
      </c>
      <c r="I428" s="13"/>
    </row>
    <row r="429">
      <c r="A429" s="5"/>
      <c r="B429" s="6"/>
      <c r="C429" s="14" t="str">
        <f>iferror(vlookup(B429,'📦 ชื่อสินค้า'!A:C,2,false),)</f>
        <v/>
      </c>
      <c r="D429" s="11" t="str">
        <f>iferror(vlookup(B429,'📦 ชื่อสินค้า'!A:D,4,false),"")</f>
        <v/>
      </c>
      <c r="E429" s="16"/>
      <c r="F429" s="6"/>
      <c r="G429" s="8" t="str">
        <f t="shared" si="1"/>
        <v/>
      </c>
      <c r="H429" s="11" t="str">
        <f t="shared" si="2"/>
        <v/>
      </c>
      <c r="I429" s="13"/>
    </row>
    <row r="430">
      <c r="A430" s="5"/>
      <c r="B430" s="6"/>
      <c r="C430" s="14" t="str">
        <f>iferror(vlookup(B430,'📦 ชื่อสินค้า'!A:C,2,false),)</f>
        <v/>
      </c>
      <c r="D430" s="11" t="str">
        <f>iferror(vlookup(B430,'📦 ชื่อสินค้า'!A:D,4,false),"")</f>
        <v/>
      </c>
      <c r="E430" s="16"/>
      <c r="F430" s="6"/>
      <c r="G430" s="8" t="str">
        <f t="shared" si="1"/>
        <v/>
      </c>
      <c r="H430" s="11" t="str">
        <f t="shared" si="2"/>
        <v/>
      </c>
      <c r="I430" s="13"/>
    </row>
    <row r="431">
      <c r="A431" s="5"/>
      <c r="B431" s="6"/>
      <c r="C431" s="14" t="str">
        <f>iferror(vlookup(B431,'📦 ชื่อสินค้า'!A:C,2,false),)</f>
        <v/>
      </c>
      <c r="D431" s="11" t="str">
        <f>iferror(vlookup(B431,'📦 ชื่อสินค้า'!A:D,4,false),"")</f>
        <v/>
      </c>
      <c r="E431" s="16"/>
      <c r="F431" s="6"/>
      <c r="G431" s="8" t="str">
        <f t="shared" si="1"/>
        <v/>
      </c>
      <c r="H431" s="11" t="str">
        <f t="shared" si="2"/>
        <v/>
      </c>
      <c r="I431" s="13"/>
    </row>
    <row r="432">
      <c r="A432" s="5"/>
      <c r="B432" s="6"/>
      <c r="C432" s="14" t="str">
        <f>iferror(vlookup(B432,'📦 ชื่อสินค้า'!A:C,2,false),)</f>
        <v/>
      </c>
      <c r="D432" s="11" t="str">
        <f>iferror(vlookup(B432,'📦 ชื่อสินค้า'!A:D,4,false),"")</f>
        <v/>
      </c>
      <c r="E432" s="16"/>
      <c r="F432" s="6"/>
      <c r="G432" s="8" t="str">
        <f t="shared" si="1"/>
        <v/>
      </c>
      <c r="H432" s="11" t="str">
        <f t="shared" si="2"/>
        <v/>
      </c>
      <c r="I432" s="13"/>
    </row>
    <row r="433">
      <c r="A433" s="5"/>
      <c r="B433" s="6"/>
      <c r="C433" s="14" t="str">
        <f>iferror(vlookup(B433,'📦 ชื่อสินค้า'!A:C,2,false),)</f>
        <v/>
      </c>
      <c r="D433" s="11" t="str">
        <f>iferror(vlookup(B433,'📦 ชื่อสินค้า'!A:D,4,false),"")</f>
        <v/>
      </c>
      <c r="E433" s="16"/>
      <c r="F433" s="6"/>
      <c r="G433" s="8" t="str">
        <f t="shared" si="1"/>
        <v/>
      </c>
      <c r="H433" s="11" t="str">
        <f t="shared" si="2"/>
        <v/>
      </c>
      <c r="I433" s="13"/>
    </row>
    <row r="434">
      <c r="A434" s="5"/>
      <c r="B434" s="6"/>
      <c r="C434" s="14" t="str">
        <f>iferror(vlookup(B434,'📦 ชื่อสินค้า'!A:C,2,false),)</f>
        <v/>
      </c>
      <c r="D434" s="11" t="str">
        <f>iferror(vlookup(B434,'📦 ชื่อสินค้า'!A:D,4,false),"")</f>
        <v/>
      </c>
      <c r="E434" s="16"/>
      <c r="F434" s="6"/>
      <c r="G434" s="8" t="str">
        <f t="shared" si="1"/>
        <v/>
      </c>
      <c r="H434" s="11" t="str">
        <f t="shared" si="2"/>
        <v/>
      </c>
      <c r="I434" s="13"/>
    </row>
    <row r="435">
      <c r="A435" s="5"/>
      <c r="B435" s="6"/>
      <c r="C435" s="14" t="str">
        <f>iferror(vlookup(B435,'📦 ชื่อสินค้า'!A:C,2,false),)</f>
        <v/>
      </c>
      <c r="D435" s="11" t="str">
        <f>iferror(vlookup(B435,'📦 ชื่อสินค้า'!A:D,4,false),"")</f>
        <v/>
      </c>
      <c r="E435" s="16"/>
      <c r="F435" s="6"/>
      <c r="G435" s="8" t="str">
        <f t="shared" si="1"/>
        <v/>
      </c>
      <c r="H435" s="11" t="str">
        <f t="shared" si="2"/>
        <v/>
      </c>
      <c r="I435" s="13"/>
    </row>
    <row r="436">
      <c r="A436" s="5"/>
      <c r="B436" s="6"/>
      <c r="C436" s="14" t="str">
        <f>iferror(vlookup(B436,'📦 ชื่อสินค้า'!A:C,2,false),)</f>
        <v/>
      </c>
      <c r="D436" s="11" t="str">
        <f>iferror(vlookup(B436,'📦 ชื่อสินค้า'!A:D,4,false),"")</f>
        <v/>
      </c>
      <c r="E436" s="16"/>
      <c r="F436" s="6"/>
      <c r="G436" s="8" t="str">
        <f t="shared" si="1"/>
        <v/>
      </c>
      <c r="H436" s="11" t="str">
        <f t="shared" si="2"/>
        <v/>
      </c>
      <c r="I436" s="13"/>
    </row>
    <row r="437">
      <c r="A437" s="5"/>
      <c r="B437" s="6"/>
      <c r="C437" s="14" t="str">
        <f>iferror(vlookup(B437,'📦 ชื่อสินค้า'!A:C,2,false),)</f>
        <v/>
      </c>
      <c r="D437" s="11" t="str">
        <f>iferror(vlookup(B437,'📦 ชื่อสินค้า'!A:D,4,false),"")</f>
        <v/>
      </c>
      <c r="E437" s="16"/>
      <c r="F437" s="6"/>
      <c r="G437" s="8" t="str">
        <f t="shared" si="1"/>
        <v/>
      </c>
      <c r="H437" s="11" t="str">
        <f t="shared" si="2"/>
        <v/>
      </c>
      <c r="I437" s="13"/>
    </row>
    <row r="438">
      <c r="A438" s="5"/>
      <c r="B438" s="6"/>
      <c r="C438" s="14" t="str">
        <f>iferror(vlookup(B438,'📦 ชื่อสินค้า'!A:C,2,false),)</f>
        <v/>
      </c>
      <c r="D438" s="11" t="str">
        <f>iferror(vlookup(B438,'📦 ชื่อสินค้า'!A:D,4,false),"")</f>
        <v/>
      </c>
      <c r="E438" s="16"/>
      <c r="F438" s="6"/>
      <c r="G438" s="8" t="str">
        <f t="shared" si="1"/>
        <v/>
      </c>
      <c r="H438" s="11" t="str">
        <f t="shared" si="2"/>
        <v/>
      </c>
      <c r="I438" s="13"/>
    </row>
    <row r="439">
      <c r="A439" s="5"/>
      <c r="B439" s="6"/>
      <c r="C439" s="14" t="str">
        <f>iferror(vlookup(B439,'📦 ชื่อสินค้า'!A:C,2,false),)</f>
        <v/>
      </c>
      <c r="D439" s="11" t="str">
        <f>iferror(vlookup(B439,'📦 ชื่อสินค้า'!A:D,4,false),"")</f>
        <v/>
      </c>
      <c r="E439" s="16"/>
      <c r="F439" s="6"/>
      <c r="G439" s="8" t="str">
        <f t="shared" si="1"/>
        <v/>
      </c>
      <c r="H439" s="11" t="str">
        <f t="shared" si="2"/>
        <v/>
      </c>
      <c r="I439" s="13"/>
    </row>
    <row r="440">
      <c r="A440" s="5"/>
      <c r="B440" s="6"/>
      <c r="C440" s="14" t="str">
        <f>iferror(vlookup(B440,'📦 ชื่อสินค้า'!A:C,2,false),)</f>
        <v/>
      </c>
      <c r="D440" s="11" t="str">
        <f>iferror(vlookup(B440,'📦 ชื่อสินค้า'!A:D,4,false),"")</f>
        <v/>
      </c>
      <c r="E440" s="16"/>
      <c r="F440" s="6"/>
      <c r="G440" s="8" t="str">
        <f t="shared" si="1"/>
        <v/>
      </c>
      <c r="H440" s="11" t="str">
        <f t="shared" si="2"/>
        <v/>
      </c>
      <c r="I440" s="13"/>
    </row>
    <row r="441">
      <c r="A441" s="5"/>
      <c r="B441" s="6"/>
      <c r="C441" s="14" t="str">
        <f>iferror(vlookup(B441,'📦 ชื่อสินค้า'!A:C,2,false),)</f>
        <v/>
      </c>
      <c r="D441" s="11" t="str">
        <f>iferror(vlookup(B441,'📦 ชื่อสินค้า'!A:D,4,false),"")</f>
        <v/>
      </c>
      <c r="E441" s="16"/>
      <c r="F441" s="6"/>
      <c r="G441" s="8" t="str">
        <f t="shared" si="1"/>
        <v/>
      </c>
      <c r="H441" s="11" t="str">
        <f t="shared" si="2"/>
        <v/>
      </c>
      <c r="I441" s="13"/>
    </row>
    <row r="442">
      <c r="A442" s="5"/>
      <c r="B442" s="6"/>
      <c r="C442" s="14" t="str">
        <f>iferror(vlookup(B442,'📦 ชื่อสินค้า'!A:C,2,false),)</f>
        <v/>
      </c>
      <c r="D442" s="11" t="str">
        <f>iferror(vlookup(B442,'📦 ชื่อสินค้า'!A:D,4,false),"")</f>
        <v/>
      </c>
      <c r="E442" s="16"/>
      <c r="F442" s="6"/>
      <c r="G442" s="8" t="str">
        <f t="shared" si="1"/>
        <v/>
      </c>
      <c r="H442" s="11" t="str">
        <f t="shared" si="2"/>
        <v/>
      </c>
      <c r="I442" s="13"/>
    </row>
    <row r="443">
      <c r="A443" s="5"/>
      <c r="B443" s="6"/>
      <c r="C443" s="14" t="str">
        <f>iferror(vlookup(B443,'📦 ชื่อสินค้า'!A:C,2,false),)</f>
        <v/>
      </c>
      <c r="D443" s="11" t="str">
        <f>iferror(vlookup(B443,'📦 ชื่อสินค้า'!A:D,4,false),"")</f>
        <v/>
      </c>
      <c r="E443" s="16"/>
      <c r="F443" s="6"/>
      <c r="G443" s="8" t="str">
        <f t="shared" si="1"/>
        <v/>
      </c>
      <c r="H443" s="11" t="str">
        <f t="shared" si="2"/>
        <v/>
      </c>
      <c r="I443" s="13"/>
    </row>
    <row r="444">
      <c r="A444" s="5"/>
      <c r="B444" s="6"/>
      <c r="C444" s="14" t="str">
        <f>iferror(vlookup(B444,'📦 ชื่อสินค้า'!A:C,2,false),)</f>
        <v/>
      </c>
      <c r="D444" s="11" t="str">
        <f>iferror(vlookup(B444,'📦 ชื่อสินค้า'!A:D,4,false),"")</f>
        <v/>
      </c>
      <c r="E444" s="16"/>
      <c r="F444" s="6"/>
      <c r="G444" s="8" t="str">
        <f t="shared" si="1"/>
        <v/>
      </c>
      <c r="H444" s="11" t="str">
        <f t="shared" si="2"/>
        <v/>
      </c>
      <c r="I444" s="13"/>
    </row>
    <row r="445">
      <c r="A445" s="5"/>
      <c r="B445" s="6"/>
      <c r="C445" s="14" t="str">
        <f>iferror(vlookup(B445,'📦 ชื่อสินค้า'!A:C,2,false),)</f>
        <v/>
      </c>
      <c r="D445" s="11" t="str">
        <f>iferror(vlookup(B445,'📦 ชื่อสินค้า'!A:D,4,false),"")</f>
        <v/>
      </c>
      <c r="E445" s="16"/>
      <c r="F445" s="6"/>
      <c r="G445" s="8" t="str">
        <f t="shared" si="1"/>
        <v/>
      </c>
      <c r="H445" s="11" t="str">
        <f t="shared" si="2"/>
        <v/>
      </c>
      <c r="I445" s="13"/>
    </row>
    <row r="446">
      <c r="A446" s="5"/>
      <c r="B446" s="6"/>
      <c r="C446" s="14" t="str">
        <f>iferror(vlookup(B446,'📦 ชื่อสินค้า'!A:C,2,false),)</f>
        <v/>
      </c>
      <c r="D446" s="11" t="str">
        <f>iferror(vlookup(B446,'📦 ชื่อสินค้า'!A:D,4,false),"")</f>
        <v/>
      </c>
      <c r="E446" s="16"/>
      <c r="F446" s="6"/>
      <c r="G446" s="8" t="str">
        <f t="shared" si="1"/>
        <v/>
      </c>
      <c r="H446" s="11" t="str">
        <f t="shared" si="2"/>
        <v/>
      </c>
      <c r="I446" s="13"/>
    </row>
    <row r="447">
      <c r="A447" s="5"/>
      <c r="B447" s="6"/>
      <c r="C447" s="14" t="str">
        <f>iferror(vlookup(B447,'📦 ชื่อสินค้า'!A:C,2,false),)</f>
        <v/>
      </c>
      <c r="D447" s="11" t="str">
        <f>iferror(vlookup(B447,'📦 ชื่อสินค้า'!A:D,4,false),"")</f>
        <v/>
      </c>
      <c r="E447" s="16"/>
      <c r="F447" s="6"/>
      <c r="G447" s="8" t="str">
        <f t="shared" si="1"/>
        <v/>
      </c>
      <c r="H447" s="11" t="str">
        <f t="shared" si="2"/>
        <v/>
      </c>
      <c r="I447" s="13"/>
    </row>
    <row r="448">
      <c r="A448" s="5"/>
      <c r="B448" s="6"/>
      <c r="C448" s="14" t="str">
        <f>iferror(vlookup(B448,'📦 ชื่อสินค้า'!A:C,2,false),)</f>
        <v/>
      </c>
      <c r="D448" s="11" t="str">
        <f>iferror(vlookup(B448,'📦 ชื่อสินค้า'!A:D,4,false),"")</f>
        <v/>
      </c>
      <c r="E448" s="16"/>
      <c r="F448" s="6"/>
      <c r="G448" s="8" t="str">
        <f t="shared" si="1"/>
        <v/>
      </c>
      <c r="H448" s="11" t="str">
        <f t="shared" si="2"/>
        <v/>
      </c>
      <c r="I448" s="13"/>
    </row>
    <row r="449">
      <c r="A449" s="5"/>
      <c r="B449" s="6"/>
      <c r="C449" s="14" t="str">
        <f>iferror(vlookup(B449,'📦 ชื่อสินค้า'!A:C,2,false),)</f>
        <v/>
      </c>
      <c r="D449" s="11" t="str">
        <f>iferror(vlookup(B449,'📦 ชื่อสินค้า'!A:D,4,false),"")</f>
        <v/>
      </c>
      <c r="E449" s="16"/>
      <c r="F449" s="6"/>
      <c r="G449" s="8" t="str">
        <f t="shared" si="1"/>
        <v/>
      </c>
      <c r="H449" s="11" t="str">
        <f t="shared" si="2"/>
        <v/>
      </c>
      <c r="I449" s="13"/>
    </row>
    <row r="450">
      <c r="A450" s="5"/>
      <c r="B450" s="6"/>
      <c r="C450" s="14" t="str">
        <f>iferror(vlookup(B450,'📦 ชื่อสินค้า'!A:C,2,false),)</f>
        <v/>
      </c>
      <c r="D450" s="11" t="str">
        <f>iferror(vlookup(B450,'📦 ชื่อสินค้า'!A:D,4,false),"")</f>
        <v/>
      </c>
      <c r="E450" s="16"/>
      <c r="F450" s="6"/>
      <c r="G450" s="8" t="str">
        <f t="shared" si="1"/>
        <v/>
      </c>
      <c r="H450" s="11" t="str">
        <f t="shared" si="2"/>
        <v/>
      </c>
      <c r="I450" s="13"/>
    </row>
    <row r="451">
      <c r="A451" s="5"/>
      <c r="B451" s="6"/>
      <c r="C451" s="14" t="str">
        <f>iferror(vlookup(B451,'📦 ชื่อสินค้า'!A:C,2,false),)</f>
        <v/>
      </c>
      <c r="D451" s="11" t="str">
        <f>iferror(vlookup(B451,'📦 ชื่อสินค้า'!A:D,4,false),"")</f>
        <v/>
      </c>
      <c r="E451" s="16"/>
      <c r="F451" s="6"/>
      <c r="G451" s="8" t="str">
        <f t="shared" si="1"/>
        <v/>
      </c>
      <c r="H451" s="11" t="str">
        <f t="shared" si="2"/>
        <v/>
      </c>
      <c r="I451" s="13"/>
    </row>
    <row r="452">
      <c r="A452" s="5"/>
      <c r="B452" s="6"/>
      <c r="C452" s="14" t="str">
        <f>iferror(vlookup(B452,'📦 ชื่อสินค้า'!A:C,2,false),)</f>
        <v/>
      </c>
      <c r="D452" s="11" t="str">
        <f>iferror(vlookup(B452,'📦 ชื่อสินค้า'!A:D,4,false),"")</f>
        <v/>
      </c>
      <c r="E452" s="16"/>
      <c r="F452" s="6"/>
      <c r="G452" s="8" t="str">
        <f t="shared" si="1"/>
        <v/>
      </c>
      <c r="H452" s="11" t="str">
        <f t="shared" si="2"/>
        <v/>
      </c>
      <c r="I452" s="13"/>
    </row>
    <row r="453">
      <c r="A453" s="5"/>
      <c r="B453" s="6"/>
      <c r="C453" s="14" t="str">
        <f>iferror(vlookup(B453,'📦 ชื่อสินค้า'!A:C,2,false),)</f>
        <v/>
      </c>
      <c r="D453" s="11" t="str">
        <f>iferror(vlookup(B453,'📦 ชื่อสินค้า'!A:D,4,false),"")</f>
        <v/>
      </c>
      <c r="E453" s="16"/>
      <c r="F453" s="6"/>
      <c r="G453" s="8" t="str">
        <f t="shared" si="1"/>
        <v/>
      </c>
      <c r="H453" s="11" t="str">
        <f t="shared" si="2"/>
        <v/>
      </c>
      <c r="I453" s="13"/>
    </row>
    <row r="454">
      <c r="A454" s="5"/>
      <c r="B454" s="6"/>
      <c r="C454" s="14" t="str">
        <f>iferror(vlookup(B454,'📦 ชื่อสินค้า'!A:C,2,false),)</f>
        <v/>
      </c>
      <c r="D454" s="11" t="str">
        <f>iferror(vlookup(B454,'📦 ชื่อสินค้า'!A:D,4,false),"")</f>
        <v/>
      </c>
      <c r="E454" s="16"/>
      <c r="F454" s="6"/>
      <c r="G454" s="8" t="str">
        <f t="shared" si="1"/>
        <v/>
      </c>
      <c r="H454" s="11" t="str">
        <f t="shared" si="2"/>
        <v/>
      </c>
      <c r="I454" s="13"/>
    </row>
    <row r="455">
      <c r="A455" s="5"/>
      <c r="B455" s="6"/>
      <c r="C455" s="14" t="str">
        <f>iferror(vlookup(B455,'📦 ชื่อสินค้า'!A:C,2,false),)</f>
        <v/>
      </c>
      <c r="D455" s="11" t="str">
        <f>iferror(vlookup(B455,'📦 ชื่อสินค้า'!A:D,4,false),"")</f>
        <v/>
      </c>
      <c r="E455" s="16"/>
      <c r="F455" s="6"/>
      <c r="G455" s="8" t="str">
        <f t="shared" si="1"/>
        <v/>
      </c>
      <c r="H455" s="11" t="str">
        <f t="shared" si="2"/>
        <v/>
      </c>
      <c r="I455" s="13"/>
    </row>
    <row r="456">
      <c r="A456" s="5"/>
      <c r="B456" s="6"/>
      <c r="C456" s="14" t="str">
        <f>iferror(vlookup(B456,'📦 ชื่อสินค้า'!A:C,2,false),)</f>
        <v/>
      </c>
      <c r="D456" s="11" t="str">
        <f>iferror(vlookup(B456,'📦 ชื่อสินค้า'!A:D,4,false),"")</f>
        <v/>
      </c>
      <c r="E456" s="16"/>
      <c r="F456" s="6"/>
      <c r="G456" s="8" t="str">
        <f t="shared" si="1"/>
        <v/>
      </c>
      <c r="H456" s="11" t="str">
        <f t="shared" si="2"/>
        <v/>
      </c>
      <c r="I456" s="13"/>
    </row>
    <row r="457">
      <c r="A457" s="5"/>
      <c r="B457" s="6"/>
      <c r="C457" s="14" t="str">
        <f>iferror(vlookup(B457,'📦 ชื่อสินค้า'!A:C,2,false),)</f>
        <v/>
      </c>
      <c r="D457" s="11" t="str">
        <f>iferror(vlookup(B457,'📦 ชื่อสินค้า'!A:D,4,false),"")</f>
        <v/>
      </c>
      <c r="E457" s="16"/>
      <c r="F457" s="6"/>
      <c r="G457" s="8" t="str">
        <f t="shared" si="1"/>
        <v/>
      </c>
      <c r="H457" s="11" t="str">
        <f t="shared" si="2"/>
        <v/>
      </c>
      <c r="I457" s="13"/>
    </row>
    <row r="458">
      <c r="A458" s="5"/>
      <c r="B458" s="6"/>
      <c r="C458" s="14" t="str">
        <f>iferror(vlookup(B458,'📦 ชื่อสินค้า'!A:C,2,false),)</f>
        <v/>
      </c>
      <c r="D458" s="11" t="str">
        <f>iferror(vlookup(B458,'📦 ชื่อสินค้า'!A:D,4,false),"")</f>
        <v/>
      </c>
      <c r="E458" s="16"/>
      <c r="F458" s="6"/>
      <c r="G458" s="8" t="str">
        <f t="shared" si="1"/>
        <v/>
      </c>
      <c r="H458" s="11" t="str">
        <f t="shared" si="2"/>
        <v/>
      </c>
      <c r="I458" s="13"/>
    </row>
    <row r="459">
      <c r="A459" s="5"/>
      <c r="B459" s="6"/>
      <c r="C459" s="14" t="str">
        <f>iferror(vlookup(B459,'📦 ชื่อสินค้า'!A:C,2,false),)</f>
        <v/>
      </c>
      <c r="D459" s="11" t="str">
        <f>iferror(vlookup(B459,'📦 ชื่อสินค้า'!A:D,4,false),"")</f>
        <v/>
      </c>
      <c r="E459" s="16"/>
      <c r="F459" s="6"/>
      <c r="G459" s="8" t="str">
        <f t="shared" si="1"/>
        <v/>
      </c>
      <c r="H459" s="11" t="str">
        <f t="shared" si="2"/>
        <v/>
      </c>
      <c r="I459" s="13"/>
    </row>
    <row r="460">
      <c r="A460" s="5"/>
      <c r="B460" s="6"/>
      <c r="C460" s="14" t="str">
        <f>iferror(vlookup(B460,'📦 ชื่อสินค้า'!A:C,2,false),)</f>
        <v/>
      </c>
      <c r="D460" s="11" t="str">
        <f>iferror(vlookup(B460,'📦 ชื่อสินค้า'!A:D,4,false),"")</f>
        <v/>
      </c>
      <c r="E460" s="16"/>
      <c r="F460" s="6"/>
      <c r="G460" s="8" t="str">
        <f t="shared" si="1"/>
        <v/>
      </c>
      <c r="H460" s="11" t="str">
        <f t="shared" si="2"/>
        <v/>
      </c>
      <c r="I460" s="13"/>
    </row>
    <row r="461">
      <c r="A461" s="5"/>
      <c r="B461" s="6"/>
      <c r="C461" s="14" t="str">
        <f>iferror(vlookup(B461,'📦 ชื่อสินค้า'!A:C,2,false),)</f>
        <v/>
      </c>
      <c r="D461" s="11" t="str">
        <f>iferror(vlookup(B461,'📦 ชื่อสินค้า'!A:D,4,false),"")</f>
        <v/>
      </c>
      <c r="E461" s="16"/>
      <c r="F461" s="6"/>
      <c r="G461" s="8" t="str">
        <f t="shared" si="1"/>
        <v/>
      </c>
      <c r="H461" s="11" t="str">
        <f t="shared" si="2"/>
        <v/>
      </c>
      <c r="I461" s="13"/>
    </row>
    <row r="462">
      <c r="A462" s="5"/>
      <c r="B462" s="6"/>
      <c r="C462" s="14" t="str">
        <f>iferror(vlookup(B462,'📦 ชื่อสินค้า'!A:C,2,false),)</f>
        <v/>
      </c>
      <c r="D462" s="11" t="str">
        <f>iferror(vlookup(B462,'📦 ชื่อสินค้า'!A:D,4,false),"")</f>
        <v/>
      </c>
      <c r="E462" s="16"/>
      <c r="F462" s="6"/>
      <c r="G462" s="8" t="str">
        <f t="shared" si="1"/>
        <v/>
      </c>
      <c r="H462" s="11" t="str">
        <f t="shared" si="2"/>
        <v/>
      </c>
      <c r="I462" s="13"/>
    </row>
    <row r="463">
      <c r="A463" s="5"/>
      <c r="B463" s="6"/>
      <c r="C463" s="14" t="str">
        <f>iferror(vlookup(B463,'📦 ชื่อสินค้า'!A:C,2,false),)</f>
        <v/>
      </c>
      <c r="D463" s="11" t="str">
        <f>iferror(vlookup(B463,'📦 ชื่อสินค้า'!A:D,4,false),"")</f>
        <v/>
      </c>
      <c r="E463" s="16"/>
      <c r="F463" s="6"/>
      <c r="G463" s="8" t="str">
        <f t="shared" si="1"/>
        <v/>
      </c>
      <c r="H463" s="11" t="str">
        <f t="shared" si="2"/>
        <v/>
      </c>
      <c r="I463" s="13"/>
    </row>
    <row r="464">
      <c r="A464" s="5"/>
      <c r="B464" s="6"/>
      <c r="C464" s="14" t="str">
        <f>iferror(vlookup(B464,'📦 ชื่อสินค้า'!A:C,2,false),)</f>
        <v/>
      </c>
      <c r="D464" s="11" t="str">
        <f>iferror(vlookup(B464,'📦 ชื่อสินค้า'!A:D,4,false),"")</f>
        <v/>
      </c>
      <c r="E464" s="16"/>
      <c r="F464" s="6"/>
      <c r="G464" s="8" t="str">
        <f t="shared" si="1"/>
        <v/>
      </c>
      <c r="H464" s="11" t="str">
        <f t="shared" si="2"/>
        <v/>
      </c>
      <c r="I464" s="13"/>
    </row>
    <row r="465">
      <c r="A465" s="5"/>
      <c r="B465" s="6"/>
      <c r="C465" s="14" t="str">
        <f>iferror(vlookup(B465,'📦 ชื่อสินค้า'!A:C,2,false),)</f>
        <v/>
      </c>
      <c r="D465" s="11" t="str">
        <f>iferror(vlookup(B465,'📦 ชื่อสินค้า'!A:D,4,false),"")</f>
        <v/>
      </c>
      <c r="E465" s="16"/>
      <c r="F465" s="6"/>
      <c r="G465" s="8" t="str">
        <f t="shared" si="1"/>
        <v/>
      </c>
      <c r="H465" s="11" t="str">
        <f t="shared" si="2"/>
        <v/>
      </c>
      <c r="I465" s="13"/>
    </row>
    <row r="466">
      <c r="A466" s="5"/>
      <c r="B466" s="6"/>
      <c r="C466" s="14" t="str">
        <f>iferror(vlookup(B466,'📦 ชื่อสินค้า'!A:C,2,false),)</f>
        <v/>
      </c>
      <c r="D466" s="11" t="str">
        <f>iferror(vlookup(B466,'📦 ชื่อสินค้า'!A:D,4,false),"")</f>
        <v/>
      </c>
      <c r="E466" s="16"/>
      <c r="F466" s="6"/>
      <c r="G466" s="8" t="str">
        <f t="shared" si="1"/>
        <v/>
      </c>
      <c r="H466" s="11" t="str">
        <f t="shared" si="2"/>
        <v/>
      </c>
      <c r="I466" s="13"/>
    </row>
    <row r="467">
      <c r="A467" s="5"/>
      <c r="B467" s="6"/>
      <c r="C467" s="14" t="str">
        <f>iferror(vlookup(B467,'📦 ชื่อสินค้า'!A:C,2,false),)</f>
        <v/>
      </c>
      <c r="D467" s="11" t="str">
        <f>iferror(vlookup(B467,'📦 ชื่อสินค้า'!A:D,4,false),"")</f>
        <v/>
      </c>
      <c r="E467" s="16"/>
      <c r="F467" s="6"/>
      <c r="G467" s="8" t="str">
        <f t="shared" si="1"/>
        <v/>
      </c>
      <c r="H467" s="11" t="str">
        <f t="shared" si="2"/>
        <v/>
      </c>
      <c r="I467" s="13"/>
    </row>
    <row r="468">
      <c r="A468" s="5"/>
      <c r="B468" s="6"/>
      <c r="C468" s="14" t="str">
        <f>iferror(vlookup(B468,'📦 ชื่อสินค้า'!A:C,2,false),)</f>
        <v/>
      </c>
      <c r="D468" s="11" t="str">
        <f>iferror(vlookup(B468,'📦 ชื่อสินค้า'!A:D,4,false),"")</f>
        <v/>
      </c>
      <c r="E468" s="16"/>
      <c r="F468" s="6"/>
      <c r="G468" s="8" t="str">
        <f t="shared" si="1"/>
        <v/>
      </c>
      <c r="H468" s="11" t="str">
        <f t="shared" si="2"/>
        <v/>
      </c>
      <c r="I468" s="13"/>
    </row>
    <row r="469">
      <c r="A469" s="5"/>
      <c r="B469" s="6"/>
      <c r="C469" s="14" t="str">
        <f>iferror(vlookup(B469,'📦 ชื่อสินค้า'!A:C,2,false),)</f>
        <v/>
      </c>
      <c r="D469" s="11" t="str">
        <f>iferror(vlookup(B469,'📦 ชื่อสินค้า'!A:D,4,false),"")</f>
        <v/>
      </c>
      <c r="E469" s="16"/>
      <c r="F469" s="6"/>
      <c r="G469" s="8" t="str">
        <f t="shared" si="1"/>
        <v/>
      </c>
      <c r="H469" s="11" t="str">
        <f t="shared" si="2"/>
        <v/>
      </c>
      <c r="I469" s="13"/>
    </row>
    <row r="470">
      <c r="A470" s="5"/>
      <c r="B470" s="6"/>
      <c r="C470" s="14" t="str">
        <f>iferror(vlookup(B470,'📦 ชื่อสินค้า'!A:C,2,false),)</f>
        <v/>
      </c>
      <c r="D470" s="11" t="str">
        <f>iferror(vlookup(B470,'📦 ชื่อสินค้า'!A:D,4,false),"")</f>
        <v/>
      </c>
      <c r="E470" s="16"/>
      <c r="F470" s="6"/>
      <c r="G470" s="8" t="str">
        <f t="shared" si="1"/>
        <v/>
      </c>
      <c r="H470" s="11" t="str">
        <f t="shared" si="2"/>
        <v/>
      </c>
      <c r="I470" s="13"/>
    </row>
    <row r="471">
      <c r="A471" s="5"/>
      <c r="B471" s="6"/>
      <c r="C471" s="14" t="str">
        <f>iferror(vlookup(B471,'📦 ชื่อสินค้า'!A:C,2,false),)</f>
        <v/>
      </c>
      <c r="D471" s="11" t="str">
        <f>iferror(vlookup(B471,'📦 ชื่อสินค้า'!A:D,4,false),"")</f>
        <v/>
      </c>
      <c r="E471" s="16"/>
      <c r="F471" s="6"/>
      <c r="G471" s="8" t="str">
        <f t="shared" si="1"/>
        <v/>
      </c>
      <c r="H471" s="11" t="str">
        <f t="shared" si="2"/>
        <v/>
      </c>
      <c r="I471" s="13"/>
    </row>
    <row r="472">
      <c r="A472" s="5"/>
      <c r="B472" s="6"/>
      <c r="C472" s="14" t="str">
        <f>iferror(vlookup(B472,'📦 ชื่อสินค้า'!A:C,2,false),)</f>
        <v/>
      </c>
      <c r="D472" s="11" t="str">
        <f>iferror(vlookup(B472,'📦 ชื่อสินค้า'!A:D,4,false),"")</f>
        <v/>
      </c>
      <c r="E472" s="16"/>
      <c r="F472" s="6"/>
      <c r="G472" s="8" t="str">
        <f t="shared" si="1"/>
        <v/>
      </c>
      <c r="H472" s="11" t="str">
        <f t="shared" si="2"/>
        <v/>
      </c>
      <c r="I472" s="13"/>
    </row>
    <row r="473">
      <c r="A473" s="5"/>
      <c r="B473" s="6"/>
      <c r="C473" s="14" t="str">
        <f>iferror(vlookup(B473,'📦 ชื่อสินค้า'!A:C,2,false),)</f>
        <v/>
      </c>
      <c r="D473" s="11" t="str">
        <f>iferror(vlookup(B473,'📦 ชื่อสินค้า'!A:D,4,false),"")</f>
        <v/>
      </c>
      <c r="E473" s="16"/>
      <c r="F473" s="6"/>
      <c r="G473" s="8" t="str">
        <f t="shared" si="1"/>
        <v/>
      </c>
      <c r="H473" s="11" t="str">
        <f t="shared" si="2"/>
        <v/>
      </c>
      <c r="I473" s="13"/>
    </row>
    <row r="474">
      <c r="A474" s="5"/>
      <c r="B474" s="6"/>
      <c r="C474" s="14" t="str">
        <f>iferror(vlookup(B474,'📦 ชื่อสินค้า'!A:C,2,false),)</f>
        <v/>
      </c>
      <c r="D474" s="11" t="str">
        <f>iferror(vlookup(B474,'📦 ชื่อสินค้า'!A:D,4,false),"")</f>
        <v/>
      </c>
      <c r="E474" s="16"/>
      <c r="F474" s="6"/>
      <c r="G474" s="8" t="str">
        <f t="shared" si="1"/>
        <v/>
      </c>
      <c r="H474" s="11" t="str">
        <f t="shared" si="2"/>
        <v/>
      </c>
      <c r="I474" s="13"/>
    </row>
    <row r="475">
      <c r="A475" s="5"/>
      <c r="B475" s="6"/>
      <c r="C475" s="14" t="str">
        <f>iferror(vlookup(B475,'📦 ชื่อสินค้า'!A:C,2,false),)</f>
        <v/>
      </c>
      <c r="D475" s="11" t="str">
        <f>iferror(vlookup(B475,'📦 ชื่อสินค้า'!A:D,4,false),"")</f>
        <v/>
      </c>
      <c r="E475" s="16"/>
      <c r="F475" s="6"/>
      <c r="G475" s="8" t="str">
        <f t="shared" si="1"/>
        <v/>
      </c>
      <c r="H475" s="11" t="str">
        <f t="shared" si="2"/>
        <v/>
      </c>
      <c r="I475" s="13"/>
    </row>
    <row r="476">
      <c r="A476" s="5"/>
      <c r="B476" s="6"/>
      <c r="C476" s="14" t="str">
        <f>iferror(vlookup(B476,'📦 ชื่อสินค้า'!A:C,2,false),)</f>
        <v/>
      </c>
      <c r="D476" s="11" t="str">
        <f>iferror(vlookup(B476,'📦 ชื่อสินค้า'!A:D,4,false),"")</f>
        <v/>
      </c>
      <c r="E476" s="16"/>
      <c r="F476" s="6"/>
      <c r="G476" s="8" t="str">
        <f t="shared" si="1"/>
        <v/>
      </c>
      <c r="H476" s="11" t="str">
        <f t="shared" si="2"/>
        <v/>
      </c>
      <c r="I476" s="13"/>
    </row>
    <row r="477">
      <c r="A477" s="5"/>
      <c r="B477" s="6"/>
      <c r="C477" s="14" t="str">
        <f>iferror(vlookup(B477,'📦 ชื่อสินค้า'!A:C,2,false),)</f>
        <v/>
      </c>
      <c r="D477" s="11" t="str">
        <f>iferror(vlookup(B477,'📦 ชื่อสินค้า'!A:D,4,false),"")</f>
        <v/>
      </c>
      <c r="E477" s="16"/>
      <c r="F477" s="6"/>
      <c r="G477" s="8" t="str">
        <f t="shared" si="1"/>
        <v/>
      </c>
      <c r="H477" s="11" t="str">
        <f t="shared" si="2"/>
        <v/>
      </c>
      <c r="I477" s="13"/>
    </row>
    <row r="478">
      <c r="A478" s="5"/>
      <c r="B478" s="6"/>
      <c r="C478" s="14" t="str">
        <f>iferror(vlookup(B478,'📦 ชื่อสินค้า'!A:C,2,false),)</f>
        <v/>
      </c>
      <c r="D478" s="11" t="str">
        <f>iferror(vlookup(B478,'📦 ชื่อสินค้า'!A:D,4,false),"")</f>
        <v/>
      </c>
      <c r="E478" s="16"/>
      <c r="F478" s="6"/>
      <c r="G478" s="8" t="str">
        <f t="shared" si="1"/>
        <v/>
      </c>
      <c r="H478" s="11" t="str">
        <f t="shared" si="2"/>
        <v/>
      </c>
      <c r="I478" s="13"/>
    </row>
    <row r="479">
      <c r="A479" s="5"/>
      <c r="B479" s="6"/>
      <c r="C479" s="14" t="str">
        <f>iferror(vlookup(B479,'📦 ชื่อสินค้า'!A:C,2,false),)</f>
        <v/>
      </c>
      <c r="D479" s="11" t="str">
        <f>iferror(vlookup(B479,'📦 ชื่อสินค้า'!A:D,4,false),"")</f>
        <v/>
      </c>
      <c r="E479" s="16"/>
      <c r="F479" s="6"/>
      <c r="G479" s="8" t="str">
        <f t="shared" si="1"/>
        <v/>
      </c>
      <c r="H479" s="11" t="str">
        <f t="shared" si="2"/>
        <v/>
      </c>
      <c r="I479" s="13"/>
    </row>
    <row r="480">
      <c r="A480" s="5"/>
      <c r="B480" s="6"/>
      <c r="C480" s="14" t="str">
        <f>iferror(vlookup(B480,'📦 ชื่อสินค้า'!A:C,2,false),)</f>
        <v/>
      </c>
      <c r="D480" s="11" t="str">
        <f>iferror(vlookup(B480,'📦 ชื่อสินค้า'!A:D,4,false),"")</f>
        <v/>
      </c>
      <c r="E480" s="16"/>
      <c r="F480" s="6"/>
      <c r="G480" s="8" t="str">
        <f t="shared" si="1"/>
        <v/>
      </c>
      <c r="H480" s="11" t="str">
        <f t="shared" si="2"/>
        <v/>
      </c>
      <c r="I480" s="13"/>
    </row>
    <row r="481">
      <c r="A481" s="5"/>
      <c r="B481" s="6"/>
      <c r="C481" s="14" t="str">
        <f>iferror(vlookup(B481,'📦 ชื่อสินค้า'!A:C,2,false),)</f>
        <v/>
      </c>
      <c r="D481" s="11" t="str">
        <f>iferror(vlookup(B481,'📦 ชื่อสินค้า'!A:D,4,false),"")</f>
        <v/>
      </c>
      <c r="E481" s="16"/>
      <c r="F481" s="6"/>
      <c r="G481" s="8" t="str">
        <f t="shared" si="1"/>
        <v/>
      </c>
      <c r="H481" s="11" t="str">
        <f t="shared" si="2"/>
        <v/>
      </c>
      <c r="I481" s="13"/>
    </row>
    <row r="482">
      <c r="A482" s="5"/>
      <c r="B482" s="6"/>
      <c r="C482" s="14" t="str">
        <f>iferror(vlookup(B482,'📦 ชื่อสินค้า'!A:C,2,false),)</f>
        <v/>
      </c>
      <c r="D482" s="11" t="str">
        <f>iferror(vlookup(B482,'📦 ชื่อสินค้า'!A:D,4,false),"")</f>
        <v/>
      </c>
      <c r="E482" s="16"/>
      <c r="F482" s="6"/>
      <c r="G482" s="8" t="str">
        <f t="shared" si="1"/>
        <v/>
      </c>
      <c r="H482" s="11" t="str">
        <f t="shared" si="2"/>
        <v/>
      </c>
      <c r="I482" s="13"/>
    </row>
    <row r="483">
      <c r="A483" s="5"/>
      <c r="B483" s="6"/>
      <c r="C483" s="14" t="str">
        <f>iferror(vlookup(B483,'📦 ชื่อสินค้า'!A:C,2,false),)</f>
        <v/>
      </c>
      <c r="D483" s="11" t="str">
        <f>iferror(vlookup(B483,'📦 ชื่อสินค้า'!A:D,4,false),"")</f>
        <v/>
      </c>
      <c r="E483" s="16"/>
      <c r="F483" s="6"/>
      <c r="G483" s="8" t="str">
        <f t="shared" si="1"/>
        <v/>
      </c>
      <c r="H483" s="11" t="str">
        <f t="shared" si="2"/>
        <v/>
      </c>
      <c r="I483" s="13"/>
    </row>
    <row r="484">
      <c r="A484" s="5"/>
      <c r="B484" s="6"/>
      <c r="C484" s="14" t="str">
        <f>iferror(vlookup(B484,'📦 ชื่อสินค้า'!A:C,2,false),)</f>
        <v/>
      </c>
      <c r="D484" s="11" t="str">
        <f>iferror(vlookup(B484,'📦 ชื่อสินค้า'!A:D,4,false),"")</f>
        <v/>
      </c>
      <c r="E484" s="16"/>
      <c r="F484" s="6"/>
      <c r="G484" s="8" t="str">
        <f t="shared" si="1"/>
        <v/>
      </c>
      <c r="H484" s="11" t="str">
        <f t="shared" si="2"/>
        <v/>
      </c>
      <c r="I484" s="13"/>
    </row>
    <row r="485">
      <c r="A485" s="5"/>
      <c r="B485" s="6"/>
      <c r="C485" s="14" t="str">
        <f>iferror(vlookup(B485,'📦 ชื่อสินค้า'!A:C,2,false),)</f>
        <v/>
      </c>
      <c r="D485" s="11" t="str">
        <f>iferror(vlookup(B485,'📦 ชื่อสินค้า'!A:D,4,false),"")</f>
        <v/>
      </c>
      <c r="E485" s="16"/>
      <c r="F485" s="6"/>
      <c r="G485" s="8" t="str">
        <f t="shared" si="1"/>
        <v/>
      </c>
      <c r="H485" s="11" t="str">
        <f t="shared" si="2"/>
        <v/>
      </c>
      <c r="I485" s="13"/>
    </row>
    <row r="486">
      <c r="A486" s="5"/>
      <c r="B486" s="6"/>
      <c r="C486" s="14" t="str">
        <f>iferror(vlookup(B486,'📦 ชื่อสินค้า'!A:C,2,false),)</f>
        <v/>
      </c>
      <c r="D486" s="11" t="str">
        <f>iferror(vlookup(B486,'📦 ชื่อสินค้า'!A:D,4,false),"")</f>
        <v/>
      </c>
      <c r="E486" s="16"/>
      <c r="F486" s="6"/>
      <c r="G486" s="8" t="str">
        <f t="shared" si="1"/>
        <v/>
      </c>
      <c r="H486" s="11" t="str">
        <f t="shared" si="2"/>
        <v/>
      </c>
      <c r="I486" s="13"/>
    </row>
    <row r="487">
      <c r="A487" s="5"/>
      <c r="B487" s="6"/>
      <c r="C487" s="14" t="str">
        <f>iferror(vlookup(B487,'📦 ชื่อสินค้า'!A:C,2,false),)</f>
        <v/>
      </c>
      <c r="D487" s="11" t="str">
        <f>iferror(vlookup(B487,'📦 ชื่อสินค้า'!A:D,4,false),"")</f>
        <v/>
      </c>
      <c r="E487" s="16"/>
      <c r="F487" s="6"/>
      <c r="G487" s="8" t="str">
        <f t="shared" si="1"/>
        <v/>
      </c>
      <c r="H487" s="11" t="str">
        <f t="shared" si="2"/>
        <v/>
      </c>
      <c r="I487" s="13"/>
    </row>
    <row r="488">
      <c r="A488" s="5"/>
      <c r="B488" s="6"/>
      <c r="C488" s="14" t="str">
        <f>iferror(vlookup(B488,'📦 ชื่อสินค้า'!A:C,2,false),)</f>
        <v/>
      </c>
      <c r="D488" s="11" t="str">
        <f>iferror(vlookup(B488,'📦 ชื่อสินค้า'!A:D,4,false),"")</f>
        <v/>
      </c>
      <c r="E488" s="16"/>
      <c r="F488" s="6"/>
      <c r="G488" s="8" t="str">
        <f t="shared" si="1"/>
        <v/>
      </c>
      <c r="H488" s="11" t="str">
        <f t="shared" si="2"/>
        <v/>
      </c>
      <c r="I488" s="13"/>
    </row>
    <row r="489">
      <c r="A489" s="5"/>
      <c r="B489" s="6"/>
      <c r="C489" s="14" t="str">
        <f>iferror(vlookup(B489,'📦 ชื่อสินค้า'!A:C,2,false),)</f>
        <v/>
      </c>
      <c r="D489" s="11" t="str">
        <f>iferror(vlookup(B489,'📦 ชื่อสินค้า'!A:D,4,false),"")</f>
        <v/>
      </c>
      <c r="E489" s="16"/>
      <c r="F489" s="6"/>
      <c r="G489" s="8" t="str">
        <f t="shared" si="1"/>
        <v/>
      </c>
      <c r="H489" s="11" t="str">
        <f t="shared" si="2"/>
        <v/>
      </c>
      <c r="I489" s="13"/>
    </row>
    <row r="490">
      <c r="A490" s="5"/>
      <c r="B490" s="6"/>
      <c r="C490" s="14" t="str">
        <f>iferror(vlookup(B490,'📦 ชื่อสินค้า'!A:C,2,false),)</f>
        <v/>
      </c>
      <c r="D490" s="11" t="str">
        <f>iferror(vlookup(B490,'📦 ชื่อสินค้า'!A:D,4,false),"")</f>
        <v/>
      </c>
      <c r="E490" s="16"/>
      <c r="F490" s="6"/>
      <c r="G490" s="8" t="str">
        <f t="shared" si="1"/>
        <v/>
      </c>
      <c r="H490" s="11" t="str">
        <f t="shared" si="2"/>
        <v/>
      </c>
      <c r="I490" s="13"/>
    </row>
    <row r="491">
      <c r="A491" s="5"/>
      <c r="B491" s="6"/>
      <c r="C491" s="14" t="str">
        <f>iferror(vlookup(B491,'📦 ชื่อสินค้า'!A:C,2,false),)</f>
        <v/>
      </c>
      <c r="D491" s="11" t="str">
        <f>iferror(vlookup(B491,'📦 ชื่อสินค้า'!A:D,4,false),"")</f>
        <v/>
      </c>
      <c r="E491" s="16"/>
      <c r="F491" s="6"/>
      <c r="G491" s="8" t="str">
        <f t="shared" si="1"/>
        <v/>
      </c>
      <c r="H491" s="11" t="str">
        <f t="shared" si="2"/>
        <v/>
      </c>
      <c r="I491" s="13"/>
    </row>
    <row r="492">
      <c r="A492" s="5"/>
      <c r="B492" s="6"/>
      <c r="C492" s="14" t="str">
        <f>iferror(vlookup(B492,'📦 ชื่อสินค้า'!A:C,2,false),)</f>
        <v/>
      </c>
      <c r="D492" s="11" t="str">
        <f>iferror(vlookup(B492,'📦 ชื่อสินค้า'!A:D,4,false),"")</f>
        <v/>
      </c>
      <c r="E492" s="16"/>
      <c r="F492" s="6"/>
      <c r="G492" s="8" t="str">
        <f t="shared" si="1"/>
        <v/>
      </c>
      <c r="H492" s="11" t="str">
        <f t="shared" si="2"/>
        <v/>
      </c>
      <c r="I492" s="13"/>
    </row>
    <row r="493">
      <c r="A493" s="5"/>
      <c r="B493" s="6"/>
      <c r="C493" s="14" t="str">
        <f>iferror(vlookup(B493,'📦 ชื่อสินค้า'!A:C,2,false),)</f>
        <v/>
      </c>
      <c r="D493" s="11" t="str">
        <f>iferror(vlookup(B493,'📦 ชื่อสินค้า'!A:D,4,false),"")</f>
        <v/>
      </c>
      <c r="E493" s="16"/>
      <c r="F493" s="6"/>
      <c r="G493" s="8" t="str">
        <f t="shared" si="1"/>
        <v/>
      </c>
      <c r="H493" s="11" t="str">
        <f t="shared" si="2"/>
        <v/>
      </c>
      <c r="I493" s="13"/>
    </row>
    <row r="494">
      <c r="A494" s="5"/>
      <c r="B494" s="6"/>
      <c r="C494" s="14" t="str">
        <f>iferror(vlookup(B494,'📦 ชื่อสินค้า'!A:C,2,false),)</f>
        <v/>
      </c>
      <c r="D494" s="11" t="str">
        <f>iferror(vlookup(B494,'📦 ชื่อสินค้า'!A:D,4,false),"")</f>
        <v/>
      </c>
      <c r="E494" s="16"/>
      <c r="F494" s="6"/>
      <c r="G494" s="8" t="str">
        <f t="shared" si="1"/>
        <v/>
      </c>
      <c r="H494" s="11" t="str">
        <f t="shared" si="2"/>
        <v/>
      </c>
      <c r="I494" s="13"/>
    </row>
    <row r="495">
      <c r="A495" s="5"/>
      <c r="B495" s="6"/>
      <c r="C495" s="14" t="str">
        <f>iferror(vlookup(B495,'📦 ชื่อสินค้า'!A:C,2,false),)</f>
        <v/>
      </c>
      <c r="D495" s="11" t="str">
        <f>iferror(vlookup(B495,'📦 ชื่อสินค้า'!A:D,4,false),"")</f>
        <v/>
      </c>
      <c r="E495" s="16"/>
      <c r="F495" s="6"/>
      <c r="G495" s="8" t="str">
        <f t="shared" si="1"/>
        <v/>
      </c>
      <c r="H495" s="11" t="str">
        <f t="shared" si="2"/>
        <v/>
      </c>
      <c r="I495" s="13"/>
    </row>
    <row r="496">
      <c r="A496" s="5"/>
      <c r="B496" s="6"/>
      <c r="C496" s="14" t="str">
        <f>iferror(vlookup(B496,'📦 ชื่อสินค้า'!A:C,2,false),)</f>
        <v/>
      </c>
      <c r="D496" s="11" t="str">
        <f>iferror(vlookup(B496,'📦 ชื่อสินค้า'!A:D,4,false),"")</f>
        <v/>
      </c>
      <c r="E496" s="16"/>
      <c r="F496" s="6"/>
      <c r="G496" s="8" t="str">
        <f t="shared" si="1"/>
        <v/>
      </c>
      <c r="H496" s="11" t="str">
        <f t="shared" si="2"/>
        <v/>
      </c>
      <c r="I496" s="13"/>
    </row>
    <row r="497">
      <c r="A497" s="5"/>
      <c r="B497" s="6"/>
      <c r="C497" s="14" t="str">
        <f>iferror(vlookup(B497,'📦 ชื่อสินค้า'!A:C,2,false),)</f>
        <v/>
      </c>
      <c r="D497" s="11" t="str">
        <f>iferror(vlookup(B497,'📦 ชื่อสินค้า'!A:D,4,false),"")</f>
        <v/>
      </c>
      <c r="E497" s="16"/>
      <c r="F497" s="6"/>
      <c r="G497" s="8" t="str">
        <f t="shared" si="1"/>
        <v/>
      </c>
      <c r="H497" s="11" t="str">
        <f t="shared" si="2"/>
        <v/>
      </c>
      <c r="I497" s="13"/>
    </row>
    <row r="498">
      <c r="A498" s="5"/>
      <c r="B498" s="6"/>
      <c r="C498" s="14" t="str">
        <f>iferror(vlookup(B498,'📦 ชื่อสินค้า'!A:C,2,false),)</f>
        <v/>
      </c>
      <c r="D498" s="11" t="str">
        <f>iferror(vlookup(B498,'📦 ชื่อสินค้า'!A:D,4,false),"")</f>
        <v/>
      </c>
      <c r="E498" s="16"/>
      <c r="F498" s="6"/>
      <c r="G498" s="8" t="str">
        <f t="shared" si="1"/>
        <v/>
      </c>
      <c r="H498" s="11" t="str">
        <f t="shared" si="2"/>
        <v/>
      </c>
      <c r="I498" s="13"/>
    </row>
    <row r="499">
      <c r="A499" s="5"/>
      <c r="B499" s="6"/>
      <c r="C499" s="14" t="str">
        <f>iferror(vlookup(B499,'📦 ชื่อสินค้า'!A:C,2,false),)</f>
        <v/>
      </c>
      <c r="D499" s="11" t="str">
        <f>iferror(vlookup(B499,'📦 ชื่อสินค้า'!A:D,4,false),"")</f>
        <v/>
      </c>
      <c r="E499" s="16"/>
      <c r="F499" s="6"/>
      <c r="G499" s="8" t="str">
        <f t="shared" si="1"/>
        <v/>
      </c>
      <c r="H499" s="11" t="str">
        <f t="shared" si="2"/>
        <v/>
      </c>
      <c r="I499" s="13"/>
    </row>
    <row r="500">
      <c r="A500" s="5"/>
      <c r="B500" s="6"/>
      <c r="C500" s="14" t="str">
        <f>iferror(vlookup(B500,'📦 ชื่อสินค้า'!A:C,2,false),)</f>
        <v/>
      </c>
      <c r="D500" s="11" t="str">
        <f>iferror(vlookup(B500,'📦 ชื่อสินค้า'!A:D,4,false),"")</f>
        <v/>
      </c>
      <c r="E500" s="16"/>
      <c r="F500" s="6"/>
      <c r="G500" s="8" t="str">
        <f t="shared" si="1"/>
        <v/>
      </c>
      <c r="H500" s="11" t="str">
        <f t="shared" si="2"/>
        <v/>
      </c>
      <c r="I500" s="13"/>
    </row>
    <row r="501">
      <c r="A501" s="5"/>
      <c r="B501" s="6"/>
      <c r="C501" s="14" t="str">
        <f>iferror(vlookup(B501,'📦 ชื่อสินค้า'!A:C,2,false),)</f>
        <v/>
      </c>
      <c r="D501" s="11" t="str">
        <f>iferror(vlookup(B501,'📦 ชื่อสินค้า'!A:D,4,false),"")</f>
        <v/>
      </c>
      <c r="E501" s="16"/>
      <c r="F501" s="6"/>
      <c r="G501" s="8" t="str">
        <f t="shared" si="1"/>
        <v/>
      </c>
      <c r="H501" s="11" t="str">
        <f t="shared" si="2"/>
        <v/>
      </c>
      <c r="I501" s="13"/>
    </row>
    <row r="502">
      <c r="A502" s="5"/>
      <c r="B502" s="6"/>
      <c r="C502" s="14" t="str">
        <f>iferror(vlookup(B502,'📦 ชื่อสินค้า'!A:C,2,false),)</f>
        <v/>
      </c>
      <c r="D502" s="11" t="str">
        <f>iferror(vlookup(B502,'📦 ชื่อสินค้า'!A:D,4,false),"")</f>
        <v/>
      </c>
      <c r="E502" s="16"/>
      <c r="F502" s="6"/>
      <c r="G502" s="8" t="str">
        <f t="shared" si="1"/>
        <v/>
      </c>
      <c r="H502" s="11" t="str">
        <f t="shared" si="2"/>
        <v/>
      </c>
      <c r="I502" s="13"/>
    </row>
    <row r="503">
      <c r="A503" s="5"/>
      <c r="B503" s="6"/>
      <c r="C503" s="14" t="str">
        <f>iferror(vlookup(B503,'📦 ชื่อสินค้า'!A:C,2,false),)</f>
        <v/>
      </c>
      <c r="D503" s="11" t="str">
        <f>iferror(vlookup(B503,'📦 ชื่อสินค้า'!A:D,4,false),"")</f>
        <v/>
      </c>
      <c r="E503" s="16"/>
      <c r="F503" s="6"/>
      <c r="G503" s="8" t="str">
        <f t="shared" si="1"/>
        <v/>
      </c>
      <c r="H503" s="11" t="str">
        <f t="shared" si="2"/>
        <v/>
      </c>
      <c r="I503" s="13"/>
    </row>
    <row r="504">
      <c r="A504" s="5"/>
      <c r="B504" s="6"/>
      <c r="C504" s="14" t="str">
        <f>iferror(vlookup(B504,'📦 ชื่อสินค้า'!A:C,2,false),)</f>
        <v/>
      </c>
      <c r="D504" s="11" t="str">
        <f>iferror(vlookup(B504,'📦 ชื่อสินค้า'!A:D,4,false),"")</f>
        <v/>
      </c>
      <c r="E504" s="16"/>
      <c r="F504" s="6"/>
      <c r="G504" s="8" t="str">
        <f t="shared" si="1"/>
        <v/>
      </c>
      <c r="H504" s="11" t="str">
        <f t="shared" si="2"/>
        <v/>
      </c>
      <c r="I504" s="13"/>
    </row>
    <row r="505">
      <c r="A505" s="5"/>
      <c r="B505" s="6"/>
      <c r="C505" s="14" t="str">
        <f>iferror(vlookup(B505,'📦 ชื่อสินค้า'!A:C,2,false),)</f>
        <v/>
      </c>
      <c r="D505" s="11" t="str">
        <f>iferror(vlookup(B505,'📦 ชื่อสินค้า'!A:D,4,false),"")</f>
        <v/>
      </c>
      <c r="E505" s="16"/>
      <c r="F505" s="6"/>
      <c r="G505" s="8" t="str">
        <f t="shared" si="1"/>
        <v/>
      </c>
      <c r="H505" s="11" t="str">
        <f t="shared" si="2"/>
        <v/>
      </c>
      <c r="I505" s="13"/>
    </row>
    <row r="506">
      <c r="A506" s="5"/>
      <c r="B506" s="6"/>
      <c r="C506" s="14" t="str">
        <f>iferror(vlookup(B506,'📦 ชื่อสินค้า'!A:C,2,false),)</f>
        <v/>
      </c>
      <c r="D506" s="11" t="str">
        <f>iferror(vlookup(B506,'📦 ชื่อสินค้า'!A:D,4,false),"")</f>
        <v/>
      </c>
      <c r="E506" s="16"/>
      <c r="F506" s="6"/>
      <c r="G506" s="8" t="str">
        <f t="shared" si="1"/>
        <v/>
      </c>
      <c r="H506" s="11" t="str">
        <f t="shared" si="2"/>
        <v/>
      </c>
      <c r="I506" s="13"/>
    </row>
    <row r="507">
      <c r="A507" s="5"/>
      <c r="B507" s="6"/>
      <c r="C507" s="14" t="str">
        <f>iferror(vlookup(B507,'📦 ชื่อสินค้า'!A:C,2,false),)</f>
        <v/>
      </c>
      <c r="D507" s="11" t="str">
        <f>iferror(vlookup(B507,'📦 ชื่อสินค้า'!A:D,4,false),"")</f>
        <v/>
      </c>
      <c r="E507" s="16"/>
      <c r="F507" s="6"/>
      <c r="G507" s="8" t="str">
        <f t="shared" si="1"/>
        <v/>
      </c>
      <c r="H507" s="11" t="str">
        <f t="shared" si="2"/>
        <v/>
      </c>
      <c r="I507" s="13"/>
    </row>
    <row r="508">
      <c r="A508" s="5"/>
      <c r="B508" s="6"/>
      <c r="C508" s="14" t="str">
        <f>iferror(vlookup(B508,'📦 ชื่อสินค้า'!A:C,2,false),)</f>
        <v/>
      </c>
      <c r="D508" s="11" t="str">
        <f>iferror(vlookup(B508,'📦 ชื่อสินค้า'!A:D,4,false),"")</f>
        <v/>
      </c>
      <c r="E508" s="16"/>
      <c r="F508" s="6"/>
      <c r="G508" s="8" t="str">
        <f t="shared" si="1"/>
        <v/>
      </c>
      <c r="H508" s="11" t="str">
        <f t="shared" si="2"/>
        <v/>
      </c>
      <c r="I508" s="13"/>
    </row>
    <row r="509">
      <c r="A509" s="5"/>
      <c r="B509" s="6"/>
      <c r="C509" s="14" t="str">
        <f>iferror(vlookup(B509,'📦 ชื่อสินค้า'!A:C,2,false),)</f>
        <v/>
      </c>
      <c r="D509" s="11" t="str">
        <f>iferror(vlookup(B509,'📦 ชื่อสินค้า'!A:D,4,false),"")</f>
        <v/>
      </c>
      <c r="E509" s="16"/>
      <c r="F509" s="6"/>
      <c r="G509" s="8" t="str">
        <f t="shared" si="1"/>
        <v/>
      </c>
      <c r="H509" s="11" t="str">
        <f t="shared" si="2"/>
        <v/>
      </c>
      <c r="I509" s="13"/>
    </row>
    <row r="510">
      <c r="A510" s="5"/>
      <c r="B510" s="6"/>
      <c r="C510" s="14" t="str">
        <f>iferror(vlookup(B510,'📦 ชื่อสินค้า'!A:C,2,false),)</f>
        <v/>
      </c>
      <c r="D510" s="11" t="str">
        <f>iferror(vlookup(B510,'📦 ชื่อสินค้า'!A:D,4,false),"")</f>
        <v/>
      </c>
      <c r="E510" s="16"/>
      <c r="F510" s="6"/>
      <c r="G510" s="8" t="str">
        <f t="shared" si="1"/>
        <v/>
      </c>
      <c r="H510" s="11" t="str">
        <f t="shared" si="2"/>
        <v/>
      </c>
      <c r="I510" s="13"/>
    </row>
    <row r="511">
      <c r="A511" s="5"/>
      <c r="B511" s="6"/>
      <c r="C511" s="14" t="str">
        <f>iferror(vlookup(B511,'📦 ชื่อสินค้า'!A:C,2,false),)</f>
        <v/>
      </c>
      <c r="D511" s="11" t="str">
        <f>iferror(vlookup(B511,'📦 ชื่อสินค้า'!A:D,4,false),"")</f>
        <v/>
      </c>
      <c r="E511" s="16"/>
      <c r="F511" s="6"/>
      <c r="G511" s="8" t="str">
        <f t="shared" si="1"/>
        <v/>
      </c>
      <c r="H511" s="11" t="str">
        <f t="shared" si="2"/>
        <v/>
      </c>
      <c r="I511" s="13"/>
    </row>
    <row r="512">
      <c r="A512" s="5"/>
      <c r="B512" s="6"/>
      <c r="C512" s="14" t="str">
        <f>iferror(vlookup(B512,'📦 ชื่อสินค้า'!A:C,2,false),)</f>
        <v/>
      </c>
      <c r="D512" s="11" t="str">
        <f>iferror(vlookup(B512,'📦 ชื่อสินค้า'!A:D,4,false),"")</f>
        <v/>
      </c>
      <c r="E512" s="16"/>
      <c r="F512" s="6"/>
      <c r="G512" s="8" t="str">
        <f t="shared" si="1"/>
        <v/>
      </c>
      <c r="H512" s="11" t="str">
        <f t="shared" si="2"/>
        <v/>
      </c>
      <c r="I512" s="13"/>
    </row>
    <row r="513">
      <c r="A513" s="5"/>
      <c r="B513" s="6"/>
      <c r="C513" s="14" t="str">
        <f>iferror(vlookup(B513,'📦 ชื่อสินค้า'!A:C,2,false),)</f>
        <v/>
      </c>
      <c r="D513" s="11" t="str">
        <f>iferror(vlookup(B513,'📦 ชื่อสินค้า'!A:D,4,false),"")</f>
        <v/>
      </c>
      <c r="E513" s="16"/>
      <c r="F513" s="6"/>
      <c r="G513" s="8" t="str">
        <f t="shared" si="1"/>
        <v/>
      </c>
      <c r="H513" s="11" t="str">
        <f t="shared" si="2"/>
        <v/>
      </c>
      <c r="I513" s="13"/>
    </row>
    <row r="514">
      <c r="A514" s="5"/>
      <c r="B514" s="6"/>
      <c r="C514" s="14" t="str">
        <f>iferror(vlookup(B514,'📦 ชื่อสินค้า'!A:C,2,false),)</f>
        <v/>
      </c>
      <c r="D514" s="11" t="str">
        <f>iferror(vlookup(B514,'📦 ชื่อสินค้า'!A:D,4,false),"")</f>
        <v/>
      </c>
      <c r="E514" s="16"/>
      <c r="F514" s="6"/>
      <c r="G514" s="8" t="str">
        <f t="shared" si="1"/>
        <v/>
      </c>
      <c r="H514" s="11" t="str">
        <f t="shared" si="2"/>
        <v/>
      </c>
      <c r="I514" s="13"/>
    </row>
    <row r="515">
      <c r="A515" s="5"/>
      <c r="B515" s="6"/>
      <c r="C515" s="14" t="str">
        <f>iferror(vlookup(B515,'📦 ชื่อสินค้า'!A:C,2,false),)</f>
        <v/>
      </c>
      <c r="D515" s="11" t="str">
        <f>iferror(vlookup(B515,'📦 ชื่อสินค้า'!A:D,4,false),"")</f>
        <v/>
      </c>
      <c r="E515" s="16"/>
      <c r="F515" s="6"/>
      <c r="G515" s="8" t="str">
        <f t="shared" si="1"/>
        <v/>
      </c>
      <c r="H515" s="11" t="str">
        <f t="shared" si="2"/>
        <v/>
      </c>
      <c r="I515" s="13"/>
    </row>
    <row r="516">
      <c r="A516" s="5"/>
      <c r="B516" s="6"/>
      <c r="C516" s="14" t="str">
        <f>iferror(vlookup(B516,'📦 ชื่อสินค้า'!A:C,2,false),)</f>
        <v/>
      </c>
      <c r="D516" s="11" t="str">
        <f>iferror(vlookup(B516,'📦 ชื่อสินค้า'!A:D,4,false),"")</f>
        <v/>
      </c>
      <c r="E516" s="16"/>
      <c r="F516" s="6"/>
      <c r="G516" s="8" t="str">
        <f t="shared" si="1"/>
        <v/>
      </c>
      <c r="H516" s="11" t="str">
        <f t="shared" si="2"/>
        <v/>
      </c>
      <c r="I516" s="13"/>
    </row>
    <row r="517">
      <c r="A517" s="5"/>
      <c r="B517" s="6"/>
      <c r="C517" s="14" t="str">
        <f>iferror(vlookup(B517,'📦 ชื่อสินค้า'!A:C,2,false),)</f>
        <v/>
      </c>
      <c r="D517" s="11" t="str">
        <f>iferror(vlookup(B517,'📦 ชื่อสินค้า'!A:D,4,false),"")</f>
        <v/>
      </c>
      <c r="E517" s="16"/>
      <c r="F517" s="6"/>
      <c r="G517" s="8" t="str">
        <f t="shared" si="1"/>
        <v/>
      </c>
      <c r="H517" s="11" t="str">
        <f t="shared" si="2"/>
        <v/>
      </c>
      <c r="I517" s="13"/>
    </row>
    <row r="518">
      <c r="A518" s="5"/>
      <c r="B518" s="6"/>
      <c r="C518" s="14" t="str">
        <f>iferror(vlookup(B518,'📦 ชื่อสินค้า'!A:C,2,false),)</f>
        <v/>
      </c>
      <c r="D518" s="11" t="str">
        <f>iferror(vlookup(B518,'📦 ชื่อสินค้า'!A:D,4,false),"")</f>
        <v/>
      </c>
      <c r="E518" s="16"/>
      <c r="F518" s="6"/>
      <c r="G518" s="8" t="str">
        <f t="shared" si="1"/>
        <v/>
      </c>
      <c r="H518" s="11" t="str">
        <f t="shared" si="2"/>
        <v/>
      </c>
      <c r="I518" s="13"/>
    </row>
    <row r="519">
      <c r="A519" s="5"/>
      <c r="B519" s="6"/>
      <c r="C519" s="14" t="str">
        <f>iferror(vlookup(B519,'📦 ชื่อสินค้า'!A:C,2,false),)</f>
        <v/>
      </c>
      <c r="D519" s="11" t="str">
        <f>iferror(vlookup(B519,'📦 ชื่อสินค้า'!A:D,4,false),"")</f>
        <v/>
      </c>
      <c r="E519" s="16"/>
      <c r="F519" s="6"/>
      <c r="G519" s="8" t="str">
        <f t="shared" si="1"/>
        <v/>
      </c>
      <c r="H519" s="11" t="str">
        <f t="shared" si="2"/>
        <v/>
      </c>
      <c r="I519" s="13"/>
    </row>
    <row r="520">
      <c r="A520" s="5"/>
      <c r="B520" s="6"/>
      <c r="C520" s="14" t="str">
        <f>iferror(vlookup(B520,'📦 ชื่อสินค้า'!A:C,2,false),)</f>
        <v/>
      </c>
      <c r="D520" s="11" t="str">
        <f>iferror(vlookup(B520,'📦 ชื่อสินค้า'!A:D,4,false),"")</f>
        <v/>
      </c>
      <c r="E520" s="16"/>
      <c r="F520" s="6"/>
      <c r="G520" s="8" t="str">
        <f t="shared" si="1"/>
        <v/>
      </c>
      <c r="H520" s="11" t="str">
        <f t="shared" si="2"/>
        <v/>
      </c>
      <c r="I520" s="13"/>
    </row>
    <row r="521">
      <c r="A521" s="5"/>
      <c r="B521" s="6"/>
      <c r="C521" s="14" t="str">
        <f>iferror(vlookup(B521,'📦 ชื่อสินค้า'!A:C,2,false),)</f>
        <v/>
      </c>
      <c r="D521" s="11" t="str">
        <f>iferror(vlookup(B521,'📦 ชื่อสินค้า'!A:D,4,false),"")</f>
        <v/>
      </c>
      <c r="E521" s="16"/>
      <c r="F521" s="6"/>
      <c r="G521" s="8" t="str">
        <f t="shared" si="1"/>
        <v/>
      </c>
      <c r="H521" s="11" t="str">
        <f t="shared" si="2"/>
        <v/>
      </c>
      <c r="I521" s="13"/>
    </row>
    <row r="522">
      <c r="A522" s="5"/>
      <c r="B522" s="6"/>
      <c r="C522" s="14" t="str">
        <f>iferror(vlookup(B522,'📦 ชื่อสินค้า'!A:C,2,false),)</f>
        <v/>
      </c>
      <c r="D522" s="11" t="str">
        <f>iferror(vlookup(B522,'📦 ชื่อสินค้า'!A:D,4,false),"")</f>
        <v/>
      </c>
      <c r="E522" s="16"/>
      <c r="F522" s="6"/>
      <c r="G522" s="8" t="str">
        <f t="shared" si="1"/>
        <v/>
      </c>
      <c r="H522" s="11" t="str">
        <f t="shared" si="2"/>
        <v/>
      </c>
      <c r="I522" s="13"/>
    </row>
    <row r="523">
      <c r="A523" s="5"/>
      <c r="B523" s="6"/>
      <c r="C523" s="14" t="str">
        <f>iferror(vlookup(B523,'📦 ชื่อสินค้า'!A:C,2,false),)</f>
        <v/>
      </c>
      <c r="D523" s="11" t="str">
        <f>iferror(vlookup(B523,'📦 ชื่อสินค้า'!A:D,4,false),"")</f>
        <v/>
      </c>
      <c r="E523" s="16"/>
      <c r="F523" s="6"/>
      <c r="G523" s="8" t="str">
        <f t="shared" si="1"/>
        <v/>
      </c>
      <c r="H523" s="11" t="str">
        <f t="shared" si="2"/>
        <v/>
      </c>
      <c r="I523" s="13"/>
    </row>
    <row r="524">
      <c r="A524" s="5"/>
      <c r="B524" s="6"/>
      <c r="C524" s="14" t="str">
        <f>iferror(vlookup(B524,'📦 ชื่อสินค้า'!A:C,2,false),)</f>
        <v/>
      </c>
      <c r="D524" s="11" t="str">
        <f>iferror(vlookup(B524,'📦 ชื่อสินค้า'!A:D,4,false),"")</f>
        <v/>
      </c>
      <c r="E524" s="16"/>
      <c r="F524" s="6"/>
      <c r="G524" s="8" t="str">
        <f t="shared" si="1"/>
        <v/>
      </c>
      <c r="H524" s="11" t="str">
        <f t="shared" si="2"/>
        <v/>
      </c>
      <c r="I524" s="13"/>
    </row>
    <row r="525">
      <c r="A525" s="5"/>
      <c r="B525" s="6"/>
      <c r="C525" s="14" t="str">
        <f>iferror(vlookup(B525,'📦 ชื่อสินค้า'!A:C,2,false),)</f>
        <v/>
      </c>
      <c r="D525" s="11" t="str">
        <f>iferror(vlookup(B525,'📦 ชื่อสินค้า'!A:D,4,false),"")</f>
        <v/>
      </c>
      <c r="E525" s="16"/>
      <c r="F525" s="6"/>
      <c r="G525" s="8" t="str">
        <f t="shared" si="1"/>
        <v/>
      </c>
      <c r="H525" s="11" t="str">
        <f t="shared" si="2"/>
        <v/>
      </c>
      <c r="I525" s="13"/>
    </row>
    <row r="526">
      <c r="A526" s="5"/>
      <c r="B526" s="6"/>
      <c r="C526" s="14" t="str">
        <f>iferror(vlookup(B526,'📦 ชื่อสินค้า'!A:C,2,false),)</f>
        <v/>
      </c>
      <c r="D526" s="11" t="str">
        <f>iferror(vlookup(B526,'📦 ชื่อสินค้า'!A:D,4,false),"")</f>
        <v/>
      </c>
      <c r="E526" s="16"/>
      <c r="F526" s="6"/>
      <c r="G526" s="8" t="str">
        <f t="shared" si="1"/>
        <v/>
      </c>
      <c r="H526" s="11" t="str">
        <f t="shared" si="2"/>
        <v/>
      </c>
      <c r="I526" s="13"/>
    </row>
    <row r="527">
      <c r="A527" s="5"/>
      <c r="B527" s="6"/>
      <c r="C527" s="14" t="str">
        <f>iferror(vlookup(B527,'📦 ชื่อสินค้า'!A:C,2,false),)</f>
        <v/>
      </c>
      <c r="D527" s="11" t="str">
        <f>iferror(vlookup(B527,'📦 ชื่อสินค้า'!A:D,4,false),"")</f>
        <v/>
      </c>
      <c r="E527" s="16"/>
      <c r="F527" s="6"/>
      <c r="G527" s="8" t="str">
        <f t="shared" si="1"/>
        <v/>
      </c>
      <c r="H527" s="11" t="str">
        <f t="shared" si="2"/>
        <v/>
      </c>
      <c r="I527" s="13"/>
    </row>
    <row r="528">
      <c r="A528" s="5"/>
      <c r="B528" s="6"/>
      <c r="C528" s="14" t="str">
        <f>iferror(vlookup(B528,'📦 ชื่อสินค้า'!A:C,2,false),)</f>
        <v/>
      </c>
      <c r="D528" s="11" t="str">
        <f>iferror(vlookup(B528,'📦 ชื่อสินค้า'!A:D,4,false),"")</f>
        <v/>
      </c>
      <c r="E528" s="16"/>
      <c r="F528" s="6"/>
      <c r="G528" s="8" t="str">
        <f t="shared" si="1"/>
        <v/>
      </c>
      <c r="H528" s="11" t="str">
        <f t="shared" si="2"/>
        <v/>
      </c>
      <c r="I528" s="13"/>
    </row>
    <row r="529">
      <c r="A529" s="5"/>
      <c r="B529" s="6"/>
      <c r="C529" s="14" t="str">
        <f>iferror(vlookup(B529,'📦 ชื่อสินค้า'!A:C,2,false),)</f>
        <v/>
      </c>
      <c r="D529" s="11" t="str">
        <f>iferror(vlookup(B529,'📦 ชื่อสินค้า'!A:D,4,false),"")</f>
        <v/>
      </c>
      <c r="E529" s="16"/>
      <c r="F529" s="6"/>
      <c r="G529" s="8" t="str">
        <f t="shared" si="1"/>
        <v/>
      </c>
      <c r="H529" s="11" t="str">
        <f t="shared" si="2"/>
        <v/>
      </c>
      <c r="I529" s="13"/>
    </row>
    <row r="530">
      <c r="A530" s="5"/>
      <c r="B530" s="6"/>
      <c r="C530" s="14" t="str">
        <f>iferror(vlookup(B530,'📦 ชื่อสินค้า'!A:C,2,false),)</f>
        <v/>
      </c>
      <c r="D530" s="11" t="str">
        <f>iferror(vlookup(B530,'📦 ชื่อสินค้า'!A:D,4,false),"")</f>
        <v/>
      </c>
      <c r="E530" s="16"/>
      <c r="F530" s="6"/>
      <c r="G530" s="8" t="str">
        <f t="shared" si="1"/>
        <v/>
      </c>
      <c r="H530" s="11" t="str">
        <f t="shared" si="2"/>
        <v/>
      </c>
      <c r="I530" s="13"/>
    </row>
    <row r="531">
      <c r="A531" s="5"/>
      <c r="B531" s="6"/>
      <c r="C531" s="14" t="str">
        <f>iferror(vlookup(B531,'📦 ชื่อสินค้า'!A:C,2,false),)</f>
        <v/>
      </c>
      <c r="D531" s="11" t="str">
        <f>iferror(vlookup(B531,'📦 ชื่อสินค้า'!A:D,4,false),"")</f>
        <v/>
      </c>
      <c r="E531" s="16"/>
      <c r="F531" s="6"/>
      <c r="G531" s="8" t="str">
        <f t="shared" si="1"/>
        <v/>
      </c>
      <c r="H531" s="11" t="str">
        <f t="shared" si="2"/>
        <v/>
      </c>
      <c r="I531" s="13"/>
    </row>
    <row r="532">
      <c r="A532" s="5"/>
      <c r="B532" s="6"/>
      <c r="C532" s="14" t="str">
        <f>iferror(vlookup(B532,'📦 ชื่อสินค้า'!A:C,2,false),)</f>
        <v/>
      </c>
      <c r="D532" s="11" t="str">
        <f>iferror(vlookup(B532,'📦 ชื่อสินค้า'!A:D,4,false),"")</f>
        <v/>
      </c>
      <c r="E532" s="16"/>
      <c r="F532" s="6"/>
      <c r="G532" s="8" t="str">
        <f t="shared" si="1"/>
        <v/>
      </c>
      <c r="H532" s="11" t="str">
        <f t="shared" si="2"/>
        <v/>
      </c>
      <c r="I532" s="13"/>
    </row>
    <row r="533">
      <c r="A533" s="5"/>
      <c r="B533" s="6"/>
      <c r="C533" s="14" t="str">
        <f>iferror(vlookup(B533,'📦 ชื่อสินค้า'!A:C,2,false),)</f>
        <v/>
      </c>
      <c r="D533" s="11" t="str">
        <f>iferror(vlookup(B533,'📦 ชื่อสินค้า'!A:D,4,false),"")</f>
        <v/>
      </c>
      <c r="E533" s="16"/>
      <c r="F533" s="6"/>
      <c r="G533" s="8" t="str">
        <f t="shared" si="1"/>
        <v/>
      </c>
      <c r="H533" s="11" t="str">
        <f t="shared" si="2"/>
        <v/>
      </c>
      <c r="I533" s="13"/>
    </row>
    <row r="534">
      <c r="A534" s="5"/>
      <c r="B534" s="6"/>
      <c r="C534" s="14" t="str">
        <f>iferror(vlookup(B534,'📦 ชื่อสินค้า'!A:C,2,false),)</f>
        <v/>
      </c>
      <c r="D534" s="11" t="str">
        <f>iferror(vlookup(B534,'📦 ชื่อสินค้า'!A:D,4,false),"")</f>
        <v/>
      </c>
      <c r="E534" s="16"/>
      <c r="F534" s="6"/>
      <c r="G534" s="8" t="str">
        <f t="shared" si="1"/>
        <v/>
      </c>
      <c r="H534" s="11" t="str">
        <f t="shared" si="2"/>
        <v/>
      </c>
      <c r="I534" s="13"/>
    </row>
    <row r="535">
      <c r="A535" s="5"/>
      <c r="B535" s="6"/>
      <c r="C535" s="14" t="str">
        <f>iferror(vlookup(B535,'📦 ชื่อสินค้า'!A:C,2,false),)</f>
        <v/>
      </c>
      <c r="D535" s="11" t="str">
        <f>iferror(vlookup(B535,'📦 ชื่อสินค้า'!A:D,4,false),"")</f>
        <v/>
      </c>
      <c r="E535" s="16"/>
      <c r="F535" s="6"/>
      <c r="G535" s="8" t="str">
        <f t="shared" si="1"/>
        <v/>
      </c>
      <c r="H535" s="11" t="str">
        <f t="shared" si="2"/>
        <v/>
      </c>
      <c r="I535" s="13"/>
    </row>
    <row r="536">
      <c r="A536" s="5"/>
      <c r="B536" s="6"/>
      <c r="C536" s="14" t="str">
        <f>iferror(vlookup(B536,'📦 ชื่อสินค้า'!A:C,2,false),)</f>
        <v/>
      </c>
      <c r="D536" s="11" t="str">
        <f>iferror(vlookup(B536,'📦 ชื่อสินค้า'!A:D,4,false),"")</f>
        <v/>
      </c>
      <c r="E536" s="16"/>
      <c r="F536" s="6"/>
      <c r="G536" s="8" t="str">
        <f t="shared" si="1"/>
        <v/>
      </c>
      <c r="H536" s="11" t="str">
        <f t="shared" si="2"/>
        <v/>
      </c>
      <c r="I536" s="13"/>
    </row>
    <row r="537">
      <c r="A537" s="5"/>
      <c r="B537" s="6"/>
      <c r="C537" s="14" t="str">
        <f>iferror(vlookup(B537,'📦 ชื่อสินค้า'!A:C,2,false),)</f>
        <v/>
      </c>
      <c r="D537" s="11" t="str">
        <f>iferror(vlookup(B537,'📦 ชื่อสินค้า'!A:D,4,false),"")</f>
        <v/>
      </c>
      <c r="E537" s="16"/>
      <c r="F537" s="6"/>
      <c r="G537" s="8" t="str">
        <f t="shared" si="1"/>
        <v/>
      </c>
      <c r="H537" s="11" t="str">
        <f t="shared" si="2"/>
        <v/>
      </c>
      <c r="I537" s="13"/>
    </row>
    <row r="538">
      <c r="A538" s="5"/>
      <c r="B538" s="6"/>
      <c r="C538" s="14" t="str">
        <f>iferror(vlookup(B538,'📦 ชื่อสินค้า'!A:C,2,false),)</f>
        <v/>
      </c>
      <c r="D538" s="11" t="str">
        <f>iferror(vlookup(B538,'📦 ชื่อสินค้า'!A:D,4,false),"")</f>
        <v/>
      </c>
      <c r="E538" s="16"/>
      <c r="F538" s="6"/>
      <c r="G538" s="8" t="str">
        <f t="shared" si="1"/>
        <v/>
      </c>
      <c r="H538" s="11" t="str">
        <f t="shared" si="2"/>
        <v/>
      </c>
      <c r="I538" s="13"/>
    </row>
    <row r="539">
      <c r="A539" s="5"/>
      <c r="B539" s="6"/>
      <c r="C539" s="14" t="str">
        <f>iferror(vlookup(B539,'📦 ชื่อสินค้า'!A:C,2,false),)</f>
        <v/>
      </c>
      <c r="D539" s="11" t="str">
        <f>iferror(vlookup(B539,'📦 ชื่อสินค้า'!A:D,4,false),"")</f>
        <v/>
      </c>
      <c r="E539" s="16"/>
      <c r="F539" s="6"/>
      <c r="G539" s="8" t="str">
        <f t="shared" si="1"/>
        <v/>
      </c>
      <c r="H539" s="11" t="str">
        <f t="shared" si="2"/>
        <v/>
      </c>
      <c r="I539" s="13"/>
    </row>
    <row r="540">
      <c r="A540" s="5"/>
      <c r="B540" s="6"/>
      <c r="C540" s="14" t="str">
        <f>iferror(vlookup(B540,'📦 ชื่อสินค้า'!A:C,2,false),)</f>
        <v/>
      </c>
      <c r="D540" s="11" t="str">
        <f>iferror(vlookup(B540,'📦 ชื่อสินค้า'!A:D,4,false),"")</f>
        <v/>
      </c>
      <c r="E540" s="16"/>
      <c r="F540" s="6"/>
      <c r="G540" s="8" t="str">
        <f t="shared" si="1"/>
        <v/>
      </c>
      <c r="H540" s="11" t="str">
        <f t="shared" si="2"/>
        <v/>
      </c>
      <c r="I540" s="13"/>
    </row>
    <row r="541">
      <c r="A541" s="5"/>
      <c r="B541" s="6"/>
      <c r="C541" s="14" t="str">
        <f>iferror(vlookup(B541,'📦 ชื่อสินค้า'!A:C,2,false),)</f>
        <v/>
      </c>
      <c r="D541" s="11" t="str">
        <f>iferror(vlookup(B541,'📦 ชื่อสินค้า'!A:D,4,false),"")</f>
        <v/>
      </c>
      <c r="E541" s="16"/>
      <c r="F541" s="6"/>
      <c r="G541" s="8" t="str">
        <f t="shared" si="1"/>
        <v/>
      </c>
      <c r="H541" s="11" t="str">
        <f t="shared" si="2"/>
        <v/>
      </c>
      <c r="I541" s="13"/>
    </row>
    <row r="542">
      <c r="A542" s="5"/>
      <c r="B542" s="6"/>
      <c r="C542" s="14" t="str">
        <f>iferror(vlookup(B542,'📦 ชื่อสินค้า'!A:C,2,false),)</f>
        <v/>
      </c>
      <c r="D542" s="11" t="str">
        <f>iferror(vlookup(B542,'📦 ชื่อสินค้า'!A:D,4,false),"")</f>
        <v/>
      </c>
      <c r="E542" s="16"/>
      <c r="F542" s="6"/>
      <c r="G542" s="8" t="str">
        <f t="shared" si="1"/>
        <v/>
      </c>
      <c r="H542" s="11" t="str">
        <f t="shared" si="2"/>
        <v/>
      </c>
      <c r="I542" s="13"/>
    </row>
    <row r="543">
      <c r="A543" s="5"/>
      <c r="B543" s="6"/>
      <c r="C543" s="14" t="str">
        <f>iferror(vlookup(B543,'📦 ชื่อสินค้า'!A:C,2,false),)</f>
        <v/>
      </c>
      <c r="D543" s="11" t="str">
        <f>iferror(vlookup(B543,'📦 ชื่อสินค้า'!A:D,4,false),"")</f>
        <v/>
      </c>
      <c r="E543" s="16"/>
      <c r="F543" s="6"/>
      <c r="G543" s="8" t="str">
        <f t="shared" si="1"/>
        <v/>
      </c>
      <c r="H543" s="11" t="str">
        <f t="shared" si="2"/>
        <v/>
      </c>
      <c r="I543" s="13"/>
    </row>
    <row r="544">
      <c r="A544" s="5"/>
      <c r="B544" s="6"/>
      <c r="C544" s="14" t="str">
        <f>iferror(vlookup(B544,'📦 ชื่อสินค้า'!A:C,2,false),)</f>
        <v/>
      </c>
      <c r="D544" s="11" t="str">
        <f>iferror(vlookup(B544,'📦 ชื่อสินค้า'!A:D,4,false),"")</f>
        <v/>
      </c>
      <c r="E544" s="16"/>
      <c r="F544" s="6"/>
      <c r="G544" s="8" t="str">
        <f t="shared" si="1"/>
        <v/>
      </c>
      <c r="H544" s="11" t="str">
        <f t="shared" si="2"/>
        <v/>
      </c>
      <c r="I544" s="13"/>
    </row>
    <row r="545">
      <c r="A545" s="5"/>
      <c r="B545" s="6"/>
      <c r="C545" s="14" t="str">
        <f>iferror(vlookup(B545,'📦 ชื่อสินค้า'!A:C,2,false),)</f>
        <v/>
      </c>
      <c r="D545" s="11" t="str">
        <f>iferror(vlookup(B545,'📦 ชื่อสินค้า'!A:D,4,false),"")</f>
        <v/>
      </c>
      <c r="E545" s="16"/>
      <c r="F545" s="6"/>
      <c r="G545" s="8" t="str">
        <f t="shared" si="1"/>
        <v/>
      </c>
      <c r="H545" s="11" t="str">
        <f t="shared" si="2"/>
        <v/>
      </c>
      <c r="I545" s="13"/>
    </row>
    <row r="546">
      <c r="A546" s="5"/>
      <c r="B546" s="6"/>
      <c r="C546" s="14" t="str">
        <f>iferror(vlookup(B546,'📦 ชื่อสินค้า'!A:C,2,false),)</f>
        <v/>
      </c>
      <c r="D546" s="11" t="str">
        <f>iferror(vlookup(B546,'📦 ชื่อสินค้า'!A:D,4,false),"")</f>
        <v/>
      </c>
      <c r="E546" s="16"/>
      <c r="F546" s="6"/>
      <c r="G546" s="8" t="str">
        <f t="shared" si="1"/>
        <v/>
      </c>
      <c r="H546" s="11" t="str">
        <f t="shared" si="2"/>
        <v/>
      </c>
      <c r="I546" s="13"/>
    </row>
    <row r="547">
      <c r="A547" s="5"/>
      <c r="B547" s="6"/>
      <c r="C547" s="14" t="str">
        <f>iferror(vlookup(B547,'📦 ชื่อสินค้า'!A:C,2,false),)</f>
        <v/>
      </c>
      <c r="D547" s="11" t="str">
        <f>iferror(vlookup(B547,'📦 ชื่อสินค้า'!A:D,4,false),"")</f>
        <v/>
      </c>
      <c r="E547" s="16"/>
      <c r="F547" s="6"/>
      <c r="G547" s="8" t="str">
        <f t="shared" si="1"/>
        <v/>
      </c>
      <c r="H547" s="11" t="str">
        <f t="shared" si="2"/>
        <v/>
      </c>
      <c r="I547" s="13"/>
    </row>
    <row r="548">
      <c r="A548" s="5"/>
      <c r="B548" s="6"/>
      <c r="C548" s="14" t="str">
        <f>iferror(vlookup(B548,'📦 ชื่อสินค้า'!A:C,2,false),)</f>
        <v/>
      </c>
      <c r="D548" s="11" t="str">
        <f>iferror(vlookup(B548,'📦 ชื่อสินค้า'!A:D,4,false),"")</f>
        <v/>
      </c>
      <c r="E548" s="16"/>
      <c r="F548" s="6"/>
      <c r="G548" s="8" t="str">
        <f t="shared" si="1"/>
        <v/>
      </c>
      <c r="H548" s="11" t="str">
        <f t="shared" si="2"/>
        <v/>
      </c>
      <c r="I548" s="13"/>
    </row>
    <row r="549">
      <c r="A549" s="5"/>
      <c r="B549" s="6"/>
      <c r="C549" s="14" t="str">
        <f>iferror(vlookup(B549,'📦 ชื่อสินค้า'!A:C,2,false),)</f>
        <v/>
      </c>
      <c r="D549" s="11" t="str">
        <f>iferror(vlookup(B549,'📦 ชื่อสินค้า'!A:D,4,false),"")</f>
        <v/>
      </c>
      <c r="E549" s="16"/>
      <c r="F549" s="6"/>
      <c r="G549" s="8" t="str">
        <f t="shared" si="1"/>
        <v/>
      </c>
      <c r="H549" s="11" t="str">
        <f t="shared" si="2"/>
        <v/>
      </c>
      <c r="I549" s="13"/>
    </row>
    <row r="550">
      <c r="A550" s="5"/>
      <c r="B550" s="6"/>
      <c r="C550" s="14" t="str">
        <f>iferror(vlookup(B550,'📦 ชื่อสินค้า'!A:C,2,false),)</f>
        <v/>
      </c>
      <c r="D550" s="11" t="str">
        <f>iferror(vlookup(B550,'📦 ชื่อสินค้า'!A:D,4,false),"")</f>
        <v/>
      </c>
      <c r="E550" s="16"/>
      <c r="F550" s="6"/>
      <c r="G550" s="8" t="str">
        <f t="shared" si="1"/>
        <v/>
      </c>
      <c r="H550" s="11" t="str">
        <f t="shared" si="2"/>
        <v/>
      </c>
      <c r="I550" s="13"/>
    </row>
    <row r="551">
      <c r="A551" s="5"/>
      <c r="B551" s="6"/>
      <c r="C551" s="14" t="str">
        <f>iferror(vlookup(B551,'📦 ชื่อสินค้า'!A:C,2,false),)</f>
        <v/>
      </c>
      <c r="D551" s="11" t="str">
        <f>iferror(vlookup(B551,'📦 ชื่อสินค้า'!A:D,4,false),"")</f>
        <v/>
      </c>
      <c r="E551" s="16"/>
      <c r="F551" s="6"/>
      <c r="G551" s="8" t="str">
        <f t="shared" si="1"/>
        <v/>
      </c>
      <c r="H551" s="11" t="str">
        <f t="shared" si="2"/>
        <v/>
      </c>
      <c r="I551" s="13"/>
    </row>
    <row r="552">
      <c r="A552" s="5"/>
      <c r="B552" s="6"/>
      <c r="C552" s="14" t="str">
        <f>iferror(vlookup(B552,'📦 ชื่อสินค้า'!A:C,2,false),)</f>
        <v/>
      </c>
      <c r="D552" s="11" t="str">
        <f>iferror(vlookup(B552,'📦 ชื่อสินค้า'!A:D,4,false),"")</f>
        <v/>
      </c>
      <c r="E552" s="16"/>
      <c r="F552" s="6"/>
      <c r="G552" s="8" t="str">
        <f t="shared" si="1"/>
        <v/>
      </c>
      <c r="H552" s="11" t="str">
        <f t="shared" si="2"/>
        <v/>
      </c>
      <c r="I552" s="13"/>
    </row>
    <row r="553">
      <c r="A553" s="5"/>
      <c r="B553" s="6"/>
      <c r="C553" s="14" t="str">
        <f>iferror(vlookup(B553,'📦 ชื่อสินค้า'!A:C,2,false),)</f>
        <v/>
      </c>
      <c r="D553" s="11" t="str">
        <f>iferror(vlookup(B553,'📦 ชื่อสินค้า'!A:D,4,false),"")</f>
        <v/>
      </c>
      <c r="E553" s="16"/>
      <c r="F553" s="6"/>
      <c r="G553" s="8" t="str">
        <f t="shared" si="1"/>
        <v/>
      </c>
      <c r="H553" s="11" t="str">
        <f t="shared" si="2"/>
        <v/>
      </c>
      <c r="I553" s="13"/>
    </row>
    <row r="554">
      <c r="A554" s="5"/>
      <c r="B554" s="6"/>
      <c r="C554" s="14" t="str">
        <f>iferror(vlookup(B554,'📦 ชื่อสินค้า'!A:C,2,false),)</f>
        <v/>
      </c>
      <c r="D554" s="11" t="str">
        <f>iferror(vlookup(B554,'📦 ชื่อสินค้า'!A:D,4,false),"")</f>
        <v/>
      </c>
      <c r="E554" s="16"/>
      <c r="F554" s="6"/>
      <c r="G554" s="8" t="str">
        <f t="shared" si="1"/>
        <v/>
      </c>
      <c r="H554" s="11" t="str">
        <f t="shared" si="2"/>
        <v/>
      </c>
      <c r="I554" s="13"/>
    </row>
    <row r="555">
      <c r="A555" s="5"/>
      <c r="B555" s="6"/>
      <c r="C555" s="14" t="str">
        <f>iferror(vlookup(B555,'📦 ชื่อสินค้า'!A:C,2,false),)</f>
        <v/>
      </c>
      <c r="D555" s="11" t="str">
        <f>iferror(vlookup(B555,'📦 ชื่อสินค้า'!A:D,4,false),"")</f>
        <v/>
      </c>
      <c r="E555" s="16"/>
      <c r="F555" s="6"/>
      <c r="G555" s="8" t="str">
        <f t="shared" si="1"/>
        <v/>
      </c>
      <c r="H555" s="11" t="str">
        <f t="shared" si="2"/>
        <v/>
      </c>
      <c r="I555" s="13"/>
    </row>
    <row r="556">
      <c r="A556" s="5"/>
      <c r="B556" s="6"/>
      <c r="C556" s="14" t="str">
        <f>iferror(vlookup(B556,'📦 ชื่อสินค้า'!A:C,2,false),)</f>
        <v/>
      </c>
      <c r="D556" s="11" t="str">
        <f>iferror(vlookup(B556,'📦 ชื่อสินค้า'!A:D,4,false),"")</f>
        <v/>
      </c>
      <c r="E556" s="16"/>
      <c r="F556" s="6"/>
      <c r="G556" s="8" t="str">
        <f t="shared" si="1"/>
        <v/>
      </c>
      <c r="H556" s="11" t="str">
        <f t="shared" si="2"/>
        <v/>
      </c>
      <c r="I556" s="13"/>
    </row>
    <row r="557">
      <c r="A557" s="5"/>
      <c r="B557" s="6"/>
      <c r="C557" s="14" t="str">
        <f>iferror(vlookup(B557,'📦 ชื่อสินค้า'!A:C,2,false),)</f>
        <v/>
      </c>
      <c r="D557" s="11" t="str">
        <f>iferror(vlookup(B557,'📦 ชื่อสินค้า'!A:D,4,false),"")</f>
        <v/>
      </c>
      <c r="E557" s="16"/>
      <c r="F557" s="6"/>
      <c r="G557" s="8" t="str">
        <f t="shared" si="1"/>
        <v/>
      </c>
      <c r="H557" s="11" t="str">
        <f t="shared" si="2"/>
        <v/>
      </c>
      <c r="I557" s="13"/>
    </row>
    <row r="558">
      <c r="A558" s="5"/>
      <c r="B558" s="6"/>
      <c r="C558" s="14" t="str">
        <f>iferror(vlookup(B558,'📦 ชื่อสินค้า'!A:C,2,false),)</f>
        <v/>
      </c>
      <c r="D558" s="11" t="str">
        <f>iferror(vlookup(B558,'📦 ชื่อสินค้า'!A:D,4,false),"")</f>
        <v/>
      </c>
      <c r="E558" s="16"/>
      <c r="F558" s="6"/>
      <c r="G558" s="8" t="str">
        <f t="shared" si="1"/>
        <v/>
      </c>
      <c r="H558" s="11" t="str">
        <f t="shared" si="2"/>
        <v/>
      </c>
      <c r="I558" s="13"/>
    </row>
    <row r="559">
      <c r="A559" s="5"/>
      <c r="B559" s="6"/>
      <c r="C559" s="14" t="str">
        <f>iferror(vlookup(B559,'📦 ชื่อสินค้า'!A:C,2,false),)</f>
        <v/>
      </c>
      <c r="D559" s="11" t="str">
        <f>iferror(vlookup(B559,'📦 ชื่อสินค้า'!A:D,4,false),"")</f>
        <v/>
      </c>
      <c r="E559" s="16"/>
      <c r="F559" s="6"/>
      <c r="G559" s="8" t="str">
        <f t="shared" si="1"/>
        <v/>
      </c>
      <c r="H559" s="11" t="str">
        <f t="shared" si="2"/>
        <v/>
      </c>
      <c r="I559" s="13"/>
    </row>
    <row r="560">
      <c r="A560" s="5"/>
      <c r="B560" s="6"/>
      <c r="C560" s="14" t="str">
        <f>iferror(vlookup(B560,'📦 ชื่อสินค้า'!A:C,2,false),)</f>
        <v/>
      </c>
      <c r="D560" s="11" t="str">
        <f>iferror(vlookup(B560,'📦 ชื่อสินค้า'!A:D,4,false),"")</f>
        <v/>
      </c>
      <c r="E560" s="16"/>
      <c r="F560" s="6"/>
      <c r="G560" s="8" t="str">
        <f t="shared" si="1"/>
        <v/>
      </c>
      <c r="H560" s="11" t="str">
        <f t="shared" si="2"/>
        <v/>
      </c>
      <c r="I560" s="13"/>
    </row>
    <row r="561">
      <c r="A561" s="5"/>
      <c r="B561" s="6"/>
      <c r="C561" s="14" t="str">
        <f>iferror(vlookup(B561,'📦 ชื่อสินค้า'!A:C,2,false),)</f>
        <v/>
      </c>
      <c r="D561" s="11" t="str">
        <f>iferror(vlookup(B561,'📦 ชื่อสินค้า'!A:D,4,false),"")</f>
        <v/>
      </c>
      <c r="E561" s="16"/>
      <c r="F561" s="6"/>
      <c r="G561" s="8" t="str">
        <f t="shared" si="1"/>
        <v/>
      </c>
      <c r="H561" s="11" t="str">
        <f t="shared" si="2"/>
        <v/>
      </c>
      <c r="I561" s="13"/>
    </row>
    <row r="562">
      <c r="A562" s="5"/>
      <c r="B562" s="6"/>
      <c r="C562" s="14" t="str">
        <f>iferror(vlookup(B562,'📦 ชื่อสินค้า'!A:C,2,false),)</f>
        <v/>
      </c>
      <c r="D562" s="11" t="str">
        <f>iferror(vlookup(B562,'📦 ชื่อสินค้า'!A:D,4,false),"")</f>
        <v/>
      </c>
      <c r="E562" s="16"/>
      <c r="F562" s="6"/>
      <c r="G562" s="8" t="str">
        <f t="shared" si="1"/>
        <v/>
      </c>
      <c r="H562" s="11" t="str">
        <f t="shared" si="2"/>
        <v/>
      </c>
      <c r="I562" s="13"/>
    </row>
    <row r="563">
      <c r="A563" s="5"/>
      <c r="B563" s="6"/>
      <c r="C563" s="14" t="str">
        <f>iferror(vlookup(B563,'📦 ชื่อสินค้า'!A:C,2,false),)</f>
        <v/>
      </c>
      <c r="D563" s="11" t="str">
        <f>iferror(vlookup(B563,'📦 ชื่อสินค้า'!A:D,4,false),"")</f>
        <v/>
      </c>
      <c r="E563" s="16"/>
      <c r="F563" s="6"/>
      <c r="G563" s="8" t="str">
        <f t="shared" si="1"/>
        <v/>
      </c>
      <c r="H563" s="11" t="str">
        <f t="shared" si="2"/>
        <v/>
      </c>
      <c r="I563" s="13"/>
    </row>
    <row r="564">
      <c r="A564" s="5"/>
      <c r="B564" s="6"/>
      <c r="C564" s="14" t="str">
        <f>iferror(vlookup(B564,'📦 ชื่อสินค้า'!A:C,2,false),)</f>
        <v/>
      </c>
      <c r="D564" s="11" t="str">
        <f>iferror(vlookup(B564,'📦 ชื่อสินค้า'!A:D,4,false),"")</f>
        <v/>
      </c>
      <c r="E564" s="16"/>
      <c r="F564" s="6"/>
      <c r="G564" s="8" t="str">
        <f t="shared" si="1"/>
        <v/>
      </c>
      <c r="H564" s="11" t="str">
        <f t="shared" si="2"/>
        <v/>
      </c>
      <c r="I564" s="13"/>
    </row>
    <row r="565">
      <c r="A565" s="5"/>
      <c r="B565" s="6"/>
      <c r="C565" s="14" t="str">
        <f>iferror(vlookup(B565,'📦 ชื่อสินค้า'!A:C,2,false),)</f>
        <v/>
      </c>
      <c r="D565" s="11" t="str">
        <f>iferror(vlookup(B565,'📦 ชื่อสินค้า'!A:D,4,false),"")</f>
        <v/>
      </c>
      <c r="E565" s="16"/>
      <c r="F565" s="6"/>
      <c r="G565" s="8" t="str">
        <f t="shared" si="1"/>
        <v/>
      </c>
      <c r="H565" s="11" t="str">
        <f t="shared" si="2"/>
        <v/>
      </c>
      <c r="I565" s="13"/>
    </row>
    <row r="566">
      <c r="A566" s="5"/>
      <c r="B566" s="6"/>
      <c r="C566" s="14" t="str">
        <f>iferror(vlookup(B566,'📦 ชื่อสินค้า'!A:C,2,false),)</f>
        <v/>
      </c>
      <c r="D566" s="11" t="str">
        <f>iferror(vlookup(B566,'📦 ชื่อสินค้า'!A:D,4,false),"")</f>
        <v/>
      </c>
      <c r="E566" s="16"/>
      <c r="F566" s="6"/>
      <c r="G566" s="8" t="str">
        <f t="shared" si="1"/>
        <v/>
      </c>
      <c r="H566" s="11" t="str">
        <f t="shared" si="2"/>
        <v/>
      </c>
      <c r="I566" s="13"/>
    </row>
    <row r="567">
      <c r="A567" s="5"/>
      <c r="B567" s="6"/>
      <c r="C567" s="14" t="str">
        <f>iferror(vlookup(B567,'📦 ชื่อสินค้า'!A:C,2,false),)</f>
        <v/>
      </c>
      <c r="D567" s="11" t="str">
        <f>iferror(vlookup(B567,'📦 ชื่อสินค้า'!A:D,4,false),"")</f>
        <v/>
      </c>
      <c r="E567" s="16"/>
      <c r="F567" s="6"/>
      <c r="G567" s="8" t="str">
        <f t="shared" si="1"/>
        <v/>
      </c>
      <c r="H567" s="11" t="str">
        <f t="shared" si="2"/>
        <v/>
      </c>
      <c r="I567" s="13"/>
    </row>
    <row r="568">
      <c r="A568" s="5"/>
      <c r="B568" s="6"/>
      <c r="C568" s="14" t="str">
        <f>iferror(vlookup(B568,'📦 ชื่อสินค้า'!A:C,2,false),)</f>
        <v/>
      </c>
      <c r="D568" s="11" t="str">
        <f>iferror(vlookup(B568,'📦 ชื่อสินค้า'!A:D,4,false),"")</f>
        <v/>
      </c>
      <c r="E568" s="16"/>
      <c r="F568" s="6"/>
      <c r="G568" s="8" t="str">
        <f t="shared" si="1"/>
        <v/>
      </c>
      <c r="H568" s="11" t="str">
        <f t="shared" si="2"/>
        <v/>
      </c>
      <c r="I568" s="13"/>
    </row>
    <row r="569">
      <c r="A569" s="5"/>
      <c r="B569" s="6"/>
      <c r="C569" s="14" t="str">
        <f>iferror(vlookup(B569,'📦 ชื่อสินค้า'!A:C,2,false),)</f>
        <v/>
      </c>
      <c r="D569" s="11" t="str">
        <f>iferror(vlookup(B569,'📦 ชื่อสินค้า'!A:D,4,false),"")</f>
        <v/>
      </c>
      <c r="E569" s="16"/>
      <c r="F569" s="6"/>
      <c r="G569" s="8" t="str">
        <f t="shared" si="1"/>
        <v/>
      </c>
      <c r="H569" s="11" t="str">
        <f t="shared" si="2"/>
        <v/>
      </c>
      <c r="I569" s="13"/>
    </row>
    <row r="570">
      <c r="A570" s="5"/>
      <c r="B570" s="6"/>
      <c r="C570" s="14" t="str">
        <f>iferror(vlookup(B570,'📦 ชื่อสินค้า'!A:C,2,false),)</f>
        <v/>
      </c>
      <c r="D570" s="11" t="str">
        <f>iferror(vlookup(B570,'📦 ชื่อสินค้า'!A:D,4,false),"")</f>
        <v/>
      </c>
      <c r="E570" s="16"/>
      <c r="F570" s="6"/>
      <c r="G570" s="8" t="str">
        <f t="shared" si="1"/>
        <v/>
      </c>
      <c r="H570" s="11" t="str">
        <f t="shared" si="2"/>
        <v/>
      </c>
      <c r="I570" s="13"/>
    </row>
    <row r="571">
      <c r="A571" s="5"/>
      <c r="B571" s="6"/>
      <c r="C571" s="14" t="str">
        <f>iferror(vlookup(B571,'📦 ชื่อสินค้า'!A:C,2,false),)</f>
        <v/>
      </c>
      <c r="D571" s="11" t="str">
        <f>iferror(vlookup(B571,'📦 ชื่อสินค้า'!A:D,4,false),"")</f>
        <v/>
      </c>
      <c r="E571" s="16"/>
      <c r="F571" s="6"/>
      <c r="G571" s="8" t="str">
        <f t="shared" si="1"/>
        <v/>
      </c>
      <c r="H571" s="11" t="str">
        <f t="shared" si="2"/>
        <v/>
      </c>
      <c r="I571" s="13"/>
    </row>
    <row r="572">
      <c r="A572" s="5"/>
      <c r="B572" s="6"/>
      <c r="C572" s="14" t="str">
        <f>iferror(vlookup(B572,'📦 ชื่อสินค้า'!A:C,2,false),)</f>
        <v/>
      </c>
      <c r="D572" s="11" t="str">
        <f>iferror(vlookup(B572,'📦 ชื่อสินค้า'!A:D,4,false),"")</f>
        <v/>
      </c>
      <c r="E572" s="16"/>
      <c r="F572" s="6"/>
      <c r="G572" s="8" t="str">
        <f t="shared" si="1"/>
        <v/>
      </c>
      <c r="H572" s="11" t="str">
        <f t="shared" si="2"/>
        <v/>
      </c>
      <c r="I572" s="13"/>
    </row>
    <row r="573">
      <c r="A573" s="5"/>
      <c r="B573" s="6"/>
      <c r="C573" s="14" t="str">
        <f>iferror(vlookup(B573,'📦 ชื่อสินค้า'!A:C,2,false),)</f>
        <v/>
      </c>
      <c r="D573" s="11" t="str">
        <f>iferror(vlookup(B573,'📦 ชื่อสินค้า'!A:D,4,false),"")</f>
        <v/>
      </c>
      <c r="E573" s="16"/>
      <c r="F573" s="6"/>
      <c r="G573" s="8" t="str">
        <f t="shared" si="1"/>
        <v/>
      </c>
      <c r="H573" s="11" t="str">
        <f t="shared" si="2"/>
        <v/>
      </c>
      <c r="I573" s="13"/>
    </row>
    <row r="574">
      <c r="A574" s="5"/>
      <c r="B574" s="6"/>
      <c r="C574" s="14" t="str">
        <f>iferror(vlookup(B574,'📦 ชื่อสินค้า'!A:C,2,false),)</f>
        <v/>
      </c>
      <c r="D574" s="11" t="str">
        <f>iferror(vlookup(B574,'📦 ชื่อสินค้า'!A:D,4,false),"")</f>
        <v/>
      </c>
      <c r="E574" s="16"/>
      <c r="F574" s="6"/>
      <c r="G574" s="8" t="str">
        <f t="shared" si="1"/>
        <v/>
      </c>
      <c r="H574" s="11" t="str">
        <f t="shared" si="2"/>
        <v/>
      </c>
      <c r="I574" s="13"/>
    </row>
    <row r="575">
      <c r="A575" s="5"/>
      <c r="B575" s="6"/>
      <c r="C575" s="14" t="str">
        <f>iferror(vlookup(B575,'📦 ชื่อสินค้า'!A:C,2,false),)</f>
        <v/>
      </c>
      <c r="D575" s="11" t="str">
        <f>iferror(vlookup(B575,'📦 ชื่อสินค้า'!A:D,4,false),"")</f>
        <v/>
      </c>
      <c r="E575" s="16"/>
      <c r="F575" s="6"/>
      <c r="G575" s="8" t="str">
        <f t="shared" si="1"/>
        <v/>
      </c>
      <c r="H575" s="11" t="str">
        <f t="shared" si="2"/>
        <v/>
      </c>
      <c r="I575" s="13"/>
    </row>
    <row r="576">
      <c r="A576" s="5"/>
      <c r="B576" s="6"/>
      <c r="C576" s="14" t="str">
        <f>iferror(vlookup(B576,'📦 ชื่อสินค้า'!A:C,2,false),)</f>
        <v/>
      </c>
      <c r="D576" s="11" t="str">
        <f>iferror(vlookup(B576,'📦 ชื่อสินค้า'!A:D,4,false),"")</f>
        <v/>
      </c>
      <c r="E576" s="16"/>
      <c r="F576" s="6"/>
      <c r="G576" s="8" t="str">
        <f t="shared" si="1"/>
        <v/>
      </c>
      <c r="H576" s="11" t="str">
        <f t="shared" si="2"/>
        <v/>
      </c>
      <c r="I576" s="13"/>
    </row>
    <row r="577">
      <c r="A577" s="5"/>
      <c r="B577" s="6"/>
      <c r="C577" s="14" t="str">
        <f>iferror(vlookup(B577,'📦 ชื่อสินค้า'!A:C,2,false),)</f>
        <v/>
      </c>
      <c r="D577" s="11" t="str">
        <f>iferror(vlookup(B577,'📦 ชื่อสินค้า'!A:D,4,false),"")</f>
        <v/>
      </c>
      <c r="E577" s="16"/>
      <c r="F577" s="6"/>
      <c r="G577" s="8" t="str">
        <f t="shared" si="1"/>
        <v/>
      </c>
      <c r="H577" s="11" t="str">
        <f t="shared" si="2"/>
        <v/>
      </c>
      <c r="I577" s="13"/>
    </row>
    <row r="578">
      <c r="A578" s="5"/>
      <c r="B578" s="6"/>
      <c r="C578" s="14" t="str">
        <f>iferror(vlookup(B578,'📦 ชื่อสินค้า'!A:C,2,false),)</f>
        <v/>
      </c>
      <c r="D578" s="11" t="str">
        <f>iferror(vlookup(B578,'📦 ชื่อสินค้า'!A:D,4,false),"")</f>
        <v/>
      </c>
      <c r="E578" s="16"/>
      <c r="F578" s="6"/>
      <c r="G578" s="8" t="str">
        <f t="shared" si="1"/>
        <v/>
      </c>
      <c r="H578" s="11" t="str">
        <f t="shared" si="2"/>
        <v/>
      </c>
      <c r="I578" s="13"/>
    </row>
    <row r="579">
      <c r="A579" s="5"/>
      <c r="B579" s="6"/>
      <c r="C579" s="14" t="str">
        <f>iferror(vlookup(B579,'📦 ชื่อสินค้า'!A:C,2,false),)</f>
        <v/>
      </c>
      <c r="D579" s="11" t="str">
        <f>iferror(vlookup(B579,'📦 ชื่อสินค้า'!A:D,4,false),"")</f>
        <v/>
      </c>
      <c r="E579" s="16"/>
      <c r="F579" s="6"/>
      <c r="G579" s="8" t="str">
        <f t="shared" si="1"/>
        <v/>
      </c>
      <c r="H579" s="11" t="str">
        <f t="shared" si="2"/>
        <v/>
      </c>
      <c r="I579" s="13"/>
    </row>
    <row r="580">
      <c r="A580" s="5"/>
      <c r="B580" s="6"/>
      <c r="C580" s="14" t="str">
        <f>iferror(vlookup(B580,'📦 ชื่อสินค้า'!A:C,2,false),)</f>
        <v/>
      </c>
      <c r="D580" s="11" t="str">
        <f>iferror(vlookup(B580,'📦 ชื่อสินค้า'!A:D,4,false),"")</f>
        <v/>
      </c>
      <c r="E580" s="16"/>
      <c r="F580" s="6"/>
      <c r="G580" s="8" t="str">
        <f t="shared" si="1"/>
        <v/>
      </c>
      <c r="H580" s="11" t="str">
        <f t="shared" si="2"/>
        <v/>
      </c>
      <c r="I580" s="13"/>
    </row>
    <row r="581">
      <c r="A581" s="5"/>
      <c r="B581" s="6"/>
      <c r="C581" s="14" t="str">
        <f>iferror(vlookup(B581,'📦 ชื่อสินค้า'!A:C,2,false),)</f>
        <v/>
      </c>
      <c r="D581" s="11" t="str">
        <f>iferror(vlookup(B581,'📦 ชื่อสินค้า'!A:D,4,false),"")</f>
        <v/>
      </c>
      <c r="E581" s="16"/>
      <c r="F581" s="6"/>
      <c r="G581" s="8" t="str">
        <f t="shared" si="1"/>
        <v/>
      </c>
      <c r="H581" s="11" t="str">
        <f t="shared" si="2"/>
        <v/>
      </c>
      <c r="I581" s="13"/>
    </row>
    <row r="582">
      <c r="A582" s="5"/>
      <c r="B582" s="6"/>
      <c r="C582" s="14" t="str">
        <f>iferror(vlookup(B582,'📦 ชื่อสินค้า'!A:C,2,false),)</f>
        <v/>
      </c>
      <c r="D582" s="11" t="str">
        <f>iferror(vlookup(B582,'📦 ชื่อสินค้า'!A:D,4,false),"")</f>
        <v/>
      </c>
      <c r="E582" s="16"/>
      <c r="F582" s="6"/>
      <c r="G582" s="8" t="str">
        <f t="shared" si="1"/>
        <v/>
      </c>
      <c r="H582" s="11" t="str">
        <f t="shared" si="2"/>
        <v/>
      </c>
      <c r="I582" s="13"/>
    </row>
    <row r="583">
      <c r="A583" s="5"/>
      <c r="B583" s="6"/>
      <c r="C583" s="14" t="str">
        <f>iferror(vlookup(B583,'📦 ชื่อสินค้า'!A:C,2,false),)</f>
        <v/>
      </c>
      <c r="D583" s="11" t="str">
        <f>iferror(vlookup(B583,'📦 ชื่อสินค้า'!A:D,4,false),"")</f>
        <v/>
      </c>
      <c r="E583" s="16"/>
      <c r="F583" s="6"/>
      <c r="G583" s="8" t="str">
        <f t="shared" si="1"/>
        <v/>
      </c>
      <c r="H583" s="11" t="str">
        <f t="shared" si="2"/>
        <v/>
      </c>
      <c r="I583" s="13"/>
    </row>
    <row r="584">
      <c r="A584" s="5"/>
      <c r="B584" s="6"/>
      <c r="C584" s="14" t="str">
        <f>iferror(vlookup(B584,'📦 ชื่อสินค้า'!A:C,2,false),)</f>
        <v/>
      </c>
      <c r="D584" s="11" t="str">
        <f>iferror(vlookup(B584,'📦 ชื่อสินค้า'!A:D,4,false),"")</f>
        <v/>
      </c>
      <c r="E584" s="16"/>
      <c r="F584" s="6"/>
      <c r="G584" s="8" t="str">
        <f t="shared" si="1"/>
        <v/>
      </c>
      <c r="H584" s="11" t="str">
        <f t="shared" si="2"/>
        <v/>
      </c>
      <c r="I584" s="13"/>
    </row>
    <row r="585">
      <c r="A585" s="5"/>
      <c r="B585" s="6"/>
      <c r="C585" s="14" t="str">
        <f>iferror(vlookup(B585,'📦 ชื่อสินค้า'!A:C,2,false),)</f>
        <v/>
      </c>
      <c r="D585" s="11" t="str">
        <f>iferror(vlookup(B585,'📦 ชื่อสินค้า'!A:D,4,false),"")</f>
        <v/>
      </c>
      <c r="E585" s="16"/>
      <c r="F585" s="6"/>
      <c r="G585" s="8" t="str">
        <f t="shared" si="1"/>
        <v/>
      </c>
      <c r="H585" s="11" t="str">
        <f t="shared" si="2"/>
        <v/>
      </c>
      <c r="I585" s="13"/>
    </row>
    <row r="586">
      <c r="A586" s="5"/>
      <c r="B586" s="6"/>
      <c r="C586" s="14" t="str">
        <f>iferror(vlookup(B586,'📦 ชื่อสินค้า'!A:C,2,false),)</f>
        <v/>
      </c>
      <c r="D586" s="11" t="str">
        <f>iferror(vlookup(B586,'📦 ชื่อสินค้า'!A:D,4,false),"")</f>
        <v/>
      </c>
      <c r="E586" s="16"/>
      <c r="F586" s="6"/>
      <c r="G586" s="8" t="str">
        <f t="shared" si="1"/>
        <v/>
      </c>
      <c r="H586" s="11" t="str">
        <f t="shared" si="2"/>
        <v/>
      </c>
      <c r="I586" s="13"/>
    </row>
    <row r="587">
      <c r="A587" s="5"/>
      <c r="B587" s="6"/>
      <c r="C587" s="14" t="str">
        <f>iferror(vlookup(B587,'📦 ชื่อสินค้า'!A:C,2,false),)</f>
        <v/>
      </c>
      <c r="D587" s="11" t="str">
        <f>iferror(vlookup(B587,'📦 ชื่อสินค้า'!A:D,4,false),"")</f>
        <v/>
      </c>
      <c r="E587" s="16"/>
      <c r="F587" s="6"/>
      <c r="G587" s="8" t="str">
        <f t="shared" si="1"/>
        <v/>
      </c>
      <c r="H587" s="11" t="str">
        <f t="shared" si="2"/>
        <v/>
      </c>
      <c r="I587" s="13"/>
    </row>
    <row r="588">
      <c r="A588" s="5"/>
      <c r="B588" s="6"/>
      <c r="C588" s="14" t="str">
        <f>iferror(vlookup(B588,'📦 ชื่อสินค้า'!A:C,2,false),)</f>
        <v/>
      </c>
      <c r="D588" s="11" t="str">
        <f>iferror(vlookup(B588,'📦 ชื่อสินค้า'!A:D,4,false),"")</f>
        <v/>
      </c>
      <c r="E588" s="16"/>
      <c r="F588" s="6"/>
      <c r="G588" s="8" t="str">
        <f t="shared" si="1"/>
        <v/>
      </c>
      <c r="H588" s="11" t="str">
        <f t="shared" si="2"/>
        <v/>
      </c>
      <c r="I588" s="13"/>
    </row>
    <row r="589">
      <c r="A589" s="5"/>
      <c r="B589" s="6"/>
      <c r="C589" s="14" t="str">
        <f>iferror(vlookup(B589,'📦 ชื่อสินค้า'!A:C,2,false),)</f>
        <v/>
      </c>
      <c r="D589" s="11" t="str">
        <f>iferror(vlookup(B589,'📦 ชื่อสินค้า'!A:D,4,false),"")</f>
        <v/>
      </c>
      <c r="E589" s="16"/>
      <c r="F589" s="6"/>
      <c r="G589" s="8" t="str">
        <f t="shared" si="1"/>
        <v/>
      </c>
      <c r="H589" s="11" t="str">
        <f t="shared" si="2"/>
        <v/>
      </c>
      <c r="I589" s="13"/>
    </row>
    <row r="590">
      <c r="A590" s="5"/>
      <c r="B590" s="6"/>
      <c r="C590" s="14" t="str">
        <f>iferror(vlookup(B590,'📦 ชื่อสินค้า'!A:C,2,false),)</f>
        <v/>
      </c>
      <c r="D590" s="11" t="str">
        <f>iferror(vlookup(B590,'📦 ชื่อสินค้า'!A:D,4,false),"")</f>
        <v/>
      </c>
      <c r="E590" s="16"/>
      <c r="F590" s="6"/>
      <c r="G590" s="8" t="str">
        <f t="shared" si="1"/>
        <v/>
      </c>
      <c r="H590" s="11" t="str">
        <f t="shared" si="2"/>
        <v/>
      </c>
      <c r="I590" s="13"/>
    </row>
    <row r="591">
      <c r="A591" s="5"/>
      <c r="B591" s="6"/>
      <c r="C591" s="14" t="str">
        <f>iferror(vlookup(B591,'📦 ชื่อสินค้า'!A:C,2,false),)</f>
        <v/>
      </c>
      <c r="D591" s="11" t="str">
        <f>iferror(vlookup(B591,'📦 ชื่อสินค้า'!A:D,4,false),"")</f>
        <v/>
      </c>
      <c r="E591" s="16"/>
      <c r="F591" s="6"/>
      <c r="G591" s="8" t="str">
        <f t="shared" si="1"/>
        <v/>
      </c>
      <c r="H591" s="11" t="str">
        <f t="shared" si="2"/>
        <v/>
      </c>
      <c r="I591" s="13"/>
    </row>
    <row r="592">
      <c r="A592" s="5"/>
      <c r="B592" s="6"/>
      <c r="C592" s="14" t="str">
        <f>iferror(vlookup(B592,'📦 ชื่อสินค้า'!A:C,2,false),)</f>
        <v/>
      </c>
      <c r="D592" s="11" t="str">
        <f>iferror(vlookup(B592,'📦 ชื่อสินค้า'!A:D,4,false),"")</f>
        <v/>
      </c>
      <c r="E592" s="16"/>
      <c r="F592" s="6"/>
      <c r="G592" s="8" t="str">
        <f t="shared" si="1"/>
        <v/>
      </c>
      <c r="H592" s="11" t="str">
        <f t="shared" si="2"/>
        <v/>
      </c>
      <c r="I592" s="13"/>
    </row>
    <row r="593">
      <c r="A593" s="5"/>
      <c r="B593" s="6"/>
      <c r="C593" s="14" t="str">
        <f>iferror(vlookup(B593,'📦 ชื่อสินค้า'!A:C,2,false),)</f>
        <v/>
      </c>
      <c r="D593" s="11" t="str">
        <f>iferror(vlookup(B593,'📦 ชื่อสินค้า'!A:D,4,false),"")</f>
        <v/>
      </c>
      <c r="E593" s="16"/>
      <c r="F593" s="6"/>
      <c r="G593" s="8" t="str">
        <f t="shared" si="1"/>
        <v/>
      </c>
      <c r="H593" s="11" t="str">
        <f t="shared" si="2"/>
        <v/>
      </c>
      <c r="I593" s="13"/>
    </row>
    <row r="594">
      <c r="A594" s="5"/>
      <c r="B594" s="6"/>
      <c r="C594" s="14" t="str">
        <f>iferror(vlookup(B594,'📦 ชื่อสินค้า'!A:C,2,false),)</f>
        <v/>
      </c>
      <c r="D594" s="11" t="str">
        <f>iferror(vlookup(B594,'📦 ชื่อสินค้า'!A:D,4,false),"")</f>
        <v/>
      </c>
      <c r="E594" s="16"/>
      <c r="F594" s="6"/>
      <c r="G594" s="8" t="str">
        <f t="shared" si="1"/>
        <v/>
      </c>
      <c r="H594" s="11" t="str">
        <f t="shared" si="2"/>
        <v/>
      </c>
      <c r="I594" s="13"/>
    </row>
    <row r="595">
      <c r="A595" s="5"/>
      <c r="B595" s="6"/>
      <c r="C595" s="14" t="str">
        <f>iferror(vlookup(B595,'📦 ชื่อสินค้า'!A:C,2,false),)</f>
        <v/>
      </c>
      <c r="D595" s="11" t="str">
        <f>iferror(vlookup(B595,'📦 ชื่อสินค้า'!A:D,4,false),"")</f>
        <v/>
      </c>
      <c r="E595" s="16"/>
      <c r="F595" s="6"/>
      <c r="G595" s="8" t="str">
        <f t="shared" si="1"/>
        <v/>
      </c>
      <c r="H595" s="11" t="str">
        <f t="shared" si="2"/>
        <v/>
      </c>
      <c r="I595" s="13"/>
    </row>
    <row r="596">
      <c r="A596" s="5"/>
      <c r="B596" s="6"/>
      <c r="C596" s="14" t="str">
        <f>iferror(vlookup(B596,'📦 ชื่อสินค้า'!A:C,2,false),)</f>
        <v/>
      </c>
      <c r="D596" s="11" t="str">
        <f>iferror(vlookup(B596,'📦 ชื่อสินค้า'!A:D,4,false),"")</f>
        <v/>
      </c>
      <c r="E596" s="16"/>
      <c r="F596" s="6"/>
      <c r="G596" s="8" t="str">
        <f t="shared" si="1"/>
        <v/>
      </c>
      <c r="H596" s="11" t="str">
        <f t="shared" si="2"/>
        <v/>
      </c>
      <c r="I596" s="13"/>
    </row>
    <row r="597">
      <c r="A597" s="5"/>
      <c r="B597" s="6"/>
      <c r="C597" s="14" t="str">
        <f>iferror(vlookup(B597,'📦 ชื่อสินค้า'!A:C,2,false),)</f>
        <v/>
      </c>
      <c r="D597" s="11" t="str">
        <f>iferror(vlookup(B597,'📦 ชื่อสินค้า'!A:D,4,false),"")</f>
        <v/>
      </c>
      <c r="E597" s="16"/>
      <c r="F597" s="6"/>
      <c r="G597" s="8" t="str">
        <f t="shared" si="1"/>
        <v/>
      </c>
      <c r="H597" s="11" t="str">
        <f t="shared" si="2"/>
        <v/>
      </c>
      <c r="I597" s="13"/>
    </row>
    <row r="598">
      <c r="A598" s="5"/>
      <c r="B598" s="6"/>
      <c r="C598" s="14" t="str">
        <f>iferror(vlookup(B598,'📦 ชื่อสินค้า'!A:C,2,false),)</f>
        <v/>
      </c>
      <c r="D598" s="11" t="str">
        <f>iferror(vlookup(B598,'📦 ชื่อสินค้า'!A:D,4,false),"")</f>
        <v/>
      </c>
      <c r="E598" s="16"/>
      <c r="F598" s="6"/>
      <c r="G598" s="8" t="str">
        <f t="shared" si="1"/>
        <v/>
      </c>
      <c r="H598" s="11" t="str">
        <f t="shared" si="2"/>
        <v/>
      </c>
      <c r="I598" s="13"/>
    </row>
    <row r="599">
      <c r="A599" s="5"/>
      <c r="B599" s="6"/>
      <c r="C599" s="14" t="str">
        <f>iferror(vlookup(B599,'📦 ชื่อสินค้า'!A:C,2,false),)</f>
        <v/>
      </c>
      <c r="D599" s="11" t="str">
        <f>iferror(vlookup(B599,'📦 ชื่อสินค้า'!A:D,4,false),"")</f>
        <v/>
      </c>
      <c r="E599" s="16"/>
      <c r="F599" s="6"/>
      <c r="G599" s="8" t="str">
        <f t="shared" si="1"/>
        <v/>
      </c>
      <c r="H599" s="11" t="str">
        <f t="shared" si="2"/>
        <v/>
      </c>
      <c r="I599" s="13"/>
    </row>
    <row r="600">
      <c r="A600" s="5"/>
      <c r="B600" s="6"/>
      <c r="C600" s="14" t="str">
        <f>iferror(vlookup(B600,'📦 ชื่อสินค้า'!A:C,2,false),)</f>
        <v/>
      </c>
      <c r="D600" s="11" t="str">
        <f>iferror(vlookup(B600,'📦 ชื่อสินค้า'!A:D,4,false),"")</f>
        <v/>
      </c>
      <c r="E600" s="16"/>
      <c r="F600" s="6"/>
      <c r="G600" s="8" t="str">
        <f t="shared" si="1"/>
        <v/>
      </c>
      <c r="H600" s="11" t="str">
        <f t="shared" si="2"/>
        <v/>
      </c>
      <c r="I600" s="13"/>
    </row>
    <row r="601">
      <c r="A601" s="5"/>
      <c r="B601" s="6"/>
      <c r="C601" s="14" t="str">
        <f>iferror(vlookup(B601,'📦 ชื่อสินค้า'!A:C,2,false),)</f>
        <v/>
      </c>
      <c r="D601" s="11" t="str">
        <f>iferror(vlookup(B601,'📦 ชื่อสินค้า'!A:D,4,false),"")</f>
        <v/>
      </c>
      <c r="E601" s="16"/>
      <c r="F601" s="6"/>
      <c r="G601" s="8" t="str">
        <f t="shared" si="1"/>
        <v/>
      </c>
      <c r="H601" s="11" t="str">
        <f t="shared" si="2"/>
        <v/>
      </c>
      <c r="I601" s="13"/>
    </row>
    <row r="602">
      <c r="A602" s="5"/>
      <c r="B602" s="6"/>
      <c r="C602" s="14" t="str">
        <f>iferror(vlookup(B602,'📦 ชื่อสินค้า'!A:C,2,false),)</f>
        <v/>
      </c>
      <c r="D602" s="11" t="str">
        <f>iferror(vlookup(B602,'📦 ชื่อสินค้า'!A:D,4,false),"")</f>
        <v/>
      </c>
      <c r="E602" s="16"/>
      <c r="F602" s="6"/>
      <c r="G602" s="8" t="str">
        <f t="shared" si="1"/>
        <v/>
      </c>
      <c r="H602" s="11" t="str">
        <f t="shared" si="2"/>
        <v/>
      </c>
      <c r="I602" s="13"/>
    </row>
    <row r="603">
      <c r="A603" s="5"/>
      <c r="B603" s="6"/>
      <c r="C603" s="14" t="str">
        <f>iferror(vlookup(B603,'📦 ชื่อสินค้า'!A:C,2,false),)</f>
        <v/>
      </c>
      <c r="D603" s="11" t="str">
        <f>iferror(vlookup(B603,'📦 ชื่อสินค้า'!A:D,4,false),"")</f>
        <v/>
      </c>
      <c r="E603" s="16"/>
      <c r="F603" s="6"/>
      <c r="G603" s="8" t="str">
        <f t="shared" si="1"/>
        <v/>
      </c>
      <c r="H603" s="11" t="str">
        <f t="shared" si="2"/>
        <v/>
      </c>
      <c r="I603" s="13"/>
    </row>
    <row r="604">
      <c r="A604" s="5"/>
      <c r="B604" s="6"/>
      <c r="C604" s="14" t="str">
        <f>iferror(vlookup(B604,'📦 ชื่อสินค้า'!A:C,2,false),)</f>
        <v/>
      </c>
      <c r="D604" s="11" t="str">
        <f>iferror(vlookup(B604,'📦 ชื่อสินค้า'!A:D,4,false),"")</f>
        <v/>
      </c>
      <c r="E604" s="16"/>
      <c r="F604" s="6"/>
      <c r="G604" s="8" t="str">
        <f t="shared" si="1"/>
        <v/>
      </c>
      <c r="H604" s="11" t="str">
        <f t="shared" si="2"/>
        <v/>
      </c>
      <c r="I604" s="13"/>
    </row>
    <row r="605">
      <c r="A605" s="5"/>
      <c r="B605" s="6"/>
      <c r="C605" s="14" t="str">
        <f>iferror(vlookup(B605,'📦 ชื่อสินค้า'!A:C,2,false),)</f>
        <v/>
      </c>
      <c r="D605" s="11" t="str">
        <f>iferror(vlookup(B605,'📦 ชื่อสินค้า'!A:D,4,false),"")</f>
        <v/>
      </c>
      <c r="E605" s="16"/>
      <c r="F605" s="6"/>
      <c r="G605" s="8" t="str">
        <f t="shared" si="1"/>
        <v/>
      </c>
      <c r="H605" s="11" t="str">
        <f t="shared" si="2"/>
        <v/>
      </c>
      <c r="I605" s="13"/>
    </row>
    <row r="606">
      <c r="A606" s="5"/>
      <c r="B606" s="6"/>
      <c r="C606" s="14" t="str">
        <f>iferror(vlookup(B606,'📦 ชื่อสินค้า'!A:C,2,false),)</f>
        <v/>
      </c>
      <c r="D606" s="11" t="str">
        <f>iferror(vlookup(B606,'📦 ชื่อสินค้า'!A:D,4,false),"")</f>
        <v/>
      </c>
      <c r="E606" s="16"/>
      <c r="F606" s="6"/>
      <c r="G606" s="8" t="str">
        <f t="shared" si="1"/>
        <v/>
      </c>
      <c r="H606" s="11" t="str">
        <f t="shared" si="2"/>
        <v/>
      </c>
      <c r="I606" s="13"/>
    </row>
    <row r="607">
      <c r="A607" s="5"/>
      <c r="B607" s="6"/>
      <c r="C607" s="14" t="str">
        <f>iferror(vlookup(B607,'📦 ชื่อสินค้า'!A:C,2,false),)</f>
        <v/>
      </c>
      <c r="D607" s="11" t="str">
        <f>iferror(vlookup(B607,'📦 ชื่อสินค้า'!A:D,4,false),"")</f>
        <v/>
      </c>
      <c r="E607" s="16"/>
      <c r="F607" s="6"/>
      <c r="G607" s="8" t="str">
        <f t="shared" si="1"/>
        <v/>
      </c>
      <c r="H607" s="11" t="str">
        <f t="shared" si="2"/>
        <v/>
      </c>
      <c r="I607" s="13"/>
    </row>
    <row r="608">
      <c r="A608" s="5"/>
      <c r="B608" s="6"/>
      <c r="C608" s="14" t="str">
        <f>iferror(vlookup(B608,'📦 ชื่อสินค้า'!A:C,2,false),)</f>
        <v/>
      </c>
      <c r="D608" s="11" t="str">
        <f>iferror(vlookup(B608,'📦 ชื่อสินค้า'!A:D,4,false),"")</f>
        <v/>
      </c>
      <c r="E608" s="16"/>
      <c r="F608" s="6"/>
      <c r="G608" s="8" t="str">
        <f t="shared" si="1"/>
        <v/>
      </c>
      <c r="H608" s="11" t="str">
        <f t="shared" si="2"/>
        <v/>
      </c>
      <c r="I608" s="13"/>
    </row>
    <row r="609">
      <c r="A609" s="5"/>
      <c r="B609" s="6"/>
      <c r="C609" s="14" t="str">
        <f>iferror(vlookup(B609,'📦 ชื่อสินค้า'!A:C,2,false),)</f>
        <v/>
      </c>
      <c r="D609" s="11" t="str">
        <f>iferror(vlookup(B609,'📦 ชื่อสินค้า'!A:D,4,false),"")</f>
        <v/>
      </c>
      <c r="E609" s="16"/>
      <c r="F609" s="6"/>
      <c r="G609" s="8" t="str">
        <f t="shared" si="1"/>
        <v/>
      </c>
      <c r="H609" s="11" t="str">
        <f t="shared" si="2"/>
        <v/>
      </c>
      <c r="I609" s="13"/>
    </row>
    <row r="610">
      <c r="A610" s="5"/>
      <c r="B610" s="6"/>
      <c r="C610" s="14" t="str">
        <f>iferror(vlookup(B610,'📦 ชื่อสินค้า'!A:C,2,false),)</f>
        <v/>
      </c>
      <c r="D610" s="11" t="str">
        <f>iferror(vlookup(B610,'📦 ชื่อสินค้า'!A:D,4,false),"")</f>
        <v/>
      </c>
      <c r="E610" s="16"/>
      <c r="F610" s="6"/>
      <c r="G610" s="8" t="str">
        <f t="shared" si="1"/>
        <v/>
      </c>
      <c r="H610" s="11" t="str">
        <f t="shared" si="2"/>
        <v/>
      </c>
      <c r="I610" s="13"/>
    </row>
    <row r="611">
      <c r="A611" s="5"/>
      <c r="B611" s="6"/>
      <c r="C611" s="14" t="str">
        <f>iferror(vlookup(B611,'📦 ชื่อสินค้า'!A:C,2,false),)</f>
        <v/>
      </c>
      <c r="D611" s="11" t="str">
        <f>iferror(vlookup(B611,'📦 ชื่อสินค้า'!A:D,4,false),"")</f>
        <v/>
      </c>
      <c r="E611" s="16"/>
      <c r="F611" s="6"/>
      <c r="G611" s="8" t="str">
        <f t="shared" si="1"/>
        <v/>
      </c>
      <c r="H611" s="11" t="str">
        <f t="shared" si="2"/>
        <v/>
      </c>
      <c r="I611" s="13"/>
    </row>
    <row r="612">
      <c r="A612" s="5"/>
      <c r="B612" s="6"/>
      <c r="C612" s="14" t="str">
        <f>iferror(vlookup(B612,'📦 ชื่อสินค้า'!A:C,2,false),)</f>
        <v/>
      </c>
      <c r="D612" s="11" t="str">
        <f>iferror(vlookup(B612,'📦 ชื่อสินค้า'!A:D,4,false),"")</f>
        <v/>
      </c>
      <c r="E612" s="16"/>
      <c r="F612" s="6"/>
      <c r="G612" s="8" t="str">
        <f t="shared" si="1"/>
        <v/>
      </c>
      <c r="H612" s="11" t="str">
        <f t="shared" si="2"/>
        <v/>
      </c>
      <c r="I612" s="13"/>
    </row>
    <row r="613">
      <c r="A613" s="5"/>
      <c r="B613" s="6"/>
      <c r="C613" s="14" t="str">
        <f>iferror(vlookup(B613,'📦 ชื่อสินค้า'!A:C,2,false),)</f>
        <v/>
      </c>
      <c r="D613" s="11" t="str">
        <f>iferror(vlookup(B613,'📦 ชื่อสินค้า'!A:D,4,false),"")</f>
        <v/>
      </c>
      <c r="E613" s="16"/>
      <c r="F613" s="6"/>
      <c r="G613" s="8" t="str">
        <f t="shared" si="1"/>
        <v/>
      </c>
      <c r="H613" s="11" t="str">
        <f t="shared" si="2"/>
        <v/>
      </c>
      <c r="I613" s="13"/>
    </row>
    <row r="614">
      <c r="A614" s="5"/>
      <c r="B614" s="6"/>
      <c r="C614" s="14" t="str">
        <f>iferror(vlookup(B614,'📦 ชื่อสินค้า'!A:C,2,false),)</f>
        <v/>
      </c>
      <c r="D614" s="11" t="str">
        <f>iferror(vlookup(B614,'📦 ชื่อสินค้า'!A:D,4,false),"")</f>
        <v/>
      </c>
      <c r="E614" s="16"/>
      <c r="F614" s="6"/>
      <c r="G614" s="8" t="str">
        <f t="shared" si="1"/>
        <v/>
      </c>
      <c r="H614" s="11" t="str">
        <f t="shared" si="2"/>
        <v/>
      </c>
      <c r="I614" s="13"/>
    </row>
    <row r="615">
      <c r="A615" s="5"/>
      <c r="B615" s="6"/>
      <c r="C615" s="14" t="str">
        <f>iferror(vlookup(B615,'📦 ชื่อสินค้า'!A:C,2,false),)</f>
        <v/>
      </c>
      <c r="D615" s="11" t="str">
        <f>iferror(vlookup(B615,'📦 ชื่อสินค้า'!A:D,4,false),"")</f>
        <v/>
      </c>
      <c r="E615" s="16"/>
      <c r="F615" s="6"/>
      <c r="G615" s="8" t="str">
        <f t="shared" si="1"/>
        <v/>
      </c>
      <c r="H615" s="11" t="str">
        <f t="shared" si="2"/>
        <v/>
      </c>
      <c r="I615" s="13"/>
    </row>
    <row r="616">
      <c r="A616" s="5"/>
      <c r="B616" s="6"/>
      <c r="C616" s="14" t="str">
        <f>iferror(vlookup(B616,'📦 ชื่อสินค้า'!A:C,2,false),)</f>
        <v/>
      </c>
      <c r="D616" s="11" t="str">
        <f>iferror(vlookup(B616,'📦 ชื่อสินค้า'!A:D,4,false),"")</f>
        <v/>
      </c>
      <c r="E616" s="16"/>
      <c r="F616" s="6"/>
      <c r="G616" s="8" t="str">
        <f t="shared" si="1"/>
        <v/>
      </c>
      <c r="H616" s="11" t="str">
        <f t="shared" si="2"/>
        <v/>
      </c>
      <c r="I616" s="13"/>
    </row>
    <row r="617">
      <c r="A617" s="5"/>
      <c r="B617" s="6"/>
      <c r="C617" s="14" t="str">
        <f>iferror(vlookup(B617,'📦 ชื่อสินค้า'!A:C,2,false),)</f>
        <v/>
      </c>
      <c r="D617" s="11" t="str">
        <f>iferror(vlookup(B617,'📦 ชื่อสินค้า'!A:D,4,false),"")</f>
        <v/>
      </c>
      <c r="E617" s="16"/>
      <c r="F617" s="6"/>
      <c r="G617" s="8" t="str">
        <f t="shared" si="1"/>
        <v/>
      </c>
      <c r="H617" s="11" t="str">
        <f t="shared" si="2"/>
        <v/>
      </c>
      <c r="I617" s="13"/>
    </row>
    <row r="618">
      <c r="A618" s="5"/>
      <c r="B618" s="6"/>
      <c r="C618" s="14" t="str">
        <f>iferror(vlookup(B618,'📦 ชื่อสินค้า'!A:C,2,false),)</f>
        <v/>
      </c>
      <c r="D618" s="11" t="str">
        <f>iferror(vlookup(B618,'📦 ชื่อสินค้า'!A:D,4,false),"")</f>
        <v/>
      </c>
      <c r="E618" s="16"/>
      <c r="F618" s="6"/>
      <c r="G618" s="8" t="str">
        <f t="shared" si="1"/>
        <v/>
      </c>
      <c r="H618" s="11" t="str">
        <f t="shared" si="2"/>
        <v/>
      </c>
      <c r="I618" s="13"/>
    </row>
    <row r="619">
      <c r="A619" s="5"/>
      <c r="B619" s="6"/>
      <c r="C619" s="14" t="str">
        <f>iferror(vlookup(B619,'📦 ชื่อสินค้า'!A:C,2,false),)</f>
        <v/>
      </c>
      <c r="D619" s="11" t="str">
        <f>iferror(vlookup(B619,'📦 ชื่อสินค้า'!A:D,4,false),"")</f>
        <v/>
      </c>
      <c r="E619" s="16"/>
      <c r="F619" s="6"/>
      <c r="G619" s="8" t="str">
        <f t="shared" si="1"/>
        <v/>
      </c>
      <c r="H619" s="11" t="str">
        <f t="shared" si="2"/>
        <v/>
      </c>
      <c r="I619" s="13"/>
    </row>
    <row r="620">
      <c r="A620" s="5"/>
      <c r="B620" s="6"/>
      <c r="C620" s="14" t="str">
        <f>iferror(vlookup(B620,'📦 ชื่อสินค้า'!A:C,2,false),)</f>
        <v/>
      </c>
      <c r="D620" s="11" t="str">
        <f>iferror(vlookup(B620,'📦 ชื่อสินค้า'!A:D,4,false),"")</f>
        <v/>
      </c>
      <c r="E620" s="16"/>
      <c r="F620" s="6"/>
      <c r="G620" s="8" t="str">
        <f t="shared" si="1"/>
        <v/>
      </c>
      <c r="H620" s="11" t="str">
        <f t="shared" si="2"/>
        <v/>
      </c>
      <c r="I620" s="13"/>
    </row>
    <row r="621">
      <c r="A621" s="5"/>
      <c r="B621" s="6"/>
      <c r="C621" s="14" t="str">
        <f>iferror(vlookup(B621,'📦 ชื่อสินค้า'!A:C,2,false),)</f>
        <v/>
      </c>
      <c r="D621" s="11" t="str">
        <f>iferror(vlookup(B621,'📦 ชื่อสินค้า'!A:D,4,false),"")</f>
        <v/>
      </c>
      <c r="E621" s="16"/>
      <c r="F621" s="6"/>
      <c r="G621" s="8" t="str">
        <f t="shared" si="1"/>
        <v/>
      </c>
      <c r="H621" s="11" t="str">
        <f t="shared" si="2"/>
        <v/>
      </c>
      <c r="I621" s="13"/>
    </row>
    <row r="622">
      <c r="A622" s="5"/>
      <c r="B622" s="6"/>
      <c r="C622" s="14" t="str">
        <f>iferror(vlookup(B622,'📦 ชื่อสินค้า'!A:C,2,false),)</f>
        <v/>
      </c>
      <c r="D622" s="11" t="str">
        <f>iferror(vlookup(B622,'📦 ชื่อสินค้า'!A:D,4,false),"")</f>
        <v/>
      </c>
      <c r="E622" s="16"/>
      <c r="F622" s="6"/>
      <c r="G622" s="8" t="str">
        <f t="shared" si="1"/>
        <v/>
      </c>
      <c r="H622" s="11" t="str">
        <f t="shared" si="2"/>
        <v/>
      </c>
      <c r="I622" s="13"/>
    </row>
    <row r="623">
      <c r="A623" s="5"/>
      <c r="B623" s="6"/>
      <c r="C623" s="14" t="str">
        <f>iferror(vlookup(B623,'📦 ชื่อสินค้า'!A:C,2,false),)</f>
        <v/>
      </c>
      <c r="D623" s="11" t="str">
        <f>iferror(vlookup(B623,'📦 ชื่อสินค้า'!A:D,4,false),"")</f>
        <v/>
      </c>
      <c r="E623" s="16"/>
      <c r="F623" s="6"/>
      <c r="G623" s="8" t="str">
        <f t="shared" si="1"/>
        <v/>
      </c>
      <c r="H623" s="11" t="str">
        <f t="shared" si="2"/>
        <v/>
      </c>
      <c r="I623" s="13"/>
    </row>
    <row r="624">
      <c r="A624" s="5"/>
      <c r="B624" s="6"/>
      <c r="C624" s="14" t="str">
        <f>iferror(vlookup(B624,'📦 ชื่อสินค้า'!A:C,2,false),)</f>
        <v/>
      </c>
      <c r="D624" s="11" t="str">
        <f>iferror(vlookup(B624,'📦 ชื่อสินค้า'!A:D,4,false),"")</f>
        <v/>
      </c>
      <c r="E624" s="16"/>
      <c r="F624" s="6"/>
      <c r="G624" s="8" t="str">
        <f t="shared" si="1"/>
        <v/>
      </c>
      <c r="H624" s="11" t="str">
        <f t="shared" si="2"/>
        <v/>
      </c>
      <c r="I624" s="13"/>
    </row>
    <row r="625">
      <c r="A625" s="5"/>
      <c r="B625" s="6"/>
      <c r="C625" s="14" t="str">
        <f>iferror(vlookup(B625,'📦 ชื่อสินค้า'!A:C,2,false),)</f>
        <v/>
      </c>
      <c r="D625" s="11" t="str">
        <f>iferror(vlookup(B625,'📦 ชื่อสินค้า'!A:D,4,false),"")</f>
        <v/>
      </c>
      <c r="E625" s="16"/>
      <c r="F625" s="6"/>
      <c r="G625" s="8" t="str">
        <f t="shared" si="1"/>
        <v/>
      </c>
      <c r="H625" s="11" t="str">
        <f t="shared" si="2"/>
        <v/>
      </c>
      <c r="I625" s="13"/>
    </row>
    <row r="626">
      <c r="A626" s="5"/>
      <c r="B626" s="6"/>
      <c r="C626" s="14" t="str">
        <f>iferror(vlookup(B626,'📦 ชื่อสินค้า'!A:C,2,false),)</f>
        <v/>
      </c>
      <c r="D626" s="11" t="str">
        <f>iferror(vlookup(B626,'📦 ชื่อสินค้า'!A:D,4,false),"")</f>
        <v/>
      </c>
      <c r="E626" s="16"/>
      <c r="F626" s="6"/>
      <c r="G626" s="8" t="str">
        <f t="shared" si="1"/>
        <v/>
      </c>
      <c r="H626" s="11" t="str">
        <f t="shared" si="2"/>
        <v/>
      </c>
      <c r="I626" s="13"/>
    </row>
    <row r="627">
      <c r="A627" s="5"/>
      <c r="B627" s="6"/>
      <c r="C627" s="14" t="str">
        <f>iferror(vlookup(B627,'📦 ชื่อสินค้า'!A:C,2,false),)</f>
        <v/>
      </c>
      <c r="D627" s="11" t="str">
        <f>iferror(vlookup(B627,'📦 ชื่อสินค้า'!A:D,4,false),"")</f>
        <v/>
      </c>
      <c r="E627" s="16"/>
      <c r="F627" s="6"/>
      <c r="G627" s="8" t="str">
        <f t="shared" si="1"/>
        <v/>
      </c>
      <c r="H627" s="11" t="str">
        <f t="shared" si="2"/>
        <v/>
      </c>
      <c r="I627" s="13"/>
    </row>
    <row r="628">
      <c r="A628" s="5"/>
      <c r="B628" s="6"/>
      <c r="C628" s="14" t="str">
        <f>iferror(vlookup(B628,'📦 ชื่อสินค้า'!A:C,2,false),)</f>
        <v/>
      </c>
      <c r="D628" s="11" t="str">
        <f>iferror(vlookup(B628,'📦 ชื่อสินค้า'!A:D,4,false),"")</f>
        <v/>
      </c>
      <c r="E628" s="16"/>
      <c r="F628" s="6"/>
      <c r="G628" s="8" t="str">
        <f t="shared" si="1"/>
        <v/>
      </c>
      <c r="H628" s="11" t="str">
        <f t="shared" si="2"/>
        <v/>
      </c>
      <c r="I628" s="13"/>
    </row>
    <row r="629">
      <c r="A629" s="5"/>
      <c r="B629" s="6"/>
      <c r="C629" s="14" t="str">
        <f>iferror(vlookup(B629,'📦 ชื่อสินค้า'!A:C,2,false),)</f>
        <v/>
      </c>
      <c r="D629" s="11" t="str">
        <f>iferror(vlookup(B629,'📦 ชื่อสินค้า'!A:D,4,false),"")</f>
        <v/>
      </c>
      <c r="E629" s="16"/>
      <c r="F629" s="6"/>
      <c r="G629" s="8" t="str">
        <f t="shared" si="1"/>
        <v/>
      </c>
      <c r="H629" s="11" t="str">
        <f t="shared" si="2"/>
        <v/>
      </c>
      <c r="I629" s="13"/>
    </row>
    <row r="630">
      <c r="A630" s="5"/>
      <c r="B630" s="6"/>
      <c r="C630" s="14" t="str">
        <f>iferror(vlookup(B630,'📦 ชื่อสินค้า'!A:C,2,false),)</f>
        <v/>
      </c>
      <c r="D630" s="11" t="str">
        <f>iferror(vlookup(B630,'📦 ชื่อสินค้า'!A:D,4,false),"")</f>
        <v/>
      </c>
      <c r="E630" s="16"/>
      <c r="F630" s="6"/>
      <c r="G630" s="8" t="str">
        <f t="shared" si="1"/>
        <v/>
      </c>
      <c r="H630" s="11" t="str">
        <f t="shared" si="2"/>
        <v/>
      </c>
      <c r="I630" s="13"/>
    </row>
    <row r="631">
      <c r="A631" s="5"/>
      <c r="B631" s="6"/>
      <c r="C631" s="14" t="str">
        <f>iferror(vlookup(B631,'📦 ชื่อสินค้า'!A:C,2,false),)</f>
        <v/>
      </c>
      <c r="D631" s="11" t="str">
        <f>iferror(vlookup(B631,'📦 ชื่อสินค้า'!A:D,4,false),"")</f>
        <v/>
      </c>
      <c r="E631" s="16"/>
      <c r="F631" s="6"/>
      <c r="G631" s="8" t="str">
        <f t="shared" si="1"/>
        <v/>
      </c>
      <c r="H631" s="11" t="str">
        <f t="shared" si="2"/>
        <v/>
      </c>
      <c r="I631" s="13"/>
    </row>
    <row r="632">
      <c r="A632" s="5"/>
      <c r="B632" s="6"/>
      <c r="C632" s="14" t="str">
        <f>iferror(vlookup(B632,'📦 ชื่อสินค้า'!A:C,2,false),)</f>
        <v/>
      </c>
      <c r="D632" s="11" t="str">
        <f>iferror(vlookup(B632,'📦 ชื่อสินค้า'!A:D,4,false),"")</f>
        <v/>
      </c>
      <c r="E632" s="16"/>
      <c r="F632" s="6"/>
      <c r="G632" s="8" t="str">
        <f t="shared" si="1"/>
        <v/>
      </c>
      <c r="H632" s="11" t="str">
        <f t="shared" si="2"/>
        <v/>
      </c>
      <c r="I632" s="13"/>
    </row>
    <row r="633">
      <c r="A633" s="5"/>
      <c r="B633" s="6"/>
      <c r="C633" s="14" t="str">
        <f>iferror(vlookup(B633,'📦 ชื่อสินค้า'!A:C,2,false),)</f>
        <v/>
      </c>
      <c r="D633" s="11" t="str">
        <f>iferror(vlookup(B633,'📦 ชื่อสินค้า'!A:D,4,false),"")</f>
        <v/>
      </c>
      <c r="E633" s="16"/>
      <c r="F633" s="6"/>
      <c r="G633" s="8" t="str">
        <f t="shared" si="1"/>
        <v/>
      </c>
      <c r="H633" s="11" t="str">
        <f t="shared" si="2"/>
        <v/>
      </c>
      <c r="I633" s="13"/>
    </row>
    <row r="634">
      <c r="A634" s="5"/>
      <c r="B634" s="6"/>
      <c r="C634" s="14" t="str">
        <f>iferror(vlookup(B634,'📦 ชื่อสินค้า'!A:C,2,false),)</f>
        <v/>
      </c>
      <c r="D634" s="11" t="str">
        <f>iferror(vlookup(B634,'📦 ชื่อสินค้า'!A:D,4,false),"")</f>
        <v/>
      </c>
      <c r="E634" s="16"/>
      <c r="F634" s="6"/>
      <c r="G634" s="8" t="str">
        <f t="shared" si="1"/>
        <v/>
      </c>
      <c r="H634" s="11" t="str">
        <f t="shared" si="2"/>
        <v/>
      </c>
      <c r="I634" s="13"/>
    </row>
    <row r="635">
      <c r="A635" s="5"/>
      <c r="B635" s="6"/>
      <c r="C635" s="14" t="str">
        <f>iferror(vlookup(B635,'📦 ชื่อสินค้า'!A:C,2,false),)</f>
        <v/>
      </c>
      <c r="D635" s="11" t="str">
        <f>iferror(vlookup(B635,'📦 ชื่อสินค้า'!A:D,4,false),"")</f>
        <v/>
      </c>
      <c r="E635" s="16"/>
      <c r="F635" s="6"/>
      <c r="G635" s="8" t="str">
        <f t="shared" si="1"/>
        <v/>
      </c>
      <c r="H635" s="11" t="str">
        <f t="shared" si="2"/>
        <v/>
      </c>
      <c r="I635" s="13"/>
    </row>
    <row r="636">
      <c r="A636" s="5"/>
      <c r="B636" s="6"/>
      <c r="C636" s="14" t="str">
        <f>iferror(vlookup(B636,'📦 ชื่อสินค้า'!A:C,2,false),)</f>
        <v/>
      </c>
      <c r="D636" s="11" t="str">
        <f>iferror(vlookup(B636,'📦 ชื่อสินค้า'!A:D,4,false),"")</f>
        <v/>
      </c>
      <c r="E636" s="16"/>
      <c r="F636" s="6"/>
      <c r="G636" s="8" t="str">
        <f t="shared" si="1"/>
        <v/>
      </c>
      <c r="H636" s="11" t="str">
        <f t="shared" si="2"/>
        <v/>
      </c>
      <c r="I636" s="13"/>
    </row>
    <row r="637">
      <c r="A637" s="5"/>
      <c r="B637" s="6"/>
      <c r="C637" s="14" t="str">
        <f>iferror(vlookup(B637,'📦 ชื่อสินค้า'!A:C,2,false),)</f>
        <v/>
      </c>
      <c r="D637" s="11" t="str">
        <f>iferror(vlookup(B637,'📦 ชื่อสินค้า'!A:D,4,false),"")</f>
        <v/>
      </c>
      <c r="E637" s="16"/>
      <c r="F637" s="6"/>
      <c r="G637" s="8" t="str">
        <f t="shared" si="1"/>
        <v/>
      </c>
      <c r="H637" s="11" t="str">
        <f t="shared" si="2"/>
        <v/>
      </c>
      <c r="I637" s="13"/>
    </row>
    <row r="638">
      <c r="A638" s="5"/>
      <c r="B638" s="6"/>
      <c r="C638" s="14" t="str">
        <f>iferror(vlookup(B638,'📦 ชื่อสินค้า'!A:C,2,false),)</f>
        <v/>
      </c>
      <c r="D638" s="11" t="str">
        <f>iferror(vlookup(B638,'📦 ชื่อสินค้า'!A:D,4,false),"")</f>
        <v/>
      </c>
      <c r="E638" s="16"/>
      <c r="F638" s="6"/>
      <c r="G638" s="8" t="str">
        <f t="shared" si="1"/>
        <v/>
      </c>
      <c r="H638" s="11" t="str">
        <f t="shared" si="2"/>
        <v/>
      </c>
      <c r="I638" s="13"/>
    </row>
    <row r="639">
      <c r="A639" s="5"/>
      <c r="B639" s="6"/>
      <c r="C639" s="14" t="str">
        <f>iferror(vlookup(B639,'📦 ชื่อสินค้า'!A:C,2,false),)</f>
        <v/>
      </c>
      <c r="D639" s="11" t="str">
        <f>iferror(vlookup(B639,'📦 ชื่อสินค้า'!A:D,4,false),"")</f>
        <v/>
      </c>
      <c r="E639" s="16"/>
      <c r="F639" s="6"/>
      <c r="G639" s="8" t="str">
        <f t="shared" si="1"/>
        <v/>
      </c>
      <c r="H639" s="11" t="str">
        <f t="shared" si="2"/>
        <v/>
      </c>
      <c r="I639" s="13"/>
    </row>
    <row r="640">
      <c r="A640" s="5"/>
      <c r="B640" s="6"/>
      <c r="C640" s="14" t="str">
        <f>iferror(vlookup(B640,'📦 ชื่อสินค้า'!A:C,2,false),)</f>
        <v/>
      </c>
      <c r="D640" s="11" t="str">
        <f>iferror(vlookup(B640,'📦 ชื่อสินค้า'!A:D,4,false),"")</f>
        <v/>
      </c>
      <c r="E640" s="16"/>
      <c r="F640" s="6"/>
      <c r="G640" s="8" t="str">
        <f t="shared" si="1"/>
        <v/>
      </c>
      <c r="H640" s="11" t="str">
        <f t="shared" si="2"/>
        <v/>
      </c>
      <c r="I640" s="13"/>
    </row>
    <row r="641">
      <c r="A641" s="5"/>
      <c r="B641" s="6"/>
      <c r="C641" s="14" t="str">
        <f>iferror(vlookup(B641,'📦 ชื่อสินค้า'!A:C,2,false),)</f>
        <v/>
      </c>
      <c r="D641" s="11" t="str">
        <f>iferror(vlookup(B641,'📦 ชื่อสินค้า'!A:D,4,false),"")</f>
        <v/>
      </c>
      <c r="E641" s="16"/>
      <c r="F641" s="6"/>
      <c r="G641" s="8" t="str">
        <f t="shared" si="1"/>
        <v/>
      </c>
      <c r="H641" s="11" t="str">
        <f t="shared" si="2"/>
        <v/>
      </c>
      <c r="I641" s="13"/>
    </row>
    <row r="642">
      <c r="A642" s="5"/>
      <c r="B642" s="6"/>
      <c r="C642" s="14" t="str">
        <f>iferror(vlookup(B642,'📦 ชื่อสินค้า'!A:C,2,false),)</f>
        <v/>
      </c>
      <c r="D642" s="11" t="str">
        <f>iferror(vlookup(B642,'📦 ชื่อสินค้า'!A:D,4,false),"")</f>
        <v/>
      </c>
      <c r="E642" s="16"/>
      <c r="F642" s="6"/>
      <c r="G642" s="8" t="str">
        <f t="shared" si="1"/>
        <v/>
      </c>
      <c r="H642" s="11" t="str">
        <f t="shared" si="2"/>
        <v/>
      </c>
      <c r="I642" s="13"/>
    </row>
    <row r="643">
      <c r="A643" s="5"/>
      <c r="B643" s="6"/>
      <c r="C643" s="14" t="str">
        <f>iferror(vlookup(B643,'📦 ชื่อสินค้า'!A:C,2,false),)</f>
        <v/>
      </c>
      <c r="D643" s="11" t="str">
        <f>iferror(vlookup(B643,'📦 ชื่อสินค้า'!A:D,4,false),"")</f>
        <v/>
      </c>
      <c r="E643" s="16"/>
      <c r="F643" s="6"/>
      <c r="G643" s="8" t="str">
        <f t="shared" si="1"/>
        <v/>
      </c>
      <c r="H643" s="11" t="str">
        <f t="shared" si="2"/>
        <v/>
      </c>
      <c r="I643" s="13"/>
    </row>
    <row r="644">
      <c r="A644" s="5"/>
      <c r="B644" s="6"/>
      <c r="C644" s="14" t="str">
        <f>iferror(vlookup(B644,'📦 ชื่อสินค้า'!A:C,2,false),)</f>
        <v/>
      </c>
      <c r="D644" s="11" t="str">
        <f>iferror(vlookup(B644,'📦 ชื่อสินค้า'!A:D,4,false),"")</f>
        <v/>
      </c>
      <c r="E644" s="16"/>
      <c r="F644" s="6"/>
      <c r="G644" s="8" t="str">
        <f t="shared" si="1"/>
        <v/>
      </c>
      <c r="H644" s="11" t="str">
        <f t="shared" si="2"/>
        <v/>
      </c>
      <c r="I644" s="13"/>
    </row>
    <row r="645">
      <c r="A645" s="5"/>
      <c r="B645" s="6"/>
      <c r="C645" s="14" t="str">
        <f>iferror(vlookup(B645,'📦 ชื่อสินค้า'!A:C,2,false),)</f>
        <v/>
      </c>
      <c r="D645" s="11" t="str">
        <f>iferror(vlookup(B645,'📦 ชื่อสินค้า'!A:D,4,false),"")</f>
        <v/>
      </c>
      <c r="E645" s="16"/>
      <c r="F645" s="6"/>
      <c r="G645" s="8" t="str">
        <f t="shared" si="1"/>
        <v/>
      </c>
      <c r="H645" s="11" t="str">
        <f t="shared" si="2"/>
        <v/>
      </c>
      <c r="I645" s="13"/>
    </row>
    <row r="646">
      <c r="A646" s="5"/>
      <c r="B646" s="6"/>
      <c r="C646" s="14" t="str">
        <f>iferror(vlookup(B646,'📦 ชื่อสินค้า'!A:C,2,false),)</f>
        <v/>
      </c>
      <c r="D646" s="11" t="str">
        <f>iferror(vlookup(B646,'📦 ชื่อสินค้า'!A:D,4,false),"")</f>
        <v/>
      </c>
      <c r="E646" s="16"/>
      <c r="F646" s="6"/>
      <c r="G646" s="8" t="str">
        <f t="shared" si="1"/>
        <v/>
      </c>
      <c r="H646" s="11" t="str">
        <f t="shared" si="2"/>
        <v/>
      </c>
      <c r="I646" s="13"/>
    </row>
    <row r="647">
      <c r="A647" s="5"/>
      <c r="B647" s="6"/>
      <c r="C647" s="14" t="str">
        <f>iferror(vlookup(B647,'📦 ชื่อสินค้า'!A:C,2,false),)</f>
        <v/>
      </c>
      <c r="D647" s="11" t="str">
        <f>iferror(vlookup(B647,'📦 ชื่อสินค้า'!A:D,4,false),"")</f>
        <v/>
      </c>
      <c r="E647" s="16"/>
      <c r="F647" s="6"/>
      <c r="G647" s="8" t="str">
        <f t="shared" si="1"/>
        <v/>
      </c>
      <c r="H647" s="11" t="str">
        <f t="shared" si="2"/>
        <v/>
      </c>
      <c r="I647" s="13"/>
    </row>
    <row r="648">
      <c r="A648" s="5"/>
      <c r="B648" s="6"/>
      <c r="C648" s="14" t="str">
        <f>iferror(vlookup(B648,'📦 ชื่อสินค้า'!A:C,2,false),)</f>
        <v/>
      </c>
      <c r="D648" s="11" t="str">
        <f>iferror(vlookup(B648,'📦 ชื่อสินค้า'!A:D,4,false),"")</f>
        <v/>
      </c>
      <c r="E648" s="16"/>
      <c r="F648" s="6"/>
      <c r="G648" s="8" t="str">
        <f t="shared" si="1"/>
        <v/>
      </c>
      <c r="H648" s="11" t="str">
        <f t="shared" si="2"/>
        <v/>
      </c>
      <c r="I648" s="13"/>
    </row>
    <row r="649">
      <c r="A649" s="5"/>
      <c r="B649" s="6"/>
      <c r="C649" s="14" t="str">
        <f>iferror(vlookup(B649,'📦 ชื่อสินค้า'!A:C,2,false),)</f>
        <v/>
      </c>
      <c r="D649" s="11" t="str">
        <f>iferror(vlookup(B649,'📦 ชื่อสินค้า'!A:D,4,false),"")</f>
        <v/>
      </c>
      <c r="E649" s="16"/>
      <c r="F649" s="6"/>
      <c r="G649" s="8" t="str">
        <f t="shared" si="1"/>
        <v/>
      </c>
      <c r="H649" s="11" t="str">
        <f t="shared" si="2"/>
        <v/>
      </c>
      <c r="I649" s="13"/>
    </row>
    <row r="650">
      <c r="A650" s="5"/>
      <c r="B650" s="6"/>
      <c r="C650" s="14" t="str">
        <f>iferror(vlookup(B650,'📦 ชื่อสินค้า'!A:C,2,false),)</f>
        <v/>
      </c>
      <c r="D650" s="11" t="str">
        <f>iferror(vlookup(B650,'📦 ชื่อสินค้า'!A:D,4,false),"")</f>
        <v/>
      </c>
      <c r="E650" s="16"/>
      <c r="F650" s="6"/>
      <c r="G650" s="8" t="str">
        <f t="shared" si="1"/>
        <v/>
      </c>
      <c r="H650" s="11" t="str">
        <f t="shared" si="2"/>
        <v/>
      </c>
      <c r="I650" s="13"/>
    </row>
    <row r="651">
      <c r="A651" s="5"/>
      <c r="B651" s="6"/>
      <c r="C651" s="14" t="str">
        <f>iferror(vlookup(B651,'📦 ชื่อสินค้า'!A:C,2,false),)</f>
        <v/>
      </c>
      <c r="D651" s="11" t="str">
        <f>iferror(vlookup(B651,'📦 ชื่อสินค้า'!A:D,4,false),"")</f>
        <v/>
      </c>
      <c r="E651" s="16"/>
      <c r="F651" s="6"/>
      <c r="G651" s="8" t="str">
        <f t="shared" si="1"/>
        <v/>
      </c>
      <c r="H651" s="11" t="str">
        <f t="shared" si="2"/>
        <v/>
      </c>
      <c r="I651" s="13"/>
    </row>
    <row r="652">
      <c r="A652" s="5"/>
      <c r="B652" s="6"/>
      <c r="C652" s="14" t="str">
        <f>iferror(vlookup(B652,'📦 ชื่อสินค้า'!A:C,2,false),)</f>
        <v/>
      </c>
      <c r="D652" s="11" t="str">
        <f>iferror(vlookup(B652,'📦 ชื่อสินค้า'!A:D,4,false),"")</f>
        <v/>
      </c>
      <c r="E652" s="16"/>
      <c r="F652" s="6"/>
      <c r="G652" s="8" t="str">
        <f t="shared" si="1"/>
        <v/>
      </c>
      <c r="H652" s="11" t="str">
        <f t="shared" si="2"/>
        <v/>
      </c>
      <c r="I652" s="13"/>
    </row>
    <row r="653">
      <c r="A653" s="5"/>
      <c r="B653" s="6"/>
      <c r="C653" s="14" t="str">
        <f>iferror(vlookup(B653,'📦 ชื่อสินค้า'!A:C,2,false),)</f>
        <v/>
      </c>
      <c r="D653" s="11" t="str">
        <f>iferror(vlookup(B653,'📦 ชื่อสินค้า'!A:D,4,false),"")</f>
        <v/>
      </c>
      <c r="E653" s="16"/>
      <c r="F653" s="6"/>
      <c r="G653" s="8" t="str">
        <f t="shared" si="1"/>
        <v/>
      </c>
      <c r="H653" s="11" t="str">
        <f t="shared" si="2"/>
        <v/>
      </c>
      <c r="I653" s="13"/>
    </row>
    <row r="654">
      <c r="A654" s="5"/>
      <c r="B654" s="6"/>
      <c r="C654" s="14" t="str">
        <f>iferror(vlookup(B654,'📦 ชื่อสินค้า'!A:C,2,false),)</f>
        <v/>
      </c>
      <c r="D654" s="11" t="str">
        <f>iferror(vlookup(B654,'📦 ชื่อสินค้า'!A:D,4,false),"")</f>
        <v/>
      </c>
      <c r="E654" s="16"/>
      <c r="F654" s="6"/>
      <c r="G654" s="8" t="str">
        <f t="shared" si="1"/>
        <v/>
      </c>
      <c r="H654" s="11" t="str">
        <f t="shared" si="2"/>
        <v/>
      </c>
      <c r="I654" s="13"/>
    </row>
    <row r="655">
      <c r="A655" s="5"/>
      <c r="B655" s="6"/>
      <c r="C655" s="14" t="str">
        <f>iferror(vlookup(B655,'📦 ชื่อสินค้า'!A:C,2,false),)</f>
        <v/>
      </c>
      <c r="D655" s="11" t="str">
        <f>iferror(vlookup(B655,'📦 ชื่อสินค้า'!A:D,4,false),"")</f>
        <v/>
      </c>
      <c r="E655" s="16"/>
      <c r="F655" s="6"/>
      <c r="G655" s="8" t="str">
        <f t="shared" si="1"/>
        <v/>
      </c>
      <c r="H655" s="11" t="str">
        <f t="shared" si="2"/>
        <v/>
      </c>
      <c r="I655" s="13"/>
    </row>
    <row r="656">
      <c r="A656" s="5"/>
      <c r="B656" s="6"/>
      <c r="C656" s="14" t="str">
        <f>iferror(vlookup(B656,'📦 ชื่อสินค้า'!A:C,2,false),)</f>
        <v/>
      </c>
      <c r="D656" s="11" t="str">
        <f>iferror(vlookup(B656,'📦 ชื่อสินค้า'!A:D,4,false),"")</f>
        <v/>
      </c>
      <c r="E656" s="16"/>
      <c r="F656" s="6"/>
      <c r="G656" s="8" t="str">
        <f t="shared" si="1"/>
        <v/>
      </c>
      <c r="H656" s="11" t="str">
        <f t="shared" si="2"/>
        <v/>
      </c>
      <c r="I656" s="13"/>
    </row>
    <row r="657">
      <c r="A657" s="5"/>
      <c r="B657" s="6"/>
      <c r="C657" s="14" t="str">
        <f>iferror(vlookup(B657,'📦 ชื่อสินค้า'!A:C,2,false),)</f>
        <v/>
      </c>
      <c r="D657" s="11" t="str">
        <f>iferror(vlookup(B657,'📦 ชื่อสินค้า'!A:D,4,false),"")</f>
        <v/>
      </c>
      <c r="E657" s="16"/>
      <c r="F657" s="6"/>
      <c r="G657" s="8" t="str">
        <f t="shared" si="1"/>
        <v/>
      </c>
      <c r="H657" s="11" t="str">
        <f t="shared" si="2"/>
        <v/>
      </c>
      <c r="I657" s="13"/>
    </row>
    <row r="658">
      <c r="A658" s="5"/>
      <c r="B658" s="6"/>
      <c r="C658" s="14" t="str">
        <f>iferror(vlookup(B658,'📦 ชื่อสินค้า'!A:C,2,false),)</f>
        <v/>
      </c>
      <c r="D658" s="11" t="str">
        <f>iferror(vlookup(B658,'📦 ชื่อสินค้า'!A:D,4,false),"")</f>
        <v/>
      </c>
      <c r="E658" s="16"/>
      <c r="F658" s="6"/>
      <c r="G658" s="8" t="str">
        <f t="shared" si="1"/>
        <v/>
      </c>
      <c r="H658" s="11" t="str">
        <f t="shared" si="2"/>
        <v/>
      </c>
      <c r="I658" s="13"/>
    </row>
    <row r="659">
      <c r="A659" s="5"/>
      <c r="B659" s="6"/>
      <c r="C659" s="14" t="str">
        <f>iferror(vlookup(B659,'📦 ชื่อสินค้า'!A:C,2,false),)</f>
        <v/>
      </c>
      <c r="D659" s="11" t="str">
        <f>iferror(vlookup(B659,'📦 ชื่อสินค้า'!A:D,4,false),"")</f>
        <v/>
      </c>
      <c r="E659" s="16"/>
      <c r="F659" s="6"/>
      <c r="G659" s="8" t="str">
        <f t="shared" si="1"/>
        <v/>
      </c>
      <c r="H659" s="11" t="str">
        <f t="shared" si="2"/>
        <v/>
      </c>
      <c r="I659" s="13"/>
    </row>
    <row r="660">
      <c r="A660" s="5"/>
      <c r="B660" s="6"/>
      <c r="C660" s="14" t="str">
        <f>iferror(vlookup(B660,'📦 ชื่อสินค้า'!A:C,2,false),)</f>
        <v/>
      </c>
      <c r="D660" s="11" t="str">
        <f>iferror(vlookup(B660,'📦 ชื่อสินค้า'!A:D,4,false),"")</f>
        <v/>
      </c>
      <c r="E660" s="16"/>
      <c r="F660" s="6"/>
      <c r="G660" s="8" t="str">
        <f t="shared" si="1"/>
        <v/>
      </c>
      <c r="H660" s="11" t="str">
        <f t="shared" si="2"/>
        <v/>
      </c>
      <c r="I660" s="13"/>
    </row>
    <row r="661">
      <c r="A661" s="5"/>
      <c r="B661" s="6"/>
      <c r="C661" s="14" t="str">
        <f>iferror(vlookup(B661,'📦 ชื่อสินค้า'!A:C,2,false),)</f>
        <v/>
      </c>
      <c r="D661" s="11" t="str">
        <f>iferror(vlookup(B661,'📦 ชื่อสินค้า'!A:D,4,false),"")</f>
        <v/>
      </c>
      <c r="E661" s="16"/>
      <c r="F661" s="6"/>
      <c r="G661" s="8" t="str">
        <f t="shared" si="1"/>
        <v/>
      </c>
      <c r="H661" s="11" t="str">
        <f t="shared" si="2"/>
        <v/>
      </c>
      <c r="I661" s="13"/>
    </row>
    <row r="662">
      <c r="A662" s="5"/>
      <c r="B662" s="6"/>
      <c r="C662" s="14" t="str">
        <f>iferror(vlookup(B662,'📦 ชื่อสินค้า'!A:C,2,false),)</f>
        <v/>
      </c>
      <c r="D662" s="11" t="str">
        <f>iferror(vlookup(B662,'📦 ชื่อสินค้า'!A:D,4,false),"")</f>
        <v/>
      </c>
      <c r="E662" s="16"/>
      <c r="F662" s="6"/>
      <c r="G662" s="8" t="str">
        <f t="shared" si="1"/>
        <v/>
      </c>
      <c r="H662" s="11" t="str">
        <f t="shared" si="2"/>
        <v/>
      </c>
      <c r="I662" s="13"/>
    </row>
    <row r="663">
      <c r="A663" s="5"/>
      <c r="B663" s="6"/>
      <c r="C663" s="14" t="str">
        <f>iferror(vlookup(B663,'📦 ชื่อสินค้า'!A:C,2,false),)</f>
        <v/>
      </c>
      <c r="D663" s="11" t="str">
        <f>iferror(vlookup(B663,'📦 ชื่อสินค้า'!A:D,4,false),"")</f>
        <v/>
      </c>
      <c r="E663" s="16"/>
      <c r="F663" s="6"/>
      <c r="G663" s="8" t="str">
        <f t="shared" si="1"/>
        <v/>
      </c>
      <c r="H663" s="11" t="str">
        <f t="shared" si="2"/>
        <v/>
      </c>
      <c r="I663" s="13"/>
    </row>
    <row r="664">
      <c r="A664" s="5"/>
      <c r="B664" s="6"/>
      <c r="C664" s="14" t="str">
        <f>iferror(vlookup(B664,'📦 ชื่อสินค้า'!A:C,2,false),)</f>
        <v/>
      </c>
      <c r="D664" s="11" t="str">
        <f>iferror(vlookup(B664,'📦 ชื่อสินค้า'!A:D,4,false),"")</f>
        <v/>
      </c>
      <c r="E664" s="16"/>
      <c r="F664" s="6"/>
      <c r="G664" s="8" t="str">
        <f t="shared" si="1"/>
        <v/>
      </c>
      <c r="H664" s="11" t="str">
        <f t="shared" si="2"/>
        <v/>
      </c>
      <c r="I664" s="13"/>
    </row>
    <row r="665">
      <c r="A665" s="5"/>
      <c r="B665" s="6"/>
      <c r="C665" s="14" t="str">
        <f>iferror(vlookup(B665,'📦 ชื่อสินค้า'!A:C,2,false),)</f>
        <v/>
      </c>
      <c r="D665" s="11" t="str">
        <f>iferror(vlookup(B665,'📦 ชื่อสินค้า'!A:D,4,false),"")</f>
        <v/>
      </c>
      <c r="E665" s="16"/>
      <c r="F665" s="6"/>
      <c r="G665" s="8" t="str">
        <f t="shared" si="1"/>
        <v/>
      </c>
      <c r="H665" s="11" t="str">
        <f t="shared" si="2"/>
        <v/>
      </c>
      <c r="I665" s="13"/>
    </row>
    <row r="666">
      <c r="A666" s="5"/>
      <c r="B666" s="6"/>
      <c r="C666" s="14" t="str">
        <f>iferror(vlookup(B666,'📦 ชื่อสินค้า'!A:C,2,false),)</f>
        <v/>
      </c>
      <c r="D666" s="11" t="str">
        <f>iferror(vlookup(B666,'📦 ชื่อสินค้า'!A:D,4,false),"")</f>
        <v/>
      </c>
      <c r="E666" s="16"/>
      <c r="F666" s="6"/>
      <c r="G666" s="8" t="str">
        <f t="shared" si="1"/>
        <v/>
      </c>
      <c r="H666" s="11" t="str">
        <f t="shared" si="2"/>
        <v/>
      </c>
      <c r="I666" s="13"/>
    </row>
    <row r="667">
      <c r="A667" s="5"/>
      <c r="B667" s="6"/>
      <c r="C667" s="14" t="str">
        <f>iferror(vlookup(B667,'📦 ชื่อสินค้า'!A:C,2,false),)</f>
        <v/>
      </c>
      <c r="D667" s="11" t="str">
        <f>iferror(vlookup(B667,'📦 ชื่อสินค้า'!A:D,4,false),"")</f>
        <v/>
      </c>
      <c r="E667" s="16"/>
      <c r="F667" s="6"/>
      <c r="G667" s="8" t="str">
        <f t="shared" si="1"/>
        <v/>
      </c>
      <c r="H667" s="11" t="str">
        <f t="shared" si="2"/>
        <v/>
      </c>
      <c r="I667" s="13"/>
    </row>
    <row r="668">
      <c r="A668" s="5"/>
      <c r="B668" s="6"/>
      <c r="C668" s="14" t="str">
        <f>iferror(vlookup(B668,'📦 ชื่อสินค้า'!A:C,2,false),)</f>
        <v/>
      </c>
      <c r="D668" s="11" t="str">
        <f>iferror(vlookup(B668,'📦 ชื่อสินค้า'!A:D,4,false),"")</f>
        <v/>
      </c>
      <c r="E668" s="16"/>
      <c r="F668" s="6"/>
      <c r="G668" s="8" t="str">
        <f t="shared" si="1"/>
        <v/>
      </c>
      <c r="H668" s="11" t="str">
        <f t="shared" si="2"/>
        <v/>
      </c>
      <c r="I668" s="13"/>
    </row>
    <row r="669">
      <c r="A669" s="5"/>
      <c r="B669" s="6"/>
      <c r="C669" s="14" t="str">
        <f>iferror(vlookup(B669,'📦 ชื่อสินค้า'!A:C,2,false),)</f>
        <v/>
      </c>
      <c r="D669" s="11" t="str">
        <f>iferror(vlookup(B669,'📦 ชื่อสินค้า'!A:D,4,false),"")</f>
        <v/>
      </c>
      <c r="E669" s="16"/>
      <c r="F669" s="6"/>
      <c r="G669" s="8" t="str">
        <f t="shared" si="1"/>
        <v/>
      </c>
      <c r="H669" s="11" t="str">
        <f t="shared" si="2"/>
        <v/>
      </c>
      <c r="I669" s="13"/>
    </row>
    <row r="670">
      <c r="A670" s="5"/>
      <c r="B670" s="6"/>
      <c r="C670" s="14" t="str">
        <f>iferror(vlookup(B670,'📦 ชื่อสินค้า'!A:C,2,false),)</f>
        <v/>
      </c>
      <c r="D670" s="11" t="str">
        <f>iferror(vlookup(B670,'📦 ชื่อสินค้า'!A:D,4,false),"")</f>
        <v/>
      </c>
      <c r="E670" s="16"/>
      <c r="F670" s="6"/>
      <c r="G670" s="8" t="str">
        <f t="shared" si="1"/>
        <v/>
      </c>
      <c r="H670" s="11" t="str">
        <f t="shared" si="2"/>
        <v/>
      </c>
      <c r="I670" s="13"/>
    </row>
    <row r="671">
      <c r="A671" s="5"/>
      <c r="B671" s="6"/>
      <c r="C671" s="14" t="str">
        <f>iferror(vlookup(B671,'📦 ชื่อสินค้า'!A:C,2,false),)</f>
        <v/>
      </c>
      <c r="D671" s="11" t="str">
        <f>iferror(vlookup(B671,'📦 ชื่อสินค้า'!A:D,4,false),"")</f>
        <v/>
      </c>
      <c r="E671" s="16"/>
      <c r="F671" s="6"/>
      <c r="G671" s="8" t="str">
        <f t="shared" si="1"/>
        <v/>
      </c>
      <c r="H671" s="11" t="str">
        <f t="shared" si="2"/>
        <v/>
      </c>
      <c r="I671" s="13"/>
    </row>
    <row r="672">
      <c r="A672" s="5"/>
      <c r="B672" s="6"/>
      <c r="C672" s="14" t="str">
        <f>iferror(vlookup(B672,'📦 ชื่อสินค้า'!A:C,2,false),)</f>
        <v/>
      </c>
      <c r="D672" s="11" t="str">
        <f>iferror(vlookup(B672,'📦 ชื่อสินค้า'!A:D,4,false),"")</f>
        <v/>
      </c>
      <c r="E672" s="16"/>
      <c r="F672" s="6"/>
      <c r="G672" s="8" t="str">
        <f t="shared" si="1"/>
        <v/>
      </c>
      <c r="H672" s="11" t="str">
        <f t="shared" si="2"/>
        <v/>
      </c>
      <c r="I672" s="13"/>
    </row>
    <row r="673">
      <c r="A673" s="5"/>
      <c r="B673" s="6"/>
      <c r="C673" s="14" t="str">
        <f>iferror(vlookup(B673,'📦 ชื่อสินค้า'!A:C,2,false),)</f>
        <v/>
      </c>
      <c r="D673" s="11" t="str">
        <f>iferror(vlookup(B673,'📦 ชื่อสินค้า'!A:D,4,false),"")</f>
        <v/>
      </c>
      <c r="E673" s="16"/>
      <c r="F673" s="6"/>
      <c r="G673" s="8" t="str">
        <f t="shared" si="1"/>
        <v/>
      </c>
      <c r="H673" s="11" t="str">
        <f t="shared" si="2"/>
        <v/>
      </c>
      <c r="I673" s="13"/>
    </row>
    <row r="674">
      <c r="A674" s="5"/>
      <c r="B674" s="6"/>
      <c r="C674" s="14" t="str">
        <f>iferror(vlookup(B674,'📦 ชื่อสินค้า'!A:C,2,false),)</f>
        <v/>
      </c>
      <c r="D674" s="11" t="str">
        <f>iferror(vlookup(B674,'📦 ชื่อสินค้า'!A:D,4,false),"")</f>
        <v/>
      </c>
      <c r="E674" s="16"/>
      <c r="F674" s="6"/>
      <c r="G674" s="8" t="str">
        <f t="shared" si="1"/>
        <v/>
      </c>
      <c r="H674" s="11" t="str">
        <f t="shared" si="2"/>
        <v/>
      </c>
      <c r="I674" s="13"/>
    </row>
    <row r="675">
      <c r="A675" s="5"/>
      <c r="B675" s="6"/>
      <c r="C675" s="14" t="str">
        <f>iferror(vlookup(B675,'📦 ชื่อสินค้า'!A:C,2,false),)</f>
        <v/>
      </c>
      <c r="D675" s="11" t="str">
        <f>iferror(vlookup(B675,'📦 ชื่อสินค้า'!A:D,4,false),"")</f>
        <v/>
      </c>
      <c r="E675" s="16"/>
      <c r="F675" s="6"/>
      <c r="G675" s="8" t="str">
        <f t="shared" si="1"/>
        <v/>
      </c>
      <c r="H675" s="11" t="str">
        <f t="shared" si="2"/>
        <v/>
      </c>
      <c r="I675" s="13"/>
    </row>
    <row r="676">
      <c r="A676" s="5"/>
      <c r="B676" s="6"/>
      <c r="C676" s="14" t="str">
        <f>iferror(vlookup(B676,'📦 ชื่อสินค้า'!A:C,2,false),)</f>
        <v/>
      </c>
      <c r="D676" s="11" t="str">
        <f>iferror(vlookup(B676,'📦 ชื่อสินค้า'!A:D,4,false),"")</f>
        <v/>
      </c>
      <c r="E676" s="16"/>
      <c r="F676" s="6"/>
      <c r="G676" s="8" t="str">
        <f t="shared" si="1"/>
        <v/>
      </c>
      <c r="H676" s="11" t="str">
        <f t="shared" si="2"/>
        <v/>
      </c>
      <c r="I676" s="13"/>
    </row>
    <row r="677">
      <c r="A677" s="5"/>
      <c r="B677" s="6"/>
      <c r="C677" s="14" t="str">
        <f>iferror(vlookup(B677,'📦 ชื่อสินค้า'!A:C,2,false),)</f>
        <v/>
      </c>
      <c r="D677" s="11" t="str">
        <f>iferror(vlookup(B677,'📦 ชื่อสินค้า'!A:D,4,false),"")</f>
        <v/>
      </c>
      <c r="E677" s="16"/>
      <c r="F677" s="6"/>
      <c r="G677" s="8" t="str">
        <f t="shared" si="1"/>
        <v/>
      </c>
      <c r="H677" s="11" t="str">
        <f t="shared" si="2"/>
        <v/>
      </c>
      <c r="I677" s="13"/>
    </row>
    <row r="678">
      <c r="A678" s="5"/>
      <c r="B678" s="6"/>
      <c r="C678" s="14" t="str">
        <f>iferror(vlookup(B678,'📦 ชื่อสินค้า'!A:C,2,false),)</f>
        <v/>
      </c>
      <c r="D678" s="11" t="str">
        <f>iferror(vlookup(B678,'📦 ชื่อสินค้า'!A:D,4,false),"")</f>
        <v/>
      </c>
      <c r="E678" s="16"/>
      <c r="F678" s="6"/>
      <c r="G678" s="8" t="str">
        <f t="shared" si="1"/>
        <v/>
      </c>
      <c r="H678" s="11" t="str">
        <f t="shared" si="2"/>
        <v/>
      </c>
      <c r="I678" s="13"/>
    </row>
    <row r="679">
      <c r="A679" s="5"/>
      <c r="B679" s="6"/>
      <c r="C679" s="14" t="str">
        <f>iferror(vlookup(B679,'📦 ชื่อสินค้า'!A:C,2,false),)</f>
        <v/>
      </c>
      <c r="D679" s="11" t="str">
        <f>iferror(vlookup(B679,'📦 ชื่อสินค้า'!A:D,4,false),"")</f>
        <v/>
      </c>
      <c r="E679" s="16"/>
      <c r="F679" s="6"/>
      <c r="G679" s="8" t="str">
        <f t="shared" si="1"/>
        <v/>
      </c>
      <c r="H679" s="11" t="str">
        <f t="shared" si="2"/>
        <v/>
      </c>
      <c r="I679" s="13"/>
    </row>
    <row r="680">
      <c r="A680" s="5"/>
      <c r="B680" s="6"/>
      <c r="C680" s="14" t="str">
        <f>iferror(vlookup(B680,'📦 ชื่อสินค้า'!A:C,2,false),)</f>
        <v/>
      </c>
      <c r="D680" s="11" t="str">
        <f>iferror(vlookup(B680,'📦 ชื่อสินค้า'!A:D,4,false),"")</f>
        <v/>
      </c>
      <c r="E680" s="16"/>
      <c r="F680" s="6"/>
      <c r="G680" s="8" t="str">
        <f t="shared" si="1"/>
        <v/>
      </c>
      <c r="H680" s="11" t="str">
        <f t="shared" si="2"/>
        <v/>
      </c>
      <c r="I680" s="13"/>
    </row>
    <row r="681">
      <c r="A681" s="5"/>
      <c r="B681" s="6"/>
      <c r="C681" s="14" t="str">
        <f>iferror(vlookup(B681,'📦 ชื่อสินค้า'!A:C,2,false),)</f>
        <v/>
      </c>
      <c r="D681" s="11" t="str">
        <f>iferror(vlookup(B681,'📦 ชื่อสินค้า'!A:D,4,false),"")</f>
        <v/>
      </c>
      <c r="E681" s="16"/>
      <c r="F681" s="6"/>
      <c r="G681" s="8" t="str">
        <f t="shared" si="1"/>
        <v/>
      </c>
      <c r="H681" s="11" t="str">
        <f t="shared" si="2"/>
        <v/>
      </c>
      <c r="I681" s="13"/>
    </row>
    <row r="682">
      <c r="A682" s="5"/>
      <c r="B682" s="6"/>
      <c r="C682" s="14" t="str">
        <f>iferror(vlookup(B682,'📦 ชื่อสินค้า'!A:C,2,false),)</f>
        <v/>
      </c>
      <c r="D682" s="11" t="str">
        <f>iferror(vlookup(B682,'📦 ชื่อสินค้า'!A:D,4,false),"")</f>
        <v/>
      </c>
      <c r="E682" s="16"/>
      <c r="F682" s="6"/>
      <c r="G682" s="8" t="str">
        <f t="shared" si="1"/>
        <v/>
      </c>
      <c r="H682" s="11" t="str">
        <f t="shared" si="2"/>
        <v/>
      </c>
      <c r="I682" s="13"/>
    </row>
    <row r="683">
      <c r="A683" s="5"/>
      <c r="B683" s="6"/>
      <c r="C683" s="14" t="str">
        <f>iferror(vlookup(B683,'📦 ชื่อสินค้า'!A:C,2,false),)</f>
        <v/>
      </c>
      <c r="D683" s="11" t="str">
        <f>iferror(vlookup(B683,'📦 ชื่อสินค้า'!A:D,4,false),"")</f>
        <v/>
      </c>
      <c r="E683" s="16"/>
      <c r="F683" s="6"/>
      <c r="G683" s="8" t="str">
        <f t="shared" si="1"/>
        <v/>
      </c>
      <c r="H683" s="11" t="str">
        <f t="shared" si="2"/>
        <v/>
      </c>
      <c r="I683" s="13"/>
    </row>
    <row r="684">
      <c r="A684" s="5"/>
      <c r="B684" s="6"/>
      <c r="C684" s="14" t="str">
        <f>iferror(vlookup(B684,'📦 ชื่อสินค้า'!A:C,2,false),)</f>
        <v/>
      </c>
      <c r="D684" s="11" t="str">
        <f>iferror(vlookup(B684,'📦 ชื่อสินค้า'!A:D,4,false),"")</f>
        <v/>
      </c>
      <c r="E684" s="16"/>
      <c r="F684" s="6"/>
      <c r="G684" s="8" t="str">
        <f t="shared" si="1"/>
        <v/>
      </c>
      <c r="H684" s="11" t="str">
        <f t="shared" si="2"/>
        <v/>
      </c>
      <c r="I684" s="13"/>
    </row>
    <row r="685">
      <c r="A685" s="5"/>
      <c r="B685" s="6"/>
      <c r="C685" s="14" t="str">
        <f>iferror(vlookup(B685,'📦 ชื่อสินค้า'!A:C,2,false),)</f>
        <v/>
      </c>
      <c r="D685" s="11" t="str">
        <f>iferror(vlookup(B685,'📦 ชื่อสินค้า'!A:D,4,false),"")</f>
        <v/>
      </c>
      <c r="E685" s="16"/>
      <c r="F685" s="6"/>
      <c r="G685" s="8" t="str">
        <f t="shared" si="1"/>
        <v/>
      </c>
      <c r="H685" s="11" t="str">
        <f t="shared" si="2"/>
        <v/>
      </c>
      <c r="I685" s="13"/>
    </row>
    <row r="686">
      <c r="A686" s="5"/>
      <c r="B686" s="6"/>
      <c r="C686" s="14" t="str">
        <f>iferror(vlookup(B686,'📦 ชื่อสินค้า'!A:C,2,false),)</f>
        <v/>
      </c>
      <c r="D686" s="11" t="str">
        <f>iferror(vlookup(B686,'📦 ชื่อสินค้า'!A:D,4,false),"")</f>
        <v/>
      </c>
      <c r="E686" s="16"/>
      <c r="F686" s="6"/>
      <c r="G686" s="8" t="str">
        <f t="shared" si="1"/>
        <v/>
      </c>
      <c r="H686" s="11" t="str">
        <f t="shared" si="2"/>
        <v/>
      </c>
      <c r="I686" s="13"/>
    </row>
    <row r="687">
      <c r="A687" s="5"/>
      <c r="B687" s="6"/>
      <c r="C687" s="14" t="str">
        <f>iferror(vlookup(B687,'📦 ชื่อสินค้า'!A:C,2,false),)</f>
        <v/>
      </c>
      <c r="D687" s="11" t="str">
        <f>iferror(vlookup(B687,'📦 ชื่อสินค้า'!A:D,4,false),"")</f>
        <v/>
      </c>
      <c r="E687" s="16"/>
      <c r="F687" s="6"/>
      <c r="G687" s="8" t="str">
        <f t="shared" si="1"/>
        <v/>
      </c>
      <c r="H687" s="11" t="str">
        <f t="shared" si="2"/>
        <v/>
      </c>
      <c r="I687" s="13"/>
    </row>
    <row r="688">
      <c r="A688" s="5"/>
      <c r="B688" s="6"/>
      <c r="C688" s="14" t="str">
        <f>iferror(vlookup(B688,'📦 ชื่อสินค้า'!A:C,2,false),)</f>
        <v/>
      </c>
      <c r="D688" s="11" t="str">
        <f>iferror(vlookup(B688,'📦 ชื่อสินค้า'!A:D,4,false),"")</f>
        <v/>
      </c>
      <c r="E688" s="16"/>
      <c r="F688" s="6"/>
      <c r="G688" s="8" t="str">
        <f t="shared" si="1"/>
        <v/>
      </c>
      <c r="H688" s="11" t="str">
        <f t="shared" si="2"/>
        <v/>
      </c>
      <c r="I688" s="13"/>
    </row>
    <row r="689">
      <c r="A689" s="5"/>
      <c r="B689" s="6"/>
      <c r="C689" s="14" t="str">
        <f>iferror(vlookup(B689,'📦 ชื่อสินค้า'!A:C,2,false),)</f>
        <v/>
      </c>
      <c r="D689" s="11" t="str">
        <f>iferror(vlookup(B689,'📦 ชื่อสินค้า'!A:D,4,false),"")</f>
        <v/>
      </c>
      <c r="E689" s="16"/>
      <c r="F689" s="6"/>
      <c r="G689" s="8" t="str">
        <f t="shared" si="1"/>
        <v/>
      </c>
      <c r="H689" s="11" t="str">
        <f t="shared" si="2"/>
        <v/>
      </c>
      <c r="I689" s="13"/>
    </row>
    <row r="690">
      <c r="A690" s="5"/>
      <c r="B690" s="6"/>
      <c r="C690" s="14" t="str">
        <f>iferror(vlookup(B690,'📦 ชื่อสินค้า'!A:C,2,false),)</f>
        <v/>
      </c>
      <c r="D690" s="11" t="str">
        <f>iferror(vlookup(B690,'📦 ชื่อสินค้า'!A:D,4,false),"")</f>
        <v/>
      </c>
      <c r="E690" s="16"/>
      <c r="F690" s="6"/>
      <c r="G690" s="8" t="str">
        <f t="shared" si="1"/>
        <v/>
      </c>
      <c r="H690" s="11" t="str">
        <f t="shared" si="2"/>
        <v/>
      </c>
      <c r="I690" s="13"/>
    </row>
    <row r="691">
      <c r="A691" s="5"/>
      <c r="B691" s="6"/>
      <c r="C691" s="14" t="str">
        <f>iferror(vlookup(B691,'📦 ชื่อสินค้า'!A:C,2,false),)</f>
        <v/>
      </c>
      <c r="D691" s="11" t="str">
        <f>iferror(vlookup(B691,'📦 ชื่อสินค้า'!A:D,4,false),"")</f>
        <v/>
      </c>
      <c r="E691" s="16"/>
      <c r="F691" s="6"/>
      <c r="G691" s="8" t="str">
        <f t="shared" si="1"/>
        <v/>
      </c>
      <c r="H691" s="11" t="str">
        <f t="shared" si="2"/>
        <v/>
      </c>
      <c r="I691" s="13"/>
    </row>
    <row r="692">
      <c r="A692" s="5"/>
      <c r="B692" s="6"/>
      <c r="C692" s="14" t="str">
        <f>iferror(vlookup(B692,'📦 ชื่อสินค้า'!A:C,2,false),)</f>
        <v/>
      </c>
      <c r="D692" s="11" t="str">
        <f>iferror(vlookup(B692,'📦 ชื่อสินค้า'!A:D,4,false),"")</f>
        <v/>
      </c>
      <c r="E692" s="16"/>
      <c r="F692" s="6"/>
      <c r="G692" s="8" t="str">
        <f t="shared" si="1"/>
        <v/>
      </c>
      <c r="H692" s="11" t="str">
        <f t="shared" si="2"/>
        <v/>
      </c>
      <c r="I692" s="13"/>
    </row>
    <row r="693">
      <c r="A693" s="5"/>
      <c r="B693" s="6"/>
      <c r="C693" s="14" t="str">
        <f>iferror(vlookup(B693,'📦 ชื่อสินค้า'!A:C,2,false),)</f>
        <v/>
      </c>
      <c r="D693" s="11" t="str">
        <f>iferror(vlookup(B693,'📦 ชื่อสินค้า'!A:D,4,false),"")</f>
        <v/>
      </c>
      <c r="E693" s="16"/>
      <c r="F693" s="6"/>
      <c r="G693" s="8" t="str">
        <f t="shared" si="1"/>
        <v/>
      </c>
      <c r="H693" s="11" t="str">
        <f t="shared" si="2"/>
        <v/>
      </c>
      <c r="I693" s="13"/>
    </row>
    <row r="694">
      <c r="A694" s="5"/>
      <c r="B694" s="6"/>
      <c r="C694" s="14" t="str">
        <f>iferror(vlookup(B694,'📦 ชื่อสินค้า'!A:C,2,false),)</f>
        <v/>
      </c>
      <c r="D694" s="11" t="str">
        <f>iferror(vlookup(B694,'📦 ชื่อสินค้า'!A:D,4,false),"")</f>
        <v/>
      </c>
      <c r="E694" s="16"/>
      <c r="F694" s="6"/>
      <c r="G694" s="8" t="str">
        <f t="shared" si="1"/>
        <v/>
      </c>
      <c r="H694" s="11" t="str">
        <f t="shared" si="2"/>
        <v/>
      </c>
      <c r="I694" s="13"/>
    </row>
    <row r="695">
      <c r="A695" s="5"/>
      <c r="B695" s="6"/>
      <c r="C695" s="14" t="str">
        <f>iferror(vlookup(B695,'📦 ชื่อสินค้า'!A:C,2,false),)</f>
        <v/>
      </c>
      <c r="D695" s="11" t="str">
        <f>iferror(vlookup(B695,'📦 ชื่อสินค้า'!A:D,4,false),"")</f>
        <v/>
      </c>
      <c r="E695" s="16"/>
      <c r="F695" s="6"/>
      <c r="G695" s="8" t="str">
        <f t="shared" si="1"/>
        <v/>
      </c>
      <c r="H695" s="11" t="str">
        <f t="shared" si="2"/>
        <v/>
      </c>
      <c r="I695" s="13"/>
    </row>
    <row r="696">
      <c r="A696" s="5"/>
      <c r="B696" s="6"/>
      <c r="C696" s="14" t="str">
        <f>iferror(vlookup(B696,'📦 ชื่อสินค้า'!A:C,2,false),)</f>
        <v/>
      </c>
      <c r="D696" s="11" t="str">
        <f>iferror(vlookup(B696,'📦 ชื่อสินค้า'!A:D,4,false),"")</f>
        <v/>
      </c>
      <c r="E696" s="16"/>
      <c r="F696" s="6"/>
      <c r="G696" s="8" t="str">
        <f t="shared" si="1"/>
        <v/>
      </c>
      <c r="H696" s="11" t="str">
        <f t="shared" si="2"/>
        <v/>
      </c>
      <c r="I696" s="13"/>
    </row>
    <row r="697">
      <c r="A697" s="5"/>
      <c r="B697" s="6"/>
      <c r="C697" s="14" t="str">
        <f>iferror(vlookup(B697,'📦 ชื่อสินค้า'!A:C,2,false),)</f>
        <v/>
      </c>
      <c r="D697" s="11" t="str">
        <f>iferror(vlookup(B697,'📦 ชื่อสินค้า'!A:D,4,false),"")</f>
        <v/>
      </c>
      <c r="E697" s="16"/>
      <c r="F697" s="6"/>
      <c r="G697" s="8" t="str">
        <f t="shared" si="1"/>
        <v/>
      </c>
      <c r="H697" s="11" t="str">
        <f t="shared" si="2"/>
        <v/>
      </c>
      <c r="I697" s="13"/>
    </row>
    <row r="698">
      <c r="A698" s="5"/>
      <c r="B698" s="6"/>
      <c r="C698" s="14" t="str">
        <f>iferror(vlookup(B698,'📦 ชื่อสินค้า'!A:C,2,false),)</f>
        <v/>
      </c>
      <c r="D698" s="11" t="str">
        <f>iferror(vlookup(B698,'📦 ชื่อสินค้า'!A:D,4,false),"")</f>
        <v/>
      </c>
      <c r="E698" s="16"/>
      <c r="F698" s="6"/>
      <c r="G698" s="8" t="str">
        <f t="shared" si="1"/>
        <v/>
      </c>
      <c r="H698" s="11" t="str">
        <f t="shared" si="2"/>
        <v/>
      </c>
      <c r="I698" s="13"/>
    </row>
    <row r="699">
      <c r="A699" s="5"/>
      <c r="B699" s="6"/>
      <c r="C699" s="14" t="str">
        <f>iferror(vlookup(B699,'📦 ชื่อสินค้า'!A:C,2,false),)</f>
        <v/>
      </c>
      <c r="D699" s="11" t="str">
        <f>iferror(vlookup(B699,'📦 ชื่อสินค้า'!A:D,4,false),"")</f>
        <v/>
      </c>
      <c r="E699" s="16"/>
      <c r="F699" s="6"/>
      <c r="G699" s="8" t="str">
        <f t="shared" si="1"/>
        <v/>
      </c>
      <c r="H699" s="11" t="str">
        <f t="shared" si="2"/>
        <v/>
      </c>
      <c r="I699" s="13"/>
    </row>
    <row r="700">
      <c r="A700" s="5"/>
      <c r="B700" s="6"/>
      <c r="C700" s="14" t="str">
        <f>iferror(vlookup(B700,'📦 ชื่อสินค้า'!A:C,2,false),)</f>
        <v/>
      </c>
      <c r="D700" s="11" t="str">
        <f>iferror(vlookup(B700,'📦 ชื่อสินค้า'!A:D,4,false),"")</f>
        <v/>
      </c>
      <c r="E700" s="16"/>
      <c r="F700" s="6"/>
      <c r="G700" s="8" t="str">
        <f t="shared" si="1"/>
        <v/>
      </c>
      <c r="H700" s="11" t="str">
        <f t="shared" si="2"/>
        <v/>
      </c>
      <c r="I700" s="13"/>
    </row>
    <row r="701">
      <c r="A701" s="5"/>
      <c r="B701" s="6"/>
      <c r="C701" s="14" t="str">
        <f>iferror(vlookup(B701,'📦 ชื่อสินค้า'!A:C,2,false),)</f>
        <v/>
      </c>
      <c r="D701" s="11" t="str">
        <f>iferror(vlookup(B701,'📦 ชื่อสินค้า'!A:D,4,false),"")</f>
        <v/>
      </c>
      <c r="E701" s="16"/>
      <c r="F701" s="6"/>
      <c r="G701" s="8" t="str">
        <f t="shared" si="1"/>
        <v/>
      </c>
      <c r="H701" s="11" t="str">
        <f t="shared" si="2"/>
        <v/>
      </c>
      <c r="I701" s="13"/>
    </row>
    <row r="702">
      <c r="A702" s="5"/>
      <c r="B702" s="6"/>
      <c r="C702" s="14" t="str">
        <f>iferror(vlookup(B702,'📦 ชื่อสินค้า'!A:C,2,false),)</f>
        <v/>
      </c>
      <c r="D702" s="11" t="str">
        <f>iferror(vlookup(B702,'📦 ชื่อสินค้า'!A:D,4,false),"")</f>
        <v/>
      </c>
      <c r="E702" s="16"/>
      <c r="F702" s="6"/>
      <c r="G702" s="8" t="str">
        <f t="shared" si="1"/>
        <v/>
      </c>
      <c r="H702" s="11" t="str">
        <f t="shared" si="2"/>
        <v/>
      </c>
      <c r="I702" s="13"/>
    </row>
    <row r="703">
      <c r="A703" s="5"/>
      <c r="B703" s="6"/>
      <c r="C703" s="14" t="str">
        <f>iferror(vlookup(B703,'📦 ชื่อสินค้า'!A:C,2,false),)</f>
        <v/>
      </c>
      <c r="D703" s="11" t="str">
        <f>iferror(vlookup(B703,'📦 ชื่อสินค้า'!A:D,4,false),"")</f>
        <v/>
      </c>
      <c r="E703" s="16"/>
      <c r="F703" s="6"/>
      <c r="G703" s="8" t="str">
        <f t="shared" si="1"/>
        <v/>
      </c>
      <c r="H703" s="11" t="str">
        <f t="shared" si="2"/>
        <v/>
      </c>
      <c r="I703" s="13"/>
    </row>
    <row r="704">
      <c r="A704" s="5"/>
      <c r="B704" s="6"/>
      <c r="C704" s="14" t="str">
        <f>iferror(vlookup(B704,'📦 ชื่อสินค้า'!A:C,2,false),)</f>
        <v/>
      </c>
      <c r="D704" s="11" t="str">
        <f>iferror(vlookup(B704,'📦 ชื่อสินค้า'!A:D,4,false),"")</f>
        <v/>
      </c>
      <c r="E704" s="16"/>
      <c r="F704" s="6"/>
      <c r="G704" s="8" t="str">
        <f t="shared" si="1"/>
        <v/>
      </c>
      <c r="H704" s="11" t="str">
        <f t="shared" si="2"/>
        <v/>
      </c>
      <c r="I704" s="13"/>
    </row>
    <row r="705">
      <c r="A705" s="5"/>
      <c r="B705" s="6"/>
      <c r="C705" s="14" t="str">
        <f>iferror(vlookup(B705,'📦 ชื่อสินค้า'!A:C,2,false),)</f>
        <v/>
      </c>
      <c r="D705" s="11" t="str">
        <f>iferror(vlookup(B705,'📦 ชื่อสินค้า'!A:D,4,false),"")</f>
        <v/>
      </c>
      <c r="E705" s="16"/>
      <c r="F705" s="6"/>
      <c r="G705" s="8" t="str">
        <f t="shared" si="1"/>
        <v/>
      </c>
      <c r="H705" s="11" t="str">
        <f t="shared" si="2"/>
        <v/>
      </c>
      <c r="I705" s="13"/>
    </row>
    <row r="706">
      <c r="A706" s="5"/>
      <c r="B706" s="6"/>
      <c r="C706" s="14" t="str">
        <f>iferror(vlookup(B706,'📦 ชื่อสินค้า'!A:C,2,false),)</f>
        <v/>
      </c>
      <c r="D706" s="11" t="str">
        <f>iferror(vlookup(B706,'📦 ชื่อสินค้า'!A:D,4,false),"")</f>
        <v/>
      </c>
      <c r="E706" s="16"/>
      <c r="F706" s="6"/>
      <c r="G706" s="8" t="str">
        <f t="shared" si="1"/>
        <v/>
      </c>
      <c r="H706" s="11" t="str">
        <f t="shared" si="2"/>
        <v/>
      </c>
      <c r="I706" s="13"/>
    </row>
    <row r="707">
      <c r="A707" s="5"/>
      <c r="B707" s="6"/>
      <c r="C707" s="14" t="str">
        <f>iferror(vlookup(B707,'📦 ชื่อสินค้า'!A:C,2,false),)</f>
        <v/>
      </c>
      <c r="D707" s="11" t="str">
        <f>iferror(vlookup(B707,'📦 ชื่อสินค้า'!A:D,4,false),"")</f>
        <v/>
      </c>
      <c r="E707" s="16"/>
      <c r="F707" s="6"/>
      <c r="G707" s="8" t="str">
        <f t="shared" si="1"/>
        <v/>
      </c>
      <c r="H707" s="11" t="str">
        <f t="shared" si="2"/>
        <v/>
      </c>
      <c r="I707" s="13"/>
    </row>
    <row r="708">
      <c r="A708" s="5"/>
      <c r="B708" s="6"/>
      <c r="C708" s="14" t="str">
        <f>iferror(vlookup(B708,'📦 ชื่อสินค้า'!A:C,2,false),)</f>
        <v/>
      </c>
      <c r="D708" s="11" t="str">
        <f>iferror(vlookup(B708,'📦 ชื่อสินค้า'!A:D,4,false),"")</f>
        <v/>
      </c>
      <c r="E708" s="16"/>
      <c r="F708" s="6"/>
      <c r="G708" s="8" t="str">
        <f t="shared" si="1"/>
        <v/>
      </c>
      <c r="H708" s="11" t="str">
        <f t="shared" si="2"/>
        <v/>
      </c>
      <c r="I708" s="13"/>
    </row>
    <row r="709">
      <c r="A709" s="5"/>
      <c r="B709" s="6"/>
      <c r="C709" s="14" t="str">
        <f>iferror(vlookup(B709,'📦 ชื่อสินค้า'!A:C,2,false),)</f>
        <v/>
      </c>
      <c r="D709" s="11" t="str">
        <f>iferror(vlookup(B709,'📦 ชื่อสินค้า'!A:D,4,false),"")</f>
        <v/>
      </c>
      <c r="E709" s="16"/>
      <c r="F709" s="6"/>
      <c r="G709" s="8" t="str">
        <f t="shared" si="1"/>
        <v/>
      </c>
      <c r="H709" s="11" t="str">
        <f t="shared" si="2"/>
        <v/>
      </c>
      <c r="I709" s="13"/>
    </row>
    <row r="710">
      <c r="A710" s="5"/>
      <c r="B710" s="6"/>
      <c r="C710" s="14" t="str">
        <f>iferror(vlookup(B710,'📦 ชื่อสินค้า'!A:C,2,false),)</f>
        <v/>
      </c>
      <c r="D710" s="11" t="str">
        <f>iferror(vlookup(B710,'📦 ชื่อสินค้า'!A:D,4,false),"")</f>
        <v/>
      </c>
      <c r="E710" s="16"/>
      <c r="F710" s="6"/>
      <c r="G710" s="8" t="str">
        <f t="shared" si="1"/>
        <v/>
      </c>
      <c r="H710" s="11" t="str">
        <f t="shared" si="2"/>
        <v/>
      </c>
      <c r="I710" s="13"/>
    </row>
    <row r="711">
      <c r="A711" s="5"/>
      <c r="B711" s="6"/>
      <c r="C711" s="14" t="str">
        <f>iferror(vlookup(B711,'📦 ชื่อสินค้า'!A:C,2,false),)</f>
        <v/>
      </c>
      <c r="D711" s="11" t="str">
        <f>iferror(vlookup(B711,'📦 ชื่อสินค้า'!A:D,4,false),"")</f>
        <v/>
      </c>
      <c r="E711" s="16"/>
      <c r="F711" s="6"/>
      <c r="G711" s="8" t="str">
        <f t="shared" si="1"/>
        <v/>
      </c>
      <c r="H711" s="11" t="str">
        <f t="shared" si="2"/>
        <v/>
      </c>
      <c r="I711" s="13"/>
    </row>
    <row r="712">
      <c r="A712" s="5"/>
      <c r="B712" s="6"/>
      <c r="C712" s="14" t="str">
        <f>iferror(vlookup(B712,'📦 ชื่อสินค้า'!A:C,2,false),)</f>
        <v/>
      </c>
      <c r="D712" s="11" t="str">
        <f>iferror(vlookup(B712,'📦 ชื่อสินค้า'!A:D,4,false),"")</f>
        <v/>
      </c>
      <c r="E712" s="16"/>
      <c r="F712" s="6"/>
      <c r="G712" s="8" t="str">
        <f t="shared" si="1"/>
        <v/>
      </c>
      <c r="H712" s="11" t="str">
        <f t="shared" si="2"/>
        <v/>
      </c>
      <c r="I712" s="13"/>
    </row>
    <row r="713">
      <c r="A713" s="5"/>
      <c r="B713" s="6"/>
      <c r="C713" s="14" t="str">
        <f>iferror(vlookup(B713,'📦 ชื่อสินค้า'!A:C,2,false),)</f>
        <v/>
      </c>
      <c r="D713" s="11" t="str">
        <f>iferror(vlookup(B713,'📦 ชื่อสินค้า'!A:D,4,false),"")</f>
        <v/>
      </c>
      <c r="E713" s="16"/>
      <c r="F713" s="6"/>
      <c r="G713" s="8" t="str">
        <f t="shared" si="1"/>
        <v/>
      </c>
      <c r="H713" s="11" t="str">
        <f t="shared" si="2"/>
        <v/>
      </c>
      <c r="I713" s="13"/>
    </row>
    <row r="714">
      <c r="A714" s="5"/>
      <c r="B714" s="6"/>
      <c r="C714" s="14" t="str">
        <f>iferror(vlookup(B714,'📦 ชื่อสินค้า'!A:C,2,false),)</f>
        <v/>
      </c>
      <c r="D714" s="11" t="str">
        <f>iferror(vlookup(B714,'📦 ชื่อสินค้า'!A:D,4,false),"")</f>
        <v/>
      </c>
      <c r="E714" s="16"/>
      <c r="F714" s="6"/>
      <c r="G714" s="8" t="str">
        <f t="shared" si="1"/>
        <v/>
      </c>
      <c r="H714" s="11" t="str">
        <f t="shared" si="2"/>
        <v/>
      </c>
      <c r="I714" s="13"/>
    </row>
    <row r="715">
      <c r="A715" s="5"/>
      <c r="B715" s="6"/>
      <c r="C715" s="14" t="str">
        <f>iferror(vlookup(B715,'📦 ชื่อสินค้า'!A:C,2,false),)</f>
        <v/>
      </c>
      <c r="D715" s="11" t="str">
        <f>iferror(vlookup(B715,'📦 ชื่อสินค้า'!A:D,4,false),"")</f>
        <v/>
      </c>
      <c r="E715" s="16"/>
      <c r="F715" s="6"/>
      <c r="G715" s="8" t="str">
        <f t="shared" si="1"/>
        <v/>
      </c>
      <c r="H715" s="11" t="str">
        <f t="shared" si="2"/>
        <v/>
      </c>
      <c r="I715" s="13"/>
    </row>
    <row r="716">
      <c r="A716" s="5"/>
      <c r="B716" s="6"/>
      <c r="C716" s="14" t="str">
        <f>iferror(vlookup(B716,'📦 ชื่อสินค้า'!A:C,2,false),)</f>
        <v/>
      </c>
      <c r="D716" s="11" t="str">
        <f>iferror(vlookup(B716,'📦 ชื่อสินค้า'!A:D,4,false),"")</f>
        <v/>
      </c>
      <c r="E716" s="16"/>
      <c r="F716" s="6"/>
      <c r="G716" s="8" t="str">
        <f t="shared" si="1"/>
        <v/>
      </c>
      <c r="H716" s="11" t="str">
        <f t="shared" si="2"/>
        <v/>
      </c>
      <c r="I716" s="13"/>
    </row>
    <row r="717">
      <c r="A717" s="5"/>
      <c r="B717" s="6"/>
      <c r="C717" s="14" t="str">
        <f>iferror(vlookup(B717,'📦 ชื่อสินค้า'!A:C,2,false),)</f>
        <v/>
      </c>
      <c r="D717" s="11" t="str">
        <f>iferror(vlookup(B717,'📦 ชื่อสินค้า'!A:D,4,false),"")</f>
        <v/>
      </c>
      <c r="E717" s="16"/>
      <c r="F717" s="6"/>
      <c r="G717" s="8" t="str">
        <f t="shared" si="1"/>
        <v/>
      </c>
      <c r="H717" s="11" t="str">
        <f t="shared" si="2"/>
        <v/>
      </c>
      <c r="I717" s="13"/>
    </row>
    <row r="718">
      <c r="A718" s="5"/>
      <c r="B718" s="6"/>
      <c r="C718" s="14" t="str">
        <f>iferror(vlookup(B718,'📦 ชื่อสินค้า'!A:C,2,false),)</f>
        <v/>
      </c>
      <c r="D718" s="11" t="str">
        <f>iferror(vlookup(B718,'📦 ชื่อสินค้า'!A:D,4,false),"")</f>
        <v/>
      </c>
      <c r="E718" s="16"/>
      <c r="F718" s="6"/>
      <c r="G718" s="8" t="str">
        <f t="shared" si="1"/>
        <v/>
      </c>
      <c r="H718" s="11" t="str">
        <f t="shared" si="2"/>
        <v/>
      </c>
      <c r="I718" s="13"/>
    </row>
    <row r="719">
      <c r="A719" s="5"/>
      <c r="B719" s="6"/>
      <c r="C719" s="14" t="str">
        <f>iferror(vlookup(B719,'📦 ชื่อสินค้า'!A:C,2,false),)</f>
        <v/>
      </c>
      <c r="D719" s="11" t="str">
        <f>iferror(vlookup(B719,'📦 ชื่อสินค้า'!A:D,4,false),"")</f>
        <v/>
      </c>
      <c r="E719" s="16"/>
      <c r="F719" s="6"/>
      <c r="G719" s="8" t="str">
        <f t="shared" si="1"/>
        <v/>
      </c>
      <c r="H719" s="11" t="str">
        <f t="shared" si="2"/>
        <v/>
      </c>
      <c r="I719" s="13"/>
    </row>
    <row r="720">
      <c r="A720" s="5"/>
      <c r="B720" s="6"/>
      <c r="C720" s="14" t="str">
        <f>iferror(vlookup(B720,'📦 ชื่อสินค้า'!A:C,2,false),)</f>
        <v/>
      </c>
      <c r="D720" s="11" t="str">
        <f>iferror(vlookup(B720,'📦 ชื่อสินค้า'!A:D,4,false),"")</f>
        <v/>
      </c>
      <c r="E720" s="16"/>
      <c r="F720" s="6"/>
      <c r="G720" s="8" t="str">
        <f t="shared" si="1"/>
        <v/>
      </c>
      <c r="H720" s="11" t="str">
        <f t="shared" si="2"/>
        <v/>
      </c>
      <c r="I720" s="13"/>
    </row>
    <row r="721">
      <c r="A721" s="5"/>
      <c r="B721" s="6"/>
      <c r="C721" s="14" t="str">
        <f>iferror(vlookup(B721,'📦 ชื่อสินค้า'!A:C,2,false),)</f>
        <v/>
      </c>
      <c r="D721" s="11" t="str">
        <f>iferror(vlookup(B721,'📦 ชื่อสินค้า'!A:D,4,false),"")</f>
        <v/>
      </c>
      <c r="E721" s="16"/>
      <c r="F721" s="6"/>
      <c r="G721" s="8" t="str">
        <f t="shared" si="1"/>
        <v/>
      </c>
      <c r="H721" s="11" t="str">
        <f t="shared" si="2"/>
        <v/>
      </c>
      <c r="I721" s="13"/>
    </row>
    <row r="722">
      <c r="A722" s="5"/>
      <c r="B722" s="6"/>
      <c r="C722" s="14" t="str">
        <f>iferror(vlookup(B722,'📦 ชื่อสินค้า'!A:C,2,false),)</f>
        <v/>
      </c>
      <c r="D722" s="11" t="str">
        <f>iferror(vlookup(B722,'📦 ชื่อสินค้า'!A:D,4,false),"")</f>
        <v/>
      </c>
      <c r="E722" s="16"/>
      <c r="F722" s="6"/>
      <c r="G722" s="8" t="str">
        <f t="shared" si="1"/>
        <v/>
      </c>
      <c r="H722" s="11" t="str">
        <f t="shared" si="2"/>
        <v/>
      </c>
      <c r="I722" s="13"/>
    </row>
    <row r="723">
      <c r="A723" s="5"/>
      <c r="B723" s="6"/>
      <c r="C723" s="14" t="str">
        <f>iferror(vlookup(B723,'📦 ชื่อสินค้า'!A:C,2,false),)</f>
        <v/>
      </c>
      <c r="D723" s="11" t="str">
        <f>iferror(vlookup(B723,'📦 ชื่อสินค้า'!A:D,4,false),"")</f>
        <v/>
      </c>
      <c r="E723" s="16"/>
      <c r="F723" s="6"/>
      <c r="G723" s="8" t="str">
        <f t="shared" si="1"/>
        <v/>
      </c>
      <c r="H723" s="11" t="str">
        <f t="shared" si="2"/>
        <v/>
      </c>
      <c r="I723" s="13"/>
    </row>
    <row r="724">
      <c r="A724" s="5"/>
      <c r="B724" s="6"/>
      <c r="C724" s="14" t="str">
        <f>iferror(vlookup(B724,'📦 ชื่อสินค้า'!A:C,2,false),)</f>
        <v/>
      </c>
      <c r="D724" s="11" t="str">
        <f>iferror(vlookup(B724,'📦 ชื่อสินค้า'!A:D,4,false),"")</f>
        <v/>
      </c>
      <c r="E724" s="16"/>
      <c r="F724" s="6"/>
      <c r="G724" s="8" t="str">
        <f t="shared" si="1"/>
        <v/>
      </c>
      <c r="H724" s="11" t="str">
        <f t="shared" si="2"/>
        <v/>
      </c>
      <c r="I724" s="13"/>
    </row>
    <row r="725">
      <c r="A725" s="5"/>
      <c r="B725" s="6"/>
      <c r="C725" s="14" t="str">
        <f>iferror(vlookup(B725,'📦 ชื่อสินค้า'!A:C,2,false),)</f>
        <v/>
      </c>
      <c r="D725" s="11" t="str">
        <f>iferror(vlookup(B725,'📦 ชื่อสินค้า'!A:D,4,false),"")</f>
        <v/>
      </c>
      <c r="E725" s="16"/>
      <c r="F725" s="6"/>
      <c r="G725" s="8" t="str">
        <f t="shared" si="1"/>
        <v/>
      </c>
      <c r="H725" s="11" t="str">
        <f t="shared" si="2"/>
        <v/>
      </c>
      <c r="I725" s="13"/>
    </row>
    <row r="726">
      <c r="A726" s="5"/>
      <c r="B726" s="6"/>
      <c r="C726" s="14" t="str">
        <f>iferror(vlookup(B726,'📦 ชื่อสินค้า'!A:C,2,false),)</f>
        <v/>
      </c>
      <c r="D726" s="11" t="str">
        <f>iferror(vlookup(B726,'📦 ชื่อสินค้า'!A:D,4,false),"")</f>
        <v/>
      </c>
      <c r="E726" s="16"/>
      <c r="F726" s="6"/>
      <c r="G726" s="8" t="str">
        <f t="shared" si="1"/>
        <v/>
      </c>
      <c r="H726" s="11" t="str">
        <f t="shared" si="2"/>
        <v/>
      </c>
      <c r="I726" s="13"/>
    </row>
    <row r="727">
      <c r="A727" s="5"/>
      <c r="B727" s="6"/>
      <c r="C727" s="14" t="str">
        <f>iferror(vlookup(B727,'📦 ชื่อสินค้า'!A:C,2,false),)</f>
        <v/>
      </c>
      <c r="D727" s="11" t="str">
        <f>iferror(vlookup(B727,'📦 ชื่อสินค้า'!A:D,4,false),"")</f>
        <v/>
      </c>
      <c r="E727" s="16"/>
      <c r="F727" s="6"/>
      <c r="G727" s="8" t="str">
        <f t="shared" si="1"/>
        <v/>
      </c>
      <c r="H727" s="11" t="str">
        <f t="shared" si="2"/>
        <v/>
      </c>
      <c r="I727" s="13"/>
    </row>
    <row r="728">
      <c r="A728" s="5"/>
      <c r="B728" s="6"/>
      <c r="C728" s="14" t="str">
        <f>iferror(vlookup(B728,'📦 ชื่อสินค้า'!A:C,2,false),)</f>
        <v/>
      </c>
      <c r="D728" s="11" t="str">
        <f>iferror(vlookup(B728,'📦 ชื่อสินค้า'!A:D,4,false),"")</f>
        <v/>
      </c>
      <c r="E728" s="16"/>
      <c r="F728" s="6"/>
      <c r="G728" s="8" t="str">
        <f t="shared" si="1"/>
        <v/>
      </c>
      <c r="H728" s="11" t="str">
        <f t="shared" si="2"/>
        <v/>
      </c>
      <c r="I728" s="13"/>
    </row>
    <row r="729">
      <c r="A729" s="5"/>
      <c r="B729" s="6"/>
      <c r="C729" s="14" t="str">
        <f>iferror(vlookup(B729,'📦 ชื่อสินค้า'!A:C,2,false),)</f>
        <v/>
      </c>
      <c r="D729" s="11" t="str">
        <f>iferror(vlookup(B729,'📦 ชื่อสินค้า'!A:D,4,false),"")</f>
        <v/>
      </c>
      <c r="E729" s="16"/>
      <c r="F729" s="6"/>
      <c r="G729" s="8" t="str">
        <f t="shared" si="1"/>
        <v/>
      </c>
      <c r="H729" s="11" t="str">
        <f t="shared" si="2"/>
        <v/>
      </c>
      <c r="I729" s="13"/>
    </row>
    <row r="730">
      <c r="A730" s="5"/>
      <c r="B730" s="6"/>
      <c r="C730" s="14" t="str">
        <f>iferror(vlookup(B730,'📦 ชื่อสินค้า'!A:C,2,false),)</f>
        <v/>
      </c>
      <c r="D730" s="11" t="str">
        <f>iferror(vlookup(B730,'📦 ชื่อสินค้า'!A:D,4,false),"")</f>
        <v/>
      </c>
      <c r="E730" s="16"/>
      <c r="F730" s="6"/>
      <c r="G730" s="8" t="str">
        <f t="shared" si="1"/>
        <v/>
      </c>
      <c r="H730" s="11" t="str">
        <f t="shared" si="2"/>
        <v/>
      </c>
      <c r="I730" s="13"/>
    </row>
    <row r="731">
      <c r="A731" s="5"/>
      <c r="B731" s="6"/>
      <c r="C731" s="14" t="str">
        <f>iferror(vlookup(B731,'📦 ชื่อสินค้า'!A:C,2,false),)</f>
        <v/>
      </c>
      <c r="D731" s="11" t="str">
        <f>iferror(vlookup(B731,'📦 ชื่อสินค้า'!A:D,4,false),"")</f>
        <v/>
      </c>
      <c r="E731" s="16"/>
      <c r="F731" s="6"/>
      <c r="G731" s="8" t="str">
        <f t="shared" si="1"/>
        <v/>
      </c>
      <c r="H731" s="11" t="str">
        <f t="shared" si="2"/>
        <v/>
      </c>
      <c r="I731" s="13"/>
    </row>
    <row r="732">
      <c r="A732" s="5"/>
      <c r="B732" s="6"/>
      <c r="C732" s="14" t="str">
        <f>iferror(vlookup(B732,'📦 ชื่อสินค้า'!A:C,2,false),)</f>
        <v/>
      </c>
      <c r="D732" s="11" t="str">
        <f>iferror(vlookup(B732,'📦 ชื่อสินค้า'!A:D,4,false),"")</f>
        <v/>
      </c>
      <c r="E732" s="16"/>
      <c r="F732" s="6"/>
      <c r="G732" s="8" t="str">
        <f t="shared" si="1"/>
        <v/>
      </c>
      <c r="H732" s="11" t="str">
        <f t="shared" si="2"/>
        <v/>
      </c>
      <c r="I732" s="13"/>
    </row>
    <row r="733">
      <c r="A733" s="5"/>
      <c r="B733" s="6"/>
      <c r="C733" s="14" t="str">
        <f>iferror(vlookup(B733,'📦 ชื่อสินค้า'!A:C,2,false),)</f>
        <v/>
      </c>
      <c r="D733" s="11" t="str">
        <f>iferror(vlookup(B733,'📦 ชื่อสินค้า'!A:D,4,false),"")</f>
        <v/>
      </c>
      <c r="E733" s="16"/>
      <c r="F733" s="6"/>
      <c r="G733" s="8" t="str">
        <f t="shared" si="1"/>
        <v/>
      </c>
      <c r="H733" s="11" t="str">
        <f t="shared" si="2"/>
        <v/>
      </c>
      <c r="I733" s="13"/>
    </row>
    <row r="734">
      <c r="A734" s="5"/>
      <c r="B734" s="6"/>
      <c r="C734" s="14" t="str">
        <f>iferror(vlookup(B734,'📦 ชื่อสินค้า'!A:C,2,false),)</f>
        <v/>
      </c>
      <c r="D734" s="11" t="str">
        <f>iferror(vlookup(B734,'📦 ชื่อสินค้า'!A:D,4,false),"")</f>
        <v/>
      </c>
      <c r="E734" s="16"/>
      <c r="F734" s="6"/>
      <c r="G734" s="8" t="str">
        <f t="shared" si="1"/>
        <v/>
      </c>
      <c r="H734" s="11" t="str">
        <f t="shared" si="2"/>
        <v/>
      </c>
      <c r="I734" s="13"/>
    </row>
    <row r="735">
      <c r="A735" s="5"/>
      <c r="B735" s="6"/>
      <c r="C735" s="14" t="str">
        <f>iferror(vlookup(B735,'📦 ชื่อสินค้า'!A:C,2,false),)</f>
        <v/>
      </c>
      <c r="D735" s="11" t="str">
        <f>iferror(vlookup(B735,'📦 ชื่อสินค้า'!A:D,4,false),"")</f>
        <v/>
      </c>
      <c r="E735" s="16"/>
      <c r="F735" s="6"/>
      <c r="G735" s="8" t="str">
        <f t="shared" si="1"/>
        <v/>
      </c>
      <c r="H735" s="11" t="str">
        <f t="shared" si="2"/>
        <v/>
      </c>
      <c r="I735" s="13"/>
    </row>
    <row r="736">
      <c r="A736" s="5"/>
      <c r="B736" s="6"/>
      <c r="C736" s="14" t="str">
        <f>iferror(vlookup(B736,'📦 ชื่อสินค้า'!A:C,2,false),)</f>
        <v/>
      </c>
      <c r="D736" s="11" t="str">
        <f>iferror(vlookup(B736,'📦 ชื่อสินค้า'!A:D,4,false),"")</f>
        <v/>
      </c>
      <c r="E736" s="16"/>
      <c r="F736" s="6"/>
      <c r="G736" s="8" t="str">
        <f t="shared" si="1"/>
        <v/>
      </c>
      <c r="H736" s="11" t="str">
        <f t="shared" si="2"/>
        <v/>
      </c>
      <c r="I736" s="13"/>
    </row>
    <row r="737">
      <c r="A737" s="5"/>
      <c r="B737" s="6"/>
      <c r="C737" s="14" t="str">
        <f>iferror(vlookup(B737,'📦 ชื่อสินค้า'!A:C,2,false),)</f>
        <v/>
      </c>
      <c r="D737" s="11" t="str">
        <f>iferror(vlookup(B737,'📦 ชื่อสินค้า'!A:D,4,false),"")</f>
        <v/>
      </c>
      <c r="E737" s="16"/>
      <c r="F737" s="6"/>
      <c r="G737" s="8" t="str">
        <f t="shared" si="1"/>
        <v/>
      </c>
      <c r="H737" s="11" t="str">
        <f t="shared" si="2"/>
        <v/>
      </c>
      <c r="I737" s="13"/>
    </row>
    <row r="738">
      <c r="A738" s="5"/>
      <c r="B738" s="6"/>
      <c r="C738" s="14" t="str">
        <f>iferror(vlookup(B738,'📦 ชื่อสินค้า'!A:C,2,false),)</f>
        <v/>
      </c>
      <c r="D738" s="11" t="str">
        <f>iferror(vlookup(B738,'📦 ชื่อสินค้า'!A:D,4,false),"")</f>
        <v/>
      </c>
      <c r="E738" s="16"/>
      <c r="F738" s="6"/>
      <c r="G738" s="8" t="str">
        <f t="shared" si="1"/>
        <v/>
      </c>
      <c r="H738" s="11" t="str">
        <f t="shared" si="2"/>
        <v/>
      </c>
      <c r="I738" s="13"/>
    </row>
    <row r="739">
      <c r="A739" s="5"/>
      <c r="B739" s="6"/>
      <c r="C739" s="14" t="str">
        <f>iferror(vlookup(B739,'📦 ชื่อสินค้า'!A:C,2,false),)</f>
        <v/>
      </c>
      <c r="D739" s="11" t="str">
        <f>iferror(vlookup(B739,'📦 ชื่อสินค้า'!A:D,4,false),"")</f>
        <v/>
      </c>
      <c r="E739" s="16"/>
      <c r="F739" s="6"/>
      <c r="G739" s="8" t="str">
        <f t="shared" si="1"/>
        <v/>
      </c>
      <c r="H739" s="11" t="str">
        <f t="shared" si="2"/>
        <v/>
      </c>
      <c r="I739" s="13"/>
    </row>
    <row r="740">
      <c r="A740" s="5"/>
      <c r="B740" s="6"/>
      <c r="C740" s="14" t="str">
        <f>iferror(vlookup(B740,'📦 ชื่อสินค้า'!A:C,2,false),)</f>
        <v/>
      </c>
      <c r="D740" s="11" t="str">
        <f>iferror(vlookup(B740,'📦 ชื่อสินค้า'!A:D,4,false),"")</f>
        <v/>
      </c>
      <c r="E740" s="16"/>
      <c r="F740" s="6"/>
      <c r="G740" s="8" t="str">
        <f t="shared" si="1"/>
        <v/>
      </c>
      <c r="H740" s="11" t="str">
        <f t="shared" si="2"/>
        <v/>
      </c>
      <c r="I740" s="13"/>
    </row>
    <row r="741">
      <c r="A741" s="5"/>
      <c r="B741" s="6"/>
      <c r="C741" s="14" t="str">
        <f>iferror(vlookup(B741,'📦 ชื่อสินค้า'!A:C,2,false),)</f>
        <v/>
      </c>
      <c r="D741" s="11" t="str">
        <f>iferror(vlookup(B741,'📦 ชื่อสินค้า'!A:D,4,false),"")</f>
        <v/>
      </c>
      <c r="E741" s="16"/>
      <c r="F741" s="6"/>
      <c r="G741" s="8" t="str">
        <f t="shared" si="1"/>
        <v/>
      </c>
      <c r="H741" s="11" t="str">
        <f t="shared" si="2"/>
        <v/>
      </c>
      <c r="I741" s="13"/>
    </row>
    <row r="742">
      <c r="A742" s="5"/>
      <c r="B742" s="6"/>
      <c r="C742" s="14" t="str">
        <f>iferror(vlookup(B742,'📦 ชื่อสินค้า'!A:C,2,false),)</f>
        <v/>
      </c>
      <c r="D742" s="11" t="str">
        <f>iferror(vlookup(B742,'📦 ชื่อสินค้า'!A:D,4,false),"")</f>
        <v/>
      </c>
      <c r="E742" s="16"/>
      <c r="F742" s="6"/>
      <c r="G742" s="8" t="str">
        <f t="shared" si="1"/>
        <v/>
      </c>
      <c r="H742" s="11" t="str">
        <f t="shared" si="2"/>
        <v/>
      </c>
      <c r="I742" s="13"/>
    </row>
    <row r="743">
      <c r="A743" s="5"/>
      <c r="B743" s="6"/>
      <c r="C743" s="14" t="str">
        <f>iferror(vlookup(B743,'📦 ชื่อสินค้า'!A:C,2,false),)</f>
        <v/>
      </c>
      <c r="D743" s="11" t="str">
        <f>iferror(vlookup(B743,'📦 ชื่อสินค้า'!A:D,4,false),"")</f>
        <v/>
      </c>
      <c r="E743" s="16"/>
      <c r="F743" s="6"/>
      <c r="G743" s="8" t="str">
        <f t="shared" si="1"/>
        <v/>
      </c>
      <c r="H743" s="11" t="str">
        <f t="shared" si="2"/>
        <v/>
      </c>
      <c r="I743" s="13"/>
    </row>
    <row r="744">
      <c r="A744" s="5"/>
      <c r="B744" s="6"/>
      <c r="C744" s="14" t="str">
        <f>iferror(vlookup(B744,'📦 ชื่อสินค้า'!A:C,2,false),)</f>
        <v/>
      </c>
      <c r="D744" s="11" t="str">
        <f>iferror(vlookup(B744,'📦 ชื่อสินค้า'!A:D,4,false),"")</f>
        <v/>
      </c>
      <c r="E744" s="16"/>
      <c r="F744" s="6"/>
      <c r="G744" s="8" t="str">
        <f t="shared" si="1"/>
        <v/>
      </c>
      <c r="H744" s="11" t="str">
        <f t="shared" si="2"/>
        <v/>
      </c>
      <c r="I744" s="13"/>
    </row>
    <row r="745">
      <c r="A745" s="5"/>
      <c r="B745" s="6"/>
      <c r="C745" s="14" t="str">
        <f>iferror(vlookup(B745,'📦 ชื่อสินค้า'!A:C,2,false),)</f>
        <v/>
      </c>
      <c r="D745" s="11" t="str">
        <f>iferror(vlookup(B745,'📦 ชื่อสินค้า'!A:D,4,false),"")</f>
        <v/>
      </c>
      <c r="E745" s="16"/>
      <c r="F745" s="6"/>
      <c r="G745" s="8" t="str">
        <f t="shared" si="1"/>
        <v/>
      </c>
      <c r="H745" s="11" t="str">
        <f t="shared" si="2"/>
        <v/>
      </c>
      <c r="I745" s="13"/>
    </row>
    <row r="746">
      <c r="A746" s="5"/>
      <c r="B746" s="6"/>
      <c r="C746" s="14" t="str">
        <f>iferror(vlookup(B746,'📦 ชื่อสินค้า'!A:C,2,false),)</f>
        <v/>
      </c>
      <c r="D746" s="11" t="str">
        <f>iferror(vlookup(B746,'📦 ชื่อสินค้า'!A:D,4,false),"")</f>
        <v/>
      </c>
      <c r="E746" s="16"/>
      <c r="F746" s="6"/>
      <c r="G746" s="8" t="str">
        <f t="shared" si="1"/>
        <v/>
      </c>
      <c r="H746" s="11" t="str">
        <f t="shared" si="2"/>
        <v/>
      </c>
      <c r="I746" s="13"/>
    </row>
    <row r="747">
      <c r="A747" s="5"/>
      <c r="B747" s="6"/>
      <c r="C747" s="14" t="str">
        <f>iferror(vlookup(B747,'📦 ชื่อสินค้า'!A:C,2,false),)</f>
        <v/>
      </c>
      <c r="D747" s="11" t="str">
        <f>iferror(vlookup(B747,'📦 ชื่อสินค้า'!A:D,4,false),"")</f>
        <v/>
      </c>
      <c r="E747" s="16"/>
      <c r="F747" s="6"/>
      <c r="G747" s="8" t="str">
        <f t="shared" si="1"/>
        <v/>
      </c>
      <c r="H747" s="11" t="str">
        <f t="shared" si="2"/>
        <v/>
      </c>
      <c r="I747" s="13"/>
    </row>
    <row r="748">
      <c r="A748" s="5"/>
      <c r="B748" s="6"/>
      <c r="C748" s="14" t="str">
        <f>iferror(vlookup(B748,'📦 ชื่อสินค้า'!A:C,2,false),)</f>
        <v/>
      </c>
      <c r="D748" s="11" t="str">
        <f>iferror(vlookup(B748,'📦 ชื่อสินค้า'!A:D,4,false),"")</f>
        <v/>
      </c>
      <c r="E748" s="16"/>
      <c r="F748" s="6"/>
      <c r="G748" s="8" t="str">
        <f t="shared" si="1"/>
        <v/>
      </c>
      <c r="H748" s="11" t="str">
        <f t="shared" si="2"/>
        <v/>
      </c>
      <c r="I748" s="13"/>
    </row>
    <row r="749">
      <c r="A749" s="5"/>
      <c r="B749" s="6"/>
      <c r="C749" s="14" t="str">
        <f>iferror(vlookup(B749,'📦 ชื่อสินค้า'!A:C,2,false),)</f>
        <v/>
      </c>
      <c r="D749" s="11" t="str">
        <f>iferror(vlookup(B749,'📦 ชื่อสินค้า'!A:D,4,false),"")</f>
        <v/>
      </c>
      <c r="E749" s="16"/>
      <c r="F749" s="6"/>
      <c r="G749" s="8" t="str">
        <f t="shared" si="1"/>
        <v/>
      </c>
      <c r="H749" s="11" t="str">
        <f t="shared" si="2"/>
        <v/>
      </c>
      <c r="I749" s="13"/>
    </row>
    <row r="750">
      <c r="A750" s="5"/>
      <c r="B750" s="6"/>
      <c r="C750" s="14" t="str">
        <f>iferror(vlookup(B750,'📦 ชื่อสินค้า'!A:C,2,false),)</f>
        <v/>
      </c>
      <c r="D750" s="11" t="str">
        <f>iferror(vlookup(B750,'📦 ชื่อสินค้า'!A:D,4,false),"")</f>
        <v/>
      </c>
      <c r="E750" s="16"/>
      <c r="F750" s="6"/>
      <c r="G750" s="8" t="str">
        <f t="shared" si="1"/>
        <v/>
      </c>
      <c r="H750" s="11" t="str">
        <f t="shared" si="2"/>
        <v/>
      </c>
      <c r="I750" s="13"/>
    </row>
    <row r="751">
      <c r="A751" s="5"/>
      <c r="B751" s="6"/>
      <c r="C751" s="14" t="str">
        <f>iferror(vlookup(B751,'📦 ชื่อสินค้า'!A:C,2,false),)</f>
        <v/>
      </c>
      <c r="D751" s="11" t="str">
        <f>iferror(vlookup(B751,'📦 ชื่อสินค้า'!A:D,4,false),"")</f>
        <v/>
      </c>
      <c r="E751" s="16"/>
      <c r="F751" s="6"/>
      <c r="G751" s="8" t="str">
        <f t="shared" si="1"/>
        <v/>
      </c>
      <c r="H751" s="11" t="str">
        <f t="shared" si="2"/>
        <v/>
      </c>
      <c r="I751" s="13"/>
    </row>
    <row r="752">
      <c r="A752" s="5"/>
      <c r="B752" s="6"/>
      <c r="C752" s="14" t="str">
        <f>iferror(vlookup(B752,'📦 ชื่อสินค้า'!A:C,2,false),)</f>
        <v/>
      </c>
      <c r="D752" s="11" t="str">
        <f>iferror(vlookup(B752,'📦 ชื่อสินค้า'!A:D,4,false),"")</f>
        <v/>
      </c>
      <c r="E752" s="16"/>
      <c r="F752" s="6"/>
      <c r="G752" s="8" t="str">
        <f t="shared" si="1"/>
        <v/>
      </c>
      <c r="H752" s="11" t="str">
        <f t="shared" si="2"/>
        <v/>
      </c>
      <c r="I752" s="13"/>
    </row>
    <row r="753">
      <c r="A753" s="5"/>
      <c r="B753" s="6"/>
      <c r="C753" s="14" t="str">
        <f>iferror(vlookup(B753,'📦 ชื่อสินค้า'!A:C,2,false),)</f>
        <v/>
      </c>
      <c r="D753" s="11" t="str">
        <f>iferror(vlookup(B753,'📦 ชื่อสินค้า'!A:D,4,false),"")</f>
        <v/>
      </c>
      <c r="E753" s="16"/>
      <c r="F753" s="6"/>
      <c r="G753" s="8" t="str">
        <f t="shared" si="1"/>
        <v/>
      </c>
      <c r="H753" s="11" t="str">
        <f t="shared" si="2"/>
        <v/>
      </c>
      <c r="I753" s="13"/>
    </row>
    <row r="754">
      <c r="A754" s="5"/>
      <c r="B754" s="6"/>
      <c r="C754" s="14" t="str">
        <f>iferror(vlookup(B754,'📦 ชื่อสินค้า'!A:C,2,false),)</f>
        <v/>
      </c>
      <c r="D754" s="11" t="str">
        <f>iferror(vlookup(B754,'📦 ชื่อสินค้า'!A:D,4,false),"")</f>
        <v/>
      </c>
      <c r="E754" s="16"/>
      <c r="F754" s="6"/>
      <c r="G754" s="8" t="str">
        <f t="shared" si="1"/>
        <v/>
      </c>
      <c r="H754" s="11" t="str">
        <f t="shared" si="2"/>
        <v/>
      </c>
      <c r="I754" s="13"/>
    </row>
    <row r="755">
      <c r="A755" s="5"/>
      <c r="B755" s="6"/>
      <c r="C755" s="14" t="str">
        <f>iferror(vlookup(B755,'📦 ชื่อสินค้า'!A:C,2,false),)</f>
        <v/>
      </c>
      <c r="D755" s="11" t="str">
        <f>iferror(vlookup(B755,'📦 ชื่อสินค้า'!A:D,4,false),"")</f>
        <v/>
      </c>
      <c r="E755" s="16"/>
      <c r="F755" s="6"/>
      <c r="G755" s="8" t="str">
        <f t="shared" si="1"/>
        <v/>
      </c>
      <c r="H755" s="11" t="str">
        <f t="shared" si="2"/>
        <v/>
      </c>
      <c r="I755" s="13"/>
    </row>
    <row r="756">
      <c r="A756" s="5"/>
      <c r="B756" s="6"/>
      <c r="C756" s="14" t="str">
        <f>iferror(vlookup(B756,'📦 ชื่อสินค้า'!A:C,2,false),)</f>
        <v/>
      </c>
      <c r="D756" s="11" t="str">
        <f>iferror(vlookup(B756,'📦 ชื่อสินค้า'!A:D,4,false),"")</f>
        <v/>
      </c>
      <c r="E756" s="16"/>
      <c r="F756" s="6"/>
      <c r="G756" s="8" t="str">
        <f t="shared" si="1"/>
        <v/>
      </c>
      <c r="H756" s="11" t="str">
        <f t="shared" si="2"/>
        <v/>
      </c>
      <c r="I756" s="13"/>
    </row>
    <row r="757">
      <c r="A757" s="5"/>
      <c r="B757" s="6"/>
      <c r="C757" s="14" t="str">
        <f>iferror(vlookup(B757,'📦 ชื่อสินค้า'!A:C,2,false),)</f>
        <v/>
      </c>
      <c r="D757" s="11" t="str">
        <f>iferror(vlookup(B757,'📦 ชื่อสินค้า'!A:D,4,false),"")</f>
        <v/>
      </c>
      <c r="E757" s="16"/>
      <c r="F757" s="6"/>
      <c r="G757" s="8" t="str">
        <f t="shared" si="1"/>
        <v/>
      </c>
      <c r="H757" s="11" t="str">
        <f t="shared" si="2"/>
        <v/>
      </c>
      <c r="I757" s="13"/>
    </row>
    <row r="758">
      <c r="A758" s="5"/>
      <c r="B758" s="6"/>
      <c r="C758" s="14" t="str">
        <f>iferror(vlookup(B758,'📦 ชื่อสินค้า'!A:C,2,false),)</f>
        <v/>
      </c>
      <c r="D758" s="11" t="str">
        <f>iferror(vlookup(B758,'📦 ชื่อสินค้า'!A:D,4,false),"")</f>
        <v/>
      </c>
      <c r="E758" s="16"/>
      <c r="F758" s="6"/>
      <c r="G758" s="8" t="str">
        <f t="shared" si="1"/>
        <v/>
      </c>
      <c r="H758" s="11" t="str">
        <f t="shared" si="2"/>
        <v/>
      </c>
      <c r="I758" s="13"/>
    </row>
    <row r="759">
      <c r="A759" s="5"/>
      <c r="B759" s="6"/>
      <c r="C759" s="14" t="str">
        <f>iferror(vlookup(B759,'📦 ชื่อสินค้า'!A:C,2,false),)</f>
        <v/>
      </c>
      <c r="D759" s="11" t="str">
        <f>iferror(vlookup(B759,'📦 ชื่อสินค้า'!A:D,4,false),"")</f>
        <v/>
      </c>
      <c r="E759" s="16"/>
      <c r="F759" s="6"/>
      <c r="G759" s="8" t="str">
        <f t="shared" si="1"/>
        <v/>
      </c>
      <c r="H759" s="11" t="str">
        <f t="shared" si="2"/>
        <v/>
      </c>
      <c r="I759" s="13"/>
    </row>
    <row r="760">
      <c r="A760" s="5"/>
      <c r="B760" s="6"/>
      <c r="C760" s="14" t="str">
        <f>iferror(vlookup(B760,'📦 ชื่อสินค้า'!A:C,2,false),)</f>
        <v/>
      </c>
      <c r="D760" s="11" t="str">
        <f>iferror(vlookup(B760,'📦 ชื่อสินค้า'!A:D,4,false),"")</f>
        <v/>
      </c>
      <c r="E760" s="16"/>
      <c r="F760" s="6"/>
      <c r="G760" s="8" t="str">
        <f t="shared" si="1"/>
        <v/>
      </c>
      <c r="H760" s="11" t="str">
        <f t="shared" si="2"/>
        <v/>
      </c>
      <c r="I760" s="13"/>
    </row>
    <row r="761">
      <c r="A761" s="5"/>
      <c r="B761" s="6"/>
      <c r="C761" s="14" t="str">
        <f>iferror(vlookup(B761,'📦 ชื่อสินค้า'!A:C,2,false),)</f>
        <v/>
      </c>
      <c r="D761" s="11" t="str">
        <f>iferror(vlookup(B761,'📦 ชื่อสินค้า'!A:D,4,false),"")</f>
        <v/>
      </c>
      <c r="E761" s="16"/>
      <c r="F761" s="6"/>
      <c r="G761" s="8" t="str">
        <f t="shared" si="1"/>
        <v/>
      </c>
      <c r="H761" s="11" t="str">
        <f t="shared" si="2"/>
        <v/>
      </c>
      <c r="I761" s="13"/>
    </row>
    <row r="762">
      <c r="A762" s="5"/>
      <c r="B762" s="6"/>
      <c r="C762" s="14" t="str">
        <f>iferror(vlookup(B762,'📦 ชื่อสินค้า'!A:C,2,false),)</f>
        <v/>
      </c>
      <c r="D762" s="11" t="str">
        <f>iferror(vlookup(B762,'📦 ชื่อสินค้า'!A:D,4,false),"")</f>
        <v/>
      </c>
      <c r="E762" s="16"/>
      <c r="F762" s="6"/>
      <c r="G762" s="8" t="str">
        <f t="shared" si="1"/>
        <v/>
      </c>
      <c r="H762" s="11" t="str">
        <f t="shared" si="2"/>
        <v/>
      </c>
      <c r="I762" s="13"/>
    </row>
    <row r="763">
      <c r="A763" s="5"/>
      <c r="B763" s="6"/>
      <c r="C763" s="14" t="str">
        <f>iferror(vlookup(B763,'📦 ชื่อสินค้า'!A:C,2,false),)</f>
        <v/>
      </c>
      <c r="D763" s="11" t="str">
        <f>iferror(vlookup(B763,'📦 ชื่อสินค้า'!A:D,4,false),"")</f>
        <v/>
      </c>
      <c r="E763" s="16"/>
      <c r="F763" s="6"/>
      <c r="G763" s="8" t="str">
        <f t="shared" si="1"/>
        <v/>
      </c>
      <c r="H763" s="11" t="str">
        <f t="shared" si="2"/>
        <v/>
      </c>
      <c r="I763" s="13"/>
    </row>
    <row r="764">
      <c r="A764" s="5"/>
      <c r="B764" s="6"/>
      <c r="C764" s="14" t="str">
        <f>iferror(vlookup(B764,'📦 ชื่อสินค้า'!A:C,2,false),)</f>
        <v/>
      </c>
      <c r="D764" s="11" t="str">
        <f>iferror(vlookup(B764,'📦 ชื่อสินค้า'!A:D,4,false),"")</f>
        <v/>
      </c>
      <c r="E764" s="16"/>
      <c r="F764" s="6"/>
      <c r="G764" s="8" t="str">
        <f t="shared" si="1"/>
        <v/>
      </c>
      <c r="H764" s="11" t="str">
        <f t="shared" si="2"/>
        <v/>
      </c>
      <c r="I764" s="13"/>
    </row>
    <row r="765">
      <c r="A765" s="5"/>
      <c r="B765" s="6"/>
      <c r="C765" s="14" t="str">
        <f>iferror(vlookup(B765,'📦 ชื่อสินค้า'!A:C,2,false),)</f>
        <v/>
      </c>
      <c r="D765" s="11" t="str">
        <f>iferror(vlookup(B765,'📦 ชื่อสินค้า'!A:D,4,false),"")</f>
        <v/>
      </c>
      <c r="E765" s="16"/>
      <c r="F765" s="6"/>
      <c r="G765" s="8" t="str">
        <f t="shared" si="1"/>
        <v/>
      </c>
      <c r="H765" s="11" t="str">
        <f t="shared" si="2"/>
        <v/>
      </c>
      <c r="I765" s="13"/>
    </row>
    <row r="766">
      <c r="A766" s="5"/>
      <c r="B766" s="6"/>
      <c r="C766" s="14" t="str">
        <f>iferror(vlookup(B766,'📦 ชื่อสินค้า'!A:C,2,false),)</f>
        <v/>
      </c>
      <c r="D766" s="11" t="str">
        <f>iferror(vlookup(B766,'📦 ชื่อสินค้า'!A:D,4,false),"")</f>
        <v/>
      </c>
      <c r="E766" s="16"/>
      <c r="F766" s="6"/>
      <c r="G766" s="8" t="str">
        <f t="shared" si="1"/>
        <v/>
      </c>
      <c r="H766" s="11" t="str">
        <f t="shared" si="2"/>
        <v/>
      </c>
      <c r="I766" s="13"/>
    </row>
    <row r="767">
      <c r="A767" s="5"/>
      <c r="B767" s="6"/>
      <c r="C767" s="14" t="str">
        <f>iferror(vlookup(B767,'📦 ชื่อสินค้า'!A:C,2,false),)</f>
        <v/>
      </c>
      <c r="D767" s="11" t="str">
        <f>iferror(vlookup(B767,'📦 ชื่อสินค้า'!A:D,4,false),"")</f>
        <v/>
      </c>
      <c r="E767" s="16"/>
      <c r="F767" s="6"/>
      <c r="G767" s="8" t="str">
        <f t="shared" si="1"/>
        <v/>
      </c>
      <c r="H767" s="11" t="str">
        <f t="shared" si="2"/>
        <v/>
      </c>
      <c r="I767" s="13"/>
    </row>
    <row r="768">
      <c r="A768" s="5"/>
      <c r="B768" s="6"/>
      <c r="C768" s="14" t="str">
        <f>iferror(vlookup(B768,'📦 ชื่อสินค้า'!A:C,2,false),)</f>
        <v/>
      </c>
      <c r="D768" s="11" t="str">
        <f>iferror(vlookup(B768,'📦 ชื่อสินค้า'!A:D,4,false),"")</f>
        <v/>
      </c>
      <c r="E768" s="16"/>
      <c r="F768" s="6"/>
      <c r="G768" s="8" t="str">
        <f t="shared" si="1"/>
        <v/>
      </c>
      <c r="H768" s="11" t="str">
        <f t="shared" si="2"/>
        <v/>
      </c>
      <c r="I768" s="13"/>
    </row>
    <row r="769">
      <c r="A769" s="5"/>
      <c r="B769" s="6"/>
      <c r="C769" s="14" t="str">
        <f>iferror(vlookup(B769,'📦 ชื่อสินค้า'!A:C,2,false),)</f>
        <v/>
      </c>
      <c r="D769" s="11" t="str">
        <f>iferror(vlookup(B769,'📦 ชื่อสินค้า'!A:D,4,false),"")</f>
        <v/>
      </c>
      <c r="E769" s="16"/>
      <c r="F769" s="6"/>
      <c r="G769" s="8" t="str">
        <f t="shared" si="1"/>
        <v/>
      </c>
      <c r="H769" s="11" t="str">
        <f t="shared" si="2"/>
        <v/>
      </c>
      <c r="I769" s="13"/>
    </row>
    <row r="770">
      <c r="A770" s="5"/>
      <c r="B770" s="6"/>
      <c r="C770" s="14" t="str">
        <f>iferror(vlookup(B770,'📦 ชื่อสินค้า'!A:C,2,false),)</f>
        <v/>
      </c>
      <c r="D770" s="11" t="str">
        <f>iferror(vlookup(B770,'📦 ชื่อสินค้า'!A:D,4,false),"")</f>
        <v/>
      </c>
      <c r="E770" s="16"/>
      <c r="F770" s="6"/>
      <c r="G770" s="8" t="str">
        <f t="shared" si="1"/>
        <v/>
      </c>
      <c r="H770" s="11" t="str">
        <f t="shared" si="2"/>
        <v/>
      </c>
      <c r="I770" s="13"/>
    </row>
    <row r="771">
      <c r="A771" s="5"/>
      <c r="B771" s="6"/>
      <c r="C771" s="14" t="str">
        <f>iferror(vlookup(B771,'📦 ชื่อสินค้า'!A:C,2,false),)</f>
        <v/>
      </c>
      <c r="D771" s="11" t="str">
        <f>iferror(vlookup(B771,'📦 ชื่อสินค้า'!A:D,4,false),"")</f>
        <v/>
      </c>
      <c r="E771" s="16"/>
      <c r="F771" s="6"/>
      <c r="G771" s="8" t="str">
        <f t="shared" si="1"/>
        <v/>
      </c>
      <c r="H771" s="11" t="str">
        <f t="shared" si="2"/>
        <v/>
      </c>
      <c r="I771" s="13"/>
    </row>
    <row r="772">
      <c r="A772" s="5"/>
      <c r="B772" s="6"/>
      <c r="C772" s="14" t="str">
        <f>iferror(vlookup(B772,'📦 ชื่อสินค้า'!A:C,2,false),)</f>
        <v/>
      </c>
      <c r="D772" s="11" t="str">
        <f>iferror(vlookup(B772,'📦 ชื่อสินค้า'!A:D,4,false),"")</f>
        <v/>
      </c>
      <c r="E772" s="16"/>
      <c r="F772" s="6"/>
      <c r="G772" s="8" t="str">
        <f t="shared" si="1"/>
        <v/>
      </c>
      <c r="H772" s="11" t="str">
        <f t="shared" si="2"/>
        <v/>
      </c>
      <c r="I772" s="13"/>
    </row>
    <row r="773">
      <c r="A773" s="5"/>
      <c r="B773" s="6"/>
      <c r="C773" s="14" t="str">
        <f>iferror(vlookup(B773,'📦 ชื่อสินค้า'!A:C,2,false),)</f>
        <v/>
      </c>
      <c r="D773" s="11" t="str">
        <f>iferror(vlookup(B773,'📦 ชื่อสินค้า'!A:D,4,false),"")</f>
        <v/>
      </c>
      <c r="E773" s="16"/>
      <c r="F773" s="6"/>
      <c r="G773" s="8" t="str">
        <f t="shared" si="1"/>
        <v/>
      </c>
      <c r="H773" s="11" t="str">
        <f t="shared" si="2"/>
        <v/>
      </c>
      <c r="I773" s="13"/>
    </row>
    <row r="774">
      <c r="A774" s="5"/>
      <c r="B774" s="6"/>
      <c r="C774" s="14" t="str">
        <f>iferror(vlookup(B774,'📦 ชื่อสินค้า'!A:C,2,false),)</f>
        <v/>
      </c>
      <c r="D774" s="11" t="str">
        <f>iferror(vlookup(B774,'📦 ชื่อสินค้า'!A:D,4,false),"")</f>
        <v/>
      </c>
      <c r="E774" s="16"/>
      <c r="F774" s="6"/>
      <c r="G774" s="8" t="str">
        <f t="shared" si="1"/>
        <v/>
      </c>
      <c r="H774" s="11" t="str">
        <f t="shared" si="2"/>
        <v/>
      </c>
      <c r="I774" s="13"/>
    </row>
    <row r="775">
      <c r="A775" s="5"/>
      <c r="B775" s="6"/>
      <c r="C775" s="14" t="str">
        <f>iferror(vlookup(B775,'📦 ชื่อสินค้า'!A:C,2,false),)</f>
        <v/>
      </c>
      <c r="D775" s="11" t="str">
        <f>iferror(vlookup(B775,'📦 ชื่อสินค้า'!A:D,4,false),"")</f>
        <v/>
      </c>
      <c r="E775" s="16"/>
      <c r="F775" s="6"/>
      <c r="G775" s="8" t="str">
        <f t="shared" si="1"/>
        <v/>
      </c>
      <c r="H775" s="11" t="str">
        <f t="shared" si="2"/>
        <v/>
      </c>
      <c r="I775" s="13"/>
    </row>
    <row r="776">
      <c r="A776" s="5"/>
      <c r="B776" s="6"/>
      <c r="C776" s="14" t="str">
        <f>iferror(vlookup(B776,'📦 ชื่อสินค้า'!A:C,2,false),)</f>
        <v/>
      </c>
      <c r="D776" s="11" t="str">
        <f>iferror(vlookup(B776,'📦 ชื่อสินค้า'!A:D,4,false),"")</f>
        <v/>
      </c>
      <c r="E776" s="16"/>
      <c r="F776" s="6"/>
      <c r="G776" s="8" t="str">
        <f t="shared" si="1"/>
        <v/>
      </c>
      <c r="H776" s="11" t="str">
        <f t="shared" si="2"/>
        <v/>
      </c>
      <c r="I776" s="13"/>
    </row>
    <row r="777">
      <c r="A777" s="5"/>
      <c r="B777" s="6"/>
      <c r="C777" s="14" t="str">
        <f>iferror(vlookup(B777,'📦 ชื่อสินค้า'!A:C,2,false),)</f>
        <v/>
      </c>
      <c r="D777" s="11" t="str">
        <f>iferror(vlookup(B777,'📦 ชื่อสินค้า'!A:D,4,false),"")</f>
        <v/>
      </c>
      <c r="E777" s="16"/>
      <c r="F777" s="6"/>
      <c r="G777" s="8" t="str">
        <f t="shared" si="1"/>
        <v/>
      </c>
      <c r="H777" s="11" t="str">
        <f t="shared" si="2"/>
        <v/>
      </c>
      <c r="I777" s="13"/>
    </row>
    <row r="778">
      <c r="A778" s="5"/>
      <c r="B778" s="6"/>
      <c r="C778" s="14" t="str">
        <f>iferror(vlookup(B778,'📦 ชื่อสินค้า'!A:C,2,false),)</f>
        <v/>
      </c>
      <c r="D778" s="11" t="str">
        <f>iferror(vlookup(B778,'📦 ชื่อสินค้า'!A:D,4,false),"")</f>
        <v/>
      </c>
      <c r="E778" s="16"/>
      <c r="F778" s="6"/>
      <c r="G778" s="8" t="str">
        <f t="shared" si="1"/>
        <v/>
      </c>
      <c r="H778" s="11" t="str">
        <f t="shared" si="2"/>
        <v/>
      </c>
      <c r="I778" s="13"/>
    </row>
    <row r="779">
      <c r="A779" s="5"/>
      <c r="B779" s="6"/>
      <c r="C779" s="14" t="str">
        <f>iferror(vlookup(B779,'📦 ชื่อสินค้า'!A:C,2,false),)</f>
        <v/>
      </c>
      <c r="D779" s="11" t="str">
        <f>iferror(vlookup(B779,'📦 ชื่อสินค้า'!A:D,4,false),"")</f>
        <v/>
      </c>
      <c r="E779" s="16"/>
      <c r="F779" s="6"/>
      <c r="G779" s="8" t="str">
        <f t="shared" si="1"/>
        <v/>
      </c>
      <c r="H779" s="11" t="str">
        <f t="shared" si="2"/>
        <v/>
      </c>
      <c r="I779" s="13"/>
    </row>
    <row r="780">
      <c r="A780" s="5"/>
      <c r="B780" s="6"/>
      <c r="C780" s="14" t="str">
        <f>iferror(vlookup(B780,'📦 ชื่อสินค้า'!A:C,2,false),)</f>
        <v/>
      </c>
      <c r="D780" s="11" t="str">
        <f>iferror(vlookup(B780,'📦 ชื่อสินค้า'!A:D,4,false),"")</f>
        <v/>
      </c>
      <c r="E780" s="16"/>
      <c r="F780" s="6"/>
      <c r="G780" s="8" t="str">
        <f t="shared" si="1"/>
        <v/>
      </c>
      <c r="H780" s="11" t="str">
        <f t="shared" si="2"/>
        <v/>
      </c>
      <c r="I780" s="13"/>
    </row>
    <row r="781">
      <c r="A781" s="5"/>
      <c r="B781" s="6"/>
      <c r="C781" s="14" t="str">
        <f>iferror(vlookup(B781,'📦 ชื่อสินค้า'!A:C,2,false),)</f>
        <v/>
      </c>
      <c r="D781" s="11" t="str">
        <f>iferror(vlookup(B781,'📦 ชื่อสินค้า'!A:D,4,false),"")</f>
        <v/>
      </c>
      <c r="E781" s="16"/>
      <c r="F781" s="6"/>
      <c r="G781" s="8" t="str">
        <f t="shared" si="1"/>
        <v/>
      </c>
      <c r="H781" s="11" t="str">
        <f t="shared" si="2"/>
        <v/>
      </c>
      <c r="I781" s="13"/>
    </row>
    <row r="782">
      <c r="A782" s="5"/>
      <c r="B782" s="6"/>
      <c r="C782" s="14" t="str">
        <f>iferror(vlookup(B782,'📦 ชื่อสินค้า'!A:C,2,false),)</f>
        <v/>
      </c>
      <c r="D782" s="11" t="str">
        <f>iferror(vlookup(B782,'📦 ชื่อสินค้า'!A:D,4,false),"")</f>
        <v/>
      </c>
      <c r="E782" s="16"/>
      <c r="F782" s="6"/>
      <c r="G782" s="8" t="str">
        <f t="shared" si="1"/>
        <v/>
      </c>
      <c r="H782" s="11" t="str">
        <f t="shared" si="2"/>
        <v/>
      </c>
      <c r="I782" s="13"/>
    </row>
    <row r="783">
      <c r="A783" s="5"/>
      <c r="B783" s="6"/>
      <c r="C783" s="14" t="str">
        <f>iferror(vlookup(B783,'📦 ชื่อสินค้า'!A:C,2,false),)</f>
        <v/>
      </c>
      <c r="D783" s="11" t="str">
        <f>iferror(vlookup(B783,'📦 ชื่อสินค้า'!A:D,4,false),"")</f>
        <v/>
      </c>
      <c r="E783" s="16"/>
      <c r="F783" s="6"/>
      <c r="G783" s="8" t="str">
        <f t="shared" si="1"/>
        <v/>
      </c>
      <c r="H783" s="11" t="str">
        <f t="shared" si="2"/>
        <v/>
      </c>
      <c r="I783" s="13"/>
    </row>
    <row r="784">
      <c r="A784" s="5"/>
      <c r="B784" s="6"/>
      <c r="C784" s="14" t="str">
        <f>iferror(vlookup(B784,'📦 ชื่อสินค้า'!A:C,2,false),)</f>
        <v/>
      </c>
      <c r="D784" s="11" t="str">
        <f>iferror(vlookup(B784,'📦 ชื่อสินค้า'!A:D,4,false),"")</f>
        <v/>
      </c>
      <c r="E784" s="16"/>
      <c r="F784" s="6"/>
      <c r="G784" s="8" t="str">
        <f t="shared" si="1"/>
        <v/>
      </c>
      <c r="H784" s="11" t="str">
        <f t="shared" si="2"/>
        <v/>
      </c>
      <c r="I784" s="13"/>
    </row>
    <row r="785">
      <c r="A785" s="5"/>
      <c r="B785" s="6"/>
      <c r="C785" s="14" t="str">
        <f>iferror(vlookup(B785,'📦 ชื่อสินค้า'!A:C,2,false),)</f>
        <v/>
      </c>
      <c r="D785" s="11" t="str">
        <f>iferror(vlookup(B785,'📦 ชื่อสินค้า'!A:D,4,false),"")</f>
        <v/>
      </c>
      <c r="E785" s="16"/>
      <c r="F785" s="6"/>
      <c r="G785" s="8" t="str">
        <f t="shared" si="1"/>
        <v/>
      </c>
      <c r="H785" s="11" t="str">
        <f t="shared" si="2"/>
        <v/>
      </c>
      <c r="I785" s="13"/>
    </row>
    <row r="786">
      <c r="A786" s="5"/>
      <c r="B786" s="6"/>
      <c r="C786" s="14" t="str">
        <f>iferror(vlookup(B786,'📦 ชื่อสินค้า'!A:C,2,false),)</f>
        <v/>
      </c>
      <c r="D786" s="11" t="str">
        <f>iferror(vlookup(B786,'📦 ชื่อสินค้า'!A:D,4,false),"")</f>
        <v/>
      </c>
      <c r="E786" s="16"/>
      <c r="F786" s="6"/>
      <c r="G786" s="8" t="str">
        <f t="shared" si="1"/>
        <v/>
      </c>
      <c r="H786" s="11" t="str">
        <f t="shared" si="2"/>
        <v/>
      </c>
      <c r="I786" s="13"/>
    </row>
    <row r="787">
      <c r="A787" s="5"/>
      <c r="B787" s="6"/>
      <c r="C787" s="14" t="str">
        <f>iferror(vlookup(B787,'📦 ชื่อสินค้า'!A:C,2,false),)</f>
        <v/>
      </c>
      <c r="D787" s="11" t="str">
        <f>iferror(vlookup(B787,'📦 ชื่อสินค้า'!A:D,4,false),"")</f>
        <v/>
      </c>
      <c r="E787" s="16"/>
      <c r="F787" s="6"/>
      <c r="G787" s="8" t="str">
        <f t="shared" si="1"/>
        <v/>
      </c>
      <c r="H787" s="11" t="str">
        <f t="shared" si="2"/>
        <v/>
      </c>
      <c r="I787" s="13"/>
    </row>
    <row r="788">
      <c r="A788" s="5"/>
      <c r="B788" s="6"/>
      <c r="C788" s="14" t="str">
        <f>iferror(vlookup(B788,'📦 ชื่อสินค้า'!A:C,2,false),)</f>
        <v/>
      </c>
      <c r="D788" s="11" t="str">
        <f>iferror(vlookup(B788,'📦 ชื่อสินค้า'!A:D,4,false),"")</f>
        <v/>
      </c>
      <c r="E788" s="16"/>
      <c r="F788" s="6"/>
      <c r="G788" s="8" t="str">
        <f t="shared" si="1"/>
        <v/>
      </c>
      <c r="H788" s="11" t="str">
        <f t="shared" si="2"/>
        <v/>
      </c>
      <c r="I788" s="13"/>
    </row>
    <row r="789">
      <c r="A789" s="5"/>
      <c r="B789" s="6"/>
      <c r="C789" s="14" t="str">
        <f>iferror(vlookup(B789,'📦 ชื่อสินค้า'!A:C,2,false),)</f>
        <v/>
      </c>
      <c r="D789" s="11" t="str">
        <f>iferror(vlookup(B789,'📦 ชื่อสินค้า'!A:D,4,false),"")</f>
        <v/>
      </c>
      <c r="E789" s="16"/>
      <c r="F789" s="6"/>
      <c r="G789" s="8" t="str">
        <f t="shared" si="1"/>
        <v/>
      </c>
      <c r="H789" s="11" t="str">
        <f t="shared" si="2"/>
        <v/>
      </c>
      <c r="I789" s="13"/>
    </row>
    <row r="790">
      <c r="A790" s="5"/>
      <c r="B790" s="6"/>
      <c r="C790" s="14" t="str">
        <f>iferror(vlookup(B790,'📦 ชื่อสินค้า'!A:C,2,false),)</f>
        <v/>
      </c>
      <c r="D790" s="11" t="str">
        <f>iferror(vlookup(B790,'📦 ชื่อสินค้า'!A:D,4,false),"")</f>
        <v/>
      </c>
      <c r="E790" s="16"/>
      <c r="F790" s="6"/>
      <c r="G790" s="8" t="str">
        <f t="shared" si="1"/>
        <v/>
      </c>
      <c r="H790" s="11" t="str">
        <f t="shared" si="2"/>
        <v/>
      </c>
      <c r="I790" s="13"/>
    </row>
    <row r="791">
      <c r="A791" s="5"/>
      <c r="B791" s="6"/>
      <c r="C791" s="14" t="str">
        <f>iferror(vlookup(B791,'📦 ชื่อสินค้า'!A:C,2,false),)</f>
        <v/>
      </c>
      <c r="D791" s="11" t="str">
        <f>iferror(vlookup(B791,'📦 ชื่อสินค้า'!A:D,4,false),"")</f>
        <v/>
      </c>
      <c r="E791" s="16"/>
      <c r="F791" s="6"/>
      <c r="G791" s="8" t="str">
        <f t="shared" si="1"/>
        <v/>
      </c>
      <c r="H791" s="11" t="str">
        <f t="shared" si="2"/>
        <v/>
      </c>
      <c r="I791" s="13"/>
    </row>
    <row r="792">
      <c r="A792" s="5"/>
      <c r="B792" s="6"/>
      <c r="C792" s="14" t="str">
        <f>iferror(vlookup(B792,'📦 ชื่อสินค้า'!A:C,2,false),)</f>
        <v/>
      </c>
      <c r="D792" s="11" t="str">
        <f>iferror(vlookup(B792,'📦 ชื่อสินค้า'!A:D,4,false),"")</f>
        <v/>
      </c>
      <c r="E792" s="16"/>
      <c r="F792" s="6"/>
      <c r="G792" s="8" t="str">
        <f t="shared" si="1"/>
        <v/>
      </c>
      <c r="H792" s="11" t="str">
        <f t="shared" si="2"/>
        <v/>
      </c>
      <c r="I792" s="13"/>
    </row>
    <row r="793">
      <c r="A793" s="5"/>
      <c r="B793" s="6"/>
      <c r="C793" s="14" t="str">
        <f>iferror(vlookup(B793,'📦 ชื่อสินค้า'!A:C,2,false),)</f>
        <v/>
      </c>
      <c r="D793" s="11" t="str">
        <f>iferror(vlookup(B793,'📦 ชื่อสินค้า'!A:D,4,false),"")</f>
        <v/>
      </c>
      <c r="E793" s="16"/>
      <c r="F793" s="6"/>
      <c r="G793" s="8" t="str">
        <f t="shared" si="1"/>
        <v/>
      </c>
      <c r="H793" s="11" t="str">
        <f t="shared" si="2"/>
        <v/>
      </c>
      <c r="I793" s="13"/>
    </row>
    <row r="794">
      <c r="A794" s="5"/>
      <c r="B794" s="6"/>
      <c r="C794" s="14" t="str">
        <f>iferror(vlookup(B794,'📦 ชื่อสินค้า'!A:C,2,false),)</f>
        <v/>
      </c>
      <c r="D794" s="11" t="str">
        <f>iferror(vlookup(B794,'📦 ชื่อสินค้า'!A:D,4,false),"")</f>
        <v/>
      </c>
      <c r="E794" s="16"/>
      <c r="F794" s="6"/>
      <c r="G794" s="8" t="str">
        <f t="shared" si="1"/>
        <v/>
      </c>
      <c r="H794" s="11" t="str">
        <f t="shared" si="2"/>
        <v/>
      </c>
      <c r="I794" s="13"/>
    </row>
    <row r="795">
      <c r="A795" s="5"/>
      <c r="B795" s="6"/>
      <c r="C795" s="14" t="str">
        <f>iferror(vlookup(B795,'📦 ชื่อสินค้า'!A:C,2,false),)</f>
        <v/>
      </c>
      <c r="D795" s="11" t="str">
        <f>iferror(vlookup(B795,'📦 ชื่อสินค้า'!A:D,4,false),"")</f>
        <v/>
      </c>
      <c r="E795" s="16"/>
      <c r="F795" s="6"/>
      <c r="G795" s="8" t="str">
        <f t="shared" si="1"/>
        <v/>
      </c>
      <c r="H795" s="11" t="str">
        <f t="shared" si="2"/>
        <v/>
      </c>
      <c r="I795" s="13"/>
    </row>
    <row r="796">
      <c r="A796" s="5"/>
      <c r="B796" s="6"/>
      <c r="C796" s="14" t="str">
        <f>iferror(vlookup(B796,'📦 ชื่อสินค้า'!A:C,2,false),)</f>
        <v/>
      </c>
      <c r="D796" s="11" t="str">
        <f>iferror(vlookup(B796,'📦 ชื่อสินค้า'!A:D,4,false),"")</f>
        <v/>
      </c>
      <c r="E796" s="16"/>
      <c r="F796" s="6"/>
      <c r="G796" s="8" t="str">
        <f t="shared" si="1"/>
        <v/>
      </c>
      <c r="H796" s="11" t="str">
        <f t="shared" si="2"/>
        <v/>
      </c>
      <c r="I796" s="13"/>
    </row>
    <row r="797">
      <c r="A797" s="5"/>
      <c r="B797" s="6"/>
      <c r="C797" s="14" t="str">
        <f>iferror(vlookup(B797,'📦 ชื่อสินค้า'!A:C,2,false),)</f>
        <v/>
      </c>
      <c r="D797" s="11" t="str">
        <f>iferror(vlookup(B797,'📦 ชื่อสินค้า'!A:D,4,false),"")</f>
        <v/>
      </c>
      <c r="E797" s="16"/>
      <c r="F797" s="6"/>
      <c r="G797" s="8" t="str">
        <f t="shared" si="1"/>
        <v/>
      </c>
      <c r="H797" s="11" t="str">
        <f t="shared" si="2"/>
        <v/>
      </c>
      <c r="I797" s="13"/>
    </row>
    <row r="798">
      <c r="A798" s="5"/>
      <c r="B798" s="6"/>
      <c r="C798" s="14" t="str">
        <f>iferror(vlookup(B798,'📦 ชื่อสินค้า'!A:C,2,false),)</f>
        <v/>
      </c>
      <c r="D798" s="11" t="str">
        <f>iferror(vlookup(B798,'📦 ชื่อสินค้า'!A:D,4,false),"")</f>
        <v/>
      </c>
      <c r="E798" s="16"/>
      <c r="F798" s="6"/>
      <c r="G798" s="8" t="str">
        <f t="shared" si="1"/>
        <v/>
      </c>
      <c r="H798" s="11" t="str">
        <f t="shared" si="2"/>
        <v/>
      </c>
      <c r="I798" s="13"/>
    </row>
    <row r="799">
      <c r="A799" s="5"/>
      <c r="B799" s="6"/>
      <c r="C799" s="14" t="str">
        <f>iferror(vlookup(B799,'📦 ชื่อสินค้า'!A:C,2,false),)</f>
        <v/>
      </c>
      <c r="D799" s="11" t="str">
        <f>iferror(vlookup(B799,'📦 ชื่อสินค้า'!A:D,4,false),"")</f>
        <v/>
      </c>
      <c r="E799" s="16"/>
      <c r="F799" s="6"/>
      <c r="G799" s="8" t="str">
        <f t="shared" si="1"/>
        <v/>
      </c>
      <c r="H799" s="11" t="str">
        <f t="shared" si="2"/>
        <v/>
      </c>
      <c r="I799" s="13"/>
    </row>
    <row r="800">
      <c r="A800" s="5"/>
      <c r="B800" s="6"/>
      <c r="C800" s="14" t="str">
        <f>iferror(vlookup(B800,'📦 ชื่อสินค้า'!A:C,2,false),)</f>
        <v/>
      </c>
      <c r="D800" s="11" t="str">
        <f>iferror(vlookup(B800,'📦 ชื่อสินค้า'!A:D,4,false),"")</f>
        <v/>
      </c>
      <c r="E800" s="16"/>
      <c r="F800" s="6"/>
      <c r="G800" s="8" t="str">
        <f t="shared" si="1"/>
        <v/>
      </c>
      <c r="H800" s="11" t="str">
        <f t="shared" si="2"/>
        <v/>
      </c>
      <c r="I800" s="13"/>
    </row>
    <row r="801">
      <c r="A801" s="5"/>
      <c r="B801" s="6"/>
      <c r="C801" s="14" t="str">
        <f>iferror(vlookup(B801,'📦 ชื่อสินค้า'!A:C,2,false),)</f>
        <v/>
      </c>
      <c r="D801" s="11" t="str">
        <f>iferror(vlookup(B801,'📦 ชื่อสินค้า'!A:D,4,false),"")</f>
        <v/>
      </c>
      <c r="E801" s="16"/>
      <c r="F801" s="6"/>
      <c r="G801" s="8" t="str">
        <f t="shared" si="1"/>
        <v/>
      </c>
      <c r="H801" s="11" t="str">
        <f t="shared" si="2"/>
        <v/>
      </c>
      <c r="I801" s="13"/>
    </row>
    <row r="802">
      <c r="A802" s="5"/>
      <c r="B802" s="6"/>
      <c r="C802" s="14" t="str">
        <f>iferror(vlookup(B802,'📦 ชื่อสินค้า'!A:C,2,false),)</f>
        <v/>
      </c>
      <c r="D802" s="11" t="str">
        <f>iferror(vlookup(B802,'📦 ชื่อสินค้า'!A:D,4,false),"")</f>
        <v/>
      </c>
      <c r="E802" s="16"/>
      <c r="F802" s="6"/>
      <c r="G802" s="8" t="str">
        <f t="shared" si="1"/>
        <v/>
      </c>
      <c r="H802" s="11" t="str">
        <f t="shared" si="2"/>
        <v/>
      </c>
      <c r="I802" s="13"/>
    </row>
    <row r="803">
      <c r="A803" s="5"/>
      <c r="B803" s="6"/>
      <c r="C803" s="14" t="str">
        <f>iferror(vlookup(B803,'📦 ชื่อสินค้า'!A:C,2,false),)</f>
        <v/>
      </c>
      <c r="D803" s="11" t="str">
        <f>iferror(vlookup(B803,'📦 ชื่อสินค้า'!A:D,4,false),"")</f>
        <v/>
      </c>
      <c r="E803" s="16"/>
      <c r="F803" s="6"/>
      <c r="G803" s="8" t="str">
        <f t="shared" si="1"/>
        <v/>
      </c>
      <c r="H803" s="11" t="str">
        <f t="shared" si="2"/>
        <v/>
      </c>
      <c r="I803" s="13"/>
    </row>
    <row r="804">
      <c r="A804" s="5"/>
      <c r="B804" s="6"/>
      <c r="C804" s="14" t="str">
        <f>iferror(vlookup(B804,'📦 ชื่อสินค้า'!A:C,2,false),)</f>
        <v/>
      </c>
      <c r="D804" s="11" t="str">
        <f>iferror(vlookup(B804,'📦 ชื่อสินค้า'!A:D,4,false),"")</f>
        <v/>
      </c>
      <c r="E804" s="16"/>
      <c r="F804" s="6"/>
      <c r="G804" s="8" t="str">
        <f t="shared" si="1"/>
        <v/>
      </c>
      <c r="H804" s="11" t="str">
        <f t="shared" si="2"/>
        <v/>
      </c>
      <c r="I804" s="13"/>
    </row>
    <row r="805">
      <c r="A805" s="5"/>
      <c r="B805" s="6"/>
      <c r="C805" s="14" t="str">
        <f>iferror(vlookup(B805,'📦 ชื่อสินค้า'!A:C,2,false),)</f>
        <v/>
      </c>
      <c r="D805" s="11" t="str">
        <f>iferror(vlookup(B805,'📦 ชื่อสินค้า'!A:D,4,false),"")</f>
        <v/>
      </c>
      <c r="E805" s="16"/>
      <c r="F805" s="6"/>
      <c r="G805" s="8" t="str">
        <f t="shared" si="1"/>
        <v/>
      </c>
      <c r="H805" s="11" t="str">
        <f t="shared" si="2"/>
        <v/>
      </c>
      <c r="I805" s="13"/>
    </row>
    <row r="806">
      <c r="A806" s="5"/>
      <c r="B806" s="6"/>
      <c r="C806" s="14" t="str">
        <f>iferror(vlookup(B806,'📦 ชื่อสินค้า'!A:C,2,false),)</f>
        <v/>
      </c>
      <c r="D806" s="11" t="str">
        <f>iferror(vlookup(B806,'📦 ชื่อสินค้า'!A:D,4,false),"")</f>
        <v/>
      </c>
      <c r="E806" s="16"/>
      <c r="F806" s="6"/>
      <c r="G806" s="8" t="str">
        <f t="shared" si="1"/>
        <v/>
      </c>
      <c r="H806" s="11" t="str">
        <f t="shared" si="2"/>
        <v/>
      </c>
      <c r="I806" s="13"/>
    </row>
    <row r="807">
      <c r="A807" s="5"/>
      <c r="B807" s="6"/>
      <c r="C807" s="14" t="str">
        <f>iferror(vlookup(B807,'📦 ชื่อสินค้า'!A:C,2,false),)</f>
        <v/>
      </c>
      <c r="D807" s="11" t="str">
        <f>iferror(vlookup(B807,'📦 ชื่อสินค้า'!A:D,4,false),"")</f>
        <v/>
      </c>
      <c r="E807" s="16"/>
      <c r="F807" s="6"/>
      <c r="G807" s="8" t="str">
        <f t="shared" si="1"/>
        <v/>
      </c>
      <c r="H807" s="11" t="str">
        <f t="shared" si="2"/>
        <v/>
      </c>
      <c r="I807" s="13"/>
    </row>
    <row r="808">
      <c r="A808" s="5"/>
      <c r="B808" s="6"/>
      <c r="C808" s="14" t="str">
        <f>iferror(vlookup(B808,'📦 ชื่อสินค้า'!A:C,2,false),)</f>
        <v/>
      </c>
      <c r="D808" s="11" t="str">
        <f>iferror(vlookup(B808,'📦 ชื่อสินค้า'!A:D,4,false),"")</f>
        <v/>
      </c>
      <c r="E808" s="16"/>
      <c r="F808" s="6"/>
      <c r="G808" s="8" t="str">
        <f t="shared" si="1"/>
        <v/>
      </c>
      <c r="H808" s="11" t="str">
        <f t="shared" si="2"/>
        <v/>
      </c>
      <c r="I808" s="13"/>
    </row>
    <row r="809">
      <c r="A809" s="5"/>
      <c r="B809" s="6"/>
      <c r="C809" s="14" t="str">
        <f>iferror(vlookup(B809,'📦 ชื่อสินค้า'!A:C,2,false),)</f>
        <v/>
      </c>
      <c r="D809" s="11" t="str">
        <f>iferror(vlookup(B809,'📦 ชื่อสินค้า'!A:D,4,false),"")</f>
        <v/>
      </c>
      <c r="E809" s="16"/>
      <c r="F809" s="6"/>
      <c r="G809" s="8" t="str">
        <f t="shared" si="1"/>
        <v/>
      </c>
      <c r="H809" s="11" t="str">
        <f t="shared" si="2"/>
        <v/>
      </c>
      <c r="I809" s="13"/>
    </row>
    <row r="810">
      <c r="A810" s="5"/>
      <c r="B810" s="6"/>
      <c r="C810" s="14" t="str">
        <f>iferror(vlookup(B810,'📦 ชื่อสินค้า'!A:C,2,false),)</f>
        <v/>
      </c>
      <c r="D810" s="11" t="str">
        <f>iferror(vlookup(B810,'📦 ชื่อสินค้า'!A:D,4,false),"")</f>
        <v/>
      </c>
      <c r="E810" s="16"/>
      <c r="F810" s="6"/>
      <c r="G810" s="8" t="str">
        <f t="shared" si="1"/>
        <v/>
      </c>
      <c r="H810" s="11" t="str">
        <f t="shared" si="2"/>
        <v/>
      </c>
      <c r="I810" s="13"/>
    </row>
    <row r="811">
      <c r="A811" s="5"/>
      <c r="B811" s="6"/>
      <c r="C811" s="14" t="str">
        <f>iferror(vlookup(B811,'📦 ชื่อสินค้า'!A:C,2,false),)</f>
        <v/>
      </c>
      <c r="D811" s="11" t="str">
        <f>iferror(vlookup(B811,'📦 ชื่อสินค้า'!A:D,4,false),"")</f>
        <v/>
      </c>
      <c r="E811" s="16"/>
      <c r="F811" s="6"/>
      <c r="G811" s="8" t="str">
        <f t="shared" si="1"/>
        <v/>
      </c>
      <c r="H811" s="11" t="str">
        <f t="shared" si="2"/>
        <v/>
      </c>
      <c r="I811" s="13"/>
    </row>
    <row r="812">
      <c r="A812" s="5"/>
      <c r="B812" s="6"/>
      <c r="C812" s="14" t="str">
        <f>iferror(vlookup(B812,'📦 ชื่อสินค้า'!A:C,2,false),)</f>
        <v/>
      </c>
      <c r="D812" s="11" t="str">
        <f>iferror(vlookup(B812,'📦 ชื่อสินค้า'!A:D,4,false),"")</f>
        <v/>
      </c>
      <c r="E812" s="16"/>
      <c r="F812" s="6"/>
      <c r="G812" s="8" t="str">
        <f t="shared" si="1"/>
        <v/>
      </c>
      <c r="H812" s="11" t="str">
        <f t="shared" si="2"/>
        <v/>
      </c>
      <c r="I812" s="13"/>
    </row>
    <row r="813">
      <c r="A813" s="5"/>
      <c r="B813" s="6"/>
      <c r="C813" s="14" t="str">
        <f>iferror(vlookup(B813,'📦 ชื่อสินค้า'!A:C,2,false),)</f>
        <v/>
      </c>
      <c r="D813" s="11" t="str">
        <f>iferror(vlookup(B813,'📦 ชื่อสินค้า'!A:D,4,false),"")</f>
        <v/>
      </c>
      <c r="E813" s="16"/>
      <c r="F813" s="6"/>
      <c r="G813" s="8" t="str">
        <f t="shared" si="1"/>
        <v/>
      </c>
      <c r="H813" s="11" t="str">
        <f t="shared" si="2"/>
        <v/>
      </c>
      <c r="I813" s="13"/>
    </row>
    <row r="814">
      <c r="A814" s="5"/>
      <c r="B814" s="6"/>
      <c r="C814" s="14" t="str">
        <f>iferror(vlookup(B814,'📦 ชื่อสินค้า'!A:C,2,false),)</f>
        <v/>
      </c>
      <c r="D814" s="11" t="str">
        <f>iferror(vlookup(B814,'📦 ชื่อสินค้า'!A:D,4,false),"")</f>
        <v/>
      </c>
      <c r="E814" s="16"/>
      <c r="F814" s="6"/>
      <c r="G814" s="8" t="str">
        <f t="shared" si="1"/>
        <v/>
      </c>
      <c r="H814" s="11" t="str">
        <f t="shared" si="2"/>
        <v/>
      </c>
      <c r="I814" s="13"/>
    </row>
    <row r="815">
      <c r="A815" s="5"/>
      <c r="B815" s="6"/>
      <c r="C815" s="14" t="str">
        <f>iferror(vlookup(B815,'📦 ชื่อสินค้า'!A:C,2,false),)</f>
        <v/>
      </c>
      <c r="D815" s="11" t="str">
        <f>iferror(vlookup(B815,'📦 ชื่อสินค้า'!A:D,4,false),"")</f>
        <v/>
      </c>
      <c r="E815" s="16"/>
      <c r="F815" s="6"/>
      <c r="G815" s="8" t="str">
        <f t="shared" si="1"/>
        <v/>
      </c>
      <c r="H815" s="11" t="str">
        <f t="shared" si="2"/>
        <v/>
      </c>
      <c r="I815" s="13"/>
    </row>
    <row r="816">
      <c r="A816" s="5"/>
      <c r="B816" s="6"/>
      <c r="C816" s="14" t="str">
        <f>iferror(vlookup(B816,'📦 ชื่อสินค้า'!A:C,2,false),)</f>
        <v/>
      </c>
      <c r="D816" s="11" t="str">
        <f>iferror(vlookup(B816,'📦 ชื่อสินค้า'!A:D,4,false),"")</f>
        <v/>
      </c>
      <c r="E816" s="16"/>
      <c r="F816" s="6"/>
      <c r="G816" s="8" t="str">
        <f t="shared" si="1"/>
        <v/>
      </c>
      <c r="H816" s="11" t="str">
        <f t="shared" si="2"/>
        <v/>
      </c>
      <c r="I816" s="13"/>
    </row>
    <row r="817">
      <c r="A817" s="5"/>
      <c r="B817" s="6"/>
      <c r="C817" s="14" t="str">
        <f>iferror(vlookup(B817,'📦 ชื่อสินค้า'!A:C,2,false),)</f>
        <v/>
      </c>
      <c r="D817" s="11" t="str">
        <f>iferror(vlookup(B817,'📦 ชื่อสินค้า'!A:D,4,false),"")</f>
        <v/>
      </c>
      <c r="E817" s="16"/>
      <c r="F817" s="6"/>
      <c r="G817" s="8" t="str">
        <f t="shared" si="1"/>
        <v/>
      </c>
      <c r="H817" s="11" t="str">
        <f t="shared" si="2"/>
        <v/>
      </c>
      <c r="I817" s="13"/>
    </row>
    <row r="818">
      <c r="A818" s="5"/>
      <c r="B818" s="6"/>
      <c r="C818" s="14" t="str">
        <f>iferror(vlookup(B818,'📦 ชื่อสินค้า'!A:C,2,false),)</f>
        <v/>
      </c>
      <c r="D818" s="11" t="str">
        <f>iferror(vlookup(B818,'📦 ชื่อสินค้า'!A:D,4,false),"")</f>
        <v/>
      </c>
      <c r="E818" s="16"/>
      <c r="F818" s="6"/>
      <c r="G818" s="8" t="str">
        <f t="shared" si="1"/>
        <v/>
      </c>
      <c r="H818" s="11" t="str">
        <f t="shared" si="2"/>
        <v/>
      </c>
      <c r="I818" s="13"/>
    </row>
    <row r="819">
      <c r="A819" s="5"/>
      <c r="B819" s="6"/>
      <c r="C819" s="14" t="str">
        <f>iferror(vlookup(B819,'📦 ชื่อสินค้า'!A:C,2,false),)</f>
        <v/>
      </c>
      <c r="D819" s="11" t="str">
        <f>iferror(vlookup(B819,'📦 ชื่อสินค้า'!A:D,4,false),"")</f>
        <v/>
      </c>
      <c r="E819" s="16"/>
      <c r="F819" s="6"/>
      <c r="G819" s="8" t="str">
        <f t="shared" si="1"/>
        <v/>
      </c>
      <c r="H819" s="11" t="str">
        <f t="shared" si="2"/>
        <v/>
      </c>
      <c r="I819" s="13"/>
    </row>
    <row r="820">
      <c r="A820" s="5"/>
      <c r="B820" s="6"/>
      <c r="C820" s="14" t="str">
        <f>iferror(vlookup(B820,'📦 ชื่อสินค้า'!A:C,2,false),)</f>
        <v/>
      </c>
      <c r="D820" s="11" t="str">
        <f>iferror(vlookup(B820,'📦 ชื่อสินค้า'!A:D,4,false),"")</f>
        <v/>
      </c>
      <c r="E820" s="16"/>
      <c r="F820" s="6"/>
      <c r="G820" s="8" t="str">
        <f t="shared" si="1"/>
        <v/>
      </c>
      <c r="H820" s="11" t="str">
        <f t="shared" si="2"/>
        <v/>
      </c>
      <c r="I820" s="13"/>
    </row>
    <row r="821">
      <c r="A821" s="5"/>
      <c r="B821" s="6"/>
      <c r="C821" s="14" t="str">
        <f>iferror(vlookup(B821,'📦 ชื่อสินค้า'!A:C,2,false),)</f>
        <v/>
      </c>
      <c r="D821" s="11" t="str">
        <f>iferror(vlookup(B821,'📦 ชื่อสินค้า'!A:D,4,false),"")</f>
        <v/>
      </c>
      <c r="E821" s="16"/>
      <c r="F821" s="6"/>
      <c r="G821" s="8" t="str">
        <f t="shared" si="1"/>
        <v/>
      </c>
      <c r="H821" s="11" t="str">
        <f t="shared" si="2"/>
        <v/>
      </c>
      <c r="I821" s="13"/>
    </row>
    <row r="822">
      <c r="A822" s="5"/>
      <c r="B822" s="6"/>
      <c r="C822" s="14" t="str">
        <f>iferror(vlookup(B822,'📦 ชื่อสินค้า'!A:C,2,false),)</f>
        <v/>
      </c>
      <c r="D822" s="11" t="str">
        <f>iferror(vlookup(B822,'📦 ชื่อสินค้า'!A:D,4,false),"")</f>
        <v/>
      </c>
      <c r="E822" s="16"/>
      <c r="F822" s="6"/>
      <c r="G822" s="8" t="str">
        <f t="shared" si="1"/>
        <v/>
      </c>
      <c r="H822" s="11" t="str">
        <f t="shared" si="2"/>
        <v/>
      </c>
      <c r="I822" s="13"/>
    </row>
    <row r="823">
      <c r="A823" s="5"/>
      <c r="B823" s="6"/>
      <c r="C823" s="14" t="str">
        <f>iferror(vlookup(B823,'📦 ชื่อสินค้า'!A:C,2,false),)</f>
        <v/>
      </c>
      <c r="D823" s="11" t="str">
        <f>iferror(vlookup(B823,'📦 ชื่อสินค้า'!A:D,4,false),"")</f>
        <v/>
      </c>
      <c r="E823" s="16"/>
      <c r="F823" s="6"/>
      <c r="G823" s="8" t="str">
        <f t="shared" si="1"/>
        <v/>
      </c>
      <c r="H823" s="11" t="str">
        <f t="shared" si="2"/>
        <v/>
      </c>
      <c r="I823" s="13"/>
    </row>
    <row r="824">
      <c r="A824" s="5"/>
      <c r="B824" s="6"/>
      <c r="C824" s="14" t="str">
        <f>iferror(vlookup(B824,'📦 ชื่อสินค้า'!A:C,2,false),)</f>
        <v/>
      </c>
      <c r="D824" s="11" t="str">
        <f>iferror(vlookup(B824,'📦 ชื่อสินค้า'!A:D,4,false),"")</f>
        <v/>
      </c>
      <c r="E824" s="16"/>
      <c r="F824" s="6"/>
      <c r="G824" s="8" t="str">
        <f t="shared" si="1"/>
        <v/>
      </c>
      <c r="H824" s="11" t="str">
        <f t="shared" si="2"/>
        <v/>
      </c>
      <c r="I824" s="13"/>
    </row>
    <row r="825">
      <c r="A825" s="5"/>
      <c r="B825" s="6"/>
      <c r="C825" s="14" t="str">
        <f>iferror(vlookup(B825,'📦 ชื่อสินค้า'!A:C,2,false),)</f>
        <v/>
      </c>
      <c r="D825" s="11" t="str">
        <f>iferror(vlookup(B825,'📦 ชื่อสินค้า'!A:D,4,false),"")</f>
        <v/>
      </c>
      <c r="E825" s="16"/>
      <c r="F825" s="6"/>
      <c r="G825" s="8" t="str">
        <f t="shared" si="1"/>
        <v/>
      </c>
      <c r="H825" s="11" t="str">
        <f t="shared" si="2"/>
        <v/>
      </c>
      <c r="I825" s="13"/>
    </row>
    <row r="826">
      <c r="A826" s="5"/>
      <c r="B826" s="6"/>
      <c r="C826" s="14" t="str">
        <f>iferror(vlookup(B826,'📦 ชื่อสินค้า'!A:C,2,false),)</f>
        <v/>
      </c>
      <c r="D826" s="11" t="str">
        <f>iferror(vlookup(B826,'📦 ชื่อสินค้า'!A:D,4,false),"")</f>
        <v/>
      </c>
      <c r="E826" s="16"/>
      <c r="F826" s="6"/>
      <c r="G826" s="8" t="str">
        <f t="shared" si="1"/>
        <v/>
      </c>
      <c r="H826" s="11" t="str">
        <f t="shared" si="2"/>
        <v/>
      </c>
      <c r="I826" s="13"/>
    </row>
    <row r="827">
      <c r="A827" s="5"/>
      <c r="B827" s="6"/>
      <c r="C827" s="14" t="str">
        <f>iferror(vlookup(B827,'📦 ชื่อสินค้า'!A:C,2,false),)</f>
        <v/>
      </c>
      <c r="D827" s="11" t="str">
        <f>iferror(vlookup(B827,'📦 ชื่อสินค้า'!A:D,4,false),"")</f>
        <v/>
      </c>
      <c r="E827" s="16"/>
      <c r="F827" s="6"/>
      <c r="G827" s="8" t="str">
        <f t="shared" si="1"/>
        <v/>
      </c>
      <c r="H827" s="11" t="str">
        <f t="shared" si="2"/>
        <v/>
      </c>
      <c r="I827" s="13"/>
    </row>
    <row r="828">
      <c r="A828" s="5"/>
      <c r="B828" s="6"/>
      <c r="C828" s="14" t="str">
        <f>iferror(vlookup(B828,'📦 ชื่อสินค้า'!A:C,2,false),)</f>
        <v/>
      </c>
      <c r="D828" s="11" t="str">
        <f>iferror(vlookup(B828,'📦 ชื่อสินค้า'!A:D,4,false),"")</f>
        <v/>
      </c>
      <c r="E828" s="16"/>
      <c r="F828" s="6"/>
      <c r="G828" s="8" t="str">
        <f t="shared" si="1"/>
        <v/>
      </c>
      <c r="H828" s="11" t="str">
        <f t="shared" si="2"/>
        <v/>
      </c>
      <c r="I828" s="13"/>
    </row>
    <row r="829">
      <c r="A829" s="5"/>
      <c r="B829" s="6"/>
      <c r="C829" s="14" t="str">
        <f>iferror(vlookup(B829,'📦 ชื่อสินค้า'!A:C,2,false),)</f>
        <v/>
      </c>
      <c r="D829" s="11" t="str">
        <f>iferror(vlookup(B829,'📦 ชื่อสินค้า'!A:D,4,false),"")</f>
        <v/>
      </c>
      <c r="E829" s="16"/>
      <c r="F829" s="6"/>
      <c r="G829" s="8" t="str">
        <f t="shared" si="1"/>
        <v/>
      </c>
      <c r="H829" s="11" t="str">
        <f t="shared" si="2"/>
        <v/>
      </c>
      <c r="I829" s="13"/>
    </row>
    <row r="830">
      <c r="A830" s="5"/>
      <c r="B830" s="6"/>
      <c r="C830" s="14" t="str">
        <f>iferror(vlookup(B830,'📦 ชื่อสินค้า'!A:C,2,false),)</f>
        <v/>
      </c>
      <c r="D830" s="11" t="str">
        <f>iferror(vlookup(B830,'📦 ชื่อสินค้า'!A:D,4,false),"")</f>
        <v/>
      </c>
      <c r="E830" s="16"/>
      <c r="F830" s="6"/>
      <c r="G830" s="8" t="str">
        <f t="shared" si="1"/>
        <v/>
      </c>
      <c r="H830" s="11" t="str">
        <f t="shared" si="2"/>
        <v/>
      </c>
      <c r="I830" s="13"/>
    </row>
    <row r="831">
      <c r="A831" s="5"/>
      <c r="B831" s="6"/>
      <c r="C831" s="14" t="str">
        <f>iferror(vlookup(B831,'📦 ชื่อสินค้า'!A:C,2,false),)</f>
        <v/>
      </c>
      <c r="D831" s="11" t="str">
        <f>iferror(vlookup(B831,'📦 ชื่อสินค้า'!A:D,4,false),"")</f>
        <v/>
      </c>
      <c r="E831" s="16"/>
      <c r="F831" s="6"/>
      <c r="G831" s="8" t="str">
        <f t="shared" si="1"/>
        <v/>
      </c>
      <c r="H831" s="11" t="str">
        <f t="shared" si="2"/>
        <v/>
      </c>
      <c r="I831" s="13"/>
    </row>
    <row r="832">
      <c r="A832" s="5"/>
      <c r="B832" s="6"/>
      <c r="C832" s="14" t="str">
        <f>iferror(vlookup(B832,'📦 ชื่อสินค้า'!A:C,2,false),)</f>
        <v/>
      </c>
      <c r="D832" s="11" t="str">
        <f>iferror(vlookup(B832,'📦 ชื่อสินค้า'!A:D,4,false),"")</f>
        <v/>
      </c>
      <c r="E832" s="16"/>
      <c r="F832" s="6"/>
      <c r="G832" s="8" t="str">
        <f t="shared" si="1"/>
        <v/>
      </c>
      <c r="H832" s="11" t="str">
        <f t="shared" si="2"/>
        <v/>
      </c>
      <c r="I832" s="13"/>
    </row>
    <row r="833">
      <c r="A833" s="5"/>
      <c r="B833" s="6"/>
      <c r="C833" s="14" t="str">
        <f>iferror(vlookup(B833,'📦 ชื่อสินค้า'!A:C,2,false),)</f>
        <v/>
      </c>
      <c r="D833" s="11" t="str">
        <f>iferror(vlookup(B833,'📦 ชื่อสินค้า'!A:D,4,false),"")</f>
        <v/>
      </c>
      <c r="E833" s="16"/>
      <c r="F833" s="6"/>
      <c r="G833" s="8" t="str">
        <f t="shared" si="1"/>
        <v/>
      </c>
      <c r="H833" s="11" t="str">
        <f t="shared" si="2"/>
        <v/>
      </c>
      <c r="I833" s="13"/>
    </row>
    <row r="834">
      <c r="A834" s="5"/>
      <c r="B834" s="6"/>
      <c r="C834" s="14" t="str">
        <f>iferror(vlookup(B834,'📦 ชื่อสินค้า'!A:C,2,false),)</f>
        <v/>
      </c>
      <c r="D834" s="11" t="str">
        <f>iferror(vlookup(B834,'📦 ชื่อสินค้า'!A:D,4,false),"")</f>
        <v/>
      </c>
      <c r="E834" s="16"/>
      <c r="F834" s="6"/>
      <c r="G834" s="8" t="str">
        <f t="shared" si="1"/>
        <v/>
      </c>
      <c r="H834" s="11" t="str">
        <f t="shared" si="2"/>
        <v/>
      </c>
      <c r="I834" s="13"/>
    </row>
    <row r="835">
      <c r="A835" s="5"/>
      <c r="B835" s="6"/>
      <c r="C835" s="14" t="str">
        <f>iferror(vlookup(B835,'📦 ชื่อสินค้า'!A:C,2,false),)</f>
        <v/>
      </c>
      <c r="D835" s="11" t="str">
        <f>iferror(vlookup(B835,'📦 ชื่อสินค้า'!A:D,4,false),"")</f>
        <v/>
      </c>
      <c r="E835" s="16"/>
      <c r="F835" s="6"/>
      <c r="G835" s="8" t="str">
        <f t="shared" si="1"/>
        <v/>
      </c>
      <c r="H835" s="11" t="str">
        <f t="shared" si="2"/>
        <v/>
      </c>
      <c r="I835" s="13"/>
    </row>
    <row r="836">
      <c r="A836" s="5"/>
      <c r="B836" s="6"/>
      <c r="C836" s="14" t="str">
        <f>iferror(vlookup(B836,'📦 ชื่อสินค้า'!A:C,2,false),)</f>
        <v/>
      </c>
      <c r="D836" s="11" t="str">
        <f>iferror(vlookup(B836,'📦 ชื่อสินค้า'!A:D,4,false),"")</f>
        <v/>
      </c>
      <c r="E836" s="16"/>
      <c r="F836" s="6"/>
      <c r="G836" s="8" t="str">
        <f t="shared" si="1"/>
        <v/>
      </c>
      <c r="H836" s="11" t="str">
        <f t="shared" si="2"/>
        <v/>
      </c>
      <c r="I836" s="13"/>
    </row>
    <row r="837">
      <c r="A837" s="5"/>
      <c r="B837" s="6"/>
      <c r="C837" s="14" t="str">
        <f>iferror(vlookup(B837,'📦 ชื่อสินค้า'!A:C,2,false),)</f>
        <v/>
      </c>
      <c r="D837" s="11" t="str">
        <f>iferror(vlookup(B837,'📦 ชื่อสินค้า'!A:D,4,false),"")</f>
        <v/>
      </c>
      <c r="E837" s="16"/>
      <c r="F837" s="6"/>
      <c r="G837" s="8" t="str">
        <f t="shared" si="1"/>
        <v/>
      </c>
      <c r="H837" s="11" t="str">
        <f t="shared" si="2"/>
        <v/>
      </c>
      <c r="I837" s="13"/>
    </row>
    <row r="838">
      <c r="A838" s="5"/>
      <c r="B838" s="6"/>
      <c r="C838" s="14" t="str">
        <f>iferror(vlookup(B838,'📦 ชื่อสินค้า'!A:C,2,false),)</f>
        <v/>
      </c>
      <c r="D838" s="11" t="str">
        <f>iferror(vlookup(B838,'📦 ชื่อสินค้า'!A:D,4,false),"")</f>
        <v/>
      </c>
      <c r="E838" s="16"/>
      <c r="F838" s="6"/>
      <c r="G838" s="8" t="str">
        <f t="shared" si="1"/>
        <v/>
      </c>
      <c r="H838" s="11" t="str">
        <f t="shared" si="2"/>
        <v/>
      </c>
      <c r="I838" s="13"/>
    </row>
    <row r="839">
      <c r="A839" s="5"/>
      <c r="B839" s="6"/>
      <c r="C839" s="14" t="str">
        <f>iferror(vlookup(B839,'📦 ชื่อสินค้า'!A:C,2,false),)</f>
        <v/>
      </c>
      <c r="D839" s="11" t="str">
        <f>iferror(vlookup(B839,'📦 ชื่อสินค้า'!A:D,4,false),"")</f>
        <v/>
      </c>
      <c r="E839" s="16"/>
      <c r="F839" s="6"/>
      <c r="G839" s="8" t="str">
        <f t="shared" si="1"/>
        <v/>
      </c>
      <c r="H839" s="11" t="str">
        <f t="shared" si="2"/>
        <v/>
      </c>
      <c r="I839" s="13"/>
    </row>
    <row r="840">
      <c r="A840" s="5"/>
      <c r="B840" s="6"/>
      <c r="C840" s="14" t="str">
        <f>iferror(vlookup(B840,'📦 ชื่อสินค้า'!A:C,2,false),)</f>
        <v/>
      </c>
      <c r="D840" s="11" t="str">
        <f>iferror(vlookup(B840,'📦 ชื่อสินค้า'!A:D,4,false),"")</f>
        <v/>
      </c>
      <c r="E840" s="16"/>
      <c r="F840" s="6"/>
      <c r="G840" s="8" t="str">
        <f t="shared" si="1"/>
        <v/>
      </c>
      <c r="H840" s="11" t="str">
        <f t="shared" si="2"/>
        <v/>
      </c>
      <c r="I840" s="13"/>
    </row>
    <row r="841">
      <c r="A841" s="5"/>
      <c r="B841" s="6"/>
      <c r="C841" s="14" t="str">
        <f>iferror(vlookup(B841,'📦 ชื่อสินค้า'!A:C,2,false),)</f>
        <v/>
      </c>
      <c r="D841" s="11" t="str">
        <f>iferror(vlookup(B841,'📦 ชื่อสินค้า'!A:D,4,false),"")</f>
        <v/>
      </c>
      <c r="E841" s="16"/>
      <c r="F841" s="6"/>
      <c r="G841" s="8" t="str">
        <f t="shared" si="1"/>
        <v/>
      </c>
      <c r="H841" s="11" t="str">
        <f t="shared" si="2"/>
        <v/>
      </c>
      <c r="I841" s="13"/>
    </row>
    <row r="842">
      <c r="A842" s="5"/>
      <c r="B842" s="6"/>
      <c r="C842" s="14" t="str">
        <f>iferror(vlookup(B842,'📦 ชื่อสินค้า'!A:C,2,false),)</f>
        <v/>
      </c>
      <c r="D842" s="11" t="str">
        <f>iferror(vlookup(B842,'📦 ชื่อสินค้า'!A:D,4,false),"")</f>
        <v/>
      </c>
      <c r="E842" s="16"/>
      <c r="F842" s="6"/>
      <c r="G842" s="8" t="str">
        <f t="shared" si="1"/>
        <v/>
      </c>
      <c r="H842" s="11" t="str">
        <f t="shared" si="2"/>
        <v/>
      </c>
      <c r="I842" s="13"/>
    </row>
    <row r="843">
      <c r="A843" s="5"/>
      <c r="B843" s="6"/>
      <c r="C843" s="14" t="str">
        <f>iferror(vlookup(B843,'📦 ชื่อสินค้า'!A:C,2,false),)</f>
        <v/>
      </c>
      <c r="D843" s="11" t="str">
        <f>iferror(vlookup(B843,'📦 ชื่อสินค้า'!A:D,4,false),"")</f>
        <v/>
      </c>
      <c r="E843" s="16"/>
      <c r="F843" s="6"/>
      <c r="G843" s="8" t="str">
        <f t="shared" si="1"/>
        <v/>
      </c>
      <c r="H843" s="11" t="str">
        <f t="shared" si="2"/>
        <v/>
      </c>
      <c r="I843" s="13"/>
    </row>
    <row r="844">
      <c r="A844" s="5"/>
      <c r="B844" s="6"/>
      <c r="C844" s="14" t="str">
        <f>iferror(vlookup(B844,'📦 ชื่อสินค้า'!A:C,2,false),)</f>
        <v/>
      </c>
      <c r="D844" s="11" t="str">
        <f>iferror(vlookup(B844,'📦 ชื่อสินค้า'!A:D,4,false),"")</f>
        <v/>
      </c>
      <c r="E844" s="16"/>
      <c r="F844" s="6"/>
      <c r="G844" s="8" t="str">
        <f t="shared" si="1"/>
        <v/>
      </c>
      <c r="H844" s="11" t="str">
        <f t="shared" si="2"/>
        <v/>
      </c>
      <c r="I844" s="13"/>
    </row>
    <row r="845">
      <c r="A845" s="5"/>
      <c r="B845" s="6"/>
      <c r="C845" s="14" t="str">
        <f>iferror(vlookup(B845,'📦 ชื่อสินค้า'!A:C,2,false),)</f>
        <v/>
      </c>
      <c r="D845" s="11" t="str">
        <f>iferror(vlookup(B845,'📦 ชื่อสินค้า'!A:D,4,false),"")</f>
        <v/>
      </c>
      <c r="E845" s="16"/>
      <c r="F845" s="6"/>
      <c r="G845" s="8" t="str">
        <f t="shared" si="1"/>
        <v/>
      </c>
      <c r="H845" s="11" t="str">
        <f t="shared" si="2"/>
        <v/>
      </c>
      <c r="I845" s="13"/>
    </row>
    <row r="846">
      <c r="A846" s="5"/>
      <c r="B846" s="6"/>
      <c r="C846" s="14" t="str">
        <f>iferror(vlookup(B846,'📦 ชื่อสินค้า'!A:C,2,false),)</f>
        <v/>
      </c>
      <c r="D846" s="11" t="str">
        <f>iferror(vlookup(B846,'📦 ชื่อสินค้า'!A:D,4,false),"")</f>
        <v/>
      </c>
      <c r="E846" s="16"/>
      <c r="F846" s="6"/>
      <c r="G846" s="8" t="str">
        <f t="shared" si="1"/>
        <v/>
      </c>
      <c r="H846" s="11" t="str">
        <f t="shared" si="2"/>
        <v/>
      </c>
      <c r="I846" s="13"/>
    </row>
    <row r="847">
      <c r="A847" s="5"/>
      <c r="B847" s="6"/>
      <c r="C847" s="14" t="str">
        <f>iferror(vlookup(B847,'📦 ชื่อสินค้า'!A:C,2,false),)</f>
        <v/>
      </c>
      <c r="D847" s="11" t="str">
        <f>iferror(vlookup(B847,'📦 ชื่อสินค้า'!A:D,4,false),"")</f>
        <v/>
      </c>
      <c r="E847" s="16"/>
      <c r="F847" s="6"/>
      <c r="G847" s="8" t="str">
        <f t="shared" si="1"/>
        <v/>
      </c>
      <c r="H847" s="11" t="str">
        <f t="shared" si="2"/>
        <v/>
      </c>
      <c r="I847" s="13"/>
    </row>
    <row r="848">
      <c r="A848" s="5"/>
      <c r="B848" s="6"/>
      <c r="C848" s="14" t="str">
        <f>iferror(vlookup(B848,'📦 ชื่อสินค้า'!A:C,2,false),)</f>
        <v/>
      </c>
      <c r="D848" s="11" t="str">
        <f>iferror(vlookup(B848,'📦 ชื่อสินค้า'!A:D,4,false),"")</f>
        <v/>
      </c>
      <c r="E848" s="16"/>
      <c r="F848" s="6"/>
      <c r="G848" s="8" t="str">
        <f t="shared" si="1"/>
        <v/>
      </c>
      <c r="H848" s="11" t="str">
        <f t="shared" si="2"/>
        <v/>
      </c>
      <c r="I848" s="13"/>
    </row>
    <row r="849">
      <c r="A849" s="5"/>
      <c r="B849" s="6"/>
      <c r="C849" s="14" t="str">
        <f>iferror(vlookup(B849,'📦 ชื่อสินค้า'!A:C,2,false),)</f>
        <v/>
      </c>
      <c r="D849" s="11" t="str">
        <f>iferror(vlookup(B849,'📦 ชื่อสินค้า'!A:D,4,false),"")</f>
        <v/>
      </c>
      <c r="E849" s="16"/>
      <c r="F849" s="6"/>
      <c r="G849" s="8" t="str">
        <f t="shared" si="1"/>
        <v/>
      </c>
      <c r="H849" s="11" t="str">
        <f t="shared" si="2"/>
        <v/>
      </c>
      <c r="I849" s="13"/>
    </row>
    <row r="850">
      <c r="A850" s="5"/>
      <c r="B850" s="6"/>
      <c r="C850" s="14" t="str">
        <f>iferror(vlookup(B850,'📦 ชื่อสินค้า'!A:C,2,false),)</f>
        <v/>
      </c>
      <c r="D850" s="11" t="str">
        <f>iferror(vlookup(B850,'📦 ชื่อสินค้า'!A:D,4,false),"")</f>
        <v/>
      </c>
      <c r="E850" s="16"/>
      <c r="F850" s="6"/>
      <c r="G850" s="8" t="str">
        <f t="shared" si="1"/>
        <v/>
      </c>
      <c r="H850" s="11" t="str">
        <f t="shared" si="2"/>
        <v/>
      </c>
      <c r="I850" s="13"/>
    </row>
    <row r="851">
      <c r="A851" s="5"/>
      <c r="B851" s="6"/>
      <c r="C851" s="14" t="str">
        <f>iferror(vlookup(B851,'📦 ชื่อสินค้า'!A:C,2,false),)</f>
        <v/>
      </c>
      <c r="D851" s="11" t="str">
        <f>iferror(vlookup(B851,'📦 ชื่อสินค้า'!A:D,4,false),"")</f>
        <v/>
      </c>
      <c r="E851" s="16"/>
      <c r="F851" s="6"/>
      <c r="G851" s="8" t="str">
        <f t="shared" si="1"/>
        <v/>
      </c>
      <c r="H851" s="11" t="str">
        <f t="shared" si="2"/>
        <v/>
      </c>
      <c r="I851" s="13"/>
    </row>
    <row r="852">
      <c r="A852" s="5"/>
      <c r="B852" s="6"/>
      <c r="C852" s="14" t="str">
        <f>iferror(vlookup(B852,'📦 ชื่อสินค้า'!A:C,2,false),)</f>
        <v/>
      </c>
      <c r="D852" s="11" t="str">
        <f>iferror(vlookup(B852,'📦 ชื่อสินค้า'!A:D,4,false),"")</f>
        <v/>
      </c>
      <c r="E852" s="16"/>
      <c r="F852" s="6"/>
      <c r="G852" s="8" t="str">
        <f t="shared" si="1"/>
        <v/>
      </c>
      <c r="H852" s="11" t="str">
        <f t="shared" si="2"/>
        <v/>
      </c>
      <c r="I852" s="13"/>
    </row>
    <row r="853">
      <c r="A853" s="5"/>
      <c r="B853" s="6"/>
      <c r="C853" s="14" t="str">
        <f>iferror(vlookup(B853,'📦 ชื่อสินค้า'!A:C,2,false),)</f>
        <v/>
      </c>
      <c r="D853" s="11" t="str">
        <f>iferror(vlookup(B853,'📦 ชื่อสินค้า'!A:D,4,false),"")</f>
        <v/>
      </c>
      <c r="E853" s="16"/>
      <c r="F853" s="6"/>
      <c r="G853" s="8" t="str">
        <f t="shared" si="1"/>
        <v/>
      </c>
      <c r="H853" s="11" t="str">
        <f t="shared" si="2"/>
        <v/>
      </c>
      <c r="I853" s="13"/>
    </row>
    <row r="854">
      <c r="A854" s="5"/>
      <c r="B854" s="6"/>
      <c r="C854" s="14" t="str">
        <f>iferror(vlookup(B854,'📦 ชื่อสินค้า'!A:C,2,false),)</f>
        <v/>
      </c>
      <c r="D854" s="11" t="str">
        <f>iferror(vlookup(B854,'📦 ชื่อสินค้า'!A:D,4,false),"")</f>
        <v/>
      </c>
      <c r="E854" s="16"/>
      <c r="F854" s="6"/>
      <c r="G854" s="8" t="str">
        <f t="shared" si="1"/>
        <v/>
      </c>
      <c r="H854" s="11" t="str">
        <f t="shared" si="2"/>
        <v/>
      </c>
      <c r="I854" s="13"/>
    </row>
    <row r="855">
      <c r="A855" s="5"/>
      <c r="B855" s="6"/>
      <c r="C855" s="14" t="str">
        <f>iferror(vlookup(B855,'📦 ชื่อสินค้า'!A:C,2,false),)</f>
        <v/>
      </c>
      <c r="D855" s="11" t="str">
        <f>iferror(vlookup(B855,'📦 ชื่อสินค้า'!A:D,4,false),"")</f>
        <v/>
      </c>
      <c r="E855" s="16"/>
      <c r="F855" s="6"/>
      <c r="G855" s="8" t="str">
        <f t="shared" si="1"/>
        <v/>
      </c>
      <c r="H855" s="11" t="str">
        <f t="shared" si="2"/>
        <v/>
      </c>
      <c r="I855" s="13"/>
    </row>
    <row r="856">
      <c r="A856" s="5"/>
      <c r="B856" s="6"/>
      <c r="C856" s="14" t="str">
        <f>iferror(vlookup(B856,'📦 ชื่อสินค้า'!A:C,2,false),)</f>
        <v/>
      </c>
      <c r="D856" s="11" t="str">
        <f>iferror(vlookup(B856,'📦 ชื่อสินค้า'!A:D,4,false),"")</f>
        <v/>
      </c>
      <c r="E856" s="16"/>
      <c r="F856" s="6"/>
      <c r="G856" s="8" t="str">
        <f t="shared" si="1"/>
        <v/>
      </c>
      <c r="H856" s="11" t="str">
        <f t="shared" si="2"/>
        <v/>
      </c>
      <c r="I856" s="13"/>
    </row>
    <row r="857">
      <c r="A857" s="5"/>
      <c r="B857" s="6"/>
      <c r="C857" s="14" t="str">
        <f>iferror(vlookup(B857,'📦 ชื่อสินค้า'!A:C,2,false),)</f>
        <v/>
      </c>
      <c r="D857" s="11" t="str">
        <f>iferror(vlookup(B857,'📦 ชื่อสินค้า'!A:D,4,false),"")</f>
        <v/>
      </c>
      <c r="E857" s="16"/>
      <c r="F857" s="6"/>
      <c r="G857" s="8" t="str">
        <f t="shared" si="1"/>
        <v/>
      </c>
      <c r="H857" s="11" t="str">
        <f t="shared" si="2"/>
        <v/>
      </c>
      <c r="I857" s="13"/>
    </row>
    <row r="858">
      <c r="A858" s="5"/>
      <c r="B858" s="6"/>
      <c r="C858" s="14" t="str">
        <f>iferror(vlookup(B858,'📦 ชื่อสินค้า'!A:C,2,false),)</f>
        <v/>
      </c>
      <c r="D858" s="11" t="str">
        <f>iferror(vlookup(B858,'📦 ชื่อสินค้า'!A:D,4,false),"")</f>
        <v/>
      </c>
      <c r="E858" s="16"/>
      <c r="F858" s="6"/>
      <c r="G858" s="8" t="str">
        <f t="shared" si="1"/>
        <v/>
      </c>
      <c r="H858" s="11" t="str">
        <f t="shared" si="2"/>
        <v/>
      </c>
      <c r="I858" s="13"/>
    </row>
    <row r="859">
      <c r="A859" s="5"/>
      <c r="B859" s="6"/>
      <c r="C859" s="14" t="str">
        <f>iferror(vlookup(B859,'📦 ชื่อสินค้า'!A:C,2,false),)</f>
        <v/>
      </c>
      <c r="D859" s="11" t="str">
        <f>iferror(vlookup(B859,'📦 ชื่อสินค้า'!A:D,4,false),"")</f>
        <v/>
      </c>
      <c r="E859" s="16"/>
      <c r="F859" s="6"/>
      <c r="G859" s="8" t="str">
        <f t="shared" si="1"/>
        <v/>
      </c>
      <c r="H859" s="11" t="str">
        <f t="shared" si="2"/>
        <v/>
      </c>
      <c r="I859" s="13"/>
    </row>
    <row r="860">
      <c r="A860" s="5"/>
      <c r="B860" s="6"/>
      <c r="C860" s="14" t="str">
        <f>iferror(vlookup(B860,'📦 ชื่อสินค้า'!A:C,2,false),)</f>
        <v/>
      </c>
      <c r="D860" s="11" t="str">
        <f>iferror(vlookup(B860,'📦 ชื่อสินค้า'!A:D,4,false),"")</f>
        <v/>
      </c>
      <c r="E860" s="16"/>
      <c r="F860" s="6"/>
      <c r="G860" s="8" t="str">
        <f t="shared" si="1"/>
        <v/>
      </c>
      <c r="H860" s="11" t="str">
        <f t="shared" si="2"/>
        <v/>
      </c>
      <c r="I860" s="13"/>
    </row>
    <row r="861">
      <c r="A861" s="5"/>
      <c r="B861" s="6"/>
      <c r="C861" s="14" t="str">
        <f>iferror(vlookup(B861,'📦 ชื่อสินค้า'!A:C,2,false),)</f>
        <v/>
      </c>
      <c r="D861" s="11" t="str">
        <f>iferror(vlookup(B861,'📦 ชื่อสินค้า'!A:D,4,false),"")</f>
        <v/>
      </c>
      <c r="E861" s="16"/>
      <c r="F861" s="6"/>
      <c r="G861" s="8" t="str">
        <f t="shared" si="1"/>
        <v/>
      </c>
      <c r="H861" s="11" t="str">
        <f t="shared" si="2"/>
        <v/>
      </c>
      <c r="I861" s="13"/>
    </row>
    <row r="862">
      <c r="A862" s="5"/>
      <c r="B862" s="6"/>
      <c r="C862" s="14" t="str">
        <f>iferror(vlookup(B862,'📦 ชื่อสินค้า'!A:C,2,false),)</f>
        <v/>
      </c>
      <c r="D862" s="11" t="str">
        <f>iferror(vlookup(B862,'📦 ชื่อสินค้า'!A:D,4,false),"")</f>
        <v/>
      </c>
      <c r="E862" s="16"/>
      <c r="F862" s="6"/>
      <c r="G862" s="8" t="str">
        <f t="shared" si="1"/>
        <v/>
      </c>
      <c r="H862" s="11" t="str">
        <f t="shared" si="2"/>
        <v/>
      </c>
      <c r="I862" s="13"/>
    </row>
    <row r="863">
      <c r="A863" s="5"/>
      <c r="B863" s="6"/>
      <c r="C863" s="14" t="str">
        <f>iferror(vlookup(B863,'📦 ชื่อสินค้า'!A:C,2,false),)</f>
        <v/>
      </c>
      <c r="D863" s="11" t="str">
        <f>iferror(vlookup(B863,'📦 ชื่อสินค้า'!A:D,4,false),"")</f>
        <v/>
      </c>
      <c r="E863" s="16"/>
      <c r="F863" s="6"/>
      <c r="G863" s="8" t="str">
        <f t="shared" si="1"/>
        <v/>
      </c>
      <c r="H863" s="11" t="str">
        <f t="shared" si="2"/>
        <v/>
      </c>
      <c r="I863" s="13"/>
    </row>
    <row r="864">
      <c r="A864" s="5"/>
      <c r="B864" s="6"/>
      <c r="C864" s="14" t="str">
        <f>iferror(vlookup(B864,'📦 ชื่อสินค้า'!A:C,2,false),)</f>
        <v/>
      </c>
      <c r="D864" s="11" t="str">
        <f>iferror(vlookup(B864,'📦 ชื่อสินค้า'!A:D,4,false),"")</f>
        <v/>
      </c>
      <c r="E864" s="16"/>
      <c r="F864" s="6"/>
      <c r="G864" s="8" t="str">
        <f t="shared" si="1"/>
        <v/>
      </c>
      <c r="H864" s="11" t="str">
        <f t="shared" si="2"/>
        <v/>
      </c>
      <c r="I864" s="13"/>
    </row>
    <row r="865">
      <c r="A865" s="5"/>
      <c r="B865" s="6"/>
      <c r="C865" s="14" t="str">
        <f>iferror(vlookup(B865,'📦 ชื่อสินค้า'!A:C,2,false),)</f>
        <v/>
      </c>
      <c r="D865" s="11" t="str">
        <f>iferror(vlookup(B865,'📦 ชื่อสินค้า'!A:D,4,false),"")</f>
        <v/>
      </c>
      <c r="E865" s="16"/>
      <c r="F865" s="6"/>
      <c r="G865" s="8" t="str">
        <f t="shared" si="1"/>
        <v/>
      </c>
      <c r="H865" s="11" t="str">
        <f t="shared" si="2"/>
        <v/>
      </c>
      <c r="I865" s="13"/>
    </row>
    <row r="866">
      <c r="A866" s="5"/>
      <c r="B866" s="6"/>
      <c r="C866" s="14" t="str">
        <f>iferror(vlookup(B866,'📦 ชื่อสินค้า'!A:C,2,false),)</f>
        <v/>
      </c>
      <c r="D866" s="11" t="str">
        <f>iferror(vlookup(B866,'📦 ชื่อสินค้า'!A:D,4,false),"")</f>
        <v/>
      </c>
      <c r="E866" s="16"/>
      <c r="F866" s="6"/>
      <c r="G866" s="8" t="str">
        <f t="shared" si="1"/>
        <v/>
      </c>
      <c r="H866" s="11" t="str">
        <f t="shared" si="2"/>
        <v/>
      </c>
      <c r="I866" s="13"/>
    </row>
    <row r="867">
      <c r="A867" s="5"/>
      <c r="B867" s="6"/>
      <c r="C867" s="14" t="str">
        <f>iferror(vlookup(B867,'📦 ชื่อสินค้า'!A:C,2,false),)</f>
        <v/>
      </c>
      <c r="D867" s="11" t="str">
        <f>iferror(vlookup(B867,'📦 ชื่อสินค้า'!A:D,4,false),"")</f>
        <v/>
      </c>
      <c r="E867" s="16"/>
      <c r="F867" s="6"/>
      <c r="G867" s="8" t="str">
        <f t="shared" si="1"/>
        <v/>
      </c>
      <c r="H867" s="11" t="str">
        <f t="shared" si="2"/>
        <v/>
      </c>
      <c r="I867" s="13"/>
    </row>
    <row r="868">
      <c r="A868" s="5"/>
      <c r="B868" s="6"/>
      <c r="C868" s="14" t="str">
        <f>iferror(vlookup(B868,'📦 ชื่อสินค้า'!A:C,2,false),)</f>
        <v/>
      </c>
      <c r="D868" s="11" t="str">
        <f>iferror(vlookup(B868,'📦 ชื่อสินค้า'!A:D,4,false),"")</f>
        <v/>
      </c>
      <c r="E868" s="16"/>
      <c r="F868" s="6"/>
      <c r="G868" s="8" t="str">
        <f t="shared" si="1"/>
        <v/>
      </c>
      <c r="H868" s="11" t="str">
        <f t="shared" si="2"/>
        <v/>
      </c>
      <c r="I868" s="13"/>
    </row>
    <row r="869">
      <c r="A869" s="5"/>
      <c r="B869" s="6"/>
      <c r="C869" s="14" t="str">
        <f>iferror(vlookup(B869,'📦 ชื่อสินค้า'!A:C,2,false),)</f>
        <v/>
      </c>
      <c r="D869" s="11" t="str">
        <f>iferror(vlookup(B869,'📦 ชื่อสินค้า'!A:D,4,false),"")</f>
        <v/>
      </c>
      <c r="E869" s="16"/>
      <c r="F869" s="6"/>
      <c r="G869" s="8" t="str">
        <f t="shared" si="1"/>
        <v/>
      </c>
      <c r="H869" s="11" t="str">
        <f t="shared" si="2"/>
        <v/>
      </c>
      <c r="I869" s="13"/>
    </row>
    <row r="870">
      <c r="A870" s="5"/>
      <c r="B870" s="6"/>
      <c r="C870" s="14" t="str">
        <f>iferror(vlookup(B870,'📦 ชื่อสินค้า'!A:C,2,false),)</f>
        <v/>
      </c>
      <c r="D870" s="11" t="str">
        <f>iferror(vlookup(B870,'📦 ชื่อสินค้า'!A:D,4,false),"")</f>
        <v/>
      </c>
      <c r="E870" s="16"/>
      <c r="F870" s="6"/>
      <c r="G870" s="8" t="str">
        <f t="shared" si="1"/>
        <v/>
      </c>
      <c r="H870" s="11" t="str">
        <f t="shared" si="2"/>
        <v/>
      </c>
      <c r="I870" s="13"/>
    </row>
    <row r="871">
      <c r="A871" s="5"/>
      <c r="B871" s="6"/>
      <c r="C871" s="14" t="str">
        <f>iferror(vlookup(B871,'📦 ชื่อสินค้า'!A:C,2,false),)</f>
        <v/>
      </c>
      <c r="D871" s="11" t="str">
        <f>iferror(vlookup(B871,'📦 ชื่อสินค้า'!A:D,4,false),"")</f>
        <v/>
      </c>
      <c r="E871" s="16"/>
      <c r="F871" s="6"/>
      <c r="G871" s="8" t="str">
        <f t="shared" si="1"/>
        <v/>
      </c>
      <c r="H871" s="11" t="str">
        <f t="shared" si="2"/>
        <v/>
      </c>
      <c r="I871" s="13"/>
    </row>
    <row r="872">
      <c r="A872" s="5"/>
      <c r="B872" s="6"/>
      <c r="C872" s="14" t="str">
        <f>iferror(vlookup(B872,'📦 ชื่อสินค้า'!A:C,2,false),)</f>
        <v/>
      </c>
      <c r="D872" s="11" t="str">
        <f>iferror(vlookup(B872,'📦 ชื่อสินค้า'!A:D,4,false),"")</f>
        <v/>
      </c>
      <c r="E872" s="16"/>
      <c r="F872" s="6"/>
      <c r="G872" s="8" t="str">
        <f t="shared" si="1"/>
        <v/>
      </c>
      <c r="H872" s="11" t="str">
        <f t="shared" si="2"/>
        <v/>
      </c>
      <c r="I872" s="13"/>
    </row>
    <row r="873">
      <c r="A873" s="5"/>
      <c r="B873" s="6"/>
      <c r="C873" s="14" t="str">
        <f>iferror(vlookup(B873,'📦 ชื่อสินค้า'!A:C,2,false),)</f>
        <v/>
      </c>
      <c r="D873" s="11" t="str">
        <f>iferror(vlookup(B873,'📦 ชื่อสินค้า'!A:D,4,false),"")</f>
        <v/>
      </c>
      <c r="E873" s="16"/>
      <c r="F873" s="6"/>
      <c r="G873" s="8" t="str">
        <f t="shared" si="1"/>
        <v/>
      </c>
      <c r="H873" s="11" t="str">
        <f t="shared" si="2"/>
        <v/>
      </c>
      <c r="I873" s="13"/>
    </row>
    <row r="874">
      <c r="A874" s="5"/>
      <c r="B874" s="6"/>
      <c r="C874" s="14" t="str">
        <f>iferror(vlookup(B874,'📦 ชื่อสินค้า'!A:C,2,false),)</f>
        <v/>
      </c>
      <c r="D874" s="11" t="str">
        <f>iferror(vlookup(B874,'📦 ชื่อสินค้า'!A:D,4,false),"")</f>
        <v/>
      </c>
      <c r="E874" s="16"/>
      <c r="F874" s="6"/>
      <c r="G874" s="8" t="str">
        <f t="shared" si="1"/>
        <v/>
      </c>
      <c r="H874" s="11" t="str">
        <f t="shared" si="2"/>
        <v/>
      </c>
      <c r="I874" s="13"/>
    </row>
    <row r="875">
      <c r="A875" s="5"/>
      <c r="B875" s="6"/>
      <c r="C875" s="14" t="str">
        <f>iferror(vlookup(B875,'📦 ชื่อสินค้า'!A:C,2,false),)</f>
        <v/>
      </c>
      <c r="D875" s="11" t="str">
        <f>iferror(vlookup(B875,'📦 ชื่อสินค้า'!A:D,4,false),"")</f>
        <v/>
      </c>
      <c r="E875" s="16"/>
      <c r="F875" s="6"/>
      <c r="G875" s="8" t="str">
        <f t="shared" si="1"/>
        <v/>
      </c>
      <c r="H875" s="11" t="str">
        <f t="shared" si="2"/>
        <v/>
      </c>
      <c r="I875" s="13"/>
    </row>
    <row r="876">
      <c r="A876" s="5"/>
      <c r="B876" s="6"/>
      <c r="C876" s="14" t="str">
        <f>iferror(vlookup(B876,'📦 ชื่อสินค้า'!A:C,2,false),)</f>
        <v/>
      </c>
      <c r="D876" s="11" t="str">
        <f>iferror(vlookup(B876,'📦 ชื่อสินค้า'!A:D,4,false),"")</f>
        <v/>
      </c>
      <c r="E876" s="16"/>
      <c r="F876" s="6"/>
      <c r="G876" s="8" t="str">
        <f t="shared" si="1"/>
        <v/>
      </c>
      <c r="H876" s="11" t="str">
        <f t="shared" si="2"/>
        <v/>
      </c>
      <c r="I876" s="13"/>
    </row>
    <row r="877">
      <c r="A877" s="5"/>
      <c r="B877" s="6"/>
      <c r="C877" s="14" t="str">
        <f>iferror(vlookup(B877,'📦 ชื่อสินค้า'!A:C,2,false),)</f>
        <v/>
      </c>
      <c r="D877" s="11" t="str">
        <f>iferror(vlookup(B877,'📦 ชื่อสินค้า'!A:D,4,false),"")</f>
        <v/>
      </c>
      <c r="E877" s="16"/>
      <c r="F877" s="6"/>
      <c r="G877" s="8" t="str">
        <f t="shared" si="1"/>
        <v/>
      </c>
      <c r="H877" s="11" t="str">
        <f t="shared" si="2"/>
        <v/>
      </c>
      <c r="I877" s="13"/>
    </row>
    <row r="878">
      <c r="A878" s="5"/>
      <c r="B878" s="6"/>
      <c r="C878" s="14" t="str">
        <f>iferror(vlookup(B878,'📦 ชื่อสินค้า'!A:C,2,false),)</f>
        <v/>
      </c>
      <c r="D878" s="11" t="str">
        <f>iferror(vlookup(B878,'📦 ชื่อสินค้า'!A:D,4,false),"")</f>
        <v/>
      </c>
      <c r="E878" s="16"/>
      <c r="F878" s="6"/>
      <c r="G878" s="8" t="str">
        <f t="shared" si="1"/>
        <v/>
      </c>
      <c r="H878" s="11" t="str">
        <f t="shared" si="2"/>
        <v/>
      </c>
      <c r="I878" s="13"/>
    </row>
    <row r="879">
      <c r="A879" s="5"/>
      <c r="B879" s="6"/>
      <c r="C879" s="14" t="str">
        <f>iferror(vlookup(B879,'📦 ชื่อสินค้า'!A:C,2,false),)</f>
        <v/>
      </c>
      <c r="D879" s="11" t="str">
        <f>iferror(vlookup(B879,'📦 ชื่อสินค้า'!A:D,4,false),"")</f>
        <v/>
      </c>
      <c r="E879" s="16"/>
      <c r="F879" s="6"/>
      <c r="G879" s="8" t="str">
        <f t="shared" si="1"/>
        <v/>
      </c>
      <c r="H879" s="11" t="str">
        <f t="shared" si="2"/>
        <v/>
      </c>
      <c r="I879" s="13"/>
    </row>
    <row r="880">
      <c r="A880" s="5"/>
      <c r="B880" s="6"/>
      <c r="C880" s="14" t="str">
        <f>iferror(vlookup(B880,'📦 ชื่อสินค้า'!A:C,2,false),)</f>
        <v/>
      </c>
      <c r="D880" s="11" t="str">
        <f>iferror(vlookup(B880,'📦 ชื่อสินค้า'!A:D,4,false),"")</f>
        <v/>
      </c>
      <c r="E880" s="16"/>
      <c r="F880" s="6"/>
      <c r="G880" s="8" t="str">
        <f t="shared" si="1"/>
        <v/>
      </c>
      <c r="H880" s="11" t="str">
        <f t="shared" si="2"/>
        <v/>
      </c>
      <c r="I880" s="13"/>
    </row>
    <row r="881">
      <c r="A881" s="5"/>
      <c r="B881" s="6"/>
      <c r="C881" s="14" t="str">
        <f>iferror(vlookup(B881,'📦 ชื่อสินค้า'!A:C,2,false),)</f>
        <v/>
      </c>
      <c r="D881" s="11" t="str">
        <f>iferror(vlookup(B881,'📦 ชื่อสินค้า'!A:D,4,false),"")</f>
        <v/>
      </c>
      <c r="E881" s="16"/>
      <c r="F881" s="6"/>
      <c r="G881" s="8" t="str">
        <f t="shared" si="1"/>
        <v/>
      </c>
      <c r="H881" s="11" t="str">
        <f t="shared" si="2"/>
        <v/>
      </c>
      <c r="I881" s="13"/>
    </row>
    <row r="882">
      <c r="A882" s="5"/>
      <c r="B882" s="6"/>
      <c r="C882" s="14" t="str">
        <f>iferror(vlookup(B882,'📦 ชื่อสินค้า'!A:C,2,false),)</f>
        <v/>
      </c>
      <c r="D882" s="11" t="str">
        <f>iferror(vlookup(B882,'📦 ชื่อสินค้า'!A:D,4,false),"")</f>
        <v/>
      </c>
      <c r="E882" s="16"/>
      <c r="F882" s="6"/>
      <c r="G882" s="8" t="str">
        <f t="shared" si="1"/>
        <v/>
      </c>
      <c r="H882" s="11" t="str">
        <f t="shared" si="2"/>
        <v/>
      </c>
      <c r="I882" s="13"/>
    </row>
    <row r="883">
      <c r="A883" s="5"/>
      <c r="B883" s="6"/>
      <c r="C883" s="14" t="str">
        <f>iferror(vlookup(B883,'📦 ชื่อสินค้า'!A:C,2,false),)</f>
        <v/>
      </c>
      <c r="D883" s="11" t="str">
        <f>iferror(vlookup(B883,'📦 ชื่อสินค้า'!A:D,4,false),"")</f>
        <v/>
      </c>
      <c r="E883" s="16"/>
      <c r="F883" s="6"/>
      <c r="G883" s="8" t="str">
        <f t="shared" si="1"/>
        <v/>
      </c>
      <c r="H883" s="11" t="str">
        <f t="shared" si="2"/>
        <v/>
      </c>
      <c r="I883" s="13"/>
    </row>
    <row r="884">
      <c r="A884" s="5"/>
      <c r="B884" s="6"/>
      <c r="C884" s="14" t="str">
        <f>iferror(vlookup(B884,'📦 ชื่อสินค้า'!A:C,2,false),)</f>
        <v/>
      </c>
      <c r="D884" s="11" t="str">
        <f>iferror(vlookup(B884,'📦 ชื่อสินค้า'!A:D,4,false),"")</f>
        <v/>
      </c>
      <c r="E884" s="16"/>
      <c r="F884" s="6"/>
      <c r="G884" s="8" t="str">
        <f t="shared" si="1"/>
        <v/>
      </c>
      <c r="H884" s="11" t="str">
        <f t="shared" si="2"/>
        <v/>
      </c>
      <c r="I884" s="13"/>
    </row>
    <row r="885">
      <c r="A885" s="5"/>
      <c r="B885" s="6"/>
      <c r="C885" s="14" t="str">
        <f>iferror(vlookup(B885,'📦 ชื่อสินค้า'!A:C,2,false),)</f>
        <v/>
      </c>
      <c r="D885" s="11" t="str">
        <f>iferror(vlookup(B885,'📦 ชื่อสินค้า'!A:D,4,false),"")</f>
        <v/>
      </c>
      <c r="E885" s="16"/>
      <c r="F885" s="6"/>
      <c r="G885" s="8" t="str">
        <f t="shared" si="1"/>
        <v/>
      </c>
      <c r="H885" s="11" t="str">
        <f t="shared" si="2"/>
        <v/>
      </c>
      <c r="I885" s="13"/>
    </row>
    <row r="886">
      <c r="A886" s="5"/>
      <c r="B886" s="6"/>
      <c r="C886" s="14" t="str">
        <f>iferror(vlookup(B886,'📦 ชื่อสินค้า'!A:C,2,false),)</f>
        <v/>
      </c>
      <c r="D886" s="11" t="str">
        <f>iferror(vlookup(B886,'📦 ชื่อสินค้า'!A:D,4,false),"")</f>
        <v/>
      </c>
      <c r="E886" s="16"/>
      <c r="F886" s="6"/>
      <c r="G886" s="8" t="str">
        <f t="shared" si="1"/>
        <v/>
      </c>
      <c r="H886" s="11" t="str">
        <f t="shared" si="2"/>
        <v/>
      </c>
      <c r="I886" s="13"/>
    </row>
    <row r="887">
      <c r="A887" s="5"/>
      <c r="B887" s="6"/>
      <c r="C887" s="14" t="str">
        <f>iferror(vlookup(B887,'📦 ชื่อสินค้า'!A:C,2,false),)</f>
        <v/>
      </c>
      <c r="D887" s="11" t="str">
        <f>iferror(vlookup(B887,'📦 ชื่อสินค้า'!A:D,4,false),"")</f>
        <v/>
      </c>
      <c r="E887" s="16"/>
      <c r="F887" s="6"/>
      <c r="G887" s="8" t="str">
        <f t="shared" si="1"/>
        <v/>
      </c>
      <c r="H887" s="11" t="str">
        <f t="shared" si="2"/>
        <v/>
      </c>
      <c r="I887" s="13"/>
    </row>
    <row r="888">
      <c r="A888" s="5"/>
      <c r="B888" s="6"/>
      <c r="C888" s="14" t="str">
        <f>iferror(vlookup(B888,'📦 ชื่อสินค้า'!A:C,2,false),)</f>
        <v/>
      </c>
      <c r="D888" s="11" t="str">
        <f>iferror(vlookup(B888,'📦 ชื่อสินค้า'!A:D,4,false),"")</f>
        <v/>
      </c>
      <c r="E888" s="16"/>
      <c r="F888" s="6"/>
      <c r="G888" s="8" t="str">
        <f t="shared" si="1"/>
        <v/>
      </c>
      <c r="H888" s="11" t="str">
        <f t="shared" si="2"/>
        <v/>
      </c>
      <c r="I888" s="13"/>
    </row>
    <row r="889">
      <c r="A889" s="5"/>
      <c r="B889" s="6"/>
      <c r="C889" s="14" t="str">
        <f>iferror(vlookup(B889,'📦 ชื่อสินค้า'!A:C,2,false),)</f>
        <v/>
      </c>
      <c r="D889" s="11" t="str">
        <f>iferror(vlookup(B889,'📦 ชื่อสินค้า'!A:D,4,false),"")</f>
        <v/>
      </c>
      <c r="E889" s="16"/>
      <c r="F889" s="6"/>
      <c r="G889" s="8" t="str">
        <f t="shared" si="1"/>
        <v/>
      </c>
      <c r="H889" s="11" t="str">
        <f t="shared" si="2"/>
        <v/>
      </c>
      <c r="I889" s="13"/>
    </row>
    <row r="890">
      <c r="A890" s="5"/>
      <c r="B890" s="6"/>
      <c r="C890" s="14" t="str">
        <f>iferror(vlookup(B890,'📦 ชื่อสินค้า'!A:C,2,false),)</f>
        <v/>
      </c>
      <c r="D890" s="11" t="str">
        <f>iferror(vlookup(B890,'📦 ชื่อสินค้า'!A:D,4,false),"")</f>
        <v/>
      </c>
      <c r="E890" s="16"/>
      <c r="F890" s="6"/>
      <c r="G890" s="8" t="str">
        <f t="shared" si="1"/>
        <v/>
      </c>
      <c r="H890" s="11" t="str">
        <f t="shared" si="2"/>
        <v/>
      </c>
      <c r="I890" s="13"/>
    </row>
    <row r="891">
      <c r="A891" s="5"/>
      <c r="B891" s="6"/>
      <c r="C891" s="14" t="str">
        <f>iferror(vlookup(B891,'📦 ชื่อสินค้า'!A:C,2,false),)</f>
        <v/>
      </c>
      <c r="D891" s="11" t="str">
        <f>iferror(vlookup(B891,'📦 ชื่อสินค้า'!A:D,4,false),"")</f>
        <v/>
      </c>
      <c r="E891" s="16"/>
      <c r="F891" s="6"/>
      <c r="G891" s="8" t="str">
        <f t="shared" si="1"/>
        <v/>
      </c>
      <c r="H891" s="11" t="str">
        <f t="shared" si="2"/>
        <v/>
      </c>
      <c r="I891" s="13"/>
    </row>
    <row r="892">
      <c r="A892" s="5"/>
      <c r="B892" s="6"/>
      <c r="C892" s="14" t="str">
        <f>iferror(vlookup(B892,'📦 ชื่อสินค้า'!A:C,2,false),)</f>
        <v/>
      </c>
      <c r="D892" s="11" t="str">
        <f>iferror(vlookup(B892,'📦 ชื่อสินค้า'!A:D,4,false),"")</f>
        <v/>
      </c>
      <c r="E892" s="16"/>
      <c r="F892" s="6"/>
      <c r="G892" s="8" t="str">
        <f t="shared" si="1"/>
        <v/>
      </c>
      <c r="H892" s="11" t="str">
        <f t="shared" si="2"/>
        <v/>
      </c>
      <c r="I892" s="13"/>
    </row>
    <row r="893">
      <c r="A893" s="5"/>
      <c r="B893" s="6"/>
      <c r="C893" s="14" t="str">
        <f>iferror(vlookup(B893,'📦 ชื่อสินค้า'!A:C,2,false),)</f>
        <v/>
      </c>
      <c r="D893" s="11" t="str">
        <f>iferror(vlookup(B893,'📦 ชื่อสินค้า'!A:D,4,false),"")</f>
        <v/>
      </c>
      <c r="E893" s="16"/>
      <c r="F893" s="6"/>
      <c r="G893" s="8" t="str">
        <f t="shared" si="1"/>
        <v/>
      </c>
      <c r="H893" s="11" t="str">
        <f t="shared" si="2"/>
        <v/>
      </c>
      <c r="I893" s="13"/>
    </row>
    <row r="894">
      <c r="A894" s="5"/>
      <c r="B894" s="6"/>
      <c r="C894" s="14" t="str">
        <f>iferror(vlookup(B894,'📦 ชื่อสินค้า'!A:C,2,false),)</f>
        <v/>
      </c>
      <c r="D894" s="11" t="str">
        <f>iferror(vlookup(B894,'📦 ชื่อสินค้า'!A:D,4,false),"")</f>
        <v/>
      </c>
      <c r="E894" s="16"/>
      <c r="F894" s="6"/>
      <c r="G894" s="8" t="str">
        <f t="shared" si="1"/>
        <v/>
      </c>
      <c r="H894" s="11" t="str">
        <f t="shared" si="2"/>
        <v/>
      </c>
      <c r="I894" s="13"/>
    </row>
    <row r="895">
      <c r="A895" s="5"/>
      <c r="B895" s="6"/>
      <c r="C895" s="14" t="str">
        <f>iferror(vlookup(B895,'📦 ชื่อสินค้า'!A:C,2,false),)</f>
        <v/>
      </c>
      <c r="D895" s="11" t="str">
        <f>iferror(vlookup(B895,'📦 ชื่อสินค้า'!A:D,4,false),"")</f>
        <v/>
      </c>
      <c r="E895" s="16"/>
      <c r="F895" s="6"/>
      <c r="G895" s="8" t="str">
        <f t="shared" si="1"/>
        <v/>
      </c>
      <c r="H895" s="11" t="str">
        <f t="shared" si="2"/>
        <v/>
      </c>
      <c r="I895" s="13"/>
    </row>
    <row r="896">
      <c r="A896" s="5"/>
      <c r="B896" s="6"/>
      <c r="C896" s="14" t="str">
        <f>iferror(vlookup(B896,'📦 ชื่อสินค้า'!A:C,2,false),)</f>
        <v/>
      </c>
      <c r="D896" s="11" t="str">
        <f>iferror(vlookup(B896,'📦 ชื่อสินค้า'!A:D,4,false),"")</f>
        <v/>
      </c>
      <c r="E896" s="16"/>
      <c r="F896" s="6"/>
      <c r="G896" s="8" t="str">
        <f t="shared" si="1"/>
        <v/>
      </c>
      <c r="H896" s="11" t="str">
        <f t="shared" si="2"/>
        <v/>
      </c>
      <c r="I896" s="13"/>
    </row>
    <row r="897">
      <c r="A897" s="5"/>
      <c r="B897" s="6"/>
      <c r="C897" s="14" t="str">
        <f>iferror(vlookup(B897,'📦 ชื่อสินค้า'!A:C,2,false),)</f>
        <v/>
      </c>
      <c r="D897" s="11" t="str">
        <f>iferror(vlookup(B897,'📦 ชื่อสินค้า'!A:D,4,false),"")</f>
        <v/>
      </c>
      <c r="E897" s="16"/>
      <c r="F897" s="6"/>
      <c r="G897" s="8" t="str">
        <f t="shared" si="1"/>
        <v/>
      </c>
      <c r="H897" s="11" t="str">
        <f t="shared" si="2"/>
        <v/>
      </c>
      <c r="I897" s="13"/>
    </row>
    <row r="898">
      <c r="A898" s="5"/>
      <c r="B898" s="6"/>
      <c r="C898" s="14" t="str">
        <f>iferror(vlookup(B898,'📦 ชื่อสินค้า'!A:C,2,false),)</f>
        <v/>
      </c>
      <c r="D898" s="11" t="str">
        <f>iferror(vlookup(B898,'📦 ชื่อสินค้า'!A:D,4,false),"")</f>
        <v/>
      </c>
      <c r="E898" s="16"/>
      <c r="F898" s="6"/>
      <c r="G898" s="8" t="str">
        <f t="shared" si="1"/>
        <v/>
      </c>
      <c r="H898" s="11" t="str">
        <f t="shared" si="2"/>
        <v/>
      </c>
      <c r="I898" s="13"/>
    </row>
    <row r="899">
      <c r="A899" s="5"/>
      <c r="B899" s="6"/>
      <c r="C899" s="14" t="str">
        <f>iferror(vlookup(B899,'📦 ชื่อสินค้า'!A:C,2,false),)</f>
        <v/>
      </c>
      <c r="D899" s="11" t="str">
        <f>iferror(vlookup(B899,'📦 ชื่อสินค้า'!A:D,4,false),"")</f>
        <v/>
      </c>
      <c r="E899" s="16"/>
      <c r="F899" s="6"/>
      <c r="G899" s="8" t="str">
        <f t="shared" si="1"/>
        <v/>
      </c>
      <c r="H899" s="11" t="str">
        <f t="shared" si="2"/>
        <v/>
      </c>
      <c r="I899" s="13"/>
    </row>
    <row r="900">
      <c r="A900" s="5"/>
      <c r="B900" s="6"/>
      <c r="C900" s="14" t="str">
        <f>iferror(vlookup(B900,'📦 ชื่อสินค้า'!A:C,2,false),)</f>
        <v/>
      </c>
      <c r="D900" s="11" t="str">
        <f>iferror(vlookup(B900,'📦 ชื่อสินค้า'!A:D,4,false),"")</f>
        <v/>
      </c>
      <c r="E900" s="16"/>
      <c r="F900" s="6"/>
      <c r="G900" s="8" t="str">
        <f t="shared" si="1"/>
        <v/>
      </c>
      <c r="H900" s="11" t="str">
        <f t="shared" si="2"/>
        <v/>
      </c>
      <c r="I900" s="13"/>
    </row>
    <row r="901">
      <c r="A901" s="5"/>
      <c r="B901" s="6"/>
      <c r="C901" s="14" t="str">
        <f>iferror(vlookup(B901,'📦 ชื่อสินค้า'!A:C,2,false),)</f>
        <v/>
      </c>
      <c r="D901" s="11" t="str">
        <f>iferror(vlookup(B901,'📦 ชื่อสินค้า'!A:D,4,false),"")</f>
        <v/>
      </c>
      <c r="E901" s="16"/>
      <c r="F901" s="6"/>
      <c r="G901" s="8" t="str">
        <f t="shared" si="1"/>
        <v/>
      </c>
      <c r="H901" s="11" t="str">
        <f t="shared" si="2"/>
        <v/>
      </c>
      <c r="I901" s="13"/>
    </row>
    <row r="902">
      <c r="A902" s="5"/>
      <c r="B902" s="6"/>
      <c r="C902" s="14" t="str">
        <f>iferror(vlookup(B902,'📦 ชื่อสินค้า'!A:C,2,false),)</f>
        <v/>
      </c>
      <c r="D902" s="11" t="str">
        <f>iferror(vlookup(B902,'📦 ชื่อสินค้า'!A:D,4,false),"")</f>
        <v/>
      </c>
      <c r="E902" s="16"/>
      <c r="F902" s="6"/>
      <c r="G902" s="8" t="str">
        <f t="shared" si="1"/>
        <v/>
      </c>
      <c r="H902" s="11" t="str">
        <f t="shared" si="2"/>
        <v/>
      </c>
      <c r="I902" s="13"/>
    </row>
    <row r="903">
      <c r="A903" s="5"/>
      <c r="B903" s="6"/>
      <c r="C903" s="14" t="str">
        <f>iferror(vlookup(B903,'📦 ชื่อสินค้า'!A:C,2,false),)</f>
        <v/>
      </c>
      <c r="D903" s="11" t="str">
        <f>iferror(vlookup(B903,'📦 ชื่อสินค้า'!A:D,4,false),"")</f>
        <v/>
      </c>
      <c r="E903" s="16"/>
      <c r="F903" s="6"/>
      <c r="G903" s="8" t="str">
        <f t="shared" si="1"/>
        <v/>
      </c>
      <c r="H903" s="11" t="str">
        <f t="shared" si="2"/>
        <v/>
      </c>
      <c r="I903" s="13"/>
    </row>
    <row r="904">
      <c r="A904" s="5"/>
      <c r="B904" s="6"/>
      <c r="C904" s="14" t="str">
        <f>iferror(vlookup(B904,'📦 ชื่อสินค้า'!A:C,2,false),)</f>
        <v/>
      </c>
      <c r="D904" s="11" t="str">
        <f>iferror(vlookup(B904,'📦 ชื่อสินค้า'!A:D,4,false),"")</f>
        <v/>
      </c>
      <c r="E904" s="16"/>
      <c r="F904" s="6"/>
      <c r="G904" s="8" t="str">
        <f t="shared" si="1"/>
        <v/>
      </c>
      <c r="H904" s="11" t="str">
        <f t="shared" si="2"/>
        <v/>
      </c>
      <c r="I904" s="13"/>
    </row>
    <row r="905">
      <c r="A905" s="5"/>
      <c r="B905" s="6"/>
      <c r="C905" s="14" t="str">
        <f>iferror(vlookup(B905,'📦 ชื่อสินค้า'!A:C,2,false),)</f>
        <v/>
      </c>
      <c r="D905" s="11" t="str">
        <f>iferror(vlookup(B905,'📦 ชื่อสินค้า'!A:D,4,false),"")</f>
        <v/>
      </c>
      <c r="E905" s="16"/>
      <c r="F905" s="6"/>
      <c r="G905" s="8" t="str">
        <f t="shared" si="1"/>
        <v/>
      </c>
      <c r="H905" s="11" t="str">
        <f t="shared" si="2"/>
        <v/>
      </c>
      <c r="I905" s="13"/>
    </row>
    <row r="906">
      <c r="A906" s="5"/>
      <c r="B906" s="6"/>
      <c r="C906" s="14" t="str">
        <f>iferror(vlookup(B906,'📦 ชื่อสินค้า'!A:C,2,false),)</f>
        <v/>
      </c>
      <c r="D906" s="11" t="str">
        <f>iferror(vlookup(B906,'📦 ชื่อสินค้า'!A:D,4,false),"")</f>
        <v/>
      </c>
      <c r="E906" s="16"/>
      <c r="F906" s="6"/>
      <c r="G906" s="8" t="str">
        <f t="shared" si="1"/>
        <v/>
      </c>
      <c r="H906" s="11" t="str">
        <f t="shared" si="2"/>
        <v/>
      </c>
      <c r="I906" s="13"/>
    </row>
    <row r="907">
      <c r="A907" s="5"/>
      <c r="B907" s="6"/>
      <c r="C907" s="14" t="str">
        <f>iferror(vlookup(B907,'📦 ชื่อสินค้า'!A:C,2,false),)</f>
        <v/>
      </c>
      <c r="D907" s="11" t="str">
        <f>iferror(vlookup(B907,'📦 ชื่อสินค้า'!A:D,4,false),"")</f>
        <v/>
      </c>
      <c r="E907" s="16"/>
      <c r="F907" s="6"/>
      <c r="G907" s="8" t="str">
        <f t="shared" si="1"/>
        <v/>
      </c>
      <c r="H907" s="11" t="str">
        <f t="shared" si="2"/>
        <v/>
      </c>
      <c r="I907" s="13"/>
    </row>
    <row r="908">
      <c r="A908" s="5"/>
      <c r="B908" s="6"/>
      <c r="C908" s="14" t="str">
        <f>iferror(vlookup(B908,'📦 ชื่อสินค้า'!A:C,2,false),)</f>
        <v/>
      </c>
      <c r="D908" s="11" t="str">
        <f>iferror(vlookup(B908,'📦 ชื่อสินค้า'!A:D,4,false),"")</f>
        <v/>
      </c>
      <c r="E908" s="16"/>
      <c r="F908" s="6"/>
      <c r="G908" s="8" t="str">
        <f t="shared" si="1"/>
        <v/>
      </c>
      <c r="H908" s="11" t="str">
        <f t="shared" si="2"/>
        <v/>
      </c>
      <c r="I908" s="13"/>
    </row>
    <row r="909">
      <c r="A909" s="5"/>
      <c r="B909" s="6"/>
      <c r="C909" s="14" t="str">
        <f>iferror(vlookup(B909,'📦 ชื่อสินค้า'!A:C,2,false),)</f>
        <v/>
      </c>
      <c r="D909" s="11" t="str">
        <f>iferror(vlookup(B909,'📦 ชื่อสินค้า'!A:D,4,false),"")</f>
        <v/>
      </c>
      <c r="E909" s="16"/>
      <c r="F909" s="6"/>
      <c r="G909" s="8" t="str">
        <f t="shared" si="1"/>
        <v/>
      </c>
      <c r="H909" s="11" t="str">
        <f t="shared" si="2"/>
        <v/>
      </c>
      <c r="I909" s="13"/>
    </row>
    <row r="910">
      <c r="A910" s="5"/>
      <c r="B910" s="6"/>
      <c r="C910" s="14" t="str">
        <f>iferror(vlookup(B910,'📦 ชื่อสินค้า'!A:C,2,false),)</f>
        <v/>
      </c>
      <c r="D910" s="11" t="str">
        <f>iferror(vlookup(B910,'📦 ชื่อสินค้า'!A:D,4,false),"")</f>
        <v/>
      </c>
      <c r="E910" s="16"/>
      <c r="F910" s="6"/>
      <c r="G910" s="8" t="str">
        <f t="shared" si="1"/>
        <v/>
      </c>
      <c r="H910" s="11" t="str">
        <f t="shared" si="2"/>
        <v/>
      </c>
      <c r="I910" s="13"/>
    </row>
    <row r="911">
      <c r="A911" s="5"/>
      <c r="B911" s="6"/>
      <c r="C911" s="14" t="str">
        <f>iferror(vlookup(B911,'📦 ชื่อสินค้า'!A:C,2,false),)</f>
        <v/>
      </c>
      <c r="D911" s="11" t="str">
        <f>iferror(vlookup(B911,'📦 ชื่อสินค้า'!A:D,4,false),"")</f>
        <v/>
      </c>
      <c r="E911" s="16"/>
      <c r="F911" s="6"/>
      <c r="G911" s="8" t="str">
        <f t="shared" si="1"/>
        <v/>
      </c>
      <c r="H911" s="11" t="str">
        <f t="shared" si="2"/>
        <v/>
      </c>
      <c r="I911" s="13"/>
    </row>
    <row r="912">
      <c r="A912" s="5"/>
      <c r="B912" s="6"/>
      <c r="C912" s="14" t="str">
        <f>iferror(vlookup(B912,'📦 ชื่อสินค้า'!A:C,2,false),)</f>
        <v/>
      </c>
      <c r="D912" s="11" t="str">
        <f>iferror(vlookup(B912,'📦 ชื่อสินค้า'!A:D,4,false),"")</f>
        <v/>
      </c>
      <c r="E912" s="16"/>
      <c r="F912" s="6"/>
      <c r="G912" s="8" t="str">
        <f t="shared" si="1"/>
        <v/>
      </c>
      <c r="H912" s="11" t="str">
        <f t="shared" si="2"/>
        <v/>
      </c>
      <c r="I912" s="13"/>
    </row>
    <row r="913">
      <c r="A913" s="5"/>
      <c r="B913" s="6"/>
      <c r="C913" s="14" t="str">
        <f>iferror(vlookup(B913,'📦 ชื่อสินค้า'!A:C,2,false),)</f>
        <v/>
      </c>
      <c r="D913" s="11" t="str">
        <f>iferror(vlookup(B913,'📦 ชื่อสินค้า'!A:D,4,false),"")</f>
        <v/>
      </c>
      <c r="E913" s="16"/>
      <c r="F913" s="6"/>
      <c r="G913" s="8" t="str">
        <f t="shared" si="1"/>
        <v/>
      </c>
      <c r="H913" s="11" t="str">
        <f t="shared" si="2"/>
        <v/>
      </c>
      <c r="I913" s="13"/>
    </row>
    <row r="914">
      <c r="A914" s="5"/>
      <c r="B914" s="6"/>
      <c r="C914" s="14" t="str">
        <f>iferror(vlookup(B914,'📦 ชื่อสินค้า'!A:C,2,false),)</f>
        <v/>
      </c>
      <c r="D914" s="11" t="str">
        <f>iferror(vlookup(B914,'📦 ชื่อสินค้า'!A:D,4,false),"")</f>
        <v/>
      </c>
      <c r="E914" s="16"/>
      <c r="F914" s="6"/>
      <c r="G914" s="8" t="str">
        <f t="shared" si="1"/>
        <v/>
      </c>
      <c r="H914" s="11" t="str">
        <f t="shared" si="2"/>
        <v/>
      </c>
      <c r="I914" s="13"/>
    </row>
    <row r="915">
      <c r="A915" s="5"/>
      <c r="B915" s="6"/>
      <c r="C915" s="14" t="str">
        <f>iferror(vlookup(B915,'📦 ชื่อสินค้า'!A:C,2,false),)</f>
        <v/>
      </c>
      <c r="D915" s="11" t="str">
        <f>iferror(vlookup(B915,'📦 ชื่อสินค้า'!A:D,4,false),"")</f>
        <v/>
      </c>
      <c r="E915" s="16"/>
      <c r="F915" s="6"/>
      <c r="G915" s="8" t="str">
        <f t="shared" si="1"/>
        <v/>
      </c>
      <c r="H915" s="11" t="str">
        <f t="shared" si="2"/>
        <v/>
      </c>
      <c r="I915" s="13"/>
    </row>
    <row r="916">
      <c r="A916" s="5"/>
      <c r="B916" s="6"/>
      <c r="C916" s="14" t="str">
        <f>iferror(vlookup(B916,'📦 ชื่อสินค้า'!A:C,2,false),)</f>
        <v/>
      </c>
      <c r="D916" s="11" t="str">
        <f>iferror(vlookup(B916,'📦 ชื่อสินค้า'!A:D,4,false),"")</f>
        <v/>
      </c>
      <c r="E916" s="16"/>
      <c r="F916" s="6"/>
      <c r="G916" s="8" t="str">
        <f t="shared" si="1"/>
        <v/>
      </c>
      <c r="H916" s="11" t="str">
        <f t="shared" si="2"/>
        <v/>
      </c>
      <c r="I916" s="13"/>
    </row>
    <row r="917">
      <c r="A917" s="5"/>
      <c r="B917" s="6"/>
      <c r="C917" s="14" t="str">
        <f>iferror(vlookup(B917,'📦 ชื่อสินค้า'!A:C,2,false),)</f>
        <v/>
      </c>
      <c r="D917" s="11" t="str">
        <f>iferror(vlookup(B917,'📦 ชื่อสินค้า'!A:D,4,false),"")</f>
        <v/>
      </c>
      <c r="E917" s="16"/>
      <c r="F917" s="6"/>
      <c r="G917" s="8" t="str">
        <f t="shared" si="1"/>
        <v/>
      </c>
      <c r="H917" s="11" t="str">
        <f t="shared" si="2"/>
        <v/>
      </c>
      <c r="I917" s="13"/>
    </row>
    <row r="918">
      <c r="A918" s="5"/>
      <c r="B918" s="6"/>
      <c r="C918" s="14" t="str">
        <f>iferror(vlookup(B918,'📦 ชื่อสินค้า'!A:C,2,false),)</f>
        <v/>
      </c>
      <c r="D918" s="11" t="str">
        <f>iferror(vlookup(B918,'📦 ชื่อสินค้า'!A:D,4,false),"")</f>
        <v/>
      </c>
      <c r="E918" s="16"/>
      <c r="F918" s="6"/>
      <c r="G918" s="8" t="str">
        <f t="shared" si="1"/>
        <v/>
      </c>
      <c r="H918" s="11" t="str">
        <f t="shared" si="2"/>
        <v/>
      </c>
      <c r="I918" s="13"/>
    </row>
    <row r="919">
      <c r="A919" s="5"/>
      <c r="B919" s="6"/>
      <c r="C919" s="14" t="str">
        <f>iferror(vlookup(B919,'📦 ชื่อสินค้า'!A:C,2,false),)</f>
        <v/>
      </c>
      <c r="D919" s="11" t="str">
        <f>iferror(vlookup(B919,'📦 ชื่อสินค้า'!A:D,4,false),"")</f>
        <v/>
      </c>
      <c r="E919" s="16"/>
      <c r="F919" s="6"/>
      <c r="G919" s="8" t="str">
        <f t="shared" si="1"/>
        <v/>
      </c>
      <c r="H919" s="11" t="str">
        <f t="shared" si="2"/>
        <v/>
      </c>
      <c r="I919" s="13"/>
    </row>
    <row r="920">
      <c r="A920" s="5"/>
      <c r="B920" s="6"/>
      <c r="C920" s="14" t="str">
        <f>iferror(vlookup(B920,'📦 ชื่อสินค้า'!A:C,2,false),)</f>
        <v/>
      </c>
      <c r="D920" s="11" t="str">
        <f>iferror(vlookup(B920,'📦 ชื่อสินค้า'!A:D,4,false),"")</f>
        <v/>
      </c>
      <c r="E920" s="16"/>
      <c r="F920" s="6"/>
      <c r="G920" s="8" t="str">
        <f t="shared" si="1"/>
        <v/>
      </c>
      <c r="H920" s="11" t="str">
        <f t="shared" si="2"/>
        <v/>
      </c>
      <c r="I920" s="13"/>
    </row>
    <row r="921">
      <c r="A921" s="5"/>
      <c r="B921" s="6"/>
      <c r="C921" s="14" t="str">
        <f>iferror(vlookup(B921,'📦 ชื่อสินค้า'!A:C,2,false),)</f>
        <v/>
      </c>
      <c r="D921" s="11" t="str">
        <f>iferror(vlookup(B921,'📦 ชื่อสินค้า'!A:D,4,false),"")</f>
        <v/>
      </c>
      <c r="E921" s="16"/>
      <c r="F921" s="6"/>
      <c r="G921" s="8" t="str">
        <f t="shared" si="1"/>
        <v/>
      </c>
      <c r="H921" s="11" t="str">
        <f t="shared" si="2"/>
        <v/>
      </c>
      <c r="I921" s="13"/>
    </row>
    <row r="922">
      <c r="A922" s="5"/>
      <c r="B922" s="6"/>
      <c r="C922" s="14" t="str">
        <f>iferror(vlookup(B922,'📦 ชื่อสินค้า'!A:C,2,false),)</f>
        <v/>
      </c>
      <c r="D922" s="11" t="str">
        <f>iferror(vlookup(B922,'📦 ชื่อสินค้า'!A:D,4,false),"")</f>
        <v/>
      </c>
      <c r="E922" s="16"/>
      <c r="F922" s="6"/>
      <c r="G922" s="8" t="str">
        <f t="shared" si="1"/>
        <v/>
      </c>
      <c r="H922" s="11" t="str">
        <f t="shared" si="2"/>
        <v/>
      </c>
      <c r="I922" s="13"/>
    </row>
    <row r="923">
      <c r="A923" s="5"/>
      <c r="B923" s="6"/>
      <c r="C923" s="14" t="str">
        <f>iferror(vlookup(B923,'📦 ชื่อสินค้า'!A:C,2,false),)</f>
        <v/>
      </c>
      <c r="D923" s="11" t="str">
        <f>iferror(vlookup(B923,'📦 ชื่อสินค้า'!A:D,4,false),"")</f>
        <v/>
      </c>
      <c r="E923" s="16"/>
      <c r="F923" s="6"/>
      <c r="G923" s="8" t="str">
        <f t="shared" si="1"/>
        <v/>
      </c>
      <c r="H923" s="11" t="str">
        <f t="shared" si="2"/>
        <v/>
      </c>
      <c r="I923" s="13"/>
    </row>
    <row r="924">
      <c r="A924" s="5"/>
      <c r="B924" s="6"/>
      <c r="C924" s="14" t="str">
        <f>iferror(vlookup(B924,'📦 ชื่อสินค้า'!A:C,2,false),)</f>
        <v/>
      </c>
      <c r="D924" s="11" t="str">
        <f>iferror(vlookup(B924,'📦 ชื่อสินค้า'!A:D,4,false),"")</f>
        <v/>
      </c>
      <c r="E924" s="16"/>
      <c r="F924" s="6"/>
      <c r="G924" s="8" t="str">
        <f t="shared" si="1"/>
        <v/>
      </c>
      <c r="H924" s="11" t="str">
        <f t="shared" si="2"/>
        <v/>
      </c>
      <c r="I924" s="13"/>
    </row>
    <row r="925">
      <c r="A925" s="5"/>
      <c r="B925" s="6"/>
      <c r="C925" s="14" t="str">
        <f>iferror(vlookup(B925,'📦 ชื่อสินค้า'!A:C,2,false),)</f>
        <v/>
      </c>
      <c r="D925" s="11" t="str">
        <f>iferror(vlookup(B925,'📦 ชื่อสินค้า'!A:D,4,false),"")</f>
        <v/>
      </c>
      <c r="E925" s="16"/>
      <c r="F925" s="6"/>
      <c r="G925" s="8" t="str">
        <f t="shared" si="1"/>
        <v/>
      </c>
      <c r="H925" s="11" t="str">
        <f t="shared" si="2"/>
        <v/>
      </c>
      <c r="I925" s="13"/>
    </row>
    <row r="926">
      <c r="A926" s="5"/>
      <c r="B926" s="6"/>
      <c r="C926" s="14" t="str">
        <f>iferror(vlookup(B926,'📦 ชื่อสินค้า'!A:C,2,false),)</f>
        <v/>
      </c>
      <c r="D926" s="11" t="str">
        <f>iferror(vlookup(B926,'📦 ชื่อสินค้า'!A:D,4,false),"")</f>
        <v/>
      </c>
      <c r="E926" s="16"/>
      <c r="F926" s="6"/>
      <c r="G926" s="8" t="str">
        <f t="shared" si="1"/>
        <v/>
      </c>
      <c r="H926" s="11" t="str">
        <f t="shared" si="2"/>
        <v/>
      </c>
      <c r="I926" s="13"/>
    </row>
    <row r="927">
      <c r="A927" s="5"/>
      <c r="B927" s="6"/>
      <c r="C927" s="14" t="str">
        <f>iferror(vlookup(B927,'📦 ชื่อสินค้า'!A:C,2,false),)</f>
        <v/>
      </c>
      <c r="D927" s="11" t="str">
        <f>iferror(vlookup(B927,'📦 ชื่อสินค้า'!A:D,4,false),"")</f>
        <v/>
      </c>
      <c r="E927" s="16"/>
      <c r="F927" s="6"/>
      <c r="G927" s="8" t="str">
        <f t="shared" si="1"/>
        <v/>
      </c>
      <c r="H927" s="11" t="str">
        <f t="shared" si="2"/>
        <v/>
      </c>
      <c r="I927" s="13"/>
    </row>
    <row r="928">
      <c r="A928" s="5"/>
      <c r="B928" s="6"/>
      <c r="C928" s="14" t="str">
        <f>iferror(vlookup(B928,'📦 ชื่อสินค้า'!A:C,2,false),)</f>
        <v/>
      </c>
      <c r="D928" s="11" t="str">
        <f>iferror(vlookup(B928,'📦 ชื่อสินค้า'!A:D,4,false),"")</f>
        <v/>
      </c>
      <c r="E928" s="16"/>
      <c r="F928" s="6"/>
      <c r="G928" s="8" t="str">
        <f t="shared" si="1"/>
        <v/>
      </c>
      <c r="H928" s="11" t="str">
        <f t="shared" si="2"/>
        <v/>
      </c>
      <c r="I928" s="13"/>
    </row>
    <row r="929">
      <c r="A929" s="5"/>
      <c r="B929" s="6"/>
      <c r="C929" s="14" t="str">
        <f>iferror(vlookup(B929,'📦 ชื่อสินค้า'!A:C,2,false),)</f>
        <v/>
      </c>
      <c r="D929" s="11" t="str">
        <f>iferror(vlookup(B929,'📦 ชื่อสินค้า'!A:D,4,false),"")</f>
        <v/>
      </c>
      <c r="E929" s="16"/>
      <c r="F929" s="6"/>
      <c r="G929" s="8" t="str">
        <f t="shared" si="1"/>
        <v/>
      </c>
      <c r="H929" s="11" t="str">
        <f t="shared" si="2"/>
        <v/>
      </c>
      <c r="I929" s="13"/>
    </row>
    <row r="930">
      <c r="A930" s="5"/>
      <c r="B930" s="6"/>
      <c r="C930" s="14" t="str">
        <f>iferror(vlookup(B930,'📦 ชื่อสินค้า'!A:C,2,false),)</f>
        <v/>
      </c>
      <c r="D930" s="11" t="str">
        <f>iferror(vlookup(B930,'📦 ชื่อสินค้า'!A:D,4,false),"")</f>
        <v/>
      </c>
      <c r="E930" s="16"/>
      <c r="F930" s="6"/>
      <c r="G930" s="8" t="str">
        <f t="shared" si="1"/>
        <v/>
      </c>
      <c r="H930" s="11" t="str">
        <f t="shared" si="2"/>
        <v/>
      </c>
      <c r="I930" s="13"/>
    </row>
    <row r="931">
      <c r="A931" s="5"/>
      <c r="B931" s="6"/>
      <c r="C931" s="14" t="str">
        <f>iferror(vlookup(B931,'📦 ชื่อสินค้า'!A:C,2,false),)</f>
        <v/>
      </c>
      <c r="D931" s="11" t="str">
        <f>iferror(vlookup(B931,'📦 ชื่อสินค้า'!A:D,4,false),"")</f>
        <v/>
      </c>
      <c r="E931" s="16"/>
      <c r="F931" s="6"/>
      <c r="G931" s="8" t="str">
        <f t="shared" si="1"/>
        <v/>
      </c>
      <c r="H931" s="11" t="str">
        <f t="shared" si="2"/>
        <v/>
      </c>
      <c r="I931" s="13"/>
    </row>
    <row r="932">
      <c r="A932" s="5"/>
      <c r="B932" s="6"/>
      <c r="C932" s="14" t="str">
        <f>iferror(vlookup(B932,'📦 ชื่อสินค้า'!A:C,2,false),)</f>
        <v/>
      </c>
      <c r="D932" s="11" t="str">
        <f>iferror(vlookup(B932,'📦 ชื่อสินค้า'!A:D,4,false),"")</f>
        <v/>
      </c>
      <c r="E932" s="16"/>
      <c r="F932" s="6"/>
      <c r="G932" s="8" t="str">
        <f t="shared" si="1"/>
        <v/>
      </c>
      <c r="H932" s="11" t="str">
        <f t="shared" si="2"/>
        <v/>
      </c>
      <c r="I932" s="13"/>
    </row>
    <row r="933">
      <c r="A933" s="5"/>
      <c r="B933" s="6"/>
      <c r="C933" s="14" t="str">
        <f>iferror(vlookup(B933,'📦 ชื่อสินค้า'!A:C,2,false),)</f>
        <v/>
      </c>
      <c r="D933" s="11" t="str">
        <f>iferror(vlookup(B933,'📦 ชื่อสินค้า'!A:D,4,false),"")</f>
        <v/>
      </c>
      <c r="E933" s="16"/>
      <c r="F933" s="6"/>
      <c r="G933" s="8" t="str">
        <f t="shared" si="1"/>
        <v/>
      </c>
      <c r="H933" s="11" t="str">
        <f t="shared" si="2"/>
        <v/>
      </c>
      <c r="I933" s="13"/>
    </row>
    <row r="934">
      <c r="A934" s="5"/>
      <c r="B934" s="6"/>
      <c r="C934" s="14" t="str">
        <f>iferror(vlookup(B934,'📦 ชื่อสินค้า'!A:C,2,false),)</f>
        <v/>
      </c>
      <c r="D934" s="11" t="str">
        <f>iferror(vlookup(B934,'📦 ชื่อสินค้า'!A:D,4,false),"")</f>
        <v/>
      </c>
      <c r="E934" s="16"/>
      <c r="F934" s="6"/>
      <c r="G934" s="8" t="str">
        <f t="shared" si="1"/>
        <v/>
      </c>
      <c r="H934" s="11" t="str">
        <f t="shared" si="2"/>
        <v/>
      </c>
      <c r="I934" s="13"/>
    </row>
    <row r="935">
      <c r="A935" s="5"/>
      <c r="B935" s="6"/>
      <c r="C935" s="14" t="str">
        <f>iferror(vlookup(B935,'📦 ชื่อสินค้า'!A:C,2,false),)</f>
        <v/>
      </c>
      <c r="D935" s="11" t="str">
        <f>iferror(vlookup(B935,'📦 ชื่อสินค้า'!A:D,4,false),"")</f>
        <v/>
      </c>
      <c r="E935" s="16"/>
      <c r="F935" s="6"/>
      <c r="G935" s="8" t="str">
        <f t="shared" si="1"/>
        <v/>
      </c>
      <c r="H935" s="11" t="str">
        <f t="shared" si="2"/>
        <v/>
      </c>
      <c r="I935" s="13"/>
    </row>
    <row r="936">
      <c r="A936" s="5"/>
      <c r="B936" s="6"/>
      <c r="C936" s="14" t="str">
        <f>iferror(vlookup(B936,'📦 ชื่อสินค้า'!A:C,2,false),)</f>
        <v/>
      </c>
      <c r="D936" s="11" t="str">
        <f>iferror(vlookup(B936,'📦 ชื่อสินค้า'!A:D,4,false),"")</f>
        <v/>
      </c>
      <c r="E936" s="16"/>
      <c r="F936" s="6"/>
      <c r="G936" s="8" t="str">
        <f t="shared" si="1"/>
        <v/>
      </c>
      <c r="H936" s="11" t="str">
        <f t="shared" si="2"/>
        <v/>
      </c>
      <c r="I936" s="13"/>
    </row>
    <row r="937">
      <c r="A937" s="5"/>
      <c r="B937" s="6"/>
      <c r="C937" s="14" t="str">
        <f>iferror(vlookup(B937,'📦 ชื่อสินค้า'!A:C,2,false),)</f>
        <v/>
      </c>
      <c r="D937" s="11" t="str">
        <f>iferror(vlookup(B937,'📦 ชื่อสินค้า'!A:D,4,false),"")</f>
        <v/>
      </c>
      <c r="E937" s="16"/>
      <c r="F937" s="6"/>
      <c r="G937" s="8" t="str">
        <f t="shared" si="1"/>
        <v/>
      </c>
      <c r="H937" s="11" t="str">
        <f t="shared" si="2"/>
        <v/>
      </c>
      <c r="I937" s="13"/>
    </row>
    <row r="938">
      <c r="A938" s="5"/>
      <c r="B938" s="6"/>
      <c r="C938" s="14" t="str">
        <f>iferror(vlookup(B938,'📦 ชื่อสินค้า'!A:C,2,false),)</f>
        <v/>
      </c>
      <c r="D938" s="11" t="str">
        <f>iferror(vlookup(B938,'📦 ชื่อสินค้า'!A:D,4,false),"")</f>
        <v/>
      </c>
      <c r="E938" s="16"/>
      <c r="F938" s="6"/>
      <c r="G938" s="8" t="str">
        <f t="shared" si="1"/>
        <v/>
      </c>
      <c r="H938" s="11" t="str">
        <f t="shared" si="2"/>
        <v/>
      </c>
      <c r="I938" s="13"/>
    </row>
    <row r="939">
      <c r="A939" s="5"/>
      <c r="B939" s="6"/>
      <c r="C939" s="14" t="str">
        <f>iferror(vlookup(B939,'📦 ชื่อสินค้า'!A:C,2,false),)</f>
        <v/>
      </c>
      <c r="D939" s="11" t="str">
        <f>iferror(vlookup(B939,'📦 ชื่อสินค้า'!A:D,4,false),"")</f>
        <v/>
      </c>
      <c r="E939" s="16"/>
      <c r="F939" s="6"/>
      <c r="G939" s="8" t="str">
        <f t="shared" si="1"/>
        <v/>
      </c>
      <c r="H939" s="11" t="str">
        <f t="shared" si="2"/>
        <v/>
      </c>
      <c r="I939" s="13"/>
    </row>
    <row r="940">
      <c r="A940" s="5"/>
      <c r="B940" s="6"/>
      <c r="C940" s="14" t="str">
        <f>iferror(vlookup(B940,'📦 ชื่อสินค้า'!A:C,2,false),)</f>
        <v/>
      </c>
      <c r="D940" s="11" t="str">
        <f>iferror(vlookup(B940,'📦 ชื่อสินค้า'!A:D,4,false),"")</f>
        <v/>
      </c>
      <c r="E940" s="16"/>
      <c r="F940" s="6"/>
      <c r="G940" s="8" t="str">
        <f t="shared" si="1"/>
        <v/>
      </c>
      <c r="H940" s="11" t="str">
        <f t="shared" si="2"/>
        <v/>
      </c>
      <c r="I940" s="13"/>
    </row>
    <row r="941">
      <c r="A941" s="5"/>
      <c r="B941" s="6"/>
      <c r="C941" s="14" t="str">
        <f>iferror(vlookup(B941,'📦 ชื่อสินค้า'!A:C,2,false),)</f>
        <v/>
      </c>
      <c r="D941" s="11" t="str">
        <f>iferror(vlookup(B941,'📦 ชื่อสินค้า'!A:D,4,false),"")</f>
        <v/>
      </c>
      <c r="E941" s="16"/>
      <c r="F941" s="6"/>
      <c r="G941" s="8" t="str">
        <f t="shared" si="1"/>
        <v/>
      </c>
      <c r="H941" s="11" t="str">
        <f t="shared" si="2"/>
        <v/>
      </c>
      <c r="I941" s="13"/>
    </row>
    <row r="942">
      <c r="A942" s="5"/>
      <c r="B942" s="6"/>
      <c r="C942" s="14" t="str">
        <f>iferror(vlookup(B942,'📦 ชื่อสินค้า'!A:C,2,false),)</f>
        <v/>
      </c>
      <c r="D942" s="11" t="str">
        <f>iferror(vlookup(B942,'📦 ชื่อสินค้า'!A:D,4,false),"")</f>
        <v/>
      </c>
      <c r="E942" s="16"/>
      <c r="F942" s="6"/>
      <c r="G942" s="8" t="str">
        <f t="shared" si="1"/>
        <v/>
      </c>
      <c r="H942" s="11" t="str">
        <f t="shared" si="2"/>
        <v/>
      </c>
      <c r="I942" s="13"/>
    </row>
    <row r="943">
      <c r="A943" s="5"/>
      <c r="B943" s="6"/>
      <c r="C943" s="14" t="str">
        <f>iferror(vlookup(B943,'📦 ชื่อสินค้า'!A:C,2,false),)</f>
        <v/>
      </c>
      <c r="D943" s="11" t="str">
        <f>iferror(vlookup(B943,'📦 ชื่อสินค้า'!A:D,4,false),"")</f>
        <v/>
      </c>
      <c r="E943" s="16"/>
      <c r="F943" s="6"/>
      <c r="G943" s="8" t="str">
        <f t="shared" si="1"/>
        <v/>
      </c>
      <c r="H943" s="11" t="str">
        <f t="shared" si="2"/>
        <v/>
      </c>
      <c r="I943" s="13"/>
    </row>
    <row r="944">
      <c r="A944" s="5"/>
      <c r="B944" s="6"/>
      <c r="C944" s="14" t="str">
        <f>iferror(vlookup(B944,'📦 ชื่อสินค้า'!A:C,2,false),)</f>
        <v/>
      </c>
      <c r="D944" s="11" t="str">
        <f>iferror(vlookup(B944,'📦 ชื่อสินค้า'!A:D,4,false),"")</f>
        <v/>
      </c>
      <c r="E944" s="16"/>
      <c r="F944" s="6"/>
      <c r="G944" s="8" t="str">
        <f t="shared" si="1"/>
        <v/>
      </c>
      <c r="H944" s="11" t="str">
        <f t="shared" si="2"/>
        <v/>
      </c>
      <c r="I944" s="13"/>
    </row>
    <row r="945">
      <c r="A945" s="5"/>
      <c r="B945" s="6"/>
      <c r="C945" s="14" t="str">
        <f>iferror(vlookup(B945,'📦 ชื่อสินค้า'!A:C,2,false),)</f>
        <v/>
      </c>
      <c r="D945" s="11" t="str">
        <f>iferror(vlookup(B945,'📦 ชื่อสินค้า'!A:D,4,false),"")</f>
        <v/>
      </c>
      <c r="E945" s="16"/>
      <c r="F945" s="6"/>
      <c r="G945" s="8" t="str">
        <f t="shared" si="1"/>
        <v/>
      </c>
      <c r="H945" s="11" t="str">
        <f t="shared" si="2"/>
        <v/>
      </c>
      <c r="I945" s="13"/>
    </row>
    <row r="946">
      <c r="A946" s="5"/>
      <c r="B946" s="6"/>
      <c r="C946" s="14" t="str">
        <f>iferror(vlookup(B946,'📦 ชื่อสินค้า'!A:C,2,false),)</f>
        <v/>
      </c>
      <c r="D946" s="11" t="str">
        <f>iferror(vlookup(B946,'📦 ชื่อสินค้า'!A:D,4,false),"")</f>
        <v/>
      </c>
      <c r="E946" s="16"/>
      <c r="F946" s="6"/>
      <c r="G946" s="8" t="str">
        <f t="shared" si="1"/>
        <v/>
      </c>
      <c r="H946" s="11" t="str">
        <f t="shared" si="2"/>
        <v/>
      </c>
      <c r="I946" s="13"/>
    </row>
    <row r="947">
      <c r="A947" s="5"/>
      <c r="B947" s="6"/>
      <c r="C947" s="14" t="str">
        <f>iferror(vlookup(B947,'📦 ชื่อสินค้า'!A:C,2,false),)</f>
        <v/>
      </c>
      <c r="D947" s="11" t="str">
        <f>iferror(vlookup(B947,'📦 ชื่อสินค้า'!A:D,4,false),"")</f>
        <v/>
      </c>
      <c r="E947" s="16"/>
      <c r="F947" s="6"/>
      <c r="G947" s="8" t="str">
        <f t="shared" si="1"/>
        <v/>
      </c>
      <c r="H947" s="11" t="str">
        <f t="shared" si="2"/>
        <v/>
      </c>
      <c r="I947" s="13"/>
    </row>
    <row r="948">
      <c r="A948" s="5"/>
      <c r="B948" s="6"/>
      <c r="C948" s="14" t="str">
        <f>iferror(vlookup(B948,'📦 ชื่อสินค้า'!A:C,2,false),)</f>
        <v/>
      </c>
      <c r="D948" s="11" t="str">
        <f>iferror(vlookup(B948,'📦 ชื่อสินค้า'!A:D,4,false),"")</f>
        <v/>
      </c>
      <c r="E948" s="16"/>
      <c r="F948" s="6"/>
      <c r="G948" s="8" t="str">
        <f t="shared" si="1"/>
        <v/>
      </c>
      <c r="H948" s="11" t="str">
        <f t="shared" si="2"/>
        <v/>
      </c>
      <c r="I948" s="13"/>
    </row>
    <row r="949">
      <c r="A949" s="5"/>
      <c r="B949" s="6"/>
      <c r="C949" s="14" t="str">
        <f>iferror(vlookup(B949,'📦 ชื่อสินค้า'!A:C,2,false),)</f>
        <v/>
      </c>
      <c r="D949" s="11" t="str">
        <f>iferror(vlookup(B949,'📦 ชื่อสินค้า'!A:D,4,false),"")</f>
        <v/>
      </c>
      <c r="E949" s="16"/>
      <c r="F949" s="6"/>
      <c r="G949" s="8" t="str">
        <f t="shared" si="1"/>
        <v/>
      </c>
      <c r="H949" s="11" t="str">
        <f t="shared" si="2"/>
        <v/>
      </c>
      <c r="I949" s="13"/>
    </row>
    <row r="950">
      <c r="A950" s="5"/>
      <c r="B950" s="6"/>
      <c r="C950" s="14" t="str">
        <f>iferror(vlookup(B950,'📦 ชื่อสินค้า'!A:C,2,false),)</f>
        <v/>
      </c>
      <c r="D950" s="11" t="str">
        <f>iferror(vlookup(B950,'📦 ชื่อสินค้า'!A:D,4,false),"")</f>
        <v/>
      </c>
      <c r="E950" s="16"/>
      <c r="F950" s="6"/>
      <c r="G950" s="8" t="str">
        <f t="shared" si="1"/>
        <v/>
      </c>
      <c r="H950" s="11" t="str">
        <f t="shared" si="2"/>
        <v/>
      </c>
      <c r="I950" s="13"/>
    </row>
    <row r="951">
      <c r="A951" s="5"/>
      <c r="B951" s="6"/>
      <c r="C951" s="14" t="str">
        <f>iferror(vlookup(B951,'📦 ชื่อสินค้า'!A:C,2,false),)</f>
        <v/>
      </c>
      <c r="D951" s="11" t="str">
        <f>iferror(vlookup(B951,'📦 ชื่อสินค้า'!A:D,4,false),"")</f>
        <v/>
      </c>
      <c r="E951" s="16"/>
      <c r="F951" s="6"/>
      <c r="G951" s="8" t="str">
        <f t="shared" si="1"/>
        <v/>
      </c>
      <c r="H951" s="11" t="str">
        <f t="shared" si="2"/>
        <v/>
      </c>
      <c r="I951" s="13"/>
    </row>
    <row r="952">
      <c r="A952" s="5"/>
      <c r="B952" s="6"/>
      <c r="C952" s="14" t="str">
        <f>iferror(vlookup(B952,'📦 ชื่อสินค้า'!A:C,2,false),)</f>
        <v/>
      </c>
      <c r="D952" s="11" t="str">
        <f>iferror(vlookup(B952,'📦 ชื่อสินค้า'!A:D,4,false),"")</f>
        <v/>
      </c>
      <c r="E952" s="16"/>
      <c r="F952" s="6"/>
      <c r="G952" s="8" t="str">
        <f t="shared" si="1"/>
        <v/>
      </c>
      <c r="H952" s="11" t="str">
        <f t="shared" si="2"/>
        <v/>
      </c>
      <c r="I952" s="13"/>
    </row>
    <row r="953">
      <c r="A953" s="5"/>
      <c r="B953" s="6"/>
      <c r="C953" s="14" t="str">
        <f>iferror(vlookup(B953,'📦 ชื่อสินค้า'!A:C,2,false),)</f>
        <v/>
      </c>
      <c r="D953" s="11" t="str">
        <f>iferror(vlookup(B953,'📦 ชื่อสินค้า'!A:D,4,false),"")</f>
        <v/>
      </c>
      <c r="E953" s="16"/>
      <c r="F953" s="6"/>
      <c r="G953" s="8" t="str">
        <f t="shared" si="1"/>
        <v/>
      </c>
      <c r="H953" s="11" t="str">
        <f t="shared" si="2"/>
        <v/>
      </c>
      <c r="I953" s="13"/>
    </row>
    <row r="954">
      <c r="A954" s="5"/>
      <c r="B954" s="6"/>
      <c r="C954" s="14" t="str">
        <f>iferror(vlookup(B954,'📦 ชื่อสินค้า'!A:C,2,false),)</f>
        <v/>
      </c>
      <c r="D954" s="11" t="str">
        <f>iferror(vlookup(B954,'📦 ชื่อสินค้า'!A:D,4,false),"")</f>
        <v/>
      </c>
      <c r="E954" s="16"/>
      <c r="F954" s="6"/>
      <c r="G954" s="8" t="str">
        <f t="shared" si="1"/>
        <v/>
      </c>
      <c r="H954" s="11" t="str">
        <f t="shared" si="2"/>
        <v/>
      </c>
      <c r="I954" s="13"/>
    </row>
    <row r="955">
      <c r="A955" s="5"/>
      <c r="B955" s="6"/>
      <c r="C955" s="14" t="str">
        <f>iferror(vlookup(B955,'📦 ชื่อสินค้า'!A:C,2,false),)</f>
        <v/>
      </c>
      <c r="D955" s="11" t="str">
        <f>iferror(vlookup(B955,'📦 ชื่อสินค้า'!A:D,4,false),"")</f>
        <v/>
      </c>
      <c r="E955" s="16"/>
      <c r="F955" s="6"/>
      <c r="G955" s="8" t="str">
        <f t="shared" si="1"/>
        <v/>
      </c>
      <c r="H955" s="11" t="str">
        <f t="shared" si="2"/>
        <v/>
      </c>
      <c r="I955" s="13"/>
    </row>
    <row r="956">
      <c r="A956" s="5"/>
      <c r="B956" s="6"/>
      <c r="C956" s="14" t="str">
        <f>iferror(vlookup(B956,'📦 ชื่อสินค้า'!A:C,2,false),)</f>
        <v/>
      </c>
      <c r="D956" s="11" t="str">
        <f>iferror(vlookup(B956,'📦 ชื่อสินค้า'!A:D,4,false),"")</f>
        <v/>
      </c>
      <c r="E956" s="16"/>
      <c r="F956" s="6"/>
      <c r="G956" s="8" t="str">
        <f t="shared" si="1"/>
        <v/>
      </c>
      <c r="H956" s="11" t="str">
        <f t="shared" si="2"/>
        <v/>
      </c>
      <c r="I956" s="13"/>
    </row>
    <row r="957">
      <c r="A957" s="5"/>
      <c r="B957" s="6"/>
      <c r="C957" s="14" t="str">
        <f>iferror(vlookup(B957,'📦 ชื่อสินค้า'!A:C,2,false),)</f>
        <v/>
      </c>
      <c r="D957" s="11" t="str">
        <f>iferror(vlookup(B957,'📦 ชื่อสินค้า'!A:D,4,false),"")</f>
        <v/>
      </c>
      <c r="E957" s="16"/>
      <c r="F957" s="6"/>
      <c r="G957" s="8" t="str">
        <f t="shared" si="1"/>
        <v/>
      </c>
      <c r="H957" s="11" t="str">
        <f t="shared" si="2"/>
        <v/>
      </c>
      <c r="I957" s="13"/>
    </row>
    <row r="958">
      <c r="A958" s="5"/>
      <c r="B958" s="6"/>
      <c r="C958" s="14" t="str">
        <f>iferror(vlookup(B958,'📦 ชื่อสินค้า'!A:C,2,false),)</f>
        <v/>
      </c>
      <c r="D958" s="11" t="str">
        <f>iferror(vlookup(B958,'📦 ชื่อสินค้า'!A:D,4,false),"")</f>
        <v/>
      </c>
      <c r="E958" s="16"/>
      <c r="F958" s="6"/>
      <c r="G958" s="8" t="str">
        <f t="shared" si="1"/>
        <v/>
      </c>
      <c r="H958" s="11" t="str">
        <f t="shared" si="2"/>
        <v/>
      </c>
      <c r="I958" s="13"/>
    </row>
    <row r="959">
      <c r="A959" s="5"/>
      <c r="B959" s="6"/>
      <c r="C959" s="14" t="str">
        <f>iferror(vlookup(B959,'📦 ชื่อสินค้า'!A:C,2,false),)</f>
        <v/>
      </c>
      <c r="D959" s="11" t="str">
        <f>iferror(vlookup(B959,'📦 ชื่อสินค้า'!A:D,4,false),"")</f>
        <v/>
      </c>
      <c r="E959" s="16"/>
      <c r="F959" s="6"/>
      <c r="G959" s="8" t="str">
        <f t="shared" si="1"/>
        <v/>
      </c>
      <c r="H959" s="11" t="str">
        <f t="shared" si="2"/>
        <v/>
      </c>
      <c r="I959" s="13"/>
    </row>
    <row r="960">
      <c r="A960" s="5"/>
      <c r="B960" s="6"/>
      <c r="C960" s="14" t="str">
        <f>iferror(vlookup(B960,'📦 ชื่อสินค้า'!A:C,2,false),)</f>
        <v/>
      </c>
      <c r="D960" s="11" t="str">
        <f>iferror(vlookup(B960,'📦 ชื่อสินค้า'!A:D,4,false),"")</f>
        <v/>
      </c>
      <c r="E960" s="16"/>
      <c r="F960" s="6"/>
      <c r="G960" s="8" t="str">
        <f t="shared" si="1"/>
        <v/>
      </c>
      <c r="H960" s="11" t="str">
        <f t="shared" si="2"/>
        <v/>
      </c>
      <c r="I960" s="13"/>
    </row>
    <row r="961">
      <c r="A961" s="5"/>
      <c r="B961" s="6"/>
      <c r="C961" s="14" t="str">
        <f>iferror(vlookup(B961,'📦 ชื่อสินค้า'!A:C,2,false),)</f>
        <v/>
      </c>
      <c r="D961" s="11" t="str">
        <f>iferror(vlookup(B961,'📦 ชื่อสินค้า'!A:D,4,false),"")</f>
        <v/>
      </c>
      <c r="E961" s="16"/>
      <c r="F961" s="6"/>
      <c r="G961" s="8" t="str">
        <f t="shared" si="1"/>
        <v/>
      </c>
      <c r="H961" s="11" t="str">
        <f t="shared" si="2"/>
        <v/>
      </c>
      <c r="I961" s="13"/>
    </row>
    <row r="962">
      <c r="A962" s="5"/>
      <c r="B962" s="6"/>
      <c r="C962" s="14" t="str">
        <f>iferror(vlookup(B962,'📦 ชื่อสินค้า'!A:C,2,false),)</f>
        <v/>
      </c>
      <c r="D962" s="11" t="str">
        <f>iferror(vlookup(B962,'📦 ชื่อสินค้า'!A:D,4,false),"")</f>
        <v/>
      </c>
      <c r="E962" s="16"/>
      <c r="F962" s="6"/>
      <c r="G962" s="8" t="str">
        <f t="shared" si="1"/>
        <v/>
      </c>
      <c r="H962" s="11" t="str">
        <f t="shared" si="2"/>
        <v/>
      </c>
      <c r="I962" s="13"/>
    </row>
    <row r="963">
      <c r="A963" s="5"/>
      <c r="B963" s="6"/>
      <c r="C963" s="14" t="str">
        <f>iferror(vlookup(B963,'📦 ชื่อสินค้า'!A:C,2,false),)</f>
        <v/>
      </c>
      <c r="D963" s="11" t="str">
        <f>iferror(vlookup(B963,'📦 ชื่อสินค้า'!A:D,4,false),"")</f>
        <v/>
      </c>
      <c r="E963" s="16"/>
      <c r="F963" s="6"/>
      <c r="G963" s="8" t="str">
        <f t="shared" si="1"/>
        <v/>
      </c>
      <c r="H963" s="11" t="str">
        <f t="shared" si="2"/>
        <v/>
      </c>
      <c r="I963" s="13"/>
    </row>
    <row r="964">
      <c r="A964" s="5"/>
      <c r="B964" s="6"/>
      <c r="C964" s="14" t="str">
        <f>iferror(vlookup(B964,'📦 ชื่อสินค้า'!A:C,2,false),)</f>
        <v/>
      </c>
      <c r="D964" s="11" t="str">
        <f>iferror(vlookup(B964,'📦 ชื่อสินค้า'!A:D,4,false),"")</f>
        <v/>
      </c>
      <c r="E964" s="16"/>
      <c r="F964" s="6"/>
      <c r="G964" s="8" t="str">
        <f t="shared" si="1"/>
        <v/>
      </c>
      <c r="H964" s="11" t="str">
        <f t="shared" si="2"/>
        <v/>
      </c>
      <c r="I964" s="13"/>
    </row>
    <row r="965">
      <c r="A965" s="5"/>
      <c r="B965" s="6"/>
      <c r="C965" s="14" t="str">
        <f>iferror(vlookup(B965,'📦 ชื่อสินค้า'!A:C,2,false),)</f>
        <v/>
      </c>
      <c r="D965" s="11" t="str">
        <f>iferror(vlookup(B965,'📦 ชื่อสินค้า'!A:D,4,false),"")</f>
        <v/>
      </c>
      <c r="E965" s="16"/>
      <c r="F965" s="6"/>
      <c r="G965" s="8" t="str">
        <f t="shared" si="1"/>
        <v/>
      </c>
      <c r="H965" s="11" t="str">
        <f t="shared" si="2"/>
        <v/>
      </c>
      <c r="I965" s="13"/>
    </row>
    <row r="966">
      <c r="A966" s="5"/>
      <c r="B966" s="6"/>
      <c r="C966" s="14" t="str">
        <f>iferror(vlookup(B966,'📦 ชื่อสินค้า'!A:C,2,false),)</f>
        <v/>
      </c>
      <c r="D966" s="11" t="str">
        <f>iferror(vlookup(B966,'📦 ชื่อสินค้า'!A:D,4,false),"")</f>
        <v/>
      </c>
      <c r="E966" s="16"/>
      <c r="F966" s="6"/>
      <c r="G966" s="8" t="str">
        <f t="shared" si="1"/>
        <v/>
      </c>
      <c r="H966" s="11" t="str">
        <f t="shared" si="2"/>
        <v/>
      </c>
      <c r="I966" s="13"/>
    </row>
    <row r="967">
      <c r="A967" s="5"/>
      <c r="B967" s="6"/>
      <c r="C967" s="14" t="str">
        <f>iferror(vlookup(B967,'📦 ชื่อสินค้า'!A:C,2,false),)</f>
        <v/>
      </c>
      <c r="D967" s="11" t="str">
        <f>iferror(vlookup(B967,'📦 ชื่อสินค้า'!A:D,4,false),"")</f>
        <v/>
      </c>
      <c r="E967" s="16"/>
      <c r="F967" s="6"/>
      <c r="G967" s="8" t="str">
        <f t="shared" si="1"/>
        <v/>
      </c>
      <c r="H967" s="11" t="str">
        <f t="shared" si="2"/>
        <v/>
      </c>
      <c r="I967" s="13"/>
    </row>
    <row r="968">
      <c r="A968" s="5"/>
      <c r="B968" s="6"/>
      <c r="C968" s="14" t="str">
        <f>iferror(vlookup(B968,'📦 ชื่อสินค้า'!A:C,2,false),)</f>
        <v/>
      </c>
      <c r="D968" s="11" t="str">
        <f>iferror(vlookup(B968,'📦 ชื่อสินค้า'!A:D,4,false),"")</f>
        <v/>
      </c>
      <c r="E968" s="16"/>
      <c r="F968" s="6"/>
      <c r="G968" s="8" t="str">
        <f t="shared" si="1"/>
        <v/>
      </c>
      <c r="H968" s="11" t="str">
        <f t="shared" si="2"/>
        <v/>
      </c>
      <c r="I968" s="13"/>
    </row>
    <row r="969">
      <c r="A969" s="5"/>
      <c r="B969" s="6"/>
      <c r="C969" s="14" t="str">
        <f>iferror(vlookup(B969,'📦 ชื่อสินค้า'!A:C,2,false),)</f>
        <v/>
      </c>
      <c r="D969" s="11" t="str">
        <f>iferror(vlookup(B969,'📦 ชื่อสินค้า'!A:D,4,false),"")</f>
        <v/>
      </c>
      <c r="E969" s="16"/>
      <c r="F969" s="6"/>
      <c r="G969" s="8" t="str">
        <f t="shared" si="1"/>
        <v/>
      </c>
      <c r="H969" s="11" t="str">
        <f t="shared" si="2"/>
        <v/>
      </c>
      <c r="I969" s="13"/>
    </row>
    <row r="970">
      <c r="A970" s="5"/>
      <c r="B970" s="6"/>
      <c r="C970" s="14" t="str">
        <f>iferror(vlookup(B970,'📦 ชื่อสินค้า'!A:C,2,false),)</f>
        <v/>
      </c>
      <c r="D970" s="11" t="str">
        <f>iferror(vlookup(B970,'📦 ชื่อสินค้า'!A:D,4,false),"")</f>
        <v/>
      </c>
      <c r="E970" s="16"/>
      <c r="F970" s="6"/>
      <c r="G970" s="8" t="str">
        <f t="shared" si="1"/>
        <v/>
      </c>
      <c r="H970" s="11" t="str">
        <f t="shared" si="2"/>
        <v/>
      </c>
      <c r="I970" s="13"/>
    </row>
    <row r="971">
      <c r="A971" s="5"/>
      <c r="B971" s="6"/>
      <c r="C971" s="14" t="str">
        <f>iferror(vlookup(B971,'📦 ชื่อสินค้า'!A:C,2,false),)</f>
        <v/>
      </c>
      <c r="D971" s="11" t="str">
        <f>iferror(vlookup(B971,'📦 ชื่อสินค้า'!A:D,4,false),"")</f>
        <v/>
      </c>
      <c r="E971" s="16"/>
      <c r="F971" s="6"/>
      <c r="G971" s="8" t="str">
        <f t="shared" si="1"/>
        <v/>
      </c>
      <c r="H971" s="11" t="str">
        <f t="shared" si="2"/>
        <v/>
      </c>
      <c r="I971" s="13"/>
    </row>
    <row r="972">
      <c r="A972" s="5"/>
      <c r="B972" s="6"/>
      <c r="C972" s="14" t="str">
        <f>iferror(vlookup(B972,'📦 ชื่อสินค้า'!A:C,2,false),)</f>
        <v/>
      </c>
      <c r="D972" s="11" t="str">
        <f>iferror(vlookup(B972,'📦 ชื่อสินค้า'!A:D,4,false),"")</f>
        <v/>
      </c>
      <c r="E972" s="16"/>
      <c r="F972" s="6"/>
      <c r="G972" s="8" t="str">
        <f t="shared" si="1"/>
        <v/>
      </c>
      <c r="H972" s="11" t="str">
        <f t="shared" si="2"/>
        <v/>
      </c>
      <c r="I972" s="13"/>
    </row>
    <row r="973">
      <c r="A973" s="5"/>
      <c r="B973" s="6"/>
      <c r="C973" s="14" t="str">
        <f>iferror(vlookup(B973,'📦 ชื่อสินค้า'!A:C,2,false),)</f>
        <v/>
      </c>
      <c r="D973" s="11" t="str">
        <f>iferror(vlookup(B973,'📦 ชื่อสินค้า'!A:D,4,false),"")</f>
        <v/>
      </c>
      <c r="E973" s="16"/>
      <c r="F973" s="6"/>
      <c r="G973" s="8" t="str">
        <f t="shared" si="1"/>
        <v/>
      </c>
      <c r="H973" s="11" t="str">
        <f t="shared" si="2"/>
        <v/>
      </c>
      <c r="I973" s="13"/>
    </row>
    <row r="974">
      <c r="A974" s="5"/>
      <c r="B974" s="6"/>
      <c r="C974" s="14" t="str">
        <f>iferror(vlookup(B974,'📦 ชื่อสินค้า'!A:C,2,false),)</f>
        <v/>
      </c>
      <c r="D974" s="11" t="str">
        <f>iferror(vlookup(B974,'📦 ชื่อสินค้า'!A:D,4,false),"")</f>
        <v/>
      </c>
      <c r="E974" s="16"/>
      <c r="F974" s="6"/>
      <c r="G974" s="8" t="str">
        <f t="shared" si="1"/>
        <v/>
      </c>
      <c r="H974" s="11" t="str">
        <f t="shared" si="2"/>
        <v/>
      </c>
      <c r="I974" s="13"/>
    </row>
    <row r="975">
      <c r="A975" s="5"/>
      <c r="B975" s="6"/>
      <c r="C975" s="14" t="str">
        <f>iferror(vlookup(B975,'📦 ชื่อสินค้า'!A:C,2,false),)</f>
        <v/>
      </c>
      <c r="D975" s="11" t="str">
        <f>iferror(vlookup(B975,'📦 ชื่อสินค้า'!A:D,4,false),"")</f>
        <v/>
      </c>
      <c r="E975" s="16"/>
      <c r="F975" s="6"/>
      <c r="G975" s="8" t="str">
        <f t="shared" si="1"/>
        <v/>
      </c>
      <c r="H975" s="11" t="str">
        <f t="shared" si="2"/>
        <v/>
      </c>
      <c r="I975" s="13"/>
    </row>
    <row r="976">
      <c r="A976" s="5"/>
      <c r="B976" s="6"/>
      <c r="C976" s="14" t="str">
        <f>iferror(vlookup(B976,'📦 ชื่อสินค้า'!A:C,2,false),)</f>
        <v/>
      </c>
      <c r="D976" s="11" t="str">
        <f>iferror(vlookup(B976,'📦 ชื่อสินค้า'!A:D,4,false),"")</f>
        <v/>
      </c>
      <c r="E976" s="16"/>
      <c r="F976" s="6"/>
      <c r="G976" s="8" t="str">
        <f t="shared" si="1"/>
        <v/>
      </c>
      <c r="H976" s="11" t="str">
        <f t="shared" si="2"/>
        <v/>
      </c>
      <c r="I976" s="13"/>
    </row>
    <row r="977">
      <c r="A977" s="5"/>
      <c r="B977" s="6"/>
      <c r="C977" s="14" t="str">
        <f>iferror(vlookup(B977,'📦 ชื่อสินค้า'!A:C,2,false),)</f>
        <v/>
      </c>
      <c r="D977" s="11" t="str">
        <f>iferror(vlookup(B977,'📦 ชื่อสินค้า'!A:D,4,false),"")</f>
        <v/>
      </c>
      <c r="E977" s="16"/>
      <c r="F977" s="6"/>
      <c r="G977" s="8" t="str">
        <f t="shared" si="1"/>
        <v/>
      </c>
      <c r="H977" s="11" t="str">
        <f t="shared" si="2"/>
        <v/>
      </c>
      <c r="I977" s="13"/>
    </row>
    <row r="978">
      <c r="A978" s="5"/>
      <c r="B978" s="6"/>
      <c r="C978" s="14" t="str">
        <f>iferror(vlookup(B978,'📦 ชื่อสินค้า'!A:C,2,false),)</f>
        <v/>
      </c>
      <c r="D978" s="11" t="str">
        <f>iferror(vlookup(B978,'📦 ชื่อสินค้า'!A:D,4,false),"")</f>
        <v/>
      </c>
      <c r="E978" s="16"/>
      <c r="F978" s="6"/>
      <c r="G978" s="8" t="str">
        <f t="shared" si="1"/>
        <v/>
      </c>
      <c r="H978" s="11" t="str">
        <f t="shared" si="2"/>
        <v/>
      </c>
      <c r="I978" s="13"/>
    </row>
    <row r="979">
      <c r="A979" s="5"/>
      <c r="B979" s="6"/>
      <c r="C979" s="14" t="str">
        <f>iferror(vlookup(B979,'📦 ชื่อสินค้า'!A:C,2,false),)</f>
        <v/>
      </c>
      <c r="D979" s="11" t="str">
        <f>iferror(vlookup(B979,'📦 ชื่อสินค้า'!A:D,4,false),"")</f>
        <v/>
      </c>
      <c r="E979" s="16"/>
      <c r="F979" s="6"/>
      <c r="G979" s="8" t="str">
        <f t="shared" si="1"/>
        <v/>
      </c>
      <c r="H979" s="11" t="str">
        <f t="shared" si="2"/>
        <v/>
      </c>
      <c r="I979" s="13"/>
    </row>
    <row r="980">
      <c r="A980" s="5"/>
      <c r="B980" s="6"/>
      <c r="C980" s="14" t="str">
        <f>iferror(vlookup(B980,'📦 ชื่อสินค้า'!A:C,2,false),)</f>
        <v/>
      </c>
      <c r="D980" s="11" t="str">
        <f>iferror(vlookup(B980,'📦 ชื่อสินค้า'!A:D,4,false),"")</f>
        <v/>
      </c>
      <c r="E980" s="16"/>
      <c r="F980" s="6"/>
      <c r="G980" s="8" t="str">
        <f t="shared" si="1"/>
        <v/>
      </c>
      <c r="H980" s="11" t="str">
        <f t="shared" si="2"/>
        <v/>
      </c>
      <c r="I980" s="13"/>
    </row>
    <row r="981">
      <c r="A981" s="5"/>
      <c r="B981" s="6"/>
      <c r="C981" s="14" t="str">
        <f>iferror(vlookup(B981,'📦 ชื่อสินค้า'!A:C,2,false),)</f>
        <v/>
      </c>
      <c r="D981" s="11" t="str">
        <f>iferror(vlookup(B981,'📦 ชื่อสินค้า'!A:D,4,false),"")</f>
        <v/>
      </c>
      <c r="E981" s="16"/>
      <c r="F981" s="6"/>
      <c r="G981" s="8" t="str">
        <f t="shared" si="1"/>
        <v/>
      </c>
      <c r="H981" s="11" t="str">
        <f t="shared" si="2"/>
        <v/>
      </c>
      <c r="I981" s="13"/>
    </row>
    <row r="982">
      <c r="A982" s="5"/>
      <c r="B982" s="6"/>
      <c r="C982" s="14" t="str">
        <f>iferror(vlookup(B982,'📦 ชื่อสินค้า'!A:C,2,false),)</f>
        <v/>
      </c>
      <c r="D982" s="11" t="str">
        <f>iferror(vlookup(B982,'📦 ชื่อสินค้า'!A:D,4,false),"")</f>
        <v/>
      </c>
      <c r="E982" s="16"/>
      <c r="F982" s="6"/>
      <c r="G982" s="8" t="str">
        <f t="shared" si="1"/>
        <v/>
      </c>
      <c r="H982" s="11" t="str">
        <f t="shared" si="2"/>
        <v/>
      </c>
      <c r="I982" s="13"/>
    </row>
    <row r="983">
      <c r="A983" s="5"/>
      <c r="B983" s="6"/>
      <c r="C983" s="14" t="str">
        <f>iferror(vlookup(B983,'📦 ชื่อสินค้า'!A:C,2,false),)</f>
        <v/>
      </c>
      <c r="D983" s="11" t="str">
        <f>iferror(vlookup(B983,'📦 ชื่อสินค้า'!A:D,4,false),"")</f>
        <v/>
      </c>
      <c r="E983" s="16"/>
      <c r="F983" s="6"/>
      <c r="G983" s="8" t="str">
        <f t="shared" si="1"/>
        <v/>
      </c>
      <c r="H983" s="11" t="str">
        <f t="shared" si="2"/>
        <v/>
      </c>
      <c r="I983" s="13"/>
    </row>
    <row r="984">
      <c r="A984" s="5"/>
      <c r="B984" s="6"/>
      <c r="C984" s="14" t="str">
        <f>iferror(vlookup(B984,'📦 ชื่อสินค้า'!A:C,2,false),)</f>
        <v/>
      </c>
      <c r="D984" s="11" t="str">
        <f>iferror(vlookup(B984,'📦 ชื่อสินค้า'!A:D,4,false),"")</f>
        <v/>
      </c>
      <c r="E984" s="16"/>
      <c r="F984" s="6"/>
      <c r="G984" s="8" t="str">
        <f t="shared" si="1"/>
        <v/>
      </c>
      <c r="H984" s="11" t="str">
        <f t="shared" si="2"/>
        <v/>
      </c>
      <c r="I984" s="13"/>
    </row>
    <row r="985">
      <c r="A985" s="5"/>
      <c r="B985" s="6"/>
      <c r="C985" s="14" t="str">
        <f>iferror(vlookup(B985,'📦 ชื่อสินค้า'!A:C,2,false),)</f>
        <v/>
      </c>
      <c r="D985" s="11" t="str">
        <f>iferror(vlookup(B985,'📦 ชื่อสินค้า'!A:D,4,false),"")</f>
        <v/>
      </c>
      <c r="E985" s="16"/>
      <c r="F985" s="6"/>
      <c r="G985" s="8" t="str">
        <f t="shared" si="1"/>
        <v/>
      </c>
      <c r="H985" s="11" t="str">
        <f t="shared" si="2"/>
        <v/>
      </c>
      <c r="I985" s="13"/>
    </row>
    <row r="986">
      <c r="A986" s="5"/>
      <c r="B986" s="6"/>
      <c r="C986" s="14" t="str">
        <f>iferror(vlookup(B986,'📦 ชื่อสินค้า'!A:C,2,false),)</f>
        <v/>
      </c>
      <c r="D986" s="11" t="str">
        <f>iferror(vlookup(B986,'📦 ชื่อสินค้า'!A:D,4,false),"")</f>
        <v/>
      </c>
      <c r="E986" s="16"/>
      <c r="F986" s="6"/>
      <c r="G986" s="8" t="str">
        <f t="shared" si="1"/>
        <v/>
      </c>
      <c r="H986" s="11" t="str">
        <f t="shared" si="2"/>
        <v/>
      </c>
      <c r="I986" s="13"/>
    </row>
    <row r="987">
      <c r="A987" s="5"/>
      <c r="B987" s="6"/>
      <c r="C987" s="14" t="str">
        <f>iferror(vlookup(B987,'📦 ชื่อสินค้า'!A:C,2,false),)</f>
        <v/>
      </c>
      <c r="D987" s="11" t="str">
        <f>iferror(vlookup(B987,'📦 ชื่อสินค้า'!A:D,4,false),"")</f>
        <v/>
      </c>
      <c r="E987" s="16"/>
      <c r="F987" s="6"/>
      <c r="G987" s="8" t="str">
        <f t="shared" si="1"/>
        <v/>
      </c>
      <c r="H987" s="11" t="str">
        <f t="shared" si="2"/>
        <v/>
      </c>
      <c r="I987" s="13"/>
    </row>
    <row r="988">
      <c r="A988" s="5"/>
      <c r="B988" s="6"/>
      <c r="C988" s="14" t="str">
        <f>iferror(vlookup(B988,'📦 ชื่อสินค้า'!A:C,2,false),)</f>
        <v/>
      </c>
      <c r="D988" s="11" t="str">
        <f>iferror(vlookup(B988,'📦 ชื่อสินค้า'!A:D,4,false),"")</f>
        <v/>
      </c>
      <c r="E988" s="16"/>
      <c r="F988" s="6"/>
      <c r="G988" s="8" t="str">
        <f t="shared" si="1"/>
        <v/>
      </c>
      <c r="H988" s="11" t="str">
        <f t="shared" si="2"/>
        <v/>
      </c>
      <c r="I988" s="13"/>
    </row>
    <row r="989">
      <c r="A989" s="5"/>
      <c r="B989" s="6"/>
      <c r="C989" s="14" t="str">
        <f>iferror(vlookup(B989,'📦 ชื่อสินค้า'!A:C,2,false),)</f>
        <v/>
      </c>
      <c r="D989" s="11" t="str">
        <f>iferror(vlookup(B989,'📦 ชื่อสินค้า'!A:D,4,false),"")</f>
        <v/>
      </c>
      <c r="E989" s="16"/>
      <c r="F989" s="6"/>
      <c r="G989" s="8" t="str">
        <f t="shared" si="1"/>
        <v/>
      </c>
      <c r="H989" s="11" t="str">
        <f t="shared" si="2"/>
        <v/>
      </c>
      <c r="I989" s="13"/>
    </row>
    <row r="990">
      <c r="A990" s="5"/>
      <c r="B990" s="6"/>
      <c r="C990" s="14" t="str">
        <f>iferror(vlookup(B990,'📦 ชื่อสินค้า'!A:C,2,false),)</f>
        <v/>
      </c>
      <c r="D990" s="11" t="str">
        <f>iferror(vlookup(B990,'📦 ชื่อสินค้า'!A:D,4,false),"")</f>
        <v/>
      </c>
      <c r="E990" s="16"/>
      <c r="F990" s="6"/>
      <c r="G990" s="8" t="str">
        <f t="shared" si="1"/>
        <v/>
      </c>
      <c r="H990" s="11" t="str">
        <f t="shared" si="2"/>
        <v/>
      </c>
      <c r="I990" s="13"/>
    </row>
    <row r="991">
      <c r="A991" s="5"/>
      <c r="B991" s="6"/>
      <c r="C991" s="14" t="str">
        <f>iferror(vlookup(B991,'📦 ชื่อสินค้า'!A:C,2,false),)</f>
        <v/>
      </c>
      <c r="D991" s="11" t="str">
        <f>iferror(vlookup(B991,'📦 ชื่อสินค้า'!A:D,4,false),"")</f>
        <v/>
      </c>
      <c r="E991" s="16"/>
      <c r="F991" s="6"/>
      <c r="G991" s="8" t="str">
        <f t="shared" si="1"/>
        <v/>
      </c>
      <c r="H991" s="11" t="str">
        <f t="shared" si="2"/>
        <v/>
      </c>
      <c r="I991" s="13"/>
    </row>
    <row r="992">
      <c r="A992" s="5"/>
      <c r="B992" s="6"/>
      <c r="C992" s="14" t="str">
        <f>iferror(vlookup(B992,'📦 ชื่อสินค้า'!A:C,2,false),)</f>
        <v/>
      </c>
      <c r="D992" s="11" t="str">
        <f>iferror(vlookup(B992,'📦 ชื่อสินค้า'!A:D,4,false),"")</f>
        <v/>
      </c>
      <c r="E992" s="16"/>
      <c r="F992" s="6"/>
      <c r="G992" s="8" t="str">
        <f t="shared" si="1"/>
        <v/>
      </c>
      <c r="H992" s="11" t="str">
        <f t="shared" si="2"/>
        <v/>
      </c>
      <c r="I992" s="13"/>
    </row>
    <row r="993">
      <c r="A993" s="5"/>
      <c r="B993" s="6"/>
      <c r="C993" s="14" t="str">
        <f>iferror(vlookup(B993,'📦 ชื่อสินค้า'!A:C,2,false),)</f>
        <v/>
      </c>
      <c r="D993" s="11" t="str">
        <f>iferror(vlookup(B993,'📦 ชื่อสินค้า'!A:D,4,false),"")</f>
        <v/>
      </c>
      <c r="E993" s="16"/>
      <c r="F993" s="6"/>
      <c r="G993" s="8" t="str">
        <f t="shared" si="1"/>
        <v/>
      </c>
      <c r="H993" s="11" t="str">
        <f t="shared" si="2"/>
        <v/>
      </c>
      <c r="I993" s="13"/>
    </row>
    <row r="994">
      <c r="A994" s="5"/>
      <c r="B994" s="6"/>
      <c r="C994" s="14" t="str">
        <f>iferror(vlookup(B994,'📦 ชื่อสินค้า'!A:C,2,false),)</f>
        <v/>
      </c>
      <c r="D994" s="11" t="str">
        <f>iferror(vlookup(B994,'📦 ชื่อสินค้า'!A:D,4,false),"")</f>
        <v/>
      </c>
      <c r="E994" s="16"/>
      <c r="F994" s="6"/>
      <c r="G994" s="8" t="str">
        <f t="shared" si="1"/>
        <v/>
      </c>
      <c r="H994" s="11" t="str">
        <f t="shared" si="2"/>
        <v/>
      </c>
      <c r="I994" s="13"/>
    </row>
    <row r="995">
      <c r="A995" s="5"/>
      <c r="B995" s="6"/>
      <c r="C995" s="14" t="str">
        <f>iferror(vlookup(B995,'📦 ชื่อสินค้า'!A:C,2,false),)</f>
        <v/>
      </c>
      <c r="D995" s="11" t="str">
        <f>iferror(vlookup(B995,'📦 ชื่อสินค้า'!A:D,4,false),"")</f>
        <v/>
      </c>
      <c r="E995" s="16"/>
      <c r="F995" s="6"/>
      <c r="G995" s="8" t="str">
        <f t="shared" si="1"/>
        <v/>
      </c>
      <c r="H995" s="11" t="str">
        <f t="shared" si="2"/>
        <v/>
      </c>
      <c r="I995" s="13"/>
    </row>
    <row r="996">
      <c r="A996" s="5"/>
      <c r="B996" s="6"/>
      <c r="C996" s="14" t="str">
        <f>iferror(vlookup(B996,'📦 ชื่อสินค้า'!A:C,2,false),)</f>
        <v/>
      </c>
      <c r="D996" s="11" t="str">
        <f>iferror(vlookup(B996,'📦 ชื่อสินค้า'!A:D,4,false),"")</f>
        <v/>
      </c>
      <c r="E996" s="16"/>
      <c r="F996" s="6"/>
      <c r="G996" s="8" t="str">
        <f t="shared" si="1"/>
        <v/>
      </c>
      <c r="H996" s="11" t="str">
        <f t="shared" si="2"/>
        <v/>
      </c>
      <c r="I996" s="13"/>
    </row>
  </sheetData>
  <dataValidations>
    <dataValidation type="list" allowBlank="1" sqref="B2:B996">
      <formula1>'📦 ชื่อสินค้า'!$A$2:$A$100</formula1>
    </dataValidation>
    <dataValidation type="custom" allowBlank="1" showDropDown="1" sqref="A2:A996">
      <formula1>OR(NOT(ISERROR(DATEVALUE(A2))), AND(ISNUMBER(A2), LEFT(CELL("format", A2))="D"))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6" max="7" width="15.0"/>
  </cols>
  <sheetData>
    <row r="1">
      <c r="A1" s="2" t="s">
        <v>1</v>
      </c>
      <c r="B1" s="2" t="s">
        <v>36</v>
      </c>
      <c r="C1" s="2" t="s">
        <v>37</v>
      </c>
      <c r="D1" s="2" t="s">
        <v>3</v>
      </c>
      <c r="E1" s="2" t="s">
        <v>38</v>
      </c>
      <c r="F1" s="2" t="s">
        <v>10</v>
      </c>
      <c r="G1" s="2" t="s">
        <v>39</v>
      </c>
    </row>
    <row r="2">
      <c r="A2" s="6" t="s">
        <v>21</v>
      </c>
      <c r="B2" s="6">
        <v>90.0</v>
      </c>
      <c r="C2" s="6">
        <v>150.0</v>
      </c>
      <c r="D2" s="6" t="s">
        <v>14</v>
      </c>
      <c r="E2" s="6">
        <v>50.0</v>
      </c>
      <c r="F2" s="6" t="s">
        <v>40</v>
      </c>
      <c r="G2" s="6" t="s">
        <v>41</v>
      </c>
    </row>
    <row r="3">
      <c r="A3" s="6" t="s">
        <v>30</v>
      </c>
      <c r="B3" s="6">
        <v>80.0</v>
      </c>
      <c r="C3" s="6">
        <v>150.0</v>
      </c>
      <c r="D3" s="6" t="s">
        <v>14</v>
      </c>
      <c r="E3" s="6">
        <v>5.0</v>
      </c>
      <c r="F3" s="6" t="s">
        <v>40</v>
      </c>
      <c r="G3" s="6" t="s">
        <v>41</v>
      </c>
    </row>
    <row r="4">
      <c r="A4" s="6" t="s">
        <v>13</v>
      </c>
      <c r="B4" s="6">
        <v>80.0</v>
      </c>
      <c r="C4" s="6">
        <v>150.0</v>
      </c>
      <c r="D4" s="6" t="s">
        <v>14</v>
      </c>
      <c r="E4" s="6">
        <v>5.0</v>
      </c>
      <c r="F4" s="6" t="s">
        <v>40</v>
      </c>
      <c r="G4" s="6" t="s">
        <v>41</v>
      </c>
    </row>
    <row r="5">
      <c r="A5" s="6" t="s">
        <v>23</v>
      </c>
      <c r="B5" s="6">
        <v>80.0</v>
      </c>
      <c r="C5" s="6">
        <v>150.0</v>
      </c>
      <c r="D5" s="6" t="s">
        <v>14</v>
      </c>
      <c r="E5" s="6">
        <v>5.0</v>
      </c>
      <c r="F5" s="6" t="s">
        <v>40</v>
      </c>
      <c r="G5" s="6" t="s">
        <v>41</v>
      </c>
    </row>
    <row r="6">
      <c r="A6" s="6" t="s">
        <v>31</v>
      </c>
      <c r="B6" s="6">
        <v>80.0</v>
      </c>
      <c r="C6" s="6">
        <v>150.0</v>
      </c>
      <c r="D6" s="6" t="s">
        <v>14</v>
      </c>
      <c r="E6" s="6">
        <v>5.0</v>
      </c>
      <c r="F6" s="6" t="s">
        <v>40</v>
      </c>
      <c r="G6" s="6" t="s">
        <v>41</v>
      </c>
    </row>
    <row r="7">
      <c r="A7" s="6" t="s">
        <v>19</v>
      </c>
      <c r="B7" s="6">
        <v>80.0</v>
      </c>
      <c r="C7" s="6">
        <v>150.0</v>
      </c>
      <c r="D7" s="6" t="s">
        <v>14</v>
      </c>
      <c r="E7" s="6">
        <v>5.0</v>
      </c>
      <c r="F7" s="6" t="s">
        <v>40</v>
      </c>
      <c r="G7" s="6" t="s">
        <v>41</v>
      </c>
    </row>
    <row r="8">
      <c r="A8" s="6" t="s">
        <v>32</v>
      </c>
      <c r="B8" s="6">
        <v>70.0</v>
      </c>
      <c r="C8" s="6">
        <v>150.0</v>
      </c>
      <c r="D8" s="6" t="s">
        <v>14</v>
      </c>
      <c r="E8" s="6">
        <v>5.0</v>
      </c>
      <c r="F8" s="6" t="s">
        <v>40</v>
      </c>
      <c r="G8" s="6" t="s">
        <v>41</v>
      </c>
    </row>
    <row r="9">
      <c r="A9" s="6" t="s">
        <v>24</v>
      </c>
      <c r="B9" s="6">
        <v>80.0</v>
      </c>
      <c r="C9" s="6">
        <v>150.0</v>
      </c>
      <c r="D9" s="6" t="s">
        <v>14</v>
      </c>
      <c r="E9" s="6">
        <v>5.0</v>
      </c>
      <c r="F9" s="6" t="s">
        <v>40</v>
      </c>
      <c r="G9" s="6" t="s">
        <v>41</v>
      </c>
    </row>
    <row r="10">
      <c r="A10" s="6" t="s">
        <v>17</v>
      </c>
      <c r="B10" s="6">
        <v>80.0</v>
      </c>
      <c r="C10" s="6">
        <v>150.0</v>
      </c>
      <c r="D10" s="6" t="s">
        <v>14</v>
      </c>
      <c r="E10" s="6">
        <v>10.0</v>
      </c>
      <c r="F10" s="6" t="s">
        <v>40</v>
      </c>
      <c r="G10" s="6" t="s">
        <v>41</v>
      </c>
    </row>
    <row r="11">
      <c r="A11" s="6" t="s">
        <v>33</v>
      </c>
      <c r="B11" s="6">
        <v>250.0</v>
      </c>
      <c r="C11" s="6">
        <v>400.0</v>
      </c>
      <c r="D11" s="6" t="s">
        <v>14</v>
      </c>
      <c r="E11" s="6">
        <v>50.0</v>
      </c>
      <c r="F11" s="6" t="s">
        <v>42</v>
      </c>
      <c r="G11" s="6" t="s">
        <v>41</v>
      </c>
    </row>
    <row r="12">
      <c r="A12" s="6" t="s">
        <v>34</v>
      </c>
      <c r="B12" s="6">
        <v>250.0</v>
      </c>
      <c r="C12" s="6">
        <v>400.0</v>
      </c>
      <c r="D12" s="6" t="s">
        <v>14</v>
      </c>
      <c r="E12" s="6">
        <v>20.0</v>
      </c>
      <c r="F12" s="6" t="s">
        <v>42</v>
      </c>
      <c r="G12" s="6" t="s">
        <v>41</v>
      </c>
    </row>
    <row r="13">
      <c r="A13" s="6" t="s">
        <v>16</v>
      </c>
      <c r="B13" s="6">
        <v>80.0</v>
      </c>
      <c r="C13" s="6">
        <v>150.0</v>
      </c>
      <c r="D13" s="6" t="s">
        <v>14</v>
      </c>
      <c r="E13" s="6">
        <v>20.0</v>
      </c>
      <c r="F13" s="6" t="s">
        <v>40</v>
      </c>
      <c r="G13" s="6" t="s">
        <v>41</v>
      </c>
    </row>
    <row r="14">
      <c r="A14" s="6" t="s">
        <v>35</v>
      </c>
      <c r="B14" s="6">
        <v>70.0</v>
      </c>
      <c r="C14" s="6">
        <v>150.0</v>
      </c>
      <c r="D14" s="6" t="s">
        <v>14</v>
      </c>
      <c r="E14" s="6">
        <v>81.0</v>
      </c>
      <c r="F14" s="6" t="s">
        <v>40</v>
      </c>
      <c r="G14" s="6" t="s">
        <v>41</v>
      </c>
    </row>
    <row r="15">
      <c r="A15" s="6" t="s">
        <v>15</v>
      </c>
      <c r="B15" s="6">
        <v>20.0</v>
      </c>
      <c r="C15" s="6">
        <v>250.0</v>
      </c>
      <c r="D15" s="6" t="s">
        <v>14</v>
      </c>
      <c r="E15" s="6">
        <v>5.0</v>
      </c>
      <c r="F15" s="6" t="s">
        <v>43</v>
      </c>
      <c r="G15" s="6" t="s">
        <v>41</v>
      </c>
    </row>
    <row r="16">
      <c r="A16" s="6" t="s">
        <v>18</v>
      </c>
      <c r="B16" s="6">
        <v>80.0</v>
      </c>
      <c r="C16" s="6">
        <v>150.0</v>
      </c>
      <c r="D16" s="6" t="s">
        <v>14</v>
      </c>
      <c r="E16" s="6">
        <v>5.0</v>
      </c>
      <c r="F16" s="6" t="s">
        <v>40</v>
      </c>
      <c r="G16" s="16"/>
    </row>
    <row r="17">
      <c r="A17" s="6" t="s">
        <v>20</v>
      </c>
      <c r="B17" s="6">
        <v>80.0</v>
      </c>
      <c r="C17" s="6">
        <v>150.0</v>
      </c>
      <c r="D17" s="6" t="s">
        <v>14</v>
      </c>
      <c r="E17" s="6">
        <v>5.0</v>
      </c>
      <c r="F17" s="6" t="s">
        <v>40</v>
      </c>
      <c r="G17" s="16"/>
    </row>
    <row r="18">
      <c r="A18" s="6" t="s">
        <v>44</v>
      </c>
      <c r="B18" s="6">
        <v>80.0</v>
      </c>
      <c r="C18" s="6">
        <v>150.0</v>
      </c>
      <c r="D18" s="6" t="s">
        <v>14</v>
      </c>
      <c r="E18" s="6">
        <v>5.0</v>
      </c>
      <c r="F18" s="6" t="s">
        <v>40</v>
      </c>
      <c r="G18" s="16"/>
    </row>
    <row r="19">
      <c r="A19" s="6" t="s">
        <v>22</v>
      </c>
      <c r="B19" s="6">
        <v>60.0</v>
      </c>
      <c r="C19" s="6">
        <v>150.0</v>
      </c>
      <c r="D19" s="6" t="s">
        <v>14</v>
      </c>
      <c r="E19" s="6">
        <v>5.0</v>
      </c>
      <c r="F19" s="6" t="s">
        <v>40</v>
      </c>
      <c r="G19" s="16"/>
    </row>
    <row r="20">
      <c r="A20" s="6" t="s">
        <v>25</v>
      </c>
      <c r="B20" s="6">
        <v>60.0</v>
      </c>
      <c r="C20" s="6">
        <v>150.0</v>
      </c>
      <c r="D20" s="6" t="s">
        <v>14</v>
      </c>
      <c r="E20" s="6">
        <v>5.0</v>
      </c>
      <c r="F20" s="6" t="s">
        <v>40</v>
      </c>
      <c r="G20" s="16"/>
    </row>
    <row r="21">
      <c r="A21" s="6" t="s">
        <v>26</v>
      </c>
      <c r="B21" s="6">
        <v>60.0</v>
      </c>
      <c r="C21" s="6">
        <v>150.0</v>
      </c>
      <c r="D21" s="6" t="s">
        <v>14</v>
      </c>
      <c r="E21" s="6">
        <v>5.0</v>
      </c>
      <c r="F21" s="6" t="s">
        <v>40</v>
      </c>
      <c r="G21" s="16"/>
    </row>
    <row r="22">
      <c r="A22" s="6" t="s">
        <v>45</v>
      </c>
      <c r="B22" s="6">
        <v>60.0</v>
      </c>
      <c r="C22" s="6">
        <v>150.0</v>
      </c>
      <c r="D22" s="6" t="s">
        <v>14</v>
      </c>
      <c r="E22" s="6">
        <v>5.0</v>
      </c>
      <c r="F22" s="6" t="s">
        <v>40</v>
      </c>
      <c r="G22" s="16"/>
    </row>
    <row r="23">
      <c r="A23" s="16"/>
      <c r="B23" s="16"/>
      <c r="C23" s="16"/>
      <c r="D23" s="16"/>
      <c r="E23" s="16"/>
      <c r="F23" s="6"/>
      <c r="G23" s="16"/>
    </row>
    <row r="24">
      <c r="A24" s="16"/>
      <c r="B24" s="16"/>
      <c r="C24" s="16"/>
      <c r="D24" s="16"/>
      <c r="E24" s="16"/>
      <c r="F24" s="6"/>
      <c r="G24" s="16"/>
    </row>
    <row r="25">
      <c r="A25" s="16"/>
      <c r="B25" s="16"/>
      <c r="C25" s="16"/>
      <c r="D25" s="16"/>
      <c r="E25" s="16"/>
      <c r="F25" s="6"/>
      <c r="G25" s="16"/>
    </row>
    <row r="26">
      <c r="A26" s="16"/>
      <c r="B26" s="16"/>
      <c r="C26" s="16"/>
      <c r="D26" s="16"/>
      <c r="E26" s="16"/>
      <c r="F26" s="6"/>
      <c r="G26" s="16"/>
    </row>
    <row r="27">
      <c r="A27" s="16"/>
      <c r="B27" s="16"/>
      <c r="C27" s="16"/>
      <c r="D27" s="16"/>
      <c r="E27" s="16"/>
      <c r="F27" s="6"/>
      <c r="G27" s="16"/>
    </row>
    <row r="28">
      <c r="A28" s="16"/>
      <c r="B28" s="16"/>
      <c r="C28" s="16"/>
      <c r="D28" s="16"/>
      <c r="E28" s="16"/>
      <c r="F28" s="6"/>
      <c r="G28" s="16"/>
    </row>
    <row r="29">
      <c r="A29" s="16"/>
      <c r="B29" s="16"/>
      <c r="C29" s="16"/>
      <c r="D29" s="16"/>
      <c r="E29" s="16"/>
      <c r="F29" s="6"/>
      <c r="G29" s="16"/>
    </row>
    <row r="30">
      <c r="A30" s="16"/>
      <c r="B30" s="16"/>
      <c r="C30" s="16"/>
      <c r="D30" s="16"/>
      <c r="E30" s="16"/>
      <c r="F30" s="6"/>
      <c r="G30" s="16"/>
    </row>
    <row r="31">
      <c r="A31" s="16"/>
      <c r="B31" s="16"/>
      <c r="C31" s="16"/>
      <c r="D31" s="16"/>
      <c r="E31" s="16"/>
      <c r="F31" s="6"/>
      <c r="G31" s="16"/>
    </row>
    <row r="32">
      <c r="A32" s="16"/>
      <c r="B32" s="16"/>
      <c r="C32" s="16"/>
      <c r="D32" s="16"/>
      <c r="E32" s="16"/>
      <c r="F32" s="6"/>
      <c r="G32" s="16"/>
    </row>
    <row r="33">
      <c r="A33" s="16"/>
      <c r="B33" s="16"/>
      <c r="C33" s="16"/>
      <c r="D33" s="16"/>
      <c r="E33" s="16"/>
      <c r="F33" s="6"/>
      <c r="G33" s="16"/>
    </row>
    <row r="34">
      <c r="A34" s="16"/>
      <c r="B34" s="16"/>
      <c r="C34" s="16"/>
      <c r="D34" s="16"/>
      <c r="E34" s="16"/>
      <c r="F34" s="6"/>
      <c r="G34" s="16"/>
    </row>
    <row r="35">
      <c r="A35" s="16"/>
      <c r="B35" s="16"/>
      <c r="C35" s="16"/>
      <c r="D35" s="16"/>
      <c r="E35" s="16"/>
      <c r="F35" s="6"/>
      <c r="G35" s="16"/>
    </row>
    <row r="36">
      <c r="A36" s="16"/>
      <c r="B36" s="16"/>
      <c r="C36" s="16"/>
      <c r="D36" s="16"/>
      <c r="E36" s="16"/>
      <c r="F36" s="6"/>
      <c r="G36" s="16"/>
    </row>
    <row r="37">
      <c r="A37" s="16"/>
      <c r="B37" s="16"/>
      <c r="C37" s="16"/>
      <c r="D37" s="16"/>
      <c r="E37" s="16"/>
      <c r="F37" s="6"/>
      <c r="G37" s="16"/>
    </row>
    <row r="38">
      <c r="A38" s="16"/>
      <c r="B38" s="16"/>
      <c r="C38" s="16"/>
      <c r="D38" s="16"/>
      <c r="E38" s="16"/>
      <c r="F38" s="6"/>
      <c r="G38" s="16"/>
    </row>
    <row r="39">
      <c r="A39" s="16"/>
      <c r="B39" s="16"/>
      <c r="C39" s="16"/>
      <c r="D39" s="16"/>
      <c r="E39" s="16"/>
      <c r="F39" s="6"/>
      <c r="G39" s="16"/>
    </row>
    <row r="40">
      <c r="A40" s="16"/>
      <c r="B40" s="16"/>
      <c r="C40" s="16"/>
      <c r="D40" s="16"/>
      <c r="E40" s="16"/>
      <c r="F40" s="6"/>
      <c r="G40" s="16"/>
    </row>
    <row r="41">
      <c r="A41" s="16"/>
      <c r="B41" s="16"/>
      <c r="C41" s="16"/>
      <c r="D41" s="16"/>
      <c r="E41" s="16"/>
      <c r="F41" s="6"/>
      <c r="G41" s="16"/>
    </row>
    <row r="42">
      <c r="A42" s="16"/>
      <c r="B42" s="16"/>
      <c r="C42" s="16"/>
      <c r="D42" s="16"/>
      <c r="E42" s="16"/>
      <c r="F42" s="6"/>
      <c r="G42" s="16"/>
    </row>
    <row r="43">
      <c r="A43" s="16"/>
      <c r="B43" s="16"/>
      <c r="C43" s="16"/>
      <c r="D43" s="16"/>
      <c r="E43" s="16"/>
      <c r="F43" s="6"/>
      <c r="G43" s="16"/>
    </row>
    <row r="44">
      <c r="A44" s="16"/>
      <c r="B44" s="16"/>
      <c r="C44" s="16"/>
      <c r="D44" s="16"/>
      <c r="E44" s="16"/>
      <c r="F44" s="6"/>
      <c r="G44" s="16"/>
    </row>
    <row r="45">
      <c r="A45" s="16"/>
      <c r="B45" s="16"/>
      <c r="C45" s="16"/>
      <c r="D45" s="16"/>
      <c r="E45" s="16"/>
      <c r="F45" s="6"/>
      <c r="G45" s="16"/>
    </row>
    <row r="46">
      <c r="A46" s="16"/>
      <c r="B46" s="16"/>
      <c r="C46" s="16"/>
      <c r="D46" s="16"/>
      <c r="E46" s="16"/>
      <c r="F46" s="6"/>
      <c r="G46" s="16"/>
    </row>
    <row r="47">
      <c r="A47" s="16"/>
      <c r="B47" s="16"/>
      <c r="C47" s="16"/>
      <c r="D47" s="16"/>
      <c r="E47" s="16"/>
      <c r="F47" s="6"/>
      <c r="G47" s="16"/>
    </row>
    <row r="48">
      <c r="A48" s="16"/>
      <c r="B48" s="16"/>
      <c r="C48" s="16"/>
      <c r="D48" s="16"/>
      <c r="E48" s="16"/>
      <c r="F48" s="6"/>
      <c r="G48" s="16"/>
    </row>
    <row r="49">
      <c r="A49" s="16"/>
      <c r="B49" s="16"/>
      <c r="C49" s="16"/>
      <c r="D49" s="16"/>
      <c r="E49" s="16"/>
      <c r="F49" s="6"/>
      <c r="G49" s="16"/>
    </row>
    <row r="50">
      <c r="A50" s="16"/>
      <c r="B50" s="16"/>
      <c r="C50" s="16"/>
      <c r="D50" s="16"/>
      <c r="E50" s="16"/>
      <c r="F50" s="6"/>
      <c r="G50" s="16"/>
    </row>
    <row r="51">
      <c r="A51" s="16"/>
      <c r="B51" s="16"/>
      <c r="C51" s="16"/>
      <c r="D51" s="16"/>
      <c r="E51" s="16"/>
      <c r="F51" s="6"/>
      <c r="G51" s="16"/>
    </row>
    <row r="52">
      <c r="A52" s="16"/>
      <c r="B52" s="16"/>
      <c r="C52" s="16"/>
      <c r="D52" s="16"/>
      <c r="E52" s="16"/>
      <c r="F52" s="6"/>
      <c r="G52" s="16"/>
    </row>
    <row r="53">
      <c r="A53" s="16"/>
      <c r="B53" s="16"/>
      <c r="C53" s="16"/>
      <c r="D53" s="16"/>
      <c r="E53" s="16"/>
      <c r="F53" s="6"/>
      <c r="G53" s="16"/>
    </row>
    <row r="54">
      <c r="A54" s="16"/>
      <c r="B54" s="16"/>
      <c r="C54" s="16"/>
      <c r="D54" s="16"/>
      <c r="E54" s="16"/>
      <c r="F54" s="6"/>
      <c r="G54" s="16"/>
    </row>
    <row r="55">
      <c r="A55" s="16"/>
      <c r="B55" s="16"/>
      <c r="C55" s="16"/>
      <c r="D55" s="16"/>
      <c r="E55" s="16"/>
      <c r="F55" s="6"/>
      <c r="G55" s="16"/>
    </row>
    <row r="56">
      <c r="A56" s="16"/>
      <c r="B56" s="16"/>
      <c r="C56" s="16"/>
      <c r="D56" s="16"/>
      <c r="E56" s="16"/>
      <c r="F56" s="6"/>
      <c r="G56" s="16"/>
    </row>
    <row r="57">
      <c r="A57" s="16"/>
      <c r="B57" s="16"/>
      <c r="C57" s="16"/>
      <c r="D57" s="16"/>
      <c r="E57" s="16"/>
      <c r="F57" s="6"/>
      <c r="G57" s="16"/>
    </row>
    <row r="58">
      <c r="A58" s="16"/>
      <c r="B58" s="16"/>
      <c r="C58" s="16"/>
      <c r="D58" s="16"/>
      <c r="E58" s="16"/>
      <c r="F58" s="6"/>
      <c r="G58" s="16"/>
    </row>
    <row r="59">
      <c r="A59" s="16"/>
      <c r="B59" s="16"/>
      <c r="C59" s="16"/>
      <c r="D59" s="16"/>
      <c r="E59" s="16"/>
      <c r="F59" s="6"/>
      <c r="G59" s="16"/>
    </row>
    <row r="60">
      <c r="A60" s="16"/>
      <c r="B60" s="16"/>
      <c r="C60" s="16"/>
      <c r="D60" s="16"/>
      <c r="E60" s="16"/>
      <c r="F60" s="6"/>
      <c r="G60" s="16"/>
    </row>
    <row r="61">
      <c r="A61" s="16"/>
      <c r="B61" s="16"/>
      <c r="C61" s="16"/>
      <c r="D61" s="16"/>
      <c r="E61" s="16"/>
      <c r="F61" s="6"/>
      <c r="G61" s="16"/>
    </row>
    <row r="62">
      <c r="A62" s="16"/>
      <c r="B62" s="16"/>
      <c r="C62" s="16"/>
      <c r="D62" s="16"/>
      <c r="E62" s="16"/>
      <c r="F62" s="6"/>
      <c r="G62" s="16"/>
    </row>
    <row r="63">
      <c r="A63" s="16"/>
      <c r="B63" s="16"/>
      <c r="C63" s="16"/>
      <c r="D63" s="16"/>
      <c r="E63" s="16"/>
      <c r="F63" s="6"/>
      <c r="G63" s="16"/>
    </row>
    <row r="64">
      <c r="A64" s="16"/>
      <c r="B64" s="16"/>
      <c r="C64" s="16"/>
      <c r="D64" s="16"/>
      <c r="E64" s="16"/>
      <c r="F64" s="6"/>
      <c r="G64" s="16"/>
    </row>
    <row r="65">
      <c r="A65" s="16"/>
      <c r="B65" s="16"/>
      <c r="C65" s="16"/>
      <c r="D65" s="16"/>
      <c r="E65" s="16"/>
      <c r="F65" s="6"/>
      <c r="G65" s="16"/>
    </row>
    <row r="66">
      <c r="A66" s="16"/>
      <c r="B66" s="16"/>
      <c r="C66" s="16"/>
      <c r="D66" s="16"/>
      <c r="E66" s="16"/>
      <c r="F66" s="6"/>
      <c r="G66" s="16"/>
    </row>
    <row r="67">
      <c r="A67" s="16"/>
      <c r="B67" s="16"/>
      <c r="C67" s="16"/>
      <c r="D67" s="16"/>
      <c r="E67" s="16"/>
      <c r="F67" s="6"/>
      <c r="G67" s="16"/>
    </row>
    <row r="68">
      <c r="A68" s="16"/>
      <c r="B68" s="16"/>
      <c r="C68" s="16"/>
      <c r="D68" s="16"/>
      <c r="E68" s="16"/>
      <c r="F68" s="6"/>
      <c r="G68" s="16"/>
    </row>
    <row r="69">
      <c r="A69" s="16"/>
      <c r="B69" s="16"/>
      <c r="C69" s="16"/>
      <c r="D69" s="16"/>
      <c r="E69" s="16"/>
      <c r="F69" s="6"/>
      <c r="G69" s="16"/>
    </row>
    <row r="70">
      <c r="A70" s="16"/>
      <c r="B70" s="16"/>
      <c r="C70" s="16"/>
      <c r="D70" s="16"/>
      <c r="E70" s="16"/>
      <c r="F70" s="6"/>
      <c r="G70" s="16"/>
    </row>
    <row r="71">
      <c r="A71" s="16"/>
      <c r="B71" s="16"/>
      <c r="C71" s="16"/>
      <c r="D71" s="16"/>
      <c r="E71" s="16"/>
      <c r="F71" s="6"/>
      <c r="G71" s="16"/>
    </row>
    <row r="72">
      <c r="A72" s="16"/>
      <c r="B72" s="16"/>
      <c r="C72" s="16"/>
      <c r="D72" s="16"/>
      <c r="E72" s="16"/>
      <c r="F72" s="6"/>
      <c r="G72" s="16"/>
    </row>
    <row r="73">
      <c r="A73" s="16"/>
      <c r="B73" s="16"/>
      <c r="C73" s="16"/>
      <c r="D73" s="16"/>
      <c r="E73" s="16"/>
      <c r="F73" s="6"/>
      <c r="G73" s="16"/>
    </row>
    <row r="74">
      <c r="A74" s="16"/>
      <c r="B74" s="16"/>
      <c r="C74" s="16"/>
      <c r="D74" s="16"/>
      <c r="E74" s="16"/>
      <c r="F74" s="6"/>
      <c r="G74" s="16"/>
    </row>
    <row r="75">
      <c r="A75" s="16"/>
      <c r="B75" s="16"/>
      <c r="C75" s="16"/>
      <c r="D75" s="16"/>
      <c r="E75" s="16"/>
      <c r="F75" s="6"/>
      <c r="G75" s="16"/>
    </row>
    <row r="76">
      <c r="A76" s="16"/>
      <c r="B76" s="16"/>
      <c r="C76" s="16"/>
      <c r="D76" s="16"/>
      <c r="E76" s="16"/>
      <c r="F76" s="6"/>
      <c r="G76" s="16"/>
    </row>
    <row r="77">
      <c r="A77" s="16"/>
      <c r="B77" s="16"/>
      <c r="C77" s="16"/>
      <c r="D77" s="16"/>
      <c r="E77" s="16"/>
      <c r="F77" s="6"/>
      <c r="G77" s="16"/>
    </row>
    <row r="78">
      <c r="A78" s="16"/>
      <c r="B78" s="16"/>
      <c r="C78" s="16"/>
      <c r="D78" s="16"/>
      <c r="E78" s="16"/>
      <c r="F78" s="6"/>
      <c r="G78" s="16"/>
    </row>
    <row r="79">
      <c r="A79" s="16"/>
      <c r="B79" s="16"/>
      <c r="C79" s="16"/>
      <c r="D79" s="16"/>
      <c r="E79" s="16"/>
      <c r="F79" s="6"/>
      <c r="G79" s="16"/>
    </row>
    <row r="80">
      <c r="A80" s="16"/>
      <c r="B80" s="16"/>
      <c r="C80" s="16"/>
      <c r="D80" s="16"/>
      <c r="E80" s="16"/>
      <c r="F80" s="6"/>
      <c r="G80" s="16"/>
    </row>
    <row r="81">
      <c r="A81" s="16"/>
      <c r="B81" s="16"/>
      <c r="C81" s="16"/>
      <c r="D81" s="16"/>
      <c r="E81" s="16"/>
      <c r="F81" s="6"/>
      <c r="G81" s="16"/>
    </row>
    <row r="82">
      <c r="A82" s="16"/>
      <c r="B82" s="16"/>
      <c r="C82" s="16"/>
      <c r="D82" s="16"/>
      <c r="E82" s="16"/>
      <c r="F82" s="6"/>
      <c r="G82" s="16"/>
    </row>
    <row r="83">
      <c r="A83" s="16"/>
      <c r="B83" s="16"/>
      <c r="C83" s="16"/>
      <c r="D83" s="16"/>
      <c r="E83" s="16"/>
      <c r="F83" s="6"/>
      <c r="G83" s="16"/>
    </row>
    <row r="84">
      <c r="A84" s="16"/>
      <c r="B84" s="16"/>
      <c r="C84" s="16"/>
      <c r="D84" s="16"/>
      <c r="E84" s="16"/>
      <c r="F84" s="6"/>
      <c r="G84" s="16"/>
    </row>
    <row r="85">
      <c r="A85" s="16"/>
      <c r="B85" s="16"/>
      <c r="C85" s="16"/>
      <c r="D85" s="16"/>
      <c r="E85" s="16"/>
      <c r="F85" s="6"/>
      <c r="G85" s="16"/>
    </row>
    <row r="86">
      <c r="A86" s="16"/>
      <c r="B86" s="16"/>
      <c r="C86" s="16"/>
      <c r="D86" s="16"/>
      <c r="E86" s="16"/>
      <c r="F86" s="6"/>
      <c r="G86" s="16"/>
    </row>
    <row r="87">
      <c r="A87" s="16"/>
      <c r="B87" s="16"/>
      <c r="C87" s="16"/>
      <c r="D87" s="16"/>
      <c r="E87" s="16"/>
      <c r="F87" s="6"/>
      <c r="G87" s="16"/>
    </row>
    <row r="88">
      <c r="A88" s="16"/>
      <c r="B88" s="16"/>
      <c r="C88" s="16"/>
      <c r="D88" s="16"/>
      <c r="E88" s="16"/>
      <c r="F88" s="6"/>
      <c r="G88" s="16"/>
    </row>
    <row r="89">
      <c r="A89" s="16"/>
      <c r="B89" s="16"/>
      <c r="C89" s="16"/>
      <c r="D89" s="16"/>
      <c r="E89" s="16"/>
      <c r="F89" s="6"/>
      <c r="G89" s="16"/>
    </row>
    <row r="90">
      <c r="A90" s="16"/>
      <c r="B90" s="16"/>
      <c r="C90" s="16"/>
      <c r="D90" s="16"/>
      <c r="E90" s="16"/>
      <c r="F90" s="6"/>
      <c r="G90" s="16"/>
    </row>
    <row r="91">
      <c r="A91" s="16"/>
      <c r="B91" s="16"/>
      <c r="C91" s="16"/>
      <c r="D91" s="16"/>
      <c r="E91" s="16"/>
      <c r="F91" s="6"/>
      <c r="G91" s="16"/>
    </row>
    <row r="92">
      <c r="A92" s="16"/>
      <c r="B92" s="16"/>
      <c r="C92" s="16"/>
      <c r="D92" s="16"/>
      <c r="E92" s="16"/>
      <c r="F92" s="6"/>
      <c r="G92" s="16"/>
    </row>
    <row r="93">
      <c r="A93" s="16"/>
      <c r="B93" s="16"/>
      <c r="C93" s="16"/>
      <c r="D93" s="16"/>
      <c r="E93" s="16"/>
      <c r="F93" s="6"/>
      <c r="G93" s="16"/>
    </row>
    <row r="94">
      <c r="A94" s="16"/>
      <c r="B94" s="16"/>
      <c r="C94" s="16"/>
      <c r="D94" s="16"/>
      <c r="E94" s="16"/>
      <c r="F94" s="6"/>
      <c r="G94" s="16"/>
    </row>
    <row r="95">
      <c r="A95" s="16"/>
      <c r="B95" s="16"/>
      <c r="C95" s="16"/>
      <c r="D95" s="16"/>
      <c r="E95" s="16"/>
      <c r="F95" s="6"/>
      <c r="G95" s="16"/>
    </row>
    <row r="96">
      <c r="A96" s="16"/>
      <c r="B96" s="16"/>
      <c r="C96" s="16"/>
      <c r="D96" s="16"/>
      <c r="E96" s="16"/>
      <c r="F96" s="6"/>
      <c r="G96" s="16"/>
    </row>
    <row r="97">
      <c r="A97" s="16"/>
      <c r="B97" s="16"/>
      <c r="C97" s="16"/>
      <c r="D97" s="16"/>
      <c r="E97" s="16"/>
      <c r="F97" s="6"/>
      <c r="G97" s="16"/>
    </row>
    <row r="98">
      <c r="A98" s="16"/>
      <c r="B98" s="16"/>
      <c r="C98" s="16"/>
      <c r="D98" s="16"/>
      <c r="E98" s="16"/>
      <c r="F98" s="6"/>
      <c r="G98" s="16"/>
    </row>
    <row r="99">
      <c r="A99" s="16"/>
      <c r="B99" s="16"/>
      <c r="C99" s="16"/>
      <c r="D99" s="16"/>
      <c r="E99" s="16"/>
      <c r="F99" s="6"/>
      <c r="G99" s="16"/>
    </row>
    <row r="100">
      <c r="A100" s="16"/>
      <c r="B100" s="16"/>
      <c r="C100" s="16"/>
      <c r="D100" s="16"/>
      <c r="E100" s="16"/>
      <c r="F100" s="6"/>
      <c r="G100" s="16"/>
    </row>
  </sheetData>
  <conditionalFormatting sqref="A2:A100">
    <cfRule type="expression" dxfId="0" priority="1">
      <formula>IF(COUNTIF(A:A,A2)&gt;1,1,0)</formula>
    </cfRule>
  </conditionalFormatting>
  <dataValidations>
    <dataValidation type="list" allowBlank="1" showErrorMessage="1" sqref="G2:G100">
      <formula1>"Active,InActive"</formula1>
    </dataValidation>
    <dataValidation type="list" allowBlank="1" showErrorMessage="1" sqref="F2:F100">
      <formula1>'⚙️ Config'!$A$3:$A100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5.0"/>
    <col customWidth="1" min="7" max="7" width="14.38"/>
  </cols>
  <sheetData>
    <row r="1">
      <c r="A1" s="2" t="s">
        <v>1</v>
      </c>
      <c r="B1" s="2" t="s">
        <v>36</v>
      </c>
      <c r="C1" s="2" t="s">
        <v>37</v>
      </c>
      <c r="D1" s="2" t="s">
        <v>3</v>
      </c>
      <c r="E1" s="2" t="s">
        <v>38</v>
      </c>
      <c r="F1" s="2" t="s">
        <v>10</v>
      </c>
      <c r="G1" s="2" t="s">
        <v>39</v>
      </c>
    </row>
    <row r="2">
      <c r="A2" s="6" t="s">
        <v>21</v>
      </c>
      <c r="B2" s="6">
        <v>90.0</v>
      </c>
      <c r="C2" s="6">
        <v>150.0</v>
      </c>
      <c r="D2" s="6" t="s">
        <v>14</v>
      </c>
      <c r="E2" s="6">
        <v>50.0</v>
      </c>
      <c r="F2" s="6" t="s">
        <v>40</v>
      </c>
      <c r="G2" s="6" t="s">
        <v>41</v>
      </c>
    </row>
    <row r="3">
      <c r="A3" s="6" t="s">
        <v>30</v>
      </c>
      <c r="B3" s="6">
        <v>80.0</v>
      </c>
      <c r="C3" s="6">
        <v>150.0</v>
      </c>
      <c r="D3" s="6" t="s">
        <v>14</v>
      </c>
      <c r="E3" s="6">
        <v>5.0</v>
      </c>
      <c r="F3" s="6" t="s">
        <v>40</v>
      </c>
      <c r="G3" s="6" t="s">
        <v>41</v>
      </c>
    </row>
    <row r="4">
      <c r="A4" s="6" t="s">
        <v>13</v>
      </c>
      <c r="B4" s="6">
        <v>80.0</v>
      </c>
      <c r="C4" s="6">
        <v>150.0</v>
      </c>
      <c r="D4" s="6" t="s">
        <v>14</v>
      </c>
      <c r="E4" s="6">
        <v>5.0</v>
      </c>
      <c r="F4" s="6" t="s">
        <v>40</v>
      </c>
      <c r="G4" s="6" t="s">
        <v>41</v>
      </c>
    </row>
    <row r="5">
      <c r="A5" s="6" t="s">
        <v>23</v>
      </c>
      <c r="B5" s="6">
        <v>80.0</v>
      </c>
      <c r="C5" s="6">
        <v>150.0</v>
      </c>
      <c r="D5" s="6" t="s">
        <v>14</v>
      </c>
      <c r="E5" s="6">
        <v>5.0</v>
      </c>
      <c r="F5" s="6" t="s">
        <v>40</v>
      </c>
      <c r="G5" s="6" t="s">
        <v>41</v>
      </c>
    </row>
    <row r="6">
      <c r="A6" s="6" t="s">
        <v>31</v>
      </c>
      <c r="B6" s="6">
        <v>80.0</v>
      </c>
      <c r="C6" s="6">
        <v>150.0</v>
      </c>
      <c r="D6" s="6" t="s">
        <v>14</v>
      </c>
      <c r="E6" s="6">
        <v>5.0</v>
      </c>
      <c r="F6" s="6" t="s">
        <v>40</v>
      </c>
      <c r="G6" s="6" t="s">
        <v>41</v>
      </c>
    </row>
    <row r="7">
      <c r="A7" s="6" t="s">
        <v>19</v>
      </c>
      <c r="B7" s="6">
        <v>80.0</v>
      </c>
      <c r="C7" s="6">
        <v>150.0</v>
      </c>
      <c r="D7" s="6" t="s">
        <v>14</v>
      </c>
      <c r="E7" s="6">
        <v>5.0</v>
      </c>
      <c r="F7" s="6" t="s">
        <v>40</v>
      </c>
      <c r="G7" s="6" t="s">
        <v>41</v>
      </c>
    </row>
    <row r="8">
      <c r="A8" s="6" t="s">
        <v>32</v>
      </c>
      <c r="B8" s="6">
        <v>70.0</v>
      </c>
      <c r="C8" s="6">
        <v>150.0</v>
      </c>
      <c r="D8" s="6" t="s">
        <v>14</v>
      </c>
      <c r="E8" s="6">
        <v>5.0</v>
      </c>
      <c r="F8" s="6" t="s">
        <v>40</v>
      </c>
      <c r="G8" s="6" t="s">
        <v>41</v>
      </c>
    </row>
    <row r="9">
      <c r="A9" s="6" t="s">
        <v>24</v>
      </c>
      <c r="B9" s="6">
        <v>80.0</v>
      </c>
      <c r="C9" s="6">
        <v>150.0</v>
      </c>
      <c r="D9" s="6" t="s">
        <v>14</v>
      </c>
      <c r="E9" s="6">
        <v>5.0</v>
      </c>
      <c r="F9" s="6" t="s">
        <v>40</v>
      </c>
      <c r="G9" s="6" t="s">
        <v>41</v>
      </c>
    </row>
    <row r="10">
      <c r="A10" s="6" t="s">
        <v>17</v>
      </c>
      <c r="B10" s="6">
        <v>80.0</v>
      </c>
      <c r="C10" s="6">
        <v>150.0</v>
      </c>
      <c r="D10" s="6" t="s">
        <v>14</v>
      </c>
      <c r="E10" s="6">
        <v>10.0</v>
      </c>
      <c r="F10" s="6" t="s">
        <v>40</v>
      </c>
      <c r="G10" s="6" t="s">
        <v>41</v>
      </c>
    </row>
    <row r="11">
      <c r="A11" s="6" t="s">
        <v>33</v>
      </c>
      <c r="B11" s="6">
        <v>250.0</v>
      </c>
      <c r="C11" s="6">
        <v>400.0</v>
      </c>
      <c r="D11" s="6" t="s">
        <v>14</v>
      </c>
      <c r="E11" s="6">
        <v>50.0</v>
      </c>
      <c r="F11" s="6" t="s">
        <v>42</v>
      </c>
      <c r="G11" s="6" t="s">
        <v>41</v>
      </c>
    </row>
    <row r="12">
      <c r="A12" s="6" t="s">
        <v>34</v>
      </c>
      <c r="B12" s="6">
        <v>250.0</v>
      </c>
      <c r="C12" s="6">
        <v>400.0</v>
      </c>
      <c r="D12" s="6" t="s">
        <v>14</v>
      </c>
      <c r="E12" s="6">
        <v>20.0</v>
      </c>
      <c r="F12" s="6" t="s">
        <v>42</v>
      </c>
      <c r="G12" s="6" t="s">
        <v>41</v>
      </c>
    </row>
    <row r="13">
      <c r="A13" s="16"/>
      <c r="B13" s="16"/>
      <c r="C13" s="16"/>
      <c r="D13" s="16"/>
      <c r="E13" s="16"/>
      <c r="F13" s="6"/>
      <c r="G13" s="16"/>
    </row>
    <row r="14">
      <c r="A14" s="16"/>
      <c r="B14" s="16"/>
      <c r="C14" s="16"/>
      <c r="D14" s="16"/>
      <c r="E14" s="16"/>
      <c r="F14" s="6"/>
      <c r="G14" s="16"/>
    </row>
    <row r="15">
      <c r="A15" s="16"/>
      <c r="B15" s="16"/>
      <c r="C15" s="16"/>
      <c r="D15" s="16"/>
      <c r="E15" s="16"/>
      <c r="F15" s="6"/>
      <c r="G15" s="16"/>
    </row>
    <row r="16">
      <c r="A16" s="16"/>
      <c r="B16" s="16"/>
      <c r="C16" s="16"/>
      <c r="D16" s="16"/>
      <c r="E16" s="16"/>
      <c r="F16" s="6"/>
      <c r="G16" s="16"/>
    </row>
    <row r="17">
      <c r="A17" s="16"/>
      <c r="B17" s="16"/>
      <c r="C17" s="16"/>
      <c r="D17" s="16"/>
      <c r="E17" s="16"/>
      <c r="F17" s="6"/>
      <c r="G17" s="16"/>
    </row>
    <row r="18">
      <c r="A18" s="16"/>
      <c r="B18" s="16"/>
      <c r="C18" s="16"/>
      <c r="D18" s="16"/>
      <c r="E18" s="16"/>
      <c r="F18" s="6"/>
      <c r="G18" s="16"/>
    </row>
    <row r="19">
      <c r="A19" s="16"/>
      <c r="B19" s="16"/>
      <c r="C19" s="16"/>
      <c r="D19" s="16"/>
      <c r="E19" s="16"/>
      <c r="F19" s="6"/>
      <c r="G19" s="16"/>
    </row>
    <row r="20">
      <c r="A20" s="16"/>
      <c r="B20" s="16"/>
      <c r="C20" s="16"/>
      <c r="D20" s="16"/>
      <c r="E20" s="16"/>
      <c r="F20" s="6"/>
      <c r="G20" s="16"/>
    </row>
    <row r="21">
      <c r="A21" s="16"/>
      <c r="B21" s="16"/>
      <c r="C21" s="16"/>
      <c r="D21" s="16"/>
      <c r="E21" s="16"/>
      <c r="F21" s="6"/>
      <c r="G21" s="16"/>
    </row>
    <row r="22">
      <c r="A22" s="16"/>
      <c r="B22" s="16"/>
      <c r="C22" s="16"/>
      <c r="D22" s="16"/>
      <c r="E22" s="16"/>
      <c r="F22" s="6"/>
      <c r="G22" s="16"/>
    </row>
    <row r="23">
      <c r="A23" s="16"/>
      <c r="B23" s="16"/>
      <c r="C23" s="16"/>
      <c r="D23" s="16"/>
      <c r="E23" s="16"/>
      <c r="F23" s="6"/>
      <c r="G23" s="16"/>
    </row>
    <row r="24">
      <c r="A24" s="16"/>
      <c r="B24" s="16"/>
      <c r="C24" s="16"/>
      <c r="D24" s="16"/>
      <c r="E24" s="16"/>
      <c r="F24" s="6"/>
      <c r="G24" s="16"/>
    </row>
    <row r="25">
      <c r="A25" s="16"/>
      <c r="B25" s="16"/>
      <c r="C25" s="16"/>
      <c r="D25" s="16"/>
      <c r="E25" s="16"/>
      <c r="F25" s="6"/>
      <c r="G25" s="16"/>
    </row>
    <row r="26">
      <c r="A26" s="16"/>
      <c r="B26" s="16"/>
      <c r="C26" s="16"/>
      <c r="D26" s="16"/>
      <c r="E26" s="16"/>
      <c r="F26" s="6"/>
      <c r="G26" s="16"/>
    </row>
    <row r="27">
      <c r="A27" s="16"/>
      <c r="B27" s="16"/>
      <c r="C27" s="16"/>
      <c r="D27" s="16"/>
      <c r="E27" s="16"/>
      <c r="F27" s="6"/>
      <c r="G27" s="16"/>
    </row>
    <row r="28">
      <c r="A28" s="16"/>
      <c r="B28" s="16"/>
      <c r="C28" s="16"/>
      <c r="D28" s="16"/>
      <c r="E28" s="16"/>
      <c r="F28" s="6"/>
      <c r="G28" s="16"/>
    </row>
    <row r="29">
      <c r="A29" s="16"/>
      <c r="B29" s="16"/>
      <c r="C29" s="16"/>
      <c r="D29" s="16"/>
      <c r="E29" s="16"/>
      <c r="F29" s="6"/>
      <c r="G29" s="16"/>
    </row>
    <row r="30">
      <c r="A30" s="16"/>
      <c r="B30" s="16"/>
      <c r="C30" s="16"/>
      <c r="D30" s="16"/>
      <c r="E30" s="16"/>
      <c r="F30" s="6"/>
      <c r="G30" s="16"/>
    </row>
    <row r="31">
      <c r="A31" s="16"/>
      <c r="B31" s="16"/>
      <c r="C31" s="16"/>
      <c r="D31" s="16"/>
      <c r="E31" s="16"/>
      <c r="F31" s="6"/>
      <c r="G31" s="16"/>
    </row>
    <row r="32">
      <c r="A32" s="16"/>
      <c r="B32" s="16"/>
      <c r="C32" s="16"/>
      <c r="D32" s="16"/>
      <c r="E32" s="16"/>
      <c r="F32" s="6"/>
      <c r="G32" s="16"/>
    </row>
    <row r="33">
      <c r="A33" s="16"/>
      <c r="B33" s="16"/>
      <c r="C33" s="16"/>
      <c r="D33" s="16"/>
      <c r="E33" s="16"/>
      <c r="F33" s="6"/>
      <c r="G33" s="16"/>
    </row>
    <row r="34">
      <c r="A34" s="16"/>
      <c r="B34" s="16"/>
      <c r="C34" s="16"/>
      <c r="D34" s="16"/>
      <c r="E34" s="16"/>
      <c r="F34" s="6"/>
      <c r="G34" s="16"/>
    </row>
    <row r="35">
      <c r="A35" s="16"/>
      <c r="B35" s="16"/>
      <c r="C35" s="16"/>
      <c r="D35" s="16"/>
      <c r="E35" s="16"/>
      <c r="F35" s="6"/>
      <c r="G35" s="16"/>
    </row>
    <row r="36">
      <c r="A36" s="16"/>
      <c r="B36" s="16"/>
      <c r="C36" s="16"/>
      <c r="D36" s="16"/>
      <c r="E36" s="16"/>
      <c r="F36" s="6"/>
      <c r="G36" s="16"/>
    </row>
    <row r="37">
      <c r="A37" s="16"/>
      <c r="B37" s="16"/>
      <c r="C37" s="16"/>
      <c r="D37" s="16"/>
      <c r="E37" s="16"/>
      <c r="F37" s="6"/>
      <c r="G37" s="16"/>
    </row>
    <row r="38">
      <c r="A38" s="16"/>
      <c r="B38" s="16"/>
      <c r="C38" s="16"/>
      <c r="D38" s="16"/>
      <c r="E38" s="16"/>
      <c r="F38" s="6"/>
      <c r="G38" s="16"/>
    </row>
    <row r="39">
      <c r="A39" s="16"/>
      <c r="B39" s="16"/>
      <c r="C39" s="16"/>
      <c r="D39" s="16"/>
      <c r="E39" s="16"/>
      <c r="F39" s="6"/>
      <c r="G39" s="16"/>
    </row>
    <row r="40">
      <c r="A40" s="16"/>
      <c r="B40" s="16"/>
      <c r="C40" s="16"/>
      <c r="D40" s="16"/>
      <c r="E40" s="16"/>
      <c r="F40" s="6"/>
      <c r="G40" s="16"/>
    </row>
    <row r="41">
      <c r="A41" s="16"/>
      <c r="B41" s="16"/>
      <c r="C41" s="16"/>
      <c r="D41" s="16"/>
      <c r="E41" s="16"/>
      <c r="F41" s="6"/>
      <c r="G41" s="16"/>
    </row>
    <row r="42">
      <c r="A42" s="16"/>
      <c r="B42" s="16"/>
      <c r="C42" s="16"/>
      <c r="D42" s="16"/>
      <c r="E42" s="16"/>
      <c r="F42" s="6"/>
      <c r="G42" s="16"/>
    </row>
    <row r="43">
      <c r="A43" s="16"/>
      <c r="B43" s="16"/>
      <c r="C43" s="16"/>
      <c r="D43" s="16"/>
      <c r="E43" s="16"/>
      <c r="F43" s="6"/>
      <c r="G43" s="16"/>
    </row>
    <row r="44">
      <c r="A44" s="16"/>
      <c r="B44" s="16"/>
      <c r="C44" s="16"/>
      <c r="D44" s="16"/>
      <c r="E44" s="16"/>
      <c r="F44" s="6"/>
      <c r="G44" s="16"/>
    </row>
    <row r="45">
      <c r="A45" s="16"/>
      <c r="B45" s="16"/>
      <c r="C45" s="16"/>
      <c r="D45" s="16"/>
      <c r="E45" s="16"/>
      <c r="F45" s="6"/>
      <c r="G45" s="16"/>
    </row>
    <row r="46">
      <c r="A46" s="16"/>
      <c r="B46" s="16"/>
      <c r="C46" s="16"/>
      <c r="D46" s="16"/>
      <c r="E46" s="16"/>
      <c r="F46" s="6"/>
      <c r="G46" s="16"/>
    </row>
    <row r="47">
      <c r="A47" s="16"/>
      <c r="B47" s="16"/>
      <c r="C47" s="16"/>
      <c r="D47" s="16"/>
      <c r="E47" s="16"/>
      <c r="F47" s="6"/>
      <c r="G47" s="16"/>
    </row>
    <row r="48">
      <c r="A48" s="16"/>
      <c r="B48" s="16"/>
      <c r="C48" s="16"/>
      <c r="D48" s="16"/>
      <c r="E48" s="16"/>
      <c r="F48" s="6"/>
      <c r="G48" s="16"/>
    </row>
    <row r="49">
      <c r="A49" s="16"/>
      <c r="B49" s="16"/>
      <c r="C49" s="16"/>
      <c r="D49" s="16"/>
      <c r="E49" s="16"/>
      <c r="F49" s="6"/>
      <c r="G49" s="16"/>
    </row>
    <row r="50">
      <c r="A50" s="16"/>
      <c r="B50" s="16"/>
      <c r="C50" s="16"/>
      <c r="D50" s="16"/>
      <c r="E50" s="16"/>
      <c r="F50" s="6"/>
      <c r="G50" s="16"/>
    </row>
    <row r="51">
      <c r="A51" s="16"/>
      <c r="B51" s="16"/>
      <c r="C51" s="16"/>
      <c r="D51" s="16"/>
      <c r="E51" s="16"/>
      <c r="F51" s="6"/>
      <c r="G51" s="16"/>
    </row>
    <row r="52">
      <c r="A52" s="16"/>
      <c r="B52" s="16"/>
      <c r="C52" s="16"/>
      <c r="D52" s="16"/>
      <c r="E52" s="16"/>
      <c r="F52" s="6"/>
      <c r="G52" s="16"/>
    </row>
    <row r="53">
      <c r="A53" s="16"/>
      <c r="B53" s="16"/>
      <c r="C53" s="16"/>
      <c r="D53" s="16"/>
      <c r="E53" s="16"/>
      <c r="F53" s="6"/>
      <c r="G53" s="16"/>
    </row>
    <row r="54">
      <c r="A54" s="16"/>
      <c r="B54" s="16"/>
      <c r="C54" s="16"/>
      <c r="D54" s="16"/>
      <c r="E54" s="16"/>
      <c r="F54" s="6"/>
      <c r="G54" s="16"/>
    </row>
    <row r="55">
      <c r="A55" s="16"/>
      <c r="B55" s="16"/>
      <c r="C55" s="16"/>
      <c r="D55" s="16"/>
      <c r="E55" s="16"/>
      <c r="F55" s="6"/>
      <c r="G55" s="16"/>
    </row>
    <row r="56">
      <c r="A56" s="16"/>
      <c r="B56" s="16"/>
      <c r="C56" s="16"/>
      <c r="D56" s="16"/>
      <c r="E56" s="16"/>
      <c r="F56" s="6"/>
      <c r="G56" s="16"/>
    </row>
    <row r="57">
      <c r="A57" s="16"/>
      <c r="B57" s="16"/>
      <c r="C57" s="16"/>
      <c r="D57" s="16"/>
      <c r="E57" s="16"/>
      <c r="F57" s="6"/>
      <c r="G57" s="16"/>
    </row>
    <row r="58">
      <c r="A58" s="16"/>
      <c r="B58" s="16"/>
      <c r="C58" s="16"/>
      <c r="D58" s="16"/>
      <c r="E58" s="16"/>
      <c r="F58" s="6"/>
      <c r="G58" s="16"/>
    </row>
    <row r="59">
      <c r="A59" s="16"/>
      <c r="B59" s="16"/>
      <c r="C59" s="16"/>
      <c r="D59" s="16"/>
      <c r="E59" s="16"/>
      <c r="F59" s="6"/>
      <c r="G59" s="16"/>
    </row>
    <row r="60">
      <c r="A60" s="16"/>
      <c r="B60" s="16"/>
      <c r="C60" s="16"/>
      <c r="D60" s="16"/>
      <c r="E60" s="16"/>
      <c r="F60" s="6"/>
      <c r="G60" s="16"/>
    </row>
    <row r="61">
      <c r="A61" s="16"/>
      <c r="B61" s="16"/>
      <c r="C61" s="16"/>
      <c r="D61" s="16"/>
      <c r="E61" s="16"/>
      <c r="F61" s="6"/>
      <c r="G61" s="16"/>
    </row>
    <row r="62">
      <c r="A62" s="16"/>
      <c r="B62" s="16"/>
      <c r="C62" s="16"/>
      <c r="D62" s="16"/>
      <c r="E62" s="16"/>
      <c r="F62" s="6"/>
      <c r="G62" s="16"/>
    </row>
    <row r="63">
      <c r="A63" s="16"/>
      <c r="B63" s="16"/>
      <c r="C63" s="16"/>
      <c r="D63" s="16"/>
      <c r="E63" s="16"/>
      <c r="F63" s="6"/>
      <c r="G63" s="16"/>
    </row>
    <row r="64">
      <c r="A64" s="16"/>
      <c r="B64" s="16"/>
      <c r="C64" s="16"/>
      <c r="D64" s="16"/>
      <c r="E64" s="16"/>
      <c r="F64" s="6"/>
      <c r="G64" s="16"/>
    </row>
    <row r="65">
      <c r="A65" s="16"/>
      <c r="B65" s="16"/>
      <c r="C65" s="16"/>
      <c r="D65" s="16"/>
      <c r="E65" s="16"/>
      <c r="F65" s="6"/>
      <c r="G65" s="16"/>
    </row>
    <row r="66">
      <c r="A66" s="16"/>
      <c r="B66" s="16"/>
      <c r="C66" s="16"/>
      <c r="D66" s="16"/>
      <c r="E66" s="16"/>
      <c r="F66" s="6"/>
      <c r="G66" s="16"/>
    </row>
    <row r="67">
      <c r="A67" s="16"/>
      <c r="B67" s="16"/>
      <c r="C67" s="16"/>
      <c r="D67" s="16"/>
      <c r="E67" s="16"/>
      <c r="F67" s="6"/>
      <c r="G67" s="16"/>
    </row>
    <row r="68">
      <c r="A68" s="16"/>
      <c r="B68" s="16"/>
      <c r="C68" s="16"/>
      <c r="D68" s="16"/>
      <c r="E68" s="16"/>
      <c r="F68" s="6"/>
      <c r="G68" s="16"/>
    </row>
    <row r="69">
      <c r="A69" s="16"/>
      <c r="B69" s="16"/>
      <c r="C69" s="16"/>
      <c r="D69" s="16"/>
      <c r="E69" s="16"/>
      <c r="F69" s="6"/>
      <c r="G69" s="16"/>
    </row>
    <row r="70">
      <c r="A70" s="16"/>
      <c r="B70" s="16"/>
      <c r="C70" s="16"/>
      <c r="D70" s="16"/>
      <c r="E70" s="16"/>
      <c r="F70" s="6"/>
      <c r="G70" s="16"/>
    </row>
    <row r="71">
      <c r="A71" s="16"/>
      <c r="B71" s="16"/>
      <c r="C71" s="16"/>
      <c r="D71" s="16"/>
      <c r="E71" s="16"/>
      <c r="F71" s="6"/>
      <c r="G71" s="16"/>
    </row>
    <row r="72">
      <c r="A72" s="16"/>
      <c r="B72" s="16"/>
      <c r="C72" s="16"/>
      <c r="D72" s="16"/>
      <c r="E72" s="16"/>
      <c r="F72" s="6"/>
      <c r="G72" s="16"/>
    </row>
    <row r="73">
      <c r="A73" s="16"/>
      <c r="B73" s="16"/>
      <c r="C73" s="16"/>
      <c r="D73" s="16"/>
      <c r="E73" s="16"/>
      <c r="F73" s="6"/>
      <c r="G73" s="16"/>
    </row>
    <row r="74">
      <c r="A74" s="16"/>
      <c r="B74" s="16"/>
      <c r="C74" s="16"/>
      <c r="D74" s="16"/>
      <c r="E74" s="16"/>
      <c r="F74" s="6"/>
      <c r="G74" s="16"/>
    </row>
    <row r="75">
      <c r="A75" s="16"/>
      <c r="B75" s="16"/>
      <c r="C75" s="16"/>
      <c r="D75" s="16"/>
      <c r="E75" s="16"/>
      <c r="F75" s="6"/>
      <c r="G75" s="16"/>
    </row>
    <row r="76">
      <c r="A76" s="16"/>
      <c r="B76" s="16"/>
      <c r="C76" s="16"/>
      <c r="D76" s="16"/>
      <c r="E76" s="16"/>
      <c r="F76" s="6"/>
      <c r="G76" s="16"/>
    </row>
    <row r="77">
      <c r="A77" s="16"/>
      <c r="B77" s="16"/>
      <c r="C77" s="16"/>
      <c r="D77" s="16"/>
      <c r="E77" s="16"/>
      <c r="F77" s="6"/>
      <c r="G77" s="16"/>
    </row>
    <row r="78">
      <c r="A78" s="16"/>
      <c r="B78" s="16"/>
      <c r="C78" s="16"/>
      <c r="D78" s="16"/>
      <c r="E78" s="16"/>
      <c r="F78" s="6"/>
      <c r="G78" s="16"/>
    </row>
    <row r="79">
      <c r="A79" s="16"/>
      <c r="B79" s="16"/>
      <c r="C79" s="16"/>
      <c r="D79" s="16"/>
      <c r="E79" s="16"/>
      <c r="F79" s="6"/>
      <c r="G79" s="16"/>
    </row>
    <row r="80">
      <c r="A80" s="16"/>
      <c r="B80" s="16"/>
      <c r="C80" s="16"/>
      <c r="D80" s="16"/>
      <c r="E80" s="16"/>
      <c r="F80" s="6"/>
      <c r="G80" s="16"/>
    </row>
    <row r="81">
      <c r="A81" s="16"/>
      <c r="B81" s="16"/>
      <c r="C81" s="16"/>
      <c r="D81" s="16"/>
      <c r="E81" s="16"/>
      <c r="F81" s="6"/>
      <c r="G81" s="16"/>
    </row>
    <row r="82">
      <c r="A82" s="16"/>
      <c r="B82" s="16"/>
      <c r="C82" s="16"/>
      <c r="D82" s="16"/>
      <c r="E82" s="16"/>
      <c r="F82" s="6"/>
      <c r="G82" s="16"/>
    </row>
    <row r="83">
      <c r="A83" s="16"/>
      <c r="B83" s="16"/>
      <c r="C83" s="16"/>
      <c r="D83" s="16"/>
      <c r="E83" s="16"/>
      <c r="F83" s="6"/>
      <c r="G83" s="16"/>
    </row>
    <row r="84">
      <c r="A84" s="16"/>
      <c r="B84" s="16"/>
      <c r="C84" s="16"/>
      <c r="D84" s="16"/>
      <c r="E84" s="16"/>
      <c r="F84" s="6"/>
      <c r="G84" s="16"/>
    </row>
    <row r="85">
      <c r="A85" s="16"/>
      <c r="B85" s="16"/>
      <c r="C85" s="16"/>
      <c r="D85" s="16"/>
      <c r="E85" s="16"/>
      <c r="F85" s="6"/>
      <c r="G85" s="16"/>
    </row>
    <row r="86">
      <c r="A86" s="16"/>
      <c r="B86" s="16"/>
      <c r="C86" s="16"/>
      <c r="D86" s="16"/>
      <c r="E86" s="16"/>
      <c r="F86" s="6"/>
      <c r="G86" s="16"/>
    </row>
    <row r="87">
      <c r="A87" s="16"/>
      <c r="B87" s="16"/>
      <c r="C87" s="16"/>
      <c r="D87" s="16"/>
      <c r="E87" s="16"/>
      <c r="F87" s="6"/>
      <c r="G87" s="16"/>
    </row>
    <row r="88">
      <c r="A88" s="16"/>
      <c r="B88" s="16"/>
      <c r="C88" s="16"/>
      <c r="D88" s="16"/>
      <c r="E88" s="16"/>
      <c r="F88" s="6"/>
      <c r="G88" s="16"/>
    </row>
    <row r="89">
      <c r="A89" s="16"/>
      <c r="B89" s="16"/>
      <c r="C89" s="16"/>
      <c r="D89" s="16"/>
      <c r="E89" s="16"/>
      <c r="F89" s="6"/>
      <c r="G89" s="16"/>
    </row>
    <row r="90">
      <c r="A90" s="16"/>
      <c r="B90" s="16"/>
      <c r="C90" s="16"/>
      <c r="D90" s="16"/>
      <c r="E90" s="16"/>
      <c r="F90" s="6"/>
      <c r="G90" s="16"/>
    </row>
    <row r="91">
      <c r="A91" s="16"/>
      <c r="B91" s="16"/>
      <c r="C91" s="16"/>
      <c r="D91" s="16"/>
      <c r="E91" s="16"/>
      <c r="F91" s="6"/>
      <c r="G91" s="16"/>
    </row>
    <row r="92">
      <c r="A92" s="16"/>
      <c r="B92" s="16"/>
      <c r="C92" s="16"/>
      <c r="D92" s="16"/>
      <c r="E92" s="16"/>
      <c r="F92" s="6"/>
      <c r="G92" s="16"/>
    </row>
    <row r="93">
      <c r="A93" s="16"/>
      <c r="B93" s="16"/>
      <c r="C93" s="16"/>
      <c r="D93" s="16"/>
      <c r="E93" s="16"/>
      <c r="F93" s="6"/>
      <c r="G93" s="16"/>
    </row>
    <row r="94">
      <c r="A94" s="16"/>
      <c r="B94" s="16"/>
      <c r="C94" s="16"/>
      <c r="D94" s="16"/>
      <c r="E94" s="16"/>
      <c r="F94" s="6"/>
      <c r="G94" s="16"/>
    </row>
    <row r="95">
      <c r="A95" s="16"/>
      <c r="B95" s="16"/>
      <c r="C95" s="16"/>
      <c r="D95" s="16"/>
      <c r="E95" s="16"/>
      <c r="F95" s="6"/>
      <c r="G95" s="16"/>
    </row>
    <row r="96">
      <c r="A96" s="16"/>
      <c r="B96" s="16"/>
      <c r="C96" s="16"/>
      <c r="D96" s="16"/>
      <c r="E96" s="16"/>
      <c r="F96" s="6"/>
      <c r="G96" s="16"/>
    </row>
    <row r="97">
      <c r="A97" s="16"/>
      <c r="B97" s="16"/>
      <c r="C97" s="16"/>
      <c r="D97" s="16"/>
      <c r="E97" s="16"/>
      <c r="F97" s="6"/>
      <c r="G97" s="16"/>
    </row>
    <row r="98">
      <c r="A98" s="16"/>
      <c r="B98" s="16"/>
      <c r="C98" s="16"/>
      <c r="D98" s="16"/>
      <c r="E98" s="16"/>
      <c r="F98" s="6"/>
      <c r="G98" s="16"/>
    </row>
    <row r="99">
      <c r="A99" s="16"/>
      <c r="B99" s="16"/>
      <c r="C99" s="16"/>
      <c r="D99" s="16"/>
      <c r="E99" s="16"/>
      <c r="F99" s="6"/>
      <c r="G99" s="16"/>
    </row>
    <row r="100">
      <c r="A100" s="16"/>
      <c r="B100" s="16"/>
      <c r="C100" s="16"/>
      <c r="D100" s="16"/>
      <c r="E100" s="16"/>
      <c r="F100" s="6"/>
      <c r="G100" s="16"/>
    </row>
  </sheetData>
  <conditionalFormatting sqref="A2:A100">
    <cfRule type="expression" dxfId="0" priority="1">
      <formula>IF(COUNTIF(A:A,A2)&gt;1,1,0)</formula>
    </cfRule>
  </conditionalFormatting>
  <dataValidations>
    <dataValidation type="list" allowBlank="1" showErrorMessage="1" sqref="G2:G100">
      <formula1>"Active,InActive"</formula1>
    </dataValidation>
    <dataValidation type="list" allowBlank="1" showErrorMessage="1" sqref="F2:F100">
      <formula1>'⚙️ Config'!$A$3:$A100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9.0"/>
    <col customWidth="1" min="3" max="3" width="10.38"/>
    <col customWidth="1" min="4" max="4" width="13.13"/>
    <col customWidth="1" min="5" max="9" width="12.88"/>
    <col customWidth="1" min="10" max="10" width="16.75"/>
    <col customWidth="1" min="11" max="11" width="13.5"/>
    <col customWidth="1" min="12" max="12" width="10.75"/>
    <col customWidth="1" min="13" max="13" width="14.63"/>
    <col customWidth="1" min="14" max="14" width="15.5"/>
  </cols>
  <sheetData>
    <row r="1">
      <c r="A1" s="19" t="str">
        <f>IFERROR(__xludf.DUMMYFUNCTION("query('📦 ชื่อสินค้า'!A:A,""select *"",1)"),"ชื่อสินค้า")</f>
        <v>ชื่อสินค้า</v>
      </c>
      <c r="B1" s="19" t="s">
        <v>46</v>
      </c>
      <c r="C1" s="19" t="s">
        <v>38</v>
      </c>
      <c r="D1" s="19" t="s">
        <v>10</v>
      </c>
      <c r="E1" s="19" t="s">
        <v>47</v>
      </c>
      <c r="F1" s="20" t="s">
        <v>48</v>
      </c>
      <c r="G1" s="20" t="s">
        <v>49</v>
      </c>
      <c r="H1" s="19" t="str">
        <f t="array" ref="H1:H1000">{"วันที่ขายล่าสุด";IFERROR(IF(A2:A1000&lt;&gt;"",VLOOKUP(A2:A1000,SORT('💰 Transaction ขาย'!B:L,1,false,11,false),11,false),),"-")}</f>
        <v>วันที่ขายล่าสุด</v>
      </c>
      <c r="I1" s="21" t="str">
        <f t="array" ref="I1:I1000">{"จำนวนวันที่ไม่เคลื่อนไหว";IFERROR(IF(E2:E1000="InActive","-",IF(H2:H1000&lt;&gt;"",'⚙️ Config'!$H$1-H2:H1000,)),"-")}</f>
        <v>จำนวนวันที่ไม่เคลื่อนไหว</v>
      </c>
      <c r="J1" s="21" t="str">
        <f t="array" ref="J1:J1000">{"ประเภทการเคลื่อนไหวสินค้า";IFERROR(IF(E2:E1000="InActive","InActive",IF(A2:A1000&lt;&gt;"",VLOOKUP(I2:I1000,'⚙️ Config'!$J$2:$K$6,2,1),)),"-")}</f>
        <v>ประเภทการเคลื่อนไหวสินค้า</v>
      </c>
      <c r="K1" s="21" t="str">
        <f>"อัตราขายเฉลี่ยใน "&amp;'⚙️ Config'!H2&amp;" วัน ที่ผ่านมา"</f>
        <v>อัตราขายเฉลี่ยใน 30 วัน ที่ผ่านมา</v>
      </c>
      <c r="L1" s="21" t="s">
        <v>50</v>
      </c>
      <c r="M1" s="21" t="s">
        <v>51</v>
      </c>
      <c r="N1" s="21" t="s">
        <v>52</v>
      </c>
    </row>
    <row r="2">
      <c r="A2" s="22" t="str">
        <f>IFERROR(__xludf.DUMMYFUNCTION("""COMPUTED_VALUE"""),"510 ขาวธรรมชาติ")</f>
        <v>510 ขาวธรรมชาติ</v>
      </c>
      <c r="B2" s="22">
        <f>IF(A2&lt;&gt;"",SUMIFS('💸 Transaction ซื้อ'!E:E,'💸 Transaction ซื้อ'!B:B,A2)-SUMIFS('💰 Transaction ขาย'!E:E,'💰 Transaction ขาย'!B:B,A2),"")</f>
        <v>885</v>
      </c>
      <c r="C2" s="23">
        <f>IF(A2&lt;&gt;"",vlookup(A2,'📦 ชื่อสินค้า'!A:E,5,false),"")</f>
        <v>50</v>
      </c>
      <c r="D2" s="23" t="str">
        <f>IF(A2&lt;&gt;"",VLOOKUP(A2,'📦 ชื่อสินค้า'!A:F,6,false),"")</f>
        <v>รุ่นสีอ่อน</v>
      </c>
      <c r="E2" s="16" t="str">
        <f>IFERROR(IF(VLOOKUP(A2,'📦 ชื่อสินค้า'!A:G,7,false)="InActive","InActive",IF(A2&lt;&gt;"",IF(B2&lt;=0,"สินค้าหมด",IF(B2&lt;=C2,"ควรเติมทันที","OK")),"")),)</f>
        <v>OK</v>
      </c>
      <c r="F2" s="24">
        <f>IFERROR(IF(A2&lt;&gt;"", SUMIF('💸 Transaction ซื้อ'!B:B,A2,'💸 Transaction ซื้อ'!G:G)/SUMIF('💸 Transaction ซื้อ'!B:B,A2,'💸 Transaction ซื้อ'!E:E),""),"-")</f>
        <v>84.39779006</v>
      </c>
      <c r="G2" s="24">
        <f t="shared" ref="G2:G1000" si="1">IFERROR(IF(A2&lt;&gt;"",F2*B2,""),"-")</f>
        <v>74692.0442</v>
      </c>
      <c r="H2" s="25">
        <v>45430.0</v>
      </c>
      <c r="I2" s="26">
        <v>692.0</v>
      </c>
      <c r="J2" s="26" t="s">
        <v>53</v>
      </c>
      <c r="K2" s="27">
        <f>IF(A2&lt;&gt;"",IF(E2="InActive","-",SUMIFS('💰 Transaction ขาย'!E:E,'💰 Transaction ขาย'!B:B,A2,'💰 Transaction ขาย'!A:A,"&gt;"&amp;'⚙️ Config'!$H$1-'⚙️ Config'!$H$2)),)</f>
        <v>0</v>
      </c>
      <c r="L2" s="28">
        <f>IF(E2="InActive","-",IF(A2&lt;&gt;"",K2/'⚙️ Config'!$H$2,))</f>
        <v>0</v>
      </c>
      <c r="M2" s="28" t="str">
        <f t="shared" ref="M2:M1000" si="2">IF(E2="InActive","-",IF(L2&lt;&gt;"",(B2/L2)/30,))</f>
        <v>#DIV/0!</v>
      </c>
      <c r="N2" s="28">
        <f>IF(A2&lt;&gt;"", SUMIFS('💰 Transaction ขาย'!F:F,'💰 Transaction ขาย'!B:B,A2,'💰 Transaction ขาย'!A:A,"&gt;="&amp;DATE(YEAR('⚙️ Config'!$H$1),1,1),'💰 Transaction ขาย'!A:A,"&lt;="&amp;DATE(YEAR('⚙️ Config'!$H$1),12,31)),)</f>
        <v>0</v>
      </c>
    </row>
    <row r="3">
      <c r="A3" s="22" t="str">
        <f>IFERROR(__xludf.DUMMYFUNCTION("""COMPUTED_VALUE"""),"861 ฟ้าอ่อน")</f>
        <v>861 ฟ้าอ่อน</v>
      </c>
      <c r="B3" s="22">
        <f>IF(A3&lt;&gt;"",SUMIFS('💸 Transaction ซื้อ'!E:E,'💸 Transaction ซื้อ'!B:B,A3)-SUMIFS('💰 Transaction ขาย'!E:E,'💰 Transaction ขาย'!B:B,A3),"")</f>
        <v>114</v>
      </c>
      <c r="C3" s="23">
        <f>IF(A3&lt;&gt;"",vlookup(A3,'📦 ชื่อสินค้า'!A:E,5,false),"")</f>
        <v>5</v>
      </c>
      <c r="D3" s="23" t="str">
        <f>IF(A3&lt;&gt;"",VLOOKUP(A3,'📦 ชื่อสินค้า'!A:F,6,false),"")</f>
        <v>รุ่นสีอ่อน</v>
      </c>
      <c r="E3" s="16" t="str">
        <f>IFERROR(IF(VLOOKUP(A3,'📦 ชื่อสินค้า'!A:G,7,false)="InActive","InActive",IF(A3&lt;&gt;"",IF(B3&lt;=0,"สินค้าหมด",IF(B3&lt;=C3,"ควรเติมทันที","OK")),"")),)</f>
        <v>OK</v>
      </c>
      <c r="F3" s="24">
        <f>IFERROR(IF(A3&lt;&gt;"", SUMIF('💸 Transaction ซื้อ'!B:B,A3,'💸 Transaction ซื้อ'!G:G)/SUMIF('💸 Transaction ซื้อ'!B:B,A3,'💸 Transaction ซื้อ'!E:E),""),"-")</f>
        <v>90</v>
      </c>
      <c r="G3" s="24">
        <f t="shared" si="1"/>
        <v>10260</v>
      </c>
      <c r="H3" s="25" t="s">
        <v>54</v>
      </c>
      <c r="I3" s="26" t="s">
        <v>54</v>
      </c>
      <c r="J3" s="26" t="s">
        <v>54</v>
      </c>
      <c r="K3" s="27">
        <f>IF(A3&lt;&gt;"",IF(E3="InActive","-",SUMIFS('💰 Transaction ขาย'!E:E,'💰 Transaction ขาย'!B:B,A3,'💰 Transaction ขาย'!A:A,"&gt;"&amp;'⚙️ Config'!$H$1-'⚙️ Config'!$H$2)),)</f>
        <v>0</v>
      </c>
      <c r="L3" s="28">
        <f>IF(E3="InActive","-",IF(A3&lt;&gt;"",K3/'⚙️ Config'!$H$2,))</f>
        <v>0</v>
      </c>
      <c r="M3" s="28" t="str">
        <f t="shared" si="2"/>
        <v>#DIV/0!</v>
      </c>
      <c r="N3" s="28">
        <f>IF(A3&lt;&gt;"", SUMIFS('💰 Transaction ขาย'!F:F,'💰 Transaction ขาย'!B:B,A3,'💰 Transaction ขาย'!A:A,"&gt;="&amp;DATE(YEAR('⚙️ Config'!$H$1),1,1),'💰 Transaction ขาย'!A:A,"&lt;="&amp;DATE(YEAR('⚙️ Config'!$H$1),12,31)),)</f>
        <v>0</v>
      </c>
    </row>
    <row r="4">
      <c r="A4" s="22" t="str">
        <f>IFERROR(__xludf.DUMMYFUNCTION("""COMPUTED_VALUE"""),"831 สีโอรส")</f>
        <v>831 สีโอรส</v>
      </c>
      <c r="B4" s="22">
        <f>IF(A4&lt;&gt;"",SUMIFS('💸 Transaction ซื้อ'!E:E,'💸 Transaction ซื้อ'!B:B,A4)-SUMIFS('💰 Transaction ขาย'!E:E,'💰 Transaction ขาย'!B:B,A4),"")</f>
        <v>105</v>
      </c>
      <c r="C4" s="23">
        <f>IF(A4&lt;&gt;"",vlookup(A4,'📦 ชื่อสินค้า'!A:E,5,false),"")</f>
        <v>5</v>
      </c>
      <c r="D4" s="23" t="str">
        <f>IF(A4&lt;&gt;"",VLOOKUP(A4,'📦 ชื่อสินค้า'!A:F,6,false),"")</f>
        <v>รุ่นสีอ่อน</v>
      </c>
      <c r="E4" s="16" t="str">
        <f>IFERROR(IF(VLOOKUP(A4,'📦 ชื่อสินค้า'!A:G,7,false)="InActive","InActive",IF(A4&lt;&gt;"",IF(B4&lt;=0,"สินค้าหมด",IF(B4&lt;=C4,"ควรเติมทันที","OK")),"")),)</f>
        <v>OK</v>
      </c>
      <c r="F4" s="24">
        <f>IFERROR(IF(A4&lt;&gt;"", SUMIF('💸 Transaction ซื้อ'!B:B,A4,'💸 Transaction ซื้อ'!G:G)/SUMIF('💸 Transaction ซื้อ'!B:B,A4,'💸 Transaction ซื้อ'!E:E),""),"-")</f>
        <v>80</v>
      </c>
      <c r="G4" s="24">
        <f t="shared" si="1"/>
        <v>8400</v>
      </c>
      <c r="H4" s="25">
        <v>45437.0</v>
      </c>
      <c r="I4" s="26">
        <v>685.0</v>
      </c>
      <c r="J4" s="26" t="s">
        <v>53</v>
      </c>
      <c r="K4" s="27">
        <f>IF(A4&lt;&gt;"",IF(E4="InActive","-",SUMIFS('💰 Transaction ขาย'!E:E,'💰 Transaction ขาย'!B:B,A4,'💰 Transaction ขาย'!A:A,"&gt;"&amp;'⚙️ Config'!$H$1-'⚙️ Config'!$H$2)),)</f>
        <v>0</v>
      </c>
      <c r="L4" s="28">
        <f>IF(E4="InActive","-",IF(A4&lt;&gt;"",K4/'⚙️ Config'!$H$2,))</f>
        <v>0</v>
      </c>
      <c r="M4" s="28" t="str">
        <f t="shared" si="2"/>
        <v>#DIV/0!</v>
      </c>
      <c r="N4" s="28">
        <f>IF(A4&lt;&gt;"", SUMIFS('💰 Transaction ขาย'!F:F,'💰 Transaction ขาย'!B:B,A4,'💰 Transaction ขาย'!A:A,"&gt;="&amp;DATE(YEAR('⚙️ Config'!$H$1),1,1),'💰 Transaction ขาย'!A:A,"&lt;="&amp;DATE(YEAR('⚙️ Config'!$H$1),12,31)),)</f>
        <v>0</v>
      </c>
    </row>
    <row r="5">
      <c r="A5" s="22" t="str">
        <f>IFERROR(__xludf.DUMMYFUNCTION("""COMPUTED_VALUE"""),"552 ชมพูเข้ม")</f>
        <v>552 ชมพูเข้ม</v>
      </c>
      <c r="B5" s="22">
        <f>IF(A5&lt;&gt;"",SUMIFS('💸 Transaction ซื้อ'!E:E,'💸 Transaction ซื้อ'!B:B,A5)-SUMIFS('💰 Transaction ขาย'!E:E,'💰 Transaction ขาย'!B:B,A5),"")</f>
        <v>150</v>
      </c>
      <c r="C5" s="23">
        <f>IF(A5&lt;&gt;"",vlookup(A5,'📦 ชื่อสินค้า'!A:E,5,false),"")</f>
        <v>5</v>
      </c>
      <c r="D5" s="23" t="str">
        <f>IF(A5&lt;&gt;"",VLOOKUP(A5,'📦 ชื่อสินค้า'!A:F,6,false),"")</f>
        <v>รุ่นสีอ่อน</v>
      </c>
      <c r="E5" s="16" t="str">
        <f>IFERROR(IF(VLOOKUP(A5,'📦 ชื่อสินค้า'!A:G,7,false)="InActive","InActive",IF(A5&lt;&gt;"",IF(B5&lt;=0,"สินค้าหมด",IF(B5&lt;=C5,"ควรเติมทันที","OK")),"")),)</f>
        <v>OK</v>
      </c>
      <c r="F5" s="24">
        <f>IFERROR(IF(A5&lt;&gt;"", SUMIF('💸 Transaction ซื้อ'!B:B,A5,'💸 Transaction ซื้อ'!G:G)/SUMIF('💸 Transaction ซื้อ'!B:B,A5,'💸 Transaction ซื้อ'!E:E),""),"-")</f>
        <v>80</v>
      </c>
      <c r="G5" s="24">
        <f t="shared" si="1"/>
        <v>12000</v>
      </c>
      <c r="H5" s="25">
        <v>45430.0</v>
      </c>
      <c r="I5" s="26">
        <v>692.0</v>
      </c>
      <c r="J5" s="26" t="s">
        <v>53</v>
      </c>
      <c r="K5" s="27">
        <f>IF(A5&lt;&gt;"",IF(E5="InActive","-",SUMIFS('💰 Transaction ขาย'!E:E,'💰 Transaction ขาย'!B:B,A5,'💰 Transaction ขาย'!A:A,"&gt;"&amp;'⚙️ Config'!$H$1-'⚙️ Config'!$H$2)),)</f>
        <v>0</v>
      </c>
      <c r="L5" s="28">
        <f>IF(E5="InActive","-",IF(A5&lt;&gt;"",K5/'⚙️ Config'!$H$2,))</f>
        <v>0</v>
      </c>
      <c r="M5" s="28" t="str">
        <f t="shared" si="2"/>
        <v>#DIV/0!</v>
      </c>
      <c r="N5" s="28">
        <f>IF(A5&lt;&gt;"", SUMIFS('💰 Transaction ขาย'!F:F,'💰 Transaction ขาย'!B:B,A5,'💰 Transaction ขาย'!A:A,"&gt;="&amp;DATE(YEAR('⚙️ Config'!$H$1),1,1),'💰 Transaction ขาย'!A:A,"&lt;="&amp;DATE(YEAR('⚙️ Config'!$H$1),12,31)),)</f>
        <v>0</v>
      </c>
    </row>
    <row r="6">
      <c r="A6" s="22" t="str">
        <f>IFERROR(__xludf.DUMMYFUNCTION("""COMPUTED_VALUE"""),"551 ชมพูอ่อน")</f>
        <v>551 ชมพูอ่อน</v>
      </c>
      <c r="B6" s="22">
        <f>IF(A6&lt;&gt;"",SUMIFS('💸 Transaction ซื้อ'!E:E,'💸 Transaction ซื้อ'!B:B,A6)-SUMIFS('💰 Transaction ขาย'!E:E,'💰 Transaction ขาย'!B:B,A6),"")</f>
        <v>473</v>
      </c>
      <c r="C6" s="23">
        <f>IF(A6&lt;&gt;"",vlookup(A6,'📦 ชื่อสินค้า'!A:E,5,false),"")</f>
        <v>5</v>
      </c>
      <c r="D6" s="23" t="str">
        <f>IF(A6&lt;&gt;"",VLOOKUP(A6,'📦 ชื่อสินค้า'!A:F,6,false),"")</f>
        <v>รุ่นสีอ่อน</v>
      </c>
      <c r="E6" s="16" t="str">
        <f>IFERROR(IF(VLOOKUP(A6,'📦 ชื่อสินค้า'!A:G,7,false)="InActive","InActive",IF(A6&lt;&gt;"",IF(B6&lt;=0,"สินค้าหมด",IF(B6&lt;=C6,"ควรเติมทันที","OK")),"")),)</f>
        <v>OK</v>
      </c>
      <c r="F6" s="24">
        <f>IFERROR(IF(A6&lt;&gt;"", SUMIF('💸 Transaction ซื้อ'!B:B,A6,'💸 Transaction ซื้อ'!G:G)/SUMIF('💸 Transaction ซื้อ'!B:B,A6,'💸 Transaction ซื้อ'!E:E),""),"-")</f>
        <v>80</v>
      </c>
      <c r="G6" s="24">
        <f t="shared" si="1"/>
        <v>37840</v>
      </c>
      <c r="H6" s="25" t="s">
        <v>54</v>
      </c>
      <c r="I6" s="26" t="s">
        <v>54</v>
      </c>
      <c r="J6" s="26" t="s">
        <v>54</v>
      </c>
      <c r="K6" s="27">
        <f>IF(A6&lt;&gt;"",IF(E6="InActive","-",SUMIFS('💰 Transaction ขาย'!E:E,'💰 Transaction ขาย'!B:B,A6,'💰 Transaction ขาย'!A:A,"&gt;"&amp;'⚙️ Config'!$H$1-'⚙️ Config'!$H$2)),)</f>
        <v>0</v>
      </c>
      <c r="L6" s="28">
        <f>IF(E6="InActive","-",IF(A6&lt;&gt;"",K6/'⚙️ Config'!$H$2,))</f>
        <v>0</v>
      </c>
      <c r="M6" s="28" t="str">
        <f t="shared" si="2"/>
        <v>#DIV/0!</v>
      </c>
      <c r="N6" s="28">
        <f>IF(A6&lt;&gt;"", SUMIFS('💰 Transaction ขาย'!F:F,'💰 Transaction ขาย'!B:B,A6,'💰 Transaction ขาย'!A:A,"&gt;="&amp;DATE(YEAR('⚙️ Config'!$H$1),1,1),'💰 Transaction ขาย'!A:A,"&lt;="&amp;DATE(YEAR('⚙️ Config'!$H$1),12,31)),)</f>
        <v>0</v>
      </c>
    </row>
    <row r="7">
      <c r="A7" s="22" t="str">
        <f>IFERROR(__xludf.DUMMYFUNCTION("""COMPUTED_VALUE"""),"860 ม่วงอ่อน")</f>
        <v>860 ม่วงอ่อน</v>
      </c>
      <c r="B7" s="22">
        <f>IF(A7&lt;&gt;"",SUMIFS('💸 Transaction ซื้อ'!E:E,'💸 Transaction ซื้อ'!B:B,A7)-SUMIFS('💰 Transaction ขาย'!E:E,'💰 Transaction ขาย'!B:B,A7),"")</f>
        <v>188</v>
      </c>
      <c r="C7" s="23">
        <f>IF(A7&lt;&gt;"",vlookup(A7,'📦 ชื่อสินค้า'!A:E,5,false),"")</f>
        <v>5</v>
      </c>
      <c r="D7" s="23" t="str">
        <f>IF(A7&lt;&gt;"",VLOOKUP(A7,'📦 ชื่อสินค้า'!A:F,6,false),"")</f>
        <v>รุ่นสีอ่อน</v>
      </c>
      <c r="E7" s="16" t="str">
        <f>IFERROR(IF(VLOOKUP(A7,'📦 ชื่อสินค้า'!A:G,7,false)="InActive","InActive",IF(A7&lt;&gt;"",IF(B7&lt;=0,"สินค้าหมด",IF(B7&lt;=C7,"ควรเติมทันที","OK")),"")),)</f>
        <v>OK</v>
      </c>
      <c r="F7" s="24">
        <f>IFERROR(IF(A7&lt;&gt;"", SUMIF('💸 Transaction ซื้อ'!B:B,A7,'💸 Transaction ซื้อ'!G:G)/SUMIF('💸 Transaction ซื้อ'!B:B,A7,'💸 Transaction ซื้อ'!E:E),""),"-")</f>
        <v>80</v>
      </c>
      <c r="G7" s="24">
        <f t="shared" si="1"/>
        <v>15040</v>
      </c>
      <c r="H7" s="25">
        <v>45430.0</v>
      </c>
      <c r="I7" s="26">
        <v>692.0</v>
      </c>
      <c r="J7" s="26" t="s">
        <v>53</v>
      </c>
      <c r="K7" s="27">
        <f>IF(A7&lt;&gt;"",IF(E7="InActive","-",SUMIFS('💰 Transaction ขาย'!E:E,'💰 Transaction ขาย'!B:B,A7,'💰 Transaction ขาย'!A:A,"&gt;"&amp;'⚙️ Config'!$H$1-'⚙️ Config'!$H$2)),)</f>
        <v>0</v>
      </c>
      <c r="L7" s="28">
        <f>IF(E7="InActive","-",IF(A7&lt;&gt;"",K7/'⚙️ Config'!$H$2,))</f>
        <v>0</v>
      </c>
      <c r="M7" s="28" t="str">
        <f t="shared" si="2"/>
        <v>#DIV/0!</v>
      </c>
      <c r="N7" s="28">
        <f>IF(A7&lt;&gt;"", SUMIFS('💰 Transaction ขาย'!F:F,'💰 Transaction ขาย'!B:B,A7,'💰 Transaction ขาย'!A:A,"&gt;="&amp;DATE(YEAR('⚙️ Config'!$H$1),1,1),'💰 Transaction ขาย'!A:A,"&lt;="&amp;DATE(YEAR('⚙️ Config'!$H$1),12,31)),)</f>
        <v>0</v>
      </c>
    </row>
    <row r="8">
      <c r="A8" s="22" t="str">
        <f>IFERROR(__xludf.DUMMYFUNCTION("""COMPUTED_VALUE"""),"591 เทาอ่อน")</f>
        <v>591 เทาอ่อน</v>
      </c>
      <c r="B8" s="22">
        <f>IF(A8&lt;&gt;"",SUMIFS('💸 Transaction ซื้อ'!E:E,'💸 Transaction ซื้อ'!B:B,A8)-SUMIFS('💰 Transaction ขาย'!E:E,'💰 Transaction ขาย'!B:B,A8),"")</f>
        <v>130</v>
      </c>
      <c r="C8" s="23">
        <f>IF(A8&lt;&gt;"",vlookup(A8,'📦 ชื่อสินค้า'!A:E,5,false),"")</f>
        <v>5</v>
      </c>
      <c r="D8" s="23" t="str">
        <f>IF(A8&lt;&gt;"",VLOOKUP(A8,'📦 ชื่อสินค้า'!A:F,6,false),"")</f>
        <v>รุ่นสีอ่อน</v>
      </c>
      <c r="E8" s="16" t="str">
        <f>IFERROR(IF(VLOOKUP(A8,'📦 ชื่อสินค้า'!A:G,7,false)="InActive","InActive",IF(A8&lt;&gt;"",IF(B8&lt;=0,"สินค้าหมด",IF(B8&lt;=C8,"ควรเติมทันที","OK")),"")),)</f>
        <v>OK</v>
      </c>
      <c r="F8" s="24">
        <f>IFERROR(IF(A8&lt;&gt;"", SUMIF('💸 Transaction ซื้อ'!B:B,A8,'💸 Transaction ซื้อ'!G:G)/SUMIF('💸 Transaction ซื้อ'!B:B,A8,'💸 Transaction ซื้อ'!E:E),""),"-")</f>
        <v>70</v>
      </c>
      <c r="G8" s="24">
        <f t="shared" si="1"/>
        <v>9100</v>
      </c>
      <c r="H8" s="25" t="s">
        <v>54</v>
      </c>
      <c r="I8" s="26" t="s">
        <v>54</v>
      </c>
      <c r="J8" s="26" t="s">
        <v>54</v>
      </c>
      <c r="K8" s="27">
        <f>IF(A8&lt;&gt;"",IF(E8="InActive","-",SUMIFS('💰 Transaction ขาย'!E:E,'💰 Transaction ขาย'!B:B,A8,'💰 Transaction ขาย'!A:A,"&gt;"&amp;'⚙️ Config'!$H$1-'⚙️ Config'!$H$2)),)</f>
        <v>0</v>
      </c>
      <c r="L8" s="28">
        <f>IF(E8="InActive","-",IF(A8&lt;&gt;"",K8/'⚙️ Config'!$H$2,))</f>
        <v>0</v>
      </c>
      <c r="M8" s="28" t="str">
        <f t="shared" si="2"/>
        <v>#DIV/0!</v>
      </c>
      <c r="N8" s="28">
        <f>IF(A8&lt;&gt;"", SUMIFS('💰 Transaction ขาย'!F:F,'💰 Transaction ขาย'!B:B,A8,'💰 Transaction ขาย'!A:A,"&gt;="&amp;DATE(YEAR('⚙️ Config'!$H$1),1,1),'💰 Transaction ขาย'!A:A,"&lt;="&amp;DATE(YEAR('⚙️ Config'!$H$1),12,31)),)</f>
        <v>0</v>
      </c>
    </row>
    <row r="9">
      <c r="A9" s="22" t="str">
        <f>IFERROR(__xludf.DUMMYFUNCTION("""COMPUTED_VALUE"""),"561 ฟ้าเข้ม")</f>
        <v>561 ฟ้าเข้ม</v>
      </c>
      <c r="B9" s="22">
        <f>IF(A9&lt;&gt;"",SUMIFS('💸 Transaction ซื้อ'!E:E,'💸 Transaction ซื้อ'!B:B,A9)-SUMIFS('💰 Transaction ขาย'!E:E,'💰 Transaction ขาย'!B:B,A9),"")</f>
        <v>84</v>
      </c>
      <c r="C9" s="23">
        <f>IF(A9&lt;&gt;"",vlookup(A9,'📦 ชื่อสินค้า'!A:E,5,false),"")</f>
        <v>5</v>
      </c>
      <c r="D9" s="23" t="str">
        <f>IF(A9&lt;&gt;"",VLOOKUP(A9,'📦 ชื่อสินค้า'!A:F,6,false),"")</f>
        <v>รุ่นสีอ่อน</v>
      </c>
      <c r="E9" s="16" t="str">
        <f>IFERROR(IF(VLOOKUP(A9,'📦 ชื่อสินค้า'!A:G,7,false)="InActive","InActive",IF(A9&lt;&gt;"",IF(B9&lt;=0,"สินค้าหมด",IF(B9&lt;=C9,"ควรเติมทันที","OK")),"")),)</f>
        <v>OK</v>
      </c>
      <c r="F9" s="24">
        <f>IFERROR(IF(A9&lt;&gt;"", SUMIF('💸 Transaction ซื้อ'!B:B,A9,'💸 Transaction ซื้อ'!G:G)/SUMIF('💸 Transaction ซื้อ'!B:B,A9,'💸 Transaction ซื้อ'!E:E),""),"-")</f>
        <v>80</v>
      </c>
      <c r="G9" s="24">
        <f t="shared" si="1"/>
        <v>6720</v>
      </c>
      <c r="H9" s="25">
        <v>45430.0</v>
      </c>
      <c r="I9" s="26">
        <v>692.0</v>
      </c>
      <c r="J9" s="26" t="s">
        <v>53</v>
      </c>
      <c r="K9" s="27">
        <f>IF(A9&lt;&gt;"",IF(E9="InActive","-",SUMIFS('💰 Transaction ขาย'!E:E,'💰 Transaction ขาย'!B:B,A9,'💰 Transaction ขาย'!A:A,"&gt;"&amp;'⚙️ Config'!$H$1-'⚙️ Config'!$H$2)),)</f>
        <v>0</v>
      </c>
      <c r="L9" s="28">
        <f>IF(E9="InActive","-",IF(A9&lt;&gt;"",K9/'⚙️ Config'!$H$2,))</f>
        <v>0</v>
      </c>
      <c r="M9" s="28" t="str">
        <f t="shared" si="2"/>
        <v>#DIV/0!</v>
      </c>
      <c r="N9" s="28">
        <f>IF(A9&lt;&gt;"", SUMIFS('💰 Transaction ขาย'!F:F,'💰 Transaction ขาย'!B:B,A9,'💰 Transaction ขาย'!A:A,"&gt;="&amp;DATE(YEAR('⚙️ Config'!$H$1),1,1),'💰 Transaction ขาย'!A:A,"&lt;="&amp;DATE(YEAR('⚙️ Config'!$H$1),12,31)),)</f>
        <v>0</v>
      </c>
    </row>
    <row r="10">
      <c r="A10" s="22" t="str">
        <f>IFERROR(__xludf.DUMMYFUNCTION("""COMPUTED_VALUE"""),"521 ครีม")</f>
        <v>521 ครีม</v>
      </c>
      <c r="B10" s="22">
        <f>IF(A10&lt;&gt;"",SUMIFS('💸 Transaction ซื้อ'!E:E,'💸 Transaction ซื้อ'!B:B,A10)-SUMIFS('💰 Transaction ขาย'!E:E,'💰 Transaction ขาย'!B:B,A10),"")</f>
        <v>927</v>
      </c>
      <c r="C10" s="23">
        <f>IF(A10&lt;&gt;"",vlookup(A10,'📦 ชื่อสินค้า'!A:E,5,false),"")</f>
        <v>10</v>
      </c>
      <c r="D10" s="23" t="str">
        <f>IF(A10&lt;&gt;"",VLOOKUP(A10,'📦 ชื่อสินค้า'!A:F,6,false),"")</f>
        <v>รุ่นสีอ่อน</v>
      </c>
      <c r="E10" s="16" t="str">
        <f>IFERROR(IF(VLOOKUP(A10,'📦 ชื่อสินค้า'!A:G,7,false)="InActive","InActive",IF(A10&lt;&gt;"",IF(B10&lt;=0,"สินค้าหมด",IF(B10&lt;=C10,"ควรเติมทันที","OK")),"")),)</f>
        <v>OK</v>
      </c>
      <c r="F10" s="24">
        <f>IFERROR(IF(A10&lt;&gt;"", SUMIF('💸 Transaction ซื้อ'!B:B,A10,'💸 Transaction ซื้อ'!G:G)/SUMIF('💸 Transaction ซื้อ'!B:B,A10,'💸 Transaction ซื้อ'!E:E),""),"-")</f>
        <v>80</v>
      </c>
      <c r="G10" s="24">
        <f t="shared" si="1"/>
        <v>74160</v>
      </c>
      <c r="H10" s="25">
        <v>45430.0</v>
      </c>
      <c r="I10" s="26">
        <v>692.0</v>
      </c>
      <c r="J10" s="26" t="s">
        <v>53</v>
      </c>
      <c r="K10" s="27">
        <f>IF(A10&lt;&gt;"",IF(E10="InActive","-",SUMIFS('💰 Transaction ขาย'!E:E,'💰 Transaction ขาย'!B:B,A10,'💰 Transaction ขาย'!A:A,"&gt;"&amp;'⚙️ Config'!$H$1-'⚙️ Config'!$H$2)),)</f>
        <v>0</v>
      </c>
      <c r="L10" s="28">
        <f>IF(E10="InActive","-",IF(A10&lt;&gt;"",K10/'⚙️ Config'!$H$2,))</f>
        <v>0</v>
      </c>
      <c r="M10" s="28" t="str">
        <f t="shared" si="2"/>
        <v>#DIV/0!</v>
      </c>
      <c r="N10" s="28">
        <f>IF(A10&lt;&gt;"", SUMIFS('💰 Transaction ขาย'!F:F,'💰 Transaction ขาย'!B:B,A10,'💰 Transaction ขาย'!A:A,"&gt;="&amp;DATE(YEAR('⚙️ Config'!$H$1),1,1),'💰 Transaction ขาย'!A:A,"&lt;="&amp;DATE(YEAR('⚙️ Config'!$H$1),12,31)),)</f>
        <v>0</v>
      </c>
    </row>
    <row r="11">
      <c r="A11" s="22" t="str">
        <f>IFERROR(__xludf.DUMMYFUNCTION("""COMPUTED_VALUE"""),"111 เงินเงา")</f>
        <v>111 เงินเงา</v>
      </c>
      <c r="B11" s="22">
        <f>IF(A11&lt;&gt;"",SUMIFS('💸 Transaction ซื้อ'!E:E,'💸 Transaction ซื้อ'!B:B,A11)-SUMIFS('💰 Transaction ขาย'!E:E,'💰 Transaction ขาย'!B:B,A11),"")</f>
        <v>335</v>
      </c>
      <c r="C11" s="23">
        <f>IF(A11&lt;&gt;"",vlookup(A11,'📦 ชื่อสินค้า'!A:E,5,false),"")</f>
        <v>50</v>
      </c>
      <c r="D11" s="23" t="str">
        <f>IF(A11&lt;&gt;"",VLOOKUP(A11,'📦 ชื่อสินค้า'!A:F,6,false),"")</f>
        <v>รุ่นสีพิเศษ A</v>
      </c>
      <c r="E11" s="16" t="str">
        <f>IFERROR(IF(VLOOKUP(A11,'📦 ชื่อสินค้า'!A:G,7,false)="InActive","InActive",IF(A11&lt;&gt;"",IF(B11&lt;=0,"สินค้าหมด",IF(B11&lt;=C11,"ควรเติมทันที","OK")),"")),)</f>
        <v>OK</v>
      </c>
      <c r="F11" s="24">
        <f>IFERROR(IF(A11&lt;&gt;"", SUMIF('💸 Transaction ซื้อ'!B:B,A11,'💸 Transaction ซื้อ'!G:G)/SUMIF('💸 Transaction ซื้อ'!B:B,A11,'💸 Transaction ซื้อ'!E:E),""),"-")</f>
        <v>250</v>
      </c>
      <c r="G11" s="24">
        <f t="shared" si="1"/>
        <v>83750</v>
      </c>
      <c r="H11" s="25" t="s">
        <v>54</v>
      </c>
      <c r="I11" s="26" t="s">
        <v>54</v>
      </c>
      <c r="J11" s="26" t="s">
        <v>54</v>
      </c>
      <c r="K11" s="27">
        <f>IF(A11&lt;&gt;"",IF(E11="InActive","-",SUMIFS('💰 Transaction ขาย'!E:E,'💰 Transaction ขาย'!B:B,A11,'💰 Transaction ขาย'!A:A,"&gt;"&amp;'⚙️ Config'!$H$1-'⚙️ Config'!$H$2)),)</f>
        <v>0</v>
      </c>
      <c r="L11" s="28">
        <f>IF(E11="InActive","-",IF(A11&lt;&gt;"",K11/'⚙️ Config'!$H$2,))</f>
        <v>0</v>
      </c>
      <c r="M11" s="28" t="str">
        <f t="shared" si="2"/>
        <v>#DIV/0!</v>
      </c>
      <c r="N11" s="28">
        <f>IF(A11&lt;&gt;"", SUMIFS('💰 Transaction ขาย'!F:F,'💰 Transaction ขาย'!B:B,A11,'💰 Transaction ขาย'!A:A,"&gt;="&amp;DATE(YEAR('⚙️ Config'!$H$1),1,1),'💰 Transaction ขาย'!A:A,"&lt;="&amp;DATE(YEAR('⚙️ Config'!$H$1),12,31)),)</f>
        <v>0</v>
      </c>
    </row>
    <row r="12">
      <c r="A12" s="22" t="str">
        <f>IFERROR(__xludf.DUMMYFUNCTION("""COMPUTED_VALUE"""),"112 เงินด้าน")</f>
        <v>112 เงินด้าน</v>
      </c>
      <c r="B12" s="22">
        <f>IF(A12&lt;&gt;"",SUMIFS('💸 Transaction ซื้อ'!E:E,'💸 Transaction ซื้อ'!B:B,A12)-SUMIFS('💰 Transaction ขาย'!E:E,'💰 Transaction ขาย'!B:B,A12),"")</f>
        <v>335</v>
      </c>
      <c r="C12" s="23">
        <f>IF(A12&lt;&gt;"",vlookup(A12,'📦 ชื่อสินค้า'!A:E,5,false),"")</f>
        <v>20</v>
      </c>
      <c r="D12" s="23" t="str">
        <f>IF(A12&lt;&gt;"",VLOOKUP(A12,'📦 ชื่อสินค้า'!A:F,6,false),"")</f>
        <v>รุ่นสีพิเศษ A</v>
      </c>
      <c r="E12" s="16" t="str">
        <f>IFERROR(IF(VLOOKUP(A12,'📦 ชื่อสินค้า'!A:G,7,false)="InActive","InActive",IF(A12&lt;&gt;"",IF(B12&lt;=0,"สินค้าหมด",IF(B12&lt;=C12,"ควรเติมทันที","OK")),"")),)</f>
        <v>OK</v>
      </c>
      <c r="F12" s="24">
        <f>IFERROR(IF(A12&lt;&gt;"", SUMIF('💸 Transaction ซื้อ'!B:B,A12,'💸 Transaction ซื้อ'!G:G)/SUMIF('💸 Transaction ซื้อ'!B:B,A12,'💸 Transaction ซื้อ'!E:E),""),"-")</f>
        <v>250</v>
      </c>
      <c r="G12" s="24">
        <f t="shared" si="1"/>
        <v>83750</v>
      </c>
      <c r="H12" s="25" t="s">
        <v>54</v>
      </c>
      <c r="I12" s="26" t="s">
        <v>54</v>
      </c>
      <c r="J12" s="26" t="s">
        <v>54</v>
      </c>
      <c r="K12" s="27">
        <f>IF(A12&lt;&gt;"",IF(E12="InActive","-",SUMIFS('💰 Transaction ขาย'!E:E,'💰 Transaction ขาย'!B:B,A12,'💰 Transaction ขาย'!A:A,"&gt;"&amp;'⚙️ Config'!$H$1-'⚙️ Config'!$H$2)),)</f>
        <v>0</v>
      </c>
      <c r="L12" s="28">
        <f>IF(E12="InActive","-",IF(A12&lt;&gt;"",K12/'⚙️ Config'!$H$2,))</f>
        <v>0</v>
      </c>
      <c r="M12" s="28" t="str">
        <f t="shared" si="2"/>
        <v>#DIV/0!</v>
      </c>
      <c r="N12" s="28">
        <f>IF(A12&lt;&gt;"", SUMIFS('💰 Transaction ขาย'!F:F,'💰 Transaction ขาย'!B:B,A12,'💰 Transaction ขาย'!A:A,"&gt;="&amp;DATE(YEAR('⚙️ Config'!$H$1),1,1),'💰 Transaction ขาย'!A:A,"&lt;="&amp;DATE(YEAR('⚙️ Config'!$H$1),12,31)),)</f>
        <v>0</v>
      </c>
    </row>
    <row r="13">
      <c r="A13" s="22" t="str">
        <f>IFERROR(__xludf.DUMMYFUNCTION("""COMPUTED_VALUE"""),"881 เปลือกไม้")</f>
        <v>881 เปลือกไม้</v>
      </c>
      <c r="B13" s="22">
        <f>IF(A13&lt;&gt;"",SUMIFS('💸 Transaction ซื้อ'!E:E,'💸 Transaction ซื้อ'!B:B,A13)-SUMIFS('💰 Transaction ขาย'!E:E,'💰 Transaction ขาย'!B:B,A13),"")</f>
        <v>414</v>
      </c>
      <c r="C13" s="23">
        <f>IF(A13&lt;&gt;"",vlookup(A13,'📦 ชื่อสินค้า'!A:E,5,false),"")</f>
        <v>20</v>
      </c>
      <c r="D13" s="23" t="str">
        <f>IF(A13&lt;&gt;"",VLOOKUP(A13,'📦 ชื่อสินค้า'!A:F,6,false),"")</f>
        <v>รุ่นสีอ่อน</v>
      </c>
      <c r="E13" s="16" t="str">
        <f>IFERROR(IF(VLOOKUP(A13,'📦 ชื่อสินค้า'!A:G,7,false)="InActive","InActive",IF(A13&lt;&gt;"",IF(B13&lt;=0,"สินค้าหมด",IF(B13&lt;=C13,"ควรเติมทันที","OK")),"")),)</f>
        <v>OK</v>
      </c>
      <c r="F13" s="24">
        <f>IFERROR(IF(A13&lt;&gt;"", SUMIF('💸 Transaction ซื้อ'!B:B,A13,'💸 Transaction ซื้อ'!G:G)/SUMIF('💸 Transaction ซื้อ'!B:B,A13,'💸 Transaction ซื้อ'!E:E),""),"-")</f>
        <v>80</v>
      </c>
      <c r="G13" s="24">
        <f t="shared" si="1"/>
        <v>33120</v>
      </c>
      <c r="H13" s="25">
        <v>45430.0</v>
      </c>
      <c r="I13" s="26">
        <v>692.0</v>
      </c>
      <c r="J13" s="26" t="s">
        <v>53</v>
      </c>
      <c r="K13" s="27">
        <f>IF(A13&lt;&gt;"",IF(E13="InActive","-",SUMIFS('💰 Transaction ขาย'!E:E,'💰 Transaction ขาย'!B:B,A13,'💰 Transaction ขาย'!A:A,"&gt;"&amp;'⚙️ Config'!$H$1-'⚙️ Config'!$H$2)),)</f>
        <v>0</v>
      </c>
      <c r="L13" s="28">
        <f>IF(E13="InActive","-",IF(A13&lt;&gt;"",K13/'⚙️ Config'!$H$2,))</f>
        <v>0</v>
      </c>
      <c r="M13" s="28" t="str">
        <f t="shared" si="2"/>
        <v>#DIV/0!</v>
      </c>
      <c r="N13" s="28">
        <f>IF(A13&lt;&gt;"", SUMIFS('💰 Transaction ขาย'!F:F,'💰 Transaction ขาย'!B:B,A13,'💰 Transaction ขาย'!A:A,"&gt;="&amp;DATE(YEAR('⚙️ Config'!$H$1),1,1),'💰 Transaction ขาย'!A:A,"&lt;="&amp;DATE(YEAR('⚙️ Config'!$H$1),12,31)),)</f>
        <v>0</v>
      </c>
    </row>
    <row r="14">
      <c r="A14" s="22" t="str">
        <f>IFERROR(__xludf.DUMMYFUNCTION("""COMPUTED_VALUE"""),"863 ฟ้าพาสเทลเข้ม")</f>
        <v>863 ฟ้าพาสเทลเข้ม</v>
      </c>
      <c r="B14" s="22">
        <f>IF(A14&lt;&gt;"",SUMIFS('💸 Transaction ซื้อ'!E:E,'💸 Transaction ซื้อ'!B:B,A14)-SUMIFS('💰 Transaction ขาย'!E:E,'💰 Transaction ขาย'!B:B,A14),"")</f>
        <v>68</v>
      </c>
      <c r="C14" s="23">
        <f>IF(A14&lt;&gt;"",vlookup(A14,'📦 ชื่อสินค้า'!A:E,5,false),"")</f>
        <v>81</v>
      </c>
      <c r="D14" s="23" t="str">
        <f>IF(A14&lt;&gt;"",VLOOKUP(A14,'📦 ชื่อสินค้า'!A:F,6,false),"")</f>
        <v>รุ่นสีอ่อน</v>
      </c>
      <c r="E14" s="16" t="str">
        <f>IFERROR(IF(VLOOKUP(A14,'📦 ชื่อสินค้า'!A:G,7,false)="InActive","InActive",IF(A14&lt;&gt;"",IF(B14&lt;=0,"สินค้าหมด",IF(B14&lt;=C14,"ควรเติมทันที","OK")),"")),)</f>
        <v>ควรเติมทันที</v>
      </c>
      <c r="F14" s="24">
        <f>IFERROR(IF(A14&lt;&gt;"", SUMIF('💸 Transaction ซื้อ'!B:B,A14,'💸 Transaction ซื้อ'!G:G)/SUMIF('💸 Transaction ซื้อ'!B:B,A14,'💸 Transaction ซื้อ'!E:E),""),"-")</f>
        <v>80</v>
      </c>
      <c r="G14" s="24">
        <f t="shared" si="1"/>
        <v>5440</v>
      </c>
      <c r="H14" s="25" t="s">
        <v>54</v>
      </c>
      <c r="I14" s="26" t="s">
        <v>54</v>
      </c>
      <c r="J14" s="26" t="s">
        <v>54</v>
      </c>
      <c r="K14" s="27">
        <f>IF(A14&lt;&gt;"",IF(E14="InActive","-",SUMIFS('💰 Transaction ขาย'!E:E,'💰 Transaction ขาย'!B:B,A14,'💰 Transaction ขาย'!A:A,"&gt;"&amp;'⚙️ Config'!$H$1-'⚙️ Config'!$H$2)),)</f>
        <v>0</v>
      </c>
      <c r="L14" s="28">
        <f>IF(E14="InActive","-",IF(A14&lt;&gt;"",K14/'⚙️ Config'!$H$2,))</f>
        <v>0</v>
      </c>
      <c r="M14" s="28" t="str">
        <f t="shared" si="2"/>
        <v>#DIV/0!</v>
      </c>
      <c r="N14" s="28">
        <f>IF(A14&lt;&gt;"", SUMIFS('💰 Transaction ขาย'!F:F,'💰 Transaction ขาย'!B:B,A14,'💰 Transaction ขาย'!A:A,"&gt;="&amp;DATE(YEAR('⚙️ Config'!$H$1),1,1),'💰 Transaction ขาย'!A:A,"&lt;="&amp;DATE(YEAR('⚙️ Config'!$H$1),12,31)),)</f>
        <v>0</v>
      </c>
    </row>
    <row r="15">
      <c r="A15" s="22" t="str">
        <f>IFERROR(__xludf.DUMMYFUNCTION("""COMPUTED_VALUE"""),"881 เปลือกไม้ รุ่นหยัก")</f>
        <v>881 เปลือกไม้ รุ่นหยัก</v>
      </c>
      <c r="B15" s="22">
        <f>IF(A15&lt;&gt;"",SUMIFS('💸 Transaction ซื้อ'!E:E,'💸 Transaction ซื้อ'!B:B,A15)-SUMIFS('💰 Transaction ขาย'!E:E,'💰 Transaction ขาย'!B:B,A15),"")</f>
        <v>-1</v>
      </c>
      <c r="C15" s="23">
        <f>IF(A15&lt;&gt;"",vlookup(A15,'📦 ชื่อสินค้า'!A:E,5,false),"")</f>
        <v>5</v>
      </c>
      <c r="D15" s="23" t="str">
        <f>IF(A15&lt;&gt;"",VLOOKUP(A15,'📦 ชื่อสินค้า'!A:F,6,false),"")</f>
        <v>รุ่นหยัก</v>
      </c>
      <c r="E15" s="16" t="str">
        <f>IFERROR(IF(VLOOKUP(A15,'📦 ชื่อสินค้า'!A:G,7,false)="InActive","InActive",IF(A15&lt;&gt;"",IF(B15&lt;=0,"สินค้าหมด",IF(B15&lt;=C15,"ควรเติมทันที","OK")),"")),)</f>
        <v>สินค้าหมด</v>
      </c>
      <c r="F15" s="24" t="str">
        <f>IFERROR(IF(A15&lt;&gt;"", SUMIF('💸 Transaction ซื้อ'!B:B,A15,'💸 Transaction ซื้อ'!G:G)/SUMIF('💸 Transaction ซื้อ'!B:B,A15,'💸 Transaction ซื้อ'!E:E),""),"-")</f>
        <v>-</v>
      </c>
      <c r="G15" s="24" t="str">
        <f t="shared" si="1"/>
        <v>-</v>
      </c>
      <c r="H15" s="25">
        <v>45411.0</v>
      </c>
      <c r="I15" s="26">
        <v>711.0</v>
      </c>
      <c r="J15" s="26" t="s">
        <v>53</v>
      </c>
      <c r="K15" s="27">
        <f>IF(A15&lt;&gt;"",IF(E15="InActive","-",SUMIFS('💰 Transaction ขาย'!E:E,'💰 Transaction ขาย'!B:B,A15,'💰 Transaction ขาย'!A:A,"&gt;"&amp;'⚙️ Config'!$H$1-'⚙️ Config'!$H$2)),)</f>
        <v>0</v>
      </c>
      <c r="L15" s="28">
        <f>IF(E15="InActive","-",IF(A15&lt;&gt;"",K15/'⚙️ Config'!$H$2,))</f>
        <v>0</v>
      </c>
      <c r="M15" s="28" t="str">
        <f t="shared" si="2"/>
        <v>#DIV/0!</v>
      </c>
      <c r="N15" s="28">
        <f>IF(A15&lt;&gt;"", SUMIFS('💰 Transaction ขาย'!F:F,'💰 Transaction ขาย'!B:B,A15,'💰 Transaction ขาย'!A:A,"&gt;="&amp;DATE(YEAR('⚙️ Config'!$H$1),1,1),'💰 Transaction ขาย'!A:A,"&lt;="&amp;DATE(YEAR('⚙️ Config'!$H$1),12,31)),)</f>
        <v>0</v>
      </c>
    </row>
    <row r="16">
      <c r="A16" s="22" t="str">
        <f>IFERROR(__xludf.DUMMYFUNCTION("""COMPUTED_VALUE"""),"853 ชมพูพาสเทล")</f>
        <v>853 ชมพูพาสเทล</v>
      </c>
      <c r="B16" s="22">
        <f>IF(A16&lt;&gt;"",SUMIFS('💸 Transaction ซื้อ'!E:E,'💸 Transaction ซื้อ'!B:B,A16)-SUMIFS('💰 Transaction ขาย'!E:E,'💰 Transaction ขาย'!B:B,A16),"")</f>
        <v>-11</v>
      </c>
      <c r="C16" s="23">
        <f>IF(A16&lt;&gt;"",vlookup(A16,'📦 ชื่อสินค้า'!A:E,5,false),"")</f>
        <v>5</v>
      </c>
      <c r="D16" s="23" t="str">
        <f>IF(A16&lt;&gt;"",VLOOKUP(A16,'📦 ชื่อสินค้า'!A:F,6,false),"")</f>
        <v>รุ่นสีอ่อน</v>
      </c>
      <c r="E16" s="16" t="str">
        <f>IFERROR(IF(VLOOKUP(A16,'📦 ชื่อสินค้า'!A:G,7,false)="InActive","InActive",IF(A16&lt;&gt;"",IF(B16&lt;=0,"สินค้าหมด",IF(B16&lt;=C16,"ควรเติมทันที","OK")),"")),)</f>
        <v>สินค้าหมด</v>
      </c>
      <c r="F16" s="24" t="str">
        <f>IFERROR(IF(A16&lt;&gt;"", SUMIF('💸 Transaction ซื้อ'!B:B,A16,'💸 Transaction ซื้อ'!G:G)/SUMIF('💸 Transaction ซื้อ'!B:B,A16,'💸 Transaction ซื้อ'!E:E),""),"-")</f>
        <v>-</v>
      </c>
      <c r="G16" s="24" t="str">
        <f t="shared" si="1"/>
        <v>-</v>
      </c>
      <c r="H16" s="25">
        <v>45430.0</v>
      </c>
      <c r="I16" s="26">
        <v>692.0</v>
      </c>
      <c r="J16" s="26" t="s">
        <v>53</v>
      </c>
      <c r="K16" s="27">
        <f>IF(A16&lt;&gt;"",IF(E16="InActive","-",SUMIFS('💰 Transaction ขาย'!E:E,'💰 Transaction ขาย'!B:B,A16,'💰 Transaction ขาย'!A:A,"&gt;"&amp;'⚙️ Config'!$H$1-'⚙️ Config'!$H$2)),)</f>
        <v>0</v>
      </c>
      <c r="L16" s="28">
        <f>IF(E16="InActive","-",IF(A16&lt;&gt;"",K16/'⚙️ Config'!$H$2,))</f>
        <v>0</v>
      </c>
      <c r="M16" s="28" t="str">
        <f t="shared" si="2"/>
        <v>#DIV/0!</v>
      </c>
      <c r="N16" s="28">
        <f>IF(A16&lt;&gt;"", SUMIFS('💰 Transaction ขาย'!F:F,'💰 Transaction ขาย'!B:B,A16,'💰 Transaction ขาย'!A:A,"&gt;="&amp;DATE(YEAR('⚙️ Config'!$H$1),1,1),'💰 Transaction ขาย'!A:A,"&lt;="&amp;DATE(YEAR('⚙️ Config'!$H$1),12,31)),)</f>
        <v>0</v>
      </c>
    </row>
    <row r="17">
      <c r="A17" s="22" t="str">
        <f>IFERROR(__xludf.DUMMYFUNCTION("""COMPUTED_VALUE"""),"862 ฟ้า PT อ่อน")</f>
        <v>862 ฟ้า PT อ่อน</v>
      </c>
      <c r="B17" s="22">
        <f>IF(A17&lt;&gt;"",SUMIFS('💸 Transaction ซื้อ'!E:E,'💸 Transaction ซื้อ'!B:B,A17)-SUMIFS('💰 Transaction ขาย'!E:E,'💰 Transaction ขาย'!B:B,A17),"")</f>
        <v>-14</v>
      </c>
      <c r="C17" s="23">
        <f>IF(A17&lt;&gt;"",vlookup(A17,'📦 ชื่อสินค้า'!A:E,5,false),"")</f>
        <v>5</v>
      </c>
      <c r="D17" s="23" t="str">
        <f>IF(A17&lt;&gt;"",VLOOKUP(A17,'📦 ชื่อสินค้า'!A:F,6,false),"")</f>
        <v>รุ่นสีอ่อน</v>
      </c>
      <c r="E17" s="16" t="str">
        <f>IFERROR(IF(VLOOKUP(A17,'📦 ชื่อสินค้า'!A:G,7,false)="InActive","InActive",IF(A17&lt;&gt;"",IF(B17&lt;=0,"สินค้าหมด",IF(B17&lt;=C17,"ควรเติมทันที","OK")),"")),)</f>
        <v>สินค้าหมด</v>
      </c>
      <c r="F17" s="24" t="str">
        <f>IFERROR(IF(A17&lt;&gt;"", SUMIF('💸 Transaction ซื้อ'!B:B,A17,'💸 Transaction ซื้อ'!G:G)/SUMIF('💸 Transaction ซื้อ'!B:B,A17,'💸 Transaction ซื้อ'!E:E),""),"-")</f>
        <v>-</v>
      </c>
      <c r="G17" s="24" t="str">
        <f t="shared" si="1"/>
        <v>-</v>
      </c>
      <c r="H17" s="25">
        <v>45430.0</v>
      </c>
      <c r="I17" s="26">
        <v>692.0</v>
      </c>
      <c r="J17" s="26" t="s">
        <v>53</v>
      </c>
      <c r="K17" s="27">
        <f>IF(A17&lt;&gt;"",IF(E17="InActive","-",SUMIFS('💰 Transaction ขาย'!E:E,'💰 Transaction ขาย'!B:B,A17,'💰 Transaction ขาย'!A:A,"&gt;"&amp;'⚙️ Config'!$H$1-'⚙️ Config'!$H$2)),)</f>
        <v>0</v>
      </c>
      <c r="L17" s="28">
        <f>IF(E17="InActive","-",IF(A17&lt;&gt;"",K17/'⚙️ Config'!$H$2,))</f>
        <v>0</v>
      </c>
      <c r="M17" s="28" t="str">
        <f t="shared" si="2"/>
        <v>#DIV/0!</v>
      </c>
      <c r="N17" s="28">
        <f>IF(A17&lt;&gt;"", SUMIFS('💰 Transaction ขาย'!F:F,'💰 Transaction ขาย'!B:B,A17,'💰 Transaction ขาย'!A:A,"&gt;="&amp;DATE(YEAR('⚙️ Config'!$H$1),1,1),'💰 Transaction ขาย'!A:A,"&lt;="&amp;DATE(YEAR('⚙️ Config'!$H$1),12,31)),)</f>
        <v>0</v>
      </c>
    </row>
    <row r="18">
      <c r="A18" s="22" t="str">
        <f>IFERROR(__xludf.DUMMYFUNCTION("""COMPUTED_VALUE"""),"863 ฟ้า PT เข้ม")</f>
        <v>863 ฟ้า PT เข้ม</v>
      </c>
      <c r="B18" s="22">
        <f>IF(A18&lt;&gt;"",SUMIFS('💸 Transaction ซื้อ'!E:E,'💸 Transaction ซื้อ'!B:B,A18)-SUMIFS('💰 Transaction ขาย'!E:E,'💰 Transaction ขาย'!B:B,A18),"")</f>
        <v>0</v>
      </c>
      <c r="C18" s="23">
        <f>IF(A18&lt;&gt;"",vlookup(A18,'📦 ชื่อสินค้า'!A:E,5,false),"")</f>
        <v>5</v>
      </c>
      <c r="D18" s="23" t="str">
        <f>IF(A18&lt;&gt;"",VLOOKUP(A18,'📦 ชื่อสินค้า'!A:F,6,false),"")</f>
        <v>รุ่นสีอ่อน</v>
      </c>
      <c r="E18" s="16" t="str">
        <f>IFERROR(IF(VLOOKUP(A18,'📦 ชื่อสินค้า'!A:G,7,false)="InActive","InActive",IF(A18&lt;&gt;"",IF(B18&lt;=0,"สินค้าหมด",IF(B18&lt;=C18,"ควรเติมทันที","OK")),"")),)</f>
        <v>สินค้าหมด</v>
      </c>
      <c r="F18" s="24" t="str">
        <f>IFERROR(IF(A18&lt;&gt;"", SUMIF('💸 Transaction ซื้อ'!B:B,A18,'💸 Transaction ซื้อ'!G:G)/SUMIF('💸 Transaction ซื้อ'!B:B,A18,'💸 Transaction ซื้อ'!E:E),""),"-")</f>
        <v>-</v>
      </c>
      <c r="G18" s="24" t="str">
        <f t="shared" si="1"/>
        <v>-</v>
      </c>
      <c r="H18" s="25" t="s">
        <v>54</v>
      </c>
      <c r="I18" s="26" t="s">
        <v>54</v>
      </c>
      <c r="J18" s="26" t="s">
        <v>54</v>
      </c>
      <c r="K18" s="27">
        <f>IF(A18&lt;&gt;"",IF(E18="InActive","-",SUMIFS('💰 Transaction ขาย'!E:E,'💰 Transaction ขาย'!B:B,A18,'💰 Transaction ขาย'!A:A,"&gt;"&amp;'⚙️ Config'!$H$1-'⚙️ Config'!$H$2)),)</f>
        <v>0</v>
      </c>
      <c r="L18" s="28">
        <f>IF(E18="InActive","-",IF(A18&lt;&gt;"",K18/'⚙️ Config'!$H$2,))</f>
        <v>0</v>
      </c>
      <c r="M18" s="28" t="str">
        <f t="shared" si="2"/>
        <v>#DIV/0!</v>
      </c>
      <c r="N18" s="28">
        <f>IF(A18&lt;&gt;"", SUMIFS('💰 Transaction ขาย'!F:F,'💰 Transaction ขาย'!B:B,A18,'💰 Transaction ขาย'!A:A,"&gt;="&amp;DATE(YEAR('⚙️ Config'!$H$1),1,1),'💰 Transaction ขาย'!A:A,"&lt;="&amp;DATE(YEAR('⚙️ Config'!$H$1),12,31)),)</f>
        <v>0</v>
      </c>
    </row>
    <row r="19">
      <c r="A19" s="22" t="str">
        <f>IFERROR(__xludf.DUMMYFUNCTION("""COMPUTED_VALUE"""),"522 เหลืองอ่อน")</f>
        <v>522 เหลืองอ่อน</v>
      </c>
      <c r="B19" s="22">
        <f>IF(A19&lt;&gt;"",SUMIFS('💸 Transaction ซื้อ'!E:E,'💸 Transaction ซื้อ'!B:B,A19)-SUMIFS('💰 Transaction ขาย'!E:E,'💰 Transaction ขาย'!B:B,A19),"")</f>
        <v>-10</v>
      </c>
      <c r="C19" s="23">
        <f>IF(A19&lt;&gt;"",vlookup(A19,'📦 ชื่อสินค้า'!A:E,5,false),"")</f>
        <v>5</v>
      </c>
      <c r="D19" s="23" t="str">
        <f>IF(A19&lt;&gt;"",VLOOKUP(A19,'📦 ชื่อสินค้า'!A:F,6,false),"")</f>
        <v>รุ่นสีอ่อน</v>
      </c>
      <c r="E19" s="16" t="str">
        <f>IFERROR(IF(VLOOKUP(A19,'📦 ชื่อสินค้า'!A:G,7,false)="InActive","InActive",IF(A19&lt;&gt;"",IF(B19&lt;=0,"สินค้าหมด",IF(B19&lt;=C19,"ควรเติมทันที","OK")),"")),)</f>
        <v>สินค้าหมด</v>
      </c>
      <c r="F19" s="24" t="str">
        <f>IFERROR(IF(A19&lt;&gt;"", SUMIF('💸 Transaction ซื้อ'!B:B,A19,'💸 Transaction ซื้อ'!G:G)/SUMIF('💸 Transaction ซื้อ'!B:B,A19,'💸 Transaction ซื้อ'!E:E),""),"-")</f>
        <v>-</v>
      </c>
      <c r="G19" s="24" t="str">
        <f t="shared" si="1"/>
        <v>-</v>
      </c>
      <c r="H19" s="25">
        <v>45430.0</v>
      </c>
      <c r="I19" s="26">
        <v>692.0</v>
      </c>
      <c r="J19" s="26" t="s">
        <v>53</v>
      </c>
      <c r="K19" s="27">
        <f>IF(A19&lt;&gt;"",IF(E19="InActive","-",SUMIFS('💰 Transaction ขาย'!E:E,'💰 Transaction ขาย'!B:B,A19,'💰 Transaction ขาย'!A:A,"&gt;"&amp;'⚙️ Config'!$H$1-'⚙️ Config'!$H$2)),)</f>
        <v>0</v>
      </c>
      <c r="L19" s="28">
        <f>IF(E19="InActive","-",IF(A19&lt;&gt;"",K19/'⚙️ Config'!$H$2,))</f>
        <v>0</v>
      </c>
      <c r="M19" s="28" t="str">
        <f t="shared" si="2"/>
        <v>#DIV/0!</v>
      </c>
      <c r="N19" s="28">
        <f>IF(A19&lt;&gt;"", SUMIFS('💰 Transaction ขาย'!F:F,'💰 Transaction ขาย'!B:B,A19,'💰 Transaction ขาย'!A:A,"&gt;="&amp;DATE(YEAR('⚙️ Config'!$H$1),1,1),'💰 Transaction ขาย'!A:A,"&lt;="&amp;DATE(YEAR('⚙️ Config'!$H$1),12,31)),)</f>
        <v>0</v>
      </c>
    </row>
    <row r="20">
      <c r="A20" s="22" t="str">
        <f>IFERROR(__xludf.DUMMYFUNCTION("""COMPUTED_VALUE"""),"571 เขียวหยก")</f>
        <v>571 เขียวหยก</v>
      </c>
      <c r="B20" s="22">
        <f>IF(A20&lt;&gt;"",SUMIFS('💸 Transaction ซื้อ'!E:E,'💸 Transaction ซื้อ'!B:B,A20)-SUMIFS('💰 Transaction ขาย'!E:E,'💰 Transaction ขาย'!B:B,A20),"")</f>
        <v>-10</v>
      </c>
      <c r="C20" s="23">
        <f>IF(A20&lt;&gt;"",vlookup(A20,'📦 ชื่อสินค้า'!A:E,5,false),"")</f>
        <v>5</v>
      </c>
      <c r="D20" s="23" t="str">
        <f>IF(A20&lt;&gt;"",VLOOKUP(A20,'📦 ชื่อสินค้า'!A:F,6,false),"")</f>
        <v>รุ่นสีอ่อน</v>
      </c>
      <c r="E20" s="16" t="str">
        <f>IFERROR(IF(VLOOKUP(A20,'📦 ชื่อสินค้า'!A:G,7,false)="InActive","InActive",IF(A20&lt;&gt;"",IF(B20&lt;=0,"สินค้าหมด",IF(B20&lt;=C20,"ควรเติมทันที","OK")),"")),)</f>
        <v>สินค้าหมด</v>
      </c>
      <c r="F20" s="24" t="str">
        <f>IFERROR(IF(A20&lt;&gt;"", SUMIF('💸 Transaction ซื้อ'!B:B,A20,'💸 Transaction ซื้อ'!G:G)/SUMIF('💸 Transaction ซื้อ'!B:B,A20,'💸 Transaction ซื้อ'!E:E),""),"-")</f>
        <v>-</v>
      </c>
      <c r="G20" s="24" t="str">
        <f t="shared" si="1"/>
        <v>-</v>
      </c>
      <c r="H20" s="25">
        <v>45430.0</v>
      </c>
      <c r="I20" s="26">
        <v>692.0</v>
      </c>
      <c r="J20" s="26" t="s">
        <v>53</v>
      </c>
      <c r="K20" s="27">
        <f>IF(A20&lt;&gt;"",IF(E20="InActive","-",SUMIFS('💰 Transaction ขาย'!E:E,'💰 Transaction ขาย'!B:B,A20,'💰 Transaction ขาย'!A:A,"&gt;"&amp;'⚙️ Config'!$H$1-'⚙️ Config'!$H$2)),)</f>
        <v>0</v>
      </c>
      <c r="L20" s="28">
        <f>IF(E20="InActive","-",IF(A20&lt;&gt;"",K20/'⚙️ Config'!$H$2,))</f>
        <v>0</v>
      </c>
      <c r="M20" s="28" t="str">
        <f t="shared" si="2"/>
        <v>#DIV/0!</v>
      </c>
      <c r="N20" s="28">
        <f>IF(A20&lt;&gt;"", SUMIFS('💰 Transaction ขาย'!F:F,'💰 Transaction ขาย'!B:B,A20,'💰 Transaction ขาย'!A:A,"&gt;="&amp;DATE(YEAR('⚙️ Config'!$H$1),1,1),'💰 Transaction ขาย'!A:A,"&lt;="&amp;DATE(YEAR('⚙️ Config'!$H$1),12,31)),)</f>
        <v>0</v>
      </c>
    </row>
    <row r="21">
      <c r="A21" s="22" t="str">
        <f>IFERROR(__xludf.DUMMYFUNCTION("""COMPUTED_VALUE"""),"882 กาแฟ")</f>
        <v>882 กาแฟ</v>
      </c>
      <c r="B21" s="22">
        <f>IF(A21&lt;&gt;"",SUMIFS('💸 Transaction ซื้อ'!E:E,'💸 Transaction ซื้อ'!B:B,A21)-SUMIFS('💰 Transaction ขาย'!E:E,'💰 Transaction ขาย'!B:B,A21),"")</f>
        <v>-10</v>
      </c>
      <c r="C21" s="23">
        <f>IF(A21&lt;&gt;"",vlookup(A21,'📦 ชื่อสินค้า'!A:E,5,false),"")</f>
        <v>5</v>
      </c>
      <c r="D21" s="23" t="str">
        <f>IF(A21&lt;&gt;"",VLOOKUP(A21,'📦 ชื่อสินค้า'!A:F,6,false),"")</f>
        <v>รุ่นสีอ่อน</v>
      </c>
      <c r="E21" s="16" t="str">
        <f>IFERROR(IF(VLOOKUP(A21,'📦 ชื่อสินค้า'!A:G,7,false)="InActive","InActive",IF(A21&lt;&gt;"",IF(B21&lt;=0,"สินค้าหมด",IF(B21&lt;=C21,"ควรเติมทันที","OK")),"")),)</f>
        <v>สินค้าหมด</v>
      </c>
      <c r="F21" s="24" t="str">
        <f>IFERROR(IF(A21&lt;&gt;"", SUMIF('💸 Transaction ซื้อ'!B:B,A21,'💸 Transaction ซื้อ'!G:G)/SUMIF('💸 Transaction ซื้อ'!B:B,A21,'💸 Transaction ซื้อ'!E:E),""),"-")</f>
        <v>-</v>
      </c>
      <c r="G21" s="24" t="str">
        <f t="shared" si="1"/>
        <v>-</v>
      </c>
      <c r="H21" s="25">
        <v>45430.0</v>
      </c>
      <c r="I21" s="26">
        <v>692.0</v>
      </c>
      <c r="J21" s="26" t="s">
        <v>53</v>
      </c>
      <c r="K21" s="27">
        <f>IF(A21&lt;&gt;"",IF(E21="InActive","-",SUMIFS('💰 Transaction ขาย'!E:E,'💰 Transaction ขาย'!B:B,A21,'💰 Transaction ขาย'!A:A,"&gt;"&amp;'⚙️ Config'!$H$1-'⚙️ Config'!$H$2)),)</f>
        <v>0</v>
      </c>
      <c r="L21" s="28">
        <f>IF(E21="InActive","-",IF(A21&lt;&gt;"",K21/'⚙️ Config'!$H$2,))</f>
        <v>0</v>
      </c>
      <c r="M21" s="28" t="str">
        <f t="shared" si="2"/>
        <v>#DIV/0!</v>
      </c>
      <c r="N21" s="28">
        <f>IF(A21&lt;&gt;"", SUMIFS('💰 Transaction ขาย'!F:F,'💰 Transaction ขาย'!B:B,A21,'💰 Transaction ขาย'!A:A,"&gt;="&amp;DATE(YEAR('⚙️ Config'!$H$1),1,1),'💰 Transaction ขาย'!A:A,"&lt;="&amp;DATE(YEAR('⚙️ Config'!$H$1),12,31)),)</f>
        <v>0</v>
      </c>
    </row>
    <row r="22">
      <c r="A22" s="22" t="str">
        <f>IFERROR(__xludf.DUMMYFUNCTION("""COMPUTED_VALUE"""),"511 กรีนรีด")</f>
        <v>511 กรีนรีด</v>
      </c>
      <c r="B22" s="22">
        <f>IF(A22&lt;&gt;"",SUMIFS('💸 Transaction ซื้อ'!E:E,'💸 Transaction ซื้อ'!B:B,A22)-SUMIFS('💰 Transaction ขาย'!E:E,'💰 Transaction ขาย'!B:B,A22),"")</f>
        <v>0</v>
      </c>
      <c r="C22" s="23">
        <f>IF(A22&lt;&gt;"",vlookup(A22,'📦 ชื่อสินค้า'!A:E,5,false),"")</f>
        <v>5</v>
      </c>
      <c r="D22" s="23" t="str">
        <f>IF(A22&lt;&gt;"",VLOOKUP(A22,'📦 ชื่อสินค้า'!A:F,6,false),"")</f>
        <v>รุ่นสีอ่อน</v>
      </c>
      <c r="E22" s="16" t="str">
        <f>IFERROR(IF(VLOOKUP(A22,'📦 ชื่อสินค้า'!A:G,7,false)="InActive","InActive",IF(A22&lt;&gt;"",IF(B22&lt;=0,"สินค้าหมด",IF(B22&lt;=C22,"ควรเติมทันที","OK")),"")),)</f>
        <v>สินค้าหมด</v>
      </c>
      <c r="F22" s="24" t="str">
        <f>IFERROR(IF(A22&lt;&gt;"", SUMIF('💸 Transaction ซื้อ'!B:B,A22,'💸 Transaction ซื้อ'!G:G)/SUMIF('💸 Transaction ซื้อ'!B:B,A22,'💸 Transaction ซื้อ'!E:E),""),"-")</f>
        <v>-</v>
      </c>
      <c r="G22" s="24" t="str">
        <f t="shared" si="1"/>
        <v>-</v>
      </c>
      <c r="H22" s="25" t="s">
        <v>54</v>
      </c>
      <c r="I22" s="26" t="s">
        <v>54</v>
      </c>
      <c r="J22" s="26" t="s">
        <v>54</v>
      </c>
      <c r="K22" s="27">
        <f>IF(A22&lt;&gt;"",IF(E22="InActive","-",SUMIFS('💰 Transaction ขาย'!E:E,'💰 Transaction ขาย'!B:B,A22,'💰 Transaction ขาย'!A:A,"&gt;"&amp;'⚙️ Config'!$H$1-'⚙️ Config'!$H$2)),)</f>
        <v>0</v>
      </c>
      <c r="L22" s="28">
        <f>IF(E22="InActive","-",IF(A22&lt;&gt;"",K22/'⚙️ Config'!$H$2,))</f>
        <v>0</v>
      </c>
      <c r="M22" s="28" t="str">
        <f t="shared" si="2"/>
        <v>#DIV/0!</v>
      </c>
      <c r="N22" s="28">
        <f>IF(A22&lt;&gt;"", SUMIFS('💰 Transaction ขาย'!F:F,'💰 Transaction ขาย'!B:B,A22,'💰 Transaction ขาย'!A:A,"&gt;="&amp;DATE(YEAR('⚙️ Config'!$H$1),1,1),'💰 Transaction ขาย'!A:A,"&lt;="&amp;DATE(YEAR('⚙️ Config'!$H$1),12,31)),)</f>
        <v>0</v>
      </c>
    </row>
    <row r="23">
      <c r="A23" s="22"/>
      <c r="B23" s="22" t="str">
        <f>IF(A23&lt;&gt;"",SUMIFS('💸 Transaction ซื้อ'!E:E,'💸 Transaction ซื้อ'!B:B,A23)-SUMIFS('💰 Transaction ขาย'!E:E,'💰 Transaction ขาย'!B:B,A23),"")</f>
        <v/>
      </c>
      <c r="C23" s="23" t="str">
        <f>IF(A23&lt;&gt;"",vlookup(A23,'📦 ชื่อสินค้า'!A:E,5,false),"")</f>
        <v/>
      </c>
      <c r="D23" s="23" t="str">
        <f>IF(A23&lt;&gt;"",VLOOKUP(A23,'📦 ชื่อสินค้า'!A:F,6,false),"")</f>
        <v/>
      </c>
      <c r="E23" s="16" t="str">
        <f>IFERROR(IF(VLOOKUP(A23,'📦 ชื่อสินค้า'!A:G,7,false)="InActive","InActive",IF(A23&lt;&gt;"",IF(B23&lt;=0,"สินค้าหมด",IF(B23&lt;=C23,"ควรเติมทันที","OK")),"")),)</f>
        <v/>
      </c>
      <c r="F23" s="24" t="str">
        <f>IFERROR(IF(A23&lt;&gt;"", SUMIF('💸 Transaction ซื้อ'!B:B,A23,'💸 Transaction ซื้อ'!G:G)/SUMIF('💸 Transaction ซื้อ'!B:B,A23,'💸 Transaction ซื้อ'!E:E),""),"-")</f>
        <v/>
      </c>
      <c r="G23" s="24" t="str">
        <f t="shared" si="1"/>
        <v/>
      </c>
      <c r="H23" s="25"/>
      <c r="I23" s="26"/>
      <c r="J23" s="26"/>
      <c r="K23" s="27" t="str">
        <f>IF(A23&lt;&gt;"",IF(E23="InActive","-",SUMIFS('💰 Transaction ขาย'!E:E,'💰 Transaction ขาย'!B:B,A23,'💰 Transaction ขาย'!A:A,"&gt;"&amp;'⚙️ Config'!$H$1-'⚙️ Config'!$H$2)),)</f>
        <v/>
      </c>
      <c r="L23" s="28" t="str">
        <f>IF(E23="InActive","-",IF(A23&lt;&gt;"",K23/'⚙️ Config'!$H$2,))</f>
        <v/>
      </c>
      <c r="M23" s="28" t="str">
        <f t="shared" si="2"/>
        <v/>
      </c>
      <c r="N23" s="28" t="str">
        <f>IF(A23&lt;&gt;"", SUMIFS('💰 Transaction ขาย'!F:F,'💰 Transaction ขาย'!B:B,A23,'💰 Transaction ขาย'!A:A,"&gt;="&amp;DATE(YEAR('⚙️ Config'!$H$1),1,1),'💰 Transaction ขาย'!A:A,"&lt;="&amp;DATE(YEAR('⚙️ Config'!$H$1),12,31)),)</f>
        <v/>
      </c>
    </row>
    <row r="24">
      <c r="A24" s="22"/>
      <c r="B24" s="22" t="str">
        <f>IF(A24&lt;&gt;"",SUMIFS('💸 Transaction ซื้อ'!E:E,'💸 Transaction ซื้อ'!B:B,A24)-SUMIFS('💰 Transaction ขาย'!E:E,'💰 Transaction ขาย'!B:B,A24),"")</f>
        <v/>
      </c>
      <c r="C24" s="23" t="str">
        <f>IF(A24&lt;&gt;"",vlookup(A24,'📦 ชื่อสินค้า'!A:E,5,false),"")</f>
        <v/>
      </c>
      <c r="D24" s="23" t="str">
        <f>IF(A24&lt;&gt;"",VLOOKUP(A24,'📦 ชื่อสินค้า'!A:F,6,false),"")</f>
        <v/>
      </c>
      <c r="E24" s="16" t="str">
        <f>IFERROR(IF(VLOOKUP(A24,'📦 ชื่อสินค้า'!A:G,7,false)="InActive","InActive",IF(A24&lt;&gt;"",IF(B24&lt;=0,"สินค้าหมด",IF(B24&lt;=C24,"ควรเติมทันที","OK")),"")),)</f>
        <v/>
      </c>
      <c r="F24" s="24" t="str">
        <f>IFERROR(IF(A24&lt;&gt;"", SUMIF('💸 Transaction ซื้อ'!B:B,A24,'💸 Transaction ซื้อ'!G:G)/SUMIF('💸 Transaction ซื้อ'!B:B,A24,'💸 Transaction ซื้อ'!E:E),""),"-")</f>
        <v/>
      </c>
      <c r="G24" s="24" t="str">
        <f t="shared" si="1"/>
        <v/>
      </c>
      <c r="H24" s="25"/>
      <c r="I24" s="26"/>
      <c r="J24" s="26"/>
      <c r="K24" s="27" t="str">
        <f>IF(A24&lt;&gt;"",IF(E24="InActive","-",SUMIFS('💰 Transaction ขาย'!E:E,'💰 Transaction ขาย'!B:B,A24,'💰 Transaction ขาย'!A:A,"&gt;"&amp;'⚙️ Config'!$H$1-'⚙️ Config'!$H$2)),)</f>
        <v/>
      </c>
      <c r="L24" s="28" t="str">
        <f>IF(E24="InActive","-",IF(A24&lt;&gt;"",K24/'⚙️ Config'!$H$2,))</f>
        <v/>
      </c>
      <c r="M24" s="28" t="str">
        <f t="shared" si="2"/>
        <v/>
      </c>
      <c r="N24" s="28" t="str">
        <f>IF(A24&lt;&gt;"", SUMIFS('💰 Transaction ขาย'!F:F,'💰 Transaction ขาย'!B:B,A24,'💰 Transaction ขาย'!A:A,"&gt;="&amp;DATE(YEAR('⚙️ Config'!$H$1),1,1),'💰 Transaction ขาย'!A:A,"&lt;="&amp;DATE(YEAR('⚙️ Config'!$H$1),12,31)),)</f>
        <v/>
      </c>
    </row>
    <row r="25">
      <c r="A25" s="22"/>
      <c r="B25" s="22" t="str">
        <f>IF(A25&lt;&gt;"",SUMIFS('💸 Transaction ซื้อ'!E:E,'💸 Transaction ซื้อ'!B:B,A25)-SUMIFS('💰 Transaction ขาย'!E:E,'💰 Transaction ขาย'!B:B,A25),"")</f>
        <v/>
      </c>
      <c r="C25" s="23" t="str">
        <f>IF(A25&lt;&gt;"",vlookup(A25,'📦 ชื่อสินค้า'!A:E,5,false),"")</f>
        <v/>
      </c>
      <c r="D25" s="23" t="str">
        <f>IF(A25&lt;&gt;"",VLOOKUP(A25,'📦 ชื่อสินค้า'!A:F,6,false),"")</f>
        <v/>
      </c>
      <c r="E25" s="16" t="str">
        <f>IFERROR(IF(VLOOKUP(A25,'📦 ชื่อสินค้า'!A:G,7,false)="InActive","InActive",IF(A25&lt;&gt;"",IF(B25&lt;=0,"สินค้าหมด",IF(B25&lt;=C25,"ควรเติมทันที","OK")),"")),)</f>
        <v/>
      </c>
      <c r="F25" s="24" t="str">
        <f>IFERROR(IF(A25&lt;&gt;"", SUMIF('💸 Transaction ซื้อ'!B:B,A25,'💸 Transaction ซื้อ'!G:G)/SUMIF('💸 Transaction ซื้อ'!B:B,A25,'💸 Transaction ซื้อ'!E:E),""),"-")</f>
        <v/>
      </c>
      <c r="G25" s="24" t="str">
        <f t="shared" si="1"/>
        <v/>
      </c>
      <c r="H25" s="25"/>
      <c r="I25" s="26"/>
      <c r="J25" s="26"/>
      <c r="K25" s="27" t="str">
        <f>IF(A25&lt;&gt;"",IF(E25="InActive","-",SUMIFS('💰 Transaction ขาย'!E:E,'💰 Transaction ขาย'!B:B,A25,'💰 Transaction ขาย'!A:A,"&gt;"&amp;'⚙️ Config'!$H$1-'⚙️ Config'!$H$2)),)</f>
        <v/>
      </c>
      <c r="L25" s="28" t="str">
        <f>IF(E25="InActive","-",IF(A25&lt;&gt;"",K25/'⚙️ Config'!$H$2,))</f>
        <v/>
      </c>
      <c r="M25" s="28" t="str">
        <f t="shared" si="2"/>
        <v/>
      </c>
      <c r="N25" s="28" t="str">
        <f>IF(A25&lt;&gt;"", SUMIFS('💰 Transaction ขาย'!F:F,'💰 Transaction ขาย'!B:B,A25,'💰 Transaction ขาย'!A:A,"&gt;="&amp;DATE(YEAR('⚙️ Config'!$H$1),1,1),'💰 Transaction ขาย'!A:A,"&lt;="&amp;DATE(YEAR('⚙️ Config'!$H$1),12,31)),)</f>
        <v/>
      </c>
    </row>
    <row r="26">
      <c r="A26" s="22"/>
      <c r="B26" s="22" t="str">
        <f>IF(A26&lt;&gt;"",SUMIFS('💸 Transaction ซื้อ'!E:E,'💸 Transaction ซื้อ'!B:B,A26)-SUMIFS('💰 Transaction ขาย'!E:E,'💰 Transaction ขาย'!B:B,A26),"")</f>
        <v/>
      </c>
      <c r="C26" s="23" t="str">
        <f>IF(A26&lt;&gt;"",vlookup(A26,'📦 ชื่อสินค้า'!A:E,5,false),"")</f>
        <v/>
      </c>
      <c r="D26" s="23" t="str">
        <f>IF(A26&lt;&gt;"",VLOOKUP(A26,'📦 ชื่อสินค้า'!A:F,6,false),"")</f>
        <v/>
      </c>
      <c r="E26" s="16" t="str">
        <f>IFERROR(IF(VLOOKUP(A26,'📦 ชื่อสินค้า'!A:G,7,false)="InActive","InActive",IF(A26&lt;&gt;"",IF(B26&lt;=0,"สินค้าหมด",IF(B26&lt;=C26,"ควรเติมทันที","OK")),"")),)</f>
        <v/>
      </c>
      <c r="F26" s="24" t="str">
        <f>IFERROR(IF(A26&lt;&gt;"", SUMIF('💸 Transaction ซื้อ'!B:B,A26,'💸 Transaction ซื้อ'!G:G)/SUMIF('💸 Transaction ซื้อ'!B:B,A26,'💸 Transaction ซื้อ'!E:E),""),"-")</f>
        <v/>
      </c>
      <c r="G26" s="24" t="str">
        <f t="shared" si="1"/>
        <v/>
      </c>
      <c r="H26" s="25"/>
      <c r="I26" s="26"/>
      <c r="J26" s="26"/>
      <c r="K26" s="27" t="str">
        <f>IF(A26&lt;&gt;"",IF(E26="InActive","-",SUMIFS('💰 Transaction ขาย'!E:E,'💰 Transaction ขาย'!B:B,A26,'💰 Transaction ขาย'!A:A,"&gt;"&amp;'⚙️ Config'!$H$1-'⚙️ Config'!$H$2)),)</f>
        <v/>
      </c>
      <c r="L26" s="28" t="str">
        <f>IF(E26="InActive","-",IF(A26&lt;&gt;"",K26/'⚙️ Config'!$H$2,))</f>
        <v/>
      </c>
      <c r="M26" s="28" t="str">
        <f t="shared" si="2"/>
        <v/>
      </c>
      <c r="N26" s="28" t="str">
        <f>IF(A26&lt;&gt;"", SUMIFS('💰 Transaction ขาย'!F:F,'💰 Transaction ขาย'!B:B,A26,'💰 Transaction ขาย'!A:A,"&gt;="&amp;DATE(YEAR('⚙️ Config'!$H$1),1,1),'💰 Transaction ขาย'!A:A,"&lt;="&amp;DATE(YEAR('⚙️ Config'!$H$1),12,31)),)</f>
        <v/>
      </c>
    </row>
    <row r="27">
      <c r="A27" s="22"/>
      <c r="B27" s="22" t="str">
        <f>IF(A27&lt;&gt;"",SUMIFS('💸 Transaction ซื้อ'!E:E,'💸 Transaction ซื้อ'!B:B,A27)-SUMIFS('💰 Transaction ขาย'!E:E,'💰 Transaction ขาย'!B:B,A27),"")</f>
        <v/>
      </c>
      <c r="C27" s="23" t="str">
        <f>IF(A27&lt;&gt;"",vlookup(A27,'📦 ชื่อสินค้า'!A:E,5,false),"")</f>
        <v/>
      </c>
      <c r="D27" s="23" t="str">
        <f>IF(A27&lt;&gt;"",VLOOKUP(A27,'📦 ชื่อสินค้า'!A:F,6,false),"")</f>
        <v/>
      </c>
      <c r="E27" s="16" t="str">
        <f>IFERROR(IF(VLOOKUP(A27,'📦 ชื่อสินค้า'!A:G,7,false)="InActive","InActive",IF(A27&lt;&gt;"",IF(B27&lt;=0,"สินค้าหมด",IF(B27&lt;=C27,"ควรเติมทันที","OK")),"")),)</f>
        <v/>
      </c>
      <c r="F27" s="24" t="str">
        <f>IFERROR(IF(A27&lt;&gt;"", SUMIF('💸 Transaction ซื้อ'!B:B,A27,'💸 Transaction ซื้อ'!G:G)/SUMIF('💸 Transaction ซื้อ'!B:B,A27,'💸 Transaction ซื้อ'!E:E),""),"-")</f>
        <v/>
      </c>
      <c r="G27" s="24" t="str">
        <f t="shared" si="1"/>
        <v/>
      </c>
      <c r="H27" s="25"/>
      <c r="I27" s="26"/>
      <c r="J27" s="26"/>
      <c r="K27" s="27" t="str">
        <f>IF(A27&lt;&gt;"",IF(E27="InActive","-",SUMIFS('💰 Transaction ขาย'!E:E,'💰 Transaction ขาย'!B:B,A27,'💰 Transaction ขาย'!A:A,"&gt;"&amp;'⚙️ Config'!$H$1-'⚙️ Config'!$H$2)),)</f>
        <v/>
      </c>
      <c r="L27" s="28" t="str">
        <f>IF(E27="InActive","-",IF(A27&lt;&gt;"",K27/'⚙️ Config'!$H$2,))</f>
        <v/>
      </c>
      <c r="M27" s="28" t="str">
        <f t="shared" si="2"/>
        <v/>
      </c>
      <c r="N27" s="28" t="str">
        <f>IF(A27&lt;&gt;"", SUMIFS('💰 Transaction ขาย'!F:F,'💰 Transaction ขาย'!B:B,A27,'💰 Transaction ขาย'!A:A,"&gt;="&amp;DATE(YEAR('⚙️ Config'!$H$1),1,1),'💰 Transaction ขาย'!A:A,"&lt;="&amp;DATE(YEAR('⚙️ Config'!$H$1),12,31)),)</f>
        <v/>
      </c>
    </row>
    <row r="28">
      <c r="A28" s="22"/>
      <c r="B28" s="22" t="str">
        <f>IF(A28&lt;&gt;"",SUMIFS('💸 Transaction ซื้อ'!E:E,'💸 Transaction ซื้อ'!B:B,A28)-SUMIFS('💰 Transaction ขาย'!E:E,'💰 Transaction ขาย'!B:B,A28),"")</f>
        <v/>
      </c>
      <c r="C28" s="23" t="str">
        <f>IF(A28&lt;&gt;"",vlookup(A28,'📦 ชื่อสินค้า'!A:E,5,false),"")</f>
        <v/>
      </c>
      <c r="D28" s="23" t="str">
        <f>IF(A28&lt;&gt;"",VLOOKUP(A28,'📦 ชื่อสินค้า'!A:F,6,false),"")</f>
        <v/>
      </c>
      <c r="E28" s="16" t="str">
        <f>IFERROR(IF(VLOOKUP(A28,'📦 ชื่อสินค้า'!A:G,7,false)="InActive","InActive",IF(A28&lt;&gt;"",IF(B28&lt;=0,"สินค้าหมด",IF(B28&lt;=C28,"ควรเติมทันที","OK")),"")),)</f>
        <v/>
      </c>
      <c r="F28" s="24" t="str">
        <f>IFERROR(IF(A28&lt;&gt;"", SUMIF('💸 Transaction ซื้อ'!B:B,A28,'💸 Transaction ซื้อ'!G:G)/SUMIF('💸 Transaction ซื้อ'!B:B,A28,'💸 Transaction ซื้อ'!E:E),""),"-")</f>
        <v/>
      </c>
      <c r="G28" s="24" t="str">
        <f t="shared" si="1"/>
        <v/>
      </c>
      <c r="H28" s="25"/>
      <c r="I28" s="26"/>
      <c r="J28" s="26"/>
      <c r="K28" s="27" t="str">
        <f>IF(A28&lt;&gt;"",IF(E28="InActive","-",SUMIFS('💰 Transaction ขาย'!E:E,'💰 Transaction ขาย'!B:B,A28,'💰 Transaction ขาย'!A:A,"&gt;"&amp;'⚙️ Config'!$H$1-'⚙️ Config'!$H$2)),)</f>
        <v/>
      </c>
      <c r="L28" s="28" t="str">
        <f>IF(E28="InActive","-",IF(A28&lt;&gt;"",K28/'⚙️ Config'!$H$2,))</f>
        <v/>
      </c>
      <c r="M28" s="28" t="str">
        <f t="shared" si="2"/>
        <v/>
      </c>
      <c r="N28" s="28" t="str">
        <f>IF(A28&lt;&gt;"", SUMIFS('💰 Transaction ขาย'!F:F,'💰 Transaction ขาย'!B:B,A28,'💰 Transaction ขาย'!A:A,"&gt;="&amp;DATE(YEAR('⚙️ Config'!$H$1),1,1),'💰 Transaction ขาย'!A:A,"&lt;="&amp;DATE(YEAR('⚙️ Config'!$H$1),12,31)),)</f>
        <v/>
      </c>
    </row>
    <row r="29">
      <c r="A29" s="22"/>
      <c r="B29" s="22" t="str">
        <f>IF(A29&lt;&gt;"",SUMIFS('💸 Transaction ซื้อ'!E:E,'💸 Transaction ซื้อ'!B:B,A29)-SUMIFS('💰 Transaction ขาย'!E:E,'💰 Transaction ขาย'!B:B,A29),"")</f>
        <v/>
      </c>
      <c r="C29" s="23" t="str">
        <f>IF(A29&lt;&gt;"",vlookup(A29,'📦 ชื่อสินค้า'!A:E,5,false),"")</f>
        <v/>
      </c>
      <c r="D29" s="23" t="str">
        <f>IF(A29&lt;&gt;"",VLOOKUP(A29,'📦 ชื่อสินค้า'!A:F,6,false),"")</f>
        <v/>
      </c>
      <c r="E29" s="16" t="str">
        <f>IFERROR(IF(VLOOKUP(A29,'📦 ชื่อสินค้า'!A:G,7,false)="InActive","InActive",IF(A29&lt;&gt;"",IF(B29&lt;=0,"สินค้าหมด",IF(B29&lt;=C29,"ควรเติมทันที","OK")),"")),)</f>
        <v/>
      </c>
      <c r="F29" s="24" t="str">
        <f>IFERROR(IF(A29&lt;&gt;"", SUMIF('💸 Transaction ซื้อ'!B:B,A29,'💸 Transaction ซื้อ'!G:G)/SUMIF('💸 Transaction ซื้อ'!B:B,A29,'💸 Transaction ซื้อ'!E:E),""),"-")</f>
        <v/>
      </c>
      <c r="G29" s="24" t="str">
        <f t="shared" si="1"/>
        <v/>
      </c>
      <c r="H29" s="25"/>
      <c r="I29" s="26"/>
      <c r="J29" s="26"/>
      <c r="K29" s="27" t="str">
        <f>IF(A29&lt;&gt;"",IF(E29="InActive","-",SUMIFS('💰 Transaction ขาย'!E:E,'💰 Transaction ขาย'!B:B,A29,'💰 Transaction ขาย'!A:A,"&gt;"&amp;'⚙️ Config'!$H$1-'⚙️ Config'!$H$2)),)</f>
        <v/>
      </c>
      <c r="L29" s="28" t="str">
        <f>IF(E29="InActive","-",IF(A29&lt;&gt;"",K29/'⚙️ Config'!$H$2,))</f>
        <v/>
      </c>
      <c r="M29" s="28" t="str">
        <f t="shared" si="2"/>
        <v/>
      </c>
      <c r="N29" s="28" t="str">
        <f>IF(A29&lt;&gt;"", SUMIFS('💰 Transaction ขาย'!F:F,'💰 Transaction ขาย'!B:B,A29,'💰 Transaction ขาย'!A:A,"&gt;="&amp;DATE(YEAR('⚙️ Config'!$H$1),1,1),'💰 Transaction ขาย'!A:A,"&lt;="&amp;DATE(YEAR('⚙️ Config'!$H$1),12,31)),)</f>
        <v/>
      </c>
    </row>
    <row r="30">
      <c r="A30" s="22"/>
      <c r="B30" s="22" t="str">
        <f>IF(A30&lt;&gt;"",SUMIFS('💸 Transaction ซื้อ'!E:E,'💸 Transaction ซื้อ'!B:B,A30)-SUMIFS('💰 Transaction ขาย'!E:E,'💰 Transaction ขาย'!B:B,A30),"")</f>
        <v/>
      </c>
      <c r="C30" s="23" t="str">
        <f>IF(A30&lt;&gt;"",vlookup(A30,'📦 ชื่อสินค้า'!A:E,5,false),"")</f>
        <v/>
      </c>
      <c r="D30" s="23" t="str">
        <f>IF(A30&lt;&gt;"",VLOOKUP(A30,'📦 ชื่อสินค้า'!A:F,6,false),"")</f>
        <v/>
      </c>
      <c r="E30" s="16" t="str">
        <f>IFERROR(IF(VLOOKUP(A30,'📦 ชื่อสินค้า'!A:G,7,false)="InActive","InActive",IF(A30&lt;&gt;"",IF(B30&lt;=0,"สินค้าหมด",IF(B30&lt;=C30,"ควรเติมทันที","OK")),"")),)</f>
        <v/>
      </c>
      <c r="F30" s="24" t="str">
        <f>IFERROR(IF(A30&lt;&gt;"", SUMIF('💸 Transaction ซื้อ'!B:B,A30,'💸 Transaction ซื้อ'!G:G)/SUMIF('💸 Transaction ซื้อ'!B:B,A30,'💸 Transaction ซื้อ'!E:E),""),"-")</f>
        <v/>
      </c>
      <c r="G30" s="24" t="str">
        <f t="shared" si="1"/>
        <v/>
      </c>
      <c r="H30" s="25"/>
      <c r="I30" s="26"/>
      <c r="J30" s="26"/>
      <c r="K30" s="27" t="str">
        <f>IF(A30&lt;&gt;"",IF(E30="InActive","-",SUMIFS('💰 Transaction ขาย'!E:E,'💰 Transaction ขาย'!B:B,A30,'💰 Transaction ขาย'!A:A,"&gt;"&amp;'⚙️ Config'!$H$1-'⚙️ Config'!$H$2)),)</f>
        <v/>
      </c>
      <c r="L30" s="28" t="str">
        <f>IF(E30="InActive","-",IF(A30&lt;&gt;"",K30/'⚙️ Config'!$H$2,))</f>
        <v/>
      </c>
      <c r="M30" s="28" t="str">
        <f t="shared" si="2"/>
        <v/>
      </c>
      <c r="N30" s="28" t="str">
        <f>IF(A30&lt;&gt;"", SUMIFS('💰 Transaction ขาย'!F:F,'💰 Transaction ขาย'!B:B,A30,'💰 Transaction ขาย'!A:A,"&gt;="&amp;DATE(YEAR('⚙️ Config'!$H$1),1,1),'💰 Transaction ขาย'!A:A,"&lt;="&amp;DATE(YEAR('⚙️ Config'!$H$1),12,31)),)</f>
        <v/>
      </c>
    </row>
    <row r="31">
      <c r="A31" s="22"/>
      <c r="B31" s="22" t="str">
        <f>IF(A31&lt;&gt;"",SUMIFS('💸 Transaction ซื้อ'!E:E,'💸 Transaction ซื้อ'!B:B,A31)-SUMIFS('💰 Transaction ขาย'!E:E,'💰 Transaction ขาย'!B:B,A31),"")</f>
        <v/>
      </c>
      <c r="C31" s="23" t="str">
        <f>IF(A31&lt;&gt;"",vlookup(A31,'📦 ชื่อสินค้า'!A:E,5,false),"")</f>
        <v/>
      </c>
      <c r="D31" s="23" t="str">
        <f>IF(A31&lt;&gt;"",VLOOKUP(A31,'📦 ชื่อสินค้า'!A:F,6,false),"")</f>
        <v/>
      </c>
      <c r="E31" s="16" t="str">
        <f>IFERROR(IF(VLOOKUP(A31,'📦 ชื่อสินค้า'!A:G,7,false)="InActive","InActive",IF(A31&lt;&gt;"",IF(B31&lt;=0,"สินค้าหมด",IF(B31&lt;=C31,"ควรเติมทันที","OK")),"")),)</f>
        <v/>
      </c>
      <c r="F31" s="24" t="str">
        <f>IFERROR(IF(A31&lt;&gt;"", SUMIF('💸 Transaction ซื้อ'!B:B,A31,'💸 Transaction ซื้อ'!G:G)/SUMIF('💸 Transaction ซื้อ'!B:B,A31,'💸 Transaction ซื้อ'!E:E),""),"-")</f>
        <v/>
      </c>
      <c r="G31" s="24" t="str">
        <f t="shared" si="1"/>
        <v/>
      </c>
      <c r="H31" s="25"/>
      <c r="I31" s="26"/>
      <c r="J31" s="26"/>
      <c r="K31" s="27" t="str">
        <f>IF(A31&lt;&gt;"",IF(E31="InActive","-",SUMIFS('💰 Transaction ขาย'!E:E,'💰 Transaction ขาย'!B:B,A31,'💰 Transaction ขาย'!A:A,"&gt;"&amp;'⚙️ Config'!$H$1-'⚙️ Config'!$H$2)),)</f>
        <v/>
      </c>
      <c r="L31" s="28" t="str">
        <f>IF(E31="InActive","-",IF(A31&lt;&gt;"",K31/'⚙️ Config'!$H$2,))</f>
        <v/>
      </c>
      <c r="M31" s="28" t="str">
        <f t="shared" si="2"/>
        <v/>
      </c>
      <c r="N31" s="28" t="str">
        <f>IF(A31&lt;&gt;"", SUMIFS('💰 Transaction ขาย'!F:F,'💰 Transaction ขาย'!B:B,A31,'💰 Transaction ขาย'!A:A,"&gt;="&amp;DATE(YEAR('⚙️ Config'!$H$1),1,1),'💰 Transaction ขาย'!A:A,"&lt;="&amp;DATE(YEAR('⚙️ Config'!$H$1),12,31)),)</f>
        <v/>
      </c>
    </row>
    <row r="32">
      <c r="A32" s="22"/>
      <c r="B32" s="22" t="str">
        <f>IF(A32&lt;&gt;"",SUMIFS('💸 Transaction ซื้อ'!E:E,'💸 Transaction ซื้อ'!B:B,A32)-SUMIFS('💰 Transaction ขาย'!E:E,'💰 Transaction ขาย'!B:B,A32),"")</f>
        <v/>
      </c>
      <c r="C32" s="23" t="str">
        <f>IF(A32&lt;&gt;"",vlookup(A32,'📦 ชื่อสินค้า'!A:E,5,false),"")</f>
        <v/>
      </c>
      <c r="D32" s="23" t="str">
        <f>IF(A32&lt;&gt;"",VLOOKUP(A32,'📦 ชื่อสินค้า'!A:F,6,false),"")</f>
        <v/>
      </c>
      <c r="E32" s="16" t="str">
        <f>IFERROR(IF(VLOOKUP(A32,'📦 ชื่อสินค้า'!A:G,7,false)="InActive","InActive",IF(A32&lt;&gt;"",IF(B32&lt;=0,"สินค้าหมด",IF(B32&lt;=C32,"ควรเติมทันที","OK")),"")),)</f>
        <v/>
      </c>
      <c r="F32" s="24" t="str">
        <f>IFERROR(IF(A32&lt;&gt;"", SUMIF('💸 Transaction ซื้อ'!B:B,A32,'💸 Transaction ซื้อ'!G:G)/SUMIF('💸 Transaction ซื้อ'!B:B,A32,'💸 Transaction ซื้อ'!E:E),""),"-")</f>
        <v/>
      </c>
      <c r="G32" s="24" t="str">
        <f t="shared" si="1"/>
        <v/>
      </c>
      <c r="H32" s="25"/>
      <c r="I32" s="26"/>
      <c r="J32" s="26"/>
      <c r="K32" s="27" t="str">
        <f>IF(A32&lt;&gt;"",IF(E32="InActive","-",SUMIFS('💰 Transaction ขาย'!E:E,'💰 Transaction ขาย'!B:B,A32,'💰 Transaction ขาย'!A:A,"&gt;"&amp;'⚙️ Config'!$H$1-'⚙️ Config'!$H$2)),)</f>
        <v/>
      </c>
      <c r="L32" s="28" t="str">
        <f>IF(E32="InActive","-",IF(A32&lt;&gt;"",K32/'⚙️ Config'!$H$2,))</f>
        <v/>
      </c>
      <c r="M32" s="28" t="str">
        <f t="shared" si="2"/>
        <v/>
      </c>
      <c r="N32" s="28" t="str">
        <f>IF(A32&lt;&gt;"", SUMIFS('💰 Transaction ขาย'!F:F,'💰 Transaction ขาย'!B:B,A32,'💰 Transaction ขาย'!A:A,"&gt;="&amp;DATE(YEAR('⚙️ Config'!$H$1),1,1),'💰 Transaction ขาย'!A:A,"&lt;="&amp;DATE(YEAR('⚙️ Config'!$H$1),12,31)),)</f>
        <v/>
      </c>
    </row>
    <row r="33">
      <c r="A33" s="22"/>
      <c r="B33" s="22" t="str">
        <f>IF(A33&lt;&gt;"",SUMIFS('💸 Transaction ซื้อ'!E:E,'💸 Transaction ซื้อ'!B:B,A33)-SUMIFS('💰 Transaction ขาย'!E:E,'💰 Transaction ขาย'!B:B,A33),"")</f>
        <v/>
      </c>
      <c r="C33" s="23" t="str">
        <f>IF(A33&lt;&gt;"",vlookup(A33,'📦 ชื่อสินค้า'!A:E,5,false),"")</f>
        <v/>
      </c>
      <c r="D33" s="23" t="str">
        <f>IF(A33&lt;&gt;"",VLOOKUP(A33,'📦 ชื่อสินค้า'!A:F,6,false),"")</f>
        <v/>
      </c>
      <c r="E33" s="16" t="str">
        <f>IFERROR(IF(VLOOKUP(A33,'📦 ชื่อสินค้า'!A:G,7,false)="InActive","InActive",IF(A33&lt;&gt;"",IF(B33&lt;=0,"สินค้าหมด",IF(B33&lt;=C33,"ควรเติมทันที","OK")),"")),)</f>
        <v/>
      </c>
      <c r="F33" s="24" t="str">
        <f>IFERROR(IF(A33&lt;&gt;"", SUMIF('💸 Transaction ซื้อ'!B:B,A33,'💸 Transaction ซื้อ'!G:G)/SUMIF('💸 Transaction ซื้อ'!B:B,A33,'💸 Transaction ซื้อ'!E:E),""),"-")</f>
        <v/>
      </c>
      <c r="G33" s="24" t="str">
        <f t="shared" si="1"/>
        <v/>
      </c>
      <c r="H33" s="25"/>
      <c r="I33" s="26"/>
      <c r="J33" s="26"/>
      <c r="K33" s="27" t="str">
        <f>IF(A33&lt;&gt;"",IF(E33="InActive","-",SUMIFS('💰 Transaction ขาย'!E:E,'💰 Transaction ขาย'!B:B,A33,'💰 Transaction ขาย'!A:A,"&gt;"&amp;'⚙️ Config'!$H$1-'⚙️ Config'!$H$2)),)</f>
        <v/>
      </c>
      <c r="L33" s="28" t="str">
        <f>IF(E33="InActive","-",IF(A33&lt;&gt;"",K33/'⚙️ Config'!$H$2,))</f>
        <v/>
      </c>
      <c r="M33" s="28" t="str">
        <f t="shared" si="2"/>
        <v/>
      </c>
      <c r="N33" s="28" t="str">
        <f>IF(A33&lt;&gt;"", SUMIFS('💰 Transaction ขาย'!F:F,'💰 Transaction ขาย'!B:B,A33,'💰 Transaction ขาย'!A:A,"&gt;="&amp;DATE(YEAR('⚙️ Config'!$H$1),1,1),'💰 Transaction ขาย'!A:A,"&lt;="&amp;DATE(YEAR('⚙️ Config'!$H$1),12,31)),)</f>
        <v/>
      </c>
    </row>
    <row r="34">
      <c r="A34" s="22"/>
      <c r="B34" s="22" t="str">
        <f>IF(A34&lt;&gt;"",SUMIFS('💸 Transaction ซื้อ'!E:E,'💸 Transaction ซื้อ'!B:B,A34)-SUMIFS('💰 Transaction ขาย'!E:E,'💰 Transaction ขาย'!B:B,A34),"")</f>
        <v/>
      </c>
      <c r="C34" s="23" t="str">
        <f>IF(A34&lt;&gt;"",vlookup(A34,'📦 ชื่อสินค้า'!A:E,5,false),"")</f>
        <v/>
      </c>
      <c r="D34" s="23" t="str">
        <f>IF(A34&lt;&gt;"",VLOOKUP(A34,'📦 ชื่อสินค้า'!A:F,6,false),"")</f>
        <v/>
      </c>
      <c r="E34" s="16" t="str">
        <f>IFERROR(IF(VLOOKUP(A34,'📦 ชื่อสินค้า'!A:G,7,false)="InActive","InActive",IF(A34&lt;&gt;"",IF(B34&lt;=0,"สินค้าหมด",IF(B34&lt;=C34,"ควรเติมทันที","OK")),"")),)</f>
        <v/>
      </c>
      <c r="F34" s="24" t="str">
        <f>IFERROR(IF(A34&lt;&gt;"", SUMIF('💸 Transaction ซื้อ'!B:B,A34,'💸 Transaction ซื้อ'!G:G)/SUMIF('💸 Transaction ซื้อ'!B:B,A34,'💸 Transaction ซื้อ'!E:E),""),"-")</f>
        <v/>
      </c>
      <c r="G34" s="24" t="str">
        <f t="shared" si="1"/>
        <v/>
      </c>
      <c r="H34" s="25"/>
      <c r="I34" s="26"/>
      <c r="J34" s="26"/>
      <c r="K34" s="27" t="str">
        <f>IF(A34&lt;&gt;"",IF(E34="InActive","-",SUMIFS('💰 Transaction ขาย'!E:E,'💰 Transaction ขาย'!B:B,A34,'💰 Transaction ขาย'!A:A,"&gt;"&amp;'⚙️ Config'!$H$1-'⚙️ Config'!$H$2)),)</f>
        <v/>
      </c>
      <c r="L34" s="28" t="str">
        <f>IF(E34="InActive","-",IF(A34&lt;&gt;"",K34/'⚙️ Config'!$H$2,))</f>
        <v/>
      </c>
      <c r="M34" s="28" t="str">
        <f t="shared" si="2"/>
        <v/>
      </c>
      <c r="N34" s="28" t="str">
        <f>IF(A34&lt;&gt;"", SUMIFS('💰 Transaction ขาย'!F:F,'💰 Transaction ขาย'!B:B,A34,'💰 Transaction ขาย'!A:A,"&gt;="&amp;DATE(YEAR('⚙️ Config'!$H$1),1,1),'💰 Transaction ขาย'!A:A,"&lt;="&amp;DATE(YEAR('⚙️ Config'!$H$1),12,31)),)</f>
        <v/>
      </c>
    </row>
    <row r="35">
      <c r="A35" s="22"/>
      <c r="B35" s="22" t="str">
        <f>IF(A35&lt;&gt;"",SUMIFS('💸 Transaction ซื้อ'!E:E,'💸 Transaction ซื้อ'!B:B,A35)-SUMIFS('💰 Transaction ขาย'!E:E,'💰 Transaction ขาย'!B:B,A35),"")</f>
        <v/>
      </c>
      <c r="C35" s="23" t="str">
        <f>IF(A35&lt;&gt;"",vlookup(A35,'📦 ชื่อสินค้า'!A:E,5,false),"")</f>
        <v/>
      </c>
      <c r="D35" s="23" t="str">
        <f>IF(A35&lt;&gt;"",VLOOKUP(A35,'📦 ชื่อสินค้า'!A:F,6,false),"")</f>
        <v/>
      </c>
      <c r="E35" s="16" t="str">
        <f>IFERROR(IF(VLOOKUP(A35,'📦 ชื่อสินค้า'!A:G,7,false)="InActive","InActive",IF(A35&lt;&gt;"",IF(B35&lt;=0,"สินค้าหมด",IF(B35&lt;=C35,"ควรเติมทันที","OK")),"")),)</f>
        <v/>
      </c>
      <c r="F35" s="24" t="str">
        <f>IFERROR(IF(A35&lt;&gt;"", SUMIF('💸 Transaction ซื้อ'!B:B,A35,'💸 Transaction ซื้อ'!G:G)/SUMIF('💸 Transaction ซื้อ'!B:B,A35,'💸 Transaction ซื้อ'!E:E),""),"-")</f>
        <v/>
      </c>
      <c r="G35" s="24" t="str">
        <f t="shared" si="1"/>
        <v/>
      </c>
      <c r="H35" s="25"/>
      <c r="I35" s="26"/>
      <c r="J35" s="26"/>
      <c r="K35" s="27" t="str">
        <f>IF(A35&lt;&gt;"",IF(E35="InActive","-",SUMIFS('💰 Transaction ขาย'!E:E,'💰 Transaction ขาย'!B:B,A35,'💰 Transaction ขาย'!A:A,"&gt;"&amp;'⚙️ Config'!$H$1-'⚙️ Config'!$H$2)),)</f>
        <v/>
      </c>
      <c r="L35" s="28" t="str">
        <f>IF(E35="InActive","-",IF(A35&lt;&gt;"",K35/'⚙️ Config'!$H$2,))</f>
        <v/>
      </c>
      <c r="M35" s="28" t="str">
        <f t="shared" si="2"/>
        <v/>
      </c>
      <c r="N35" s="28" t="str">
        <f>IF(A35&lt;&gt;"", SUMIFS('💰 Transaction ขาย'!F:F,'💰 Transaction ขาย'!B:B,A35,'💰 Transaction ขาย'!A:A,"&gt;="&amp;DATE(YEAR('⚙️ Config'!$H$1),1,1),'💰 Transaction ขาย'!A:A,"&lt;="&amp;DATE(YEAR('⚙️ Config'!$H$1),12,31)),)</f>
        <v/>
      </c>
    </row>
    <row r="36">
      <c r="A36" s="22"/>
      <c r="B36" s="22" t="str">
        <f>IF(A36&lt;&gt;"",SUMIFS('💸 Transaction ซื้อ'!E:E,'💸 Transaction ซื้อ'!B:B,A36)-SUMIFS('💰 Transaction ขาย'!E:E,'💰 Transaction ขาย'!B:B,A36),"")</f>
        <v/>
      </c>
      <c r="C36" s="23" t="str">
        <f>IF(A36&lt;&gt;"",vlookup(A36,'📦 ชื่อสินค้า'!A:E,5,false),"")</f>
        <v/>
      </c>
      <c r="D36" s="23" t="str">
        <f>IF(A36&lt;&gt;"",VLOOKUP(A36,'📦 ชื่อสินค้า'!A:F,6,false),"")</f>
        <v/>
      </c>
      <c r="E36" s="16" t="str">
        <f>IFERROR(IF(VLOOKUP(A36,'📦 ชื่อสินค้า'!A:G,7,false)="InActive","InActive",IF(A36&lt;&gt;"",IF(B36&lt;=0,"สินค้าหมด",IF(B36&lt;=C36,"ควรเติมทันที","OK")),"")),)</f>
        <v/>
      </c>
      <c r="F36" s="24" t="str">
        <f>IFERROR(IF(A36&lt;&gt;"", SUMIF('💸 Transaction ซื้อ'!B:B,A36,'💸 Transaction ซื้อ'!G:G)/SUMIF('💸 Transaction ซื้อ'!B:B,A36,'💸 Transaction ซื้อ'!E:E),""),"-")</f>
        <v/>
      </c>
      <c r="G36" s="24" t="str">
        <f t="shared" si="1"/>
        <v/>
      </c>
      <c r="H36" s="25"/>
      <c r="I36" s="26"/>
      <c r="J36" s="26"/>
      <c r="K36" s="27" t="str">
        <f>IF(A36&lt;&gt;"",IF(E36="InActive","-",SUMIFS('💰 Transaction ขาย'!E:E,'💰 Transaction ขาย'!B:B,A36,'💰 Transaction ขาย'!A:A,"&gt;"&amp;'⚙️ Config'!$H$1-'⚙️ Config'!$H$2)),)</f>
        <v/>
      </c>
      <c r="L36" s="28" t="str">
        <f>IF(E36="InActive","-",IF(A36&lt;&gt;"",K36/'⚙️ Config'!$H$2,))</f>
        <v/>
      </c>
      <c r="M36" s="28" t="str">
        <f t="shared" si="2"/>
        <v/>
      </c>
      <c r="N36" s="28" t="str">
        <f>IF(A36&lt;&gt;"", SUMIFS('💰 Transaction ขาย'!F:F,'💰 Transaction ขาย'!B:B,A36,'💰 Transaction ขาย'!A:A,"&gt;="&amp;DATE(YEAR('⚙️ Config'!$H$1),1,1),'💰 Transaction ขาย'!A:A,"&lt;="&amp;DATE(YEAR('⚙️ Config'!$H$1),12,31)),)</f>
        <v/>
      </c>
    </row>
    <row r="37">
      <c r="A37" s="22"/>
      <c r="B37" s="22" t="str">
        <f>IF(A37&lt;&gt;"",SUMIFS('💸 Transaction ซื้อ'!E:E,'💸 Transaction ซื้อ'!B:B,A37)-SUMIFS('💰 Transaction ขาย'!E:E,'💰 Transaction ขาย'!B:B,A37),"")</f>
        <v/>
      </c>
      <c r="C37" s="23" t="str">
        <f>IF(A37&lt;&gt;"",vlookup(A37,'📦 ชื่อสินค้า'!A:E,5,false),"")</f>
        <v/>
      </c>
      <c r="D37" s="23" t="str">
        <f>IF(A37&lt;&gt;"",VLOOKUP(A37,'📦 ชื่อสินค้า'!A:F,6,false),"")</f>
        <v/>
      </c>
      <c r="E37" s="16" t="str">
        <f>IFERROR(IF(VLOOKUP(A37,'📦 ชื่อสินค้า'!A:G,7,false)="InActive","InActive",IF(A37&lt;&gt;"",IF(B37&lt;=0,"สินค้าหมด",IF(B37&lt;=C37,"ควรเติมทันที","OK")),"")),)</f>
        <v/>
      </c>
      <c r="F37" s="24" t="str">
        <f>IFERROR(IF(A37&lt;&gt;"", SUMIF('💸 Transaction ซื้อ'!B:B,A37,'💸 Transaction ซื้อ'!G:G)/SUMIF('💸 Transaction ซื้อ'!B:B,A37,'💸 Transaction ซื้อ'!E:E),""),"-")</f>
        <v/>
      </c>
      <c r="G37" s="24" t="str">
        <f t="shared" si="1"/>
        <v/>
      </c>
      <c r="H37" s="25"/>
      <c r="I37" s="26"/>
      <c r="J37" s="26"/>
      <c r="K37" s="27" t="str">
        <f>IF(A37&lt;&gt;"",IF(E37="InActive","-",SUMIFS('💰 Transaction ขาย'!E:E,'💰 Transaction ขาย'!B:B,A37,'💰 Transaction ขาย'!A:A,"&gt;"&amp;'⚙️ Config'!$H$1-'⚙️ Config'!$H$2)),)</f>
        <v/>
      </c>
      <c r="L37" s="28" t="str">
        <f>IF(E37="InActive","-",IF(A37&lt;&gt;"",K37/'⚙️ Config'!$H$2,))</f>
        <v/>
      </c>
      <c r="M37" s="28" t="str">
        <f t="shared" si="2"/>
        <v/>
      </c>
      <c r="N37" s="28" t="str">
        <f>IF(A37&lt;&gt;"", SUMIFS('💰 Transaction ขาย'!F:F,'💰 Transaction ขาย'!B:B,A37,'💰 Transaction ขาย'!A:A,"&gt;="&amp;DATE(YEAR('⚙️ Config'!$H$1),1,1),'💰 Transaction ขาย'!A:A,"&lt;="&amp;DATE(YEAR('⚙️ Config'!$H$1),12,31)),)</f>
        <v/>
      </c>
    </row>
    <row r="38">
      <c r="A38" s="22"/>
      <c r="B38" s="22" t="str">
        <f>IF(A38&lt;&gt;"",SUMIFS('💸 Transaction ซื้อ'!E:E,'💸 Transaction ซื้อ'!B:B,A38)-SUMIFS('💰 Transaction ขาย'!E:E,'💰 Transaction ขาย'!B:B,A38),"")</f>
        <v/>
      </c>
      <c r="C38" s="23" t="str">
        <f>IF(A38&lt;&gt;"",vlookup(A38,'📦 ชื่อสินค้า'!A:E,5,false),"")</f>
        <v/>
      </c>
      <c r="D38" s="23" t="str">
        <f>IF(A38&lt;&gt;"",VLOOKUP(A38,'📦 ชื่อสินค้า'!A:F,6,false),"")</f>
        <v/>
      </c>
      <c r="E38" s="16" t="str">
        <f>IFERROR(IF(VLOOKUP(A38,'📦 ชื่อสินค้า'!A:G,7,false)="InActive","InActive",IF(A38&lt;&gt;"",IF(B38&lt;=0,"สินค้าหมด",IF(B38&lt;=C38,"ควรเติมทันที","OK")),"")),)</f>
        <v/>
      </c>
      <c r="F38" s="24" t="str">
        <f>IFERROR(IF(A38&lt;&gt;"", SUMIF('💸 Transaction ซื้อ'!B:B,A38,'💸 Transaction ซื้อ'!G:G)/SUMIF('💸 Transaction ซื้อ'!B:B,A38,'💸 Transaction ซื้อ'!E:E),""),"-")</f>
        <v/>
      </c>
      <c r="G38" s="24" t="str">
        <f t="shared" si="1"/>
        <v/>
      </c>
      <c r="H38" s="25"/>
      <c r="I38" s="26"/>
      <c r="J38" s="26"/>
      <c r="K38" s="27" t="str">
        <f>IF(A38&lt;&gt;"",IF(E38="InActive","-",SUMIFS('💰 Transaction ขาย'!E:E,'💰 Transaction ขาย'!B:B,A38,'💰 Transaction ขาย'!A:A,"&gt;"&amp;'⚙️ Config'!$H$1-'⚙️ Config'!$H$2)),)</f>
        <v/>
      </c>
      <c r="L38" s="28" t="str">
        <f>IF(E38="InActive","-",IF(A38&lt;&gt;"",K38/'⚙️ Config'!$H$2,))</f>
        <v/>
      </c>
      <c r="M38" s="28" t="str">
        <f t="shared" si="2"/>
        <v/>
      </c>
      <c r="N38" s="28" t="str">
        <f>IF(A38&lt;&gt;"", SUMIFS('💰 Transaction ขาย'!F:F,'💰 Transaction ขาย'!B:B,A38,'💰 Transaction ขาย'!A:A,"&gt;="&amp;DATE(YEAR('⚙️ Config'!$H$1),1,1),'💰 Transaction ขาย'!A:A,"&lt;="&amp;DATE(YEAR('⚙️ Config'!$H$1),12,31)),)</f>
        <v/>
      </c>
    </row>
    <row r="39">
      <c r="A39" s="22"/>
      <c r="B39" s="22" t="str">
        <f>IF(A39&lt;&gt;"",SUMIFS('💸 Transaction ซื้อ'!E:E,'💸 Transaction ซื้อ'!B:B,A39)-SUMIFS('💰 Transaction ขาย'!E:E,'💰 Transaction ขาย'!B:B,A39),"")</f>
        <v/>
      </c>
      <c r="C39" s="23" t="str">
        <f>IF(A39&lt;&gt;"",vlookup(A39,'📦 ชื่อสินค้า'!A:E,5,false),"")</f>
        <v/>
      </c>
      <c r="D39" s="23" t="str">
        <f>IF(A39&lt;&gt;"",VLOOKUP(A39,'📦 ชื่อสินค้า'!A:F,6,false),"")</f>
        <v/>
      </c>
      <c r="E39" s="16" t="str">
        <f>IFERROR(IF(VLOOKUP(A39,'📦 ชื่อสินค้า'!A:G,7,false)="InActive","InActive",IF(A39&lt;&gt;"",IF(B39&lt;=0,"สินค้าหมด",IF(B39&lt;=C39,"ควรเติมทันที","OK")),"")),)</f>
        <v/>
      </c>
      <c r="F39" s="24" t="str">
        <f>IFERROR(IF(A39&lt;&gt;"", SUMIF('💸 Transaction ซื้อ'!B:B,A39,'💸 Transaction ซื้อ'!G:G)/SUMIF('💸 Transaction ซื้อ'!B:B,A39,'💸 Transaction ซื้อ'!E:E),""),"-")</f>
        <v/>
      </c>
      <c r="G39" s="24" t="str">
        <f t="shared" si="1"/>
        <v/>
      </c>
      <c r="H39" s="25"/>
      <c r="I39" s="26"/>
      <c r="J39" s="26"/>
      <c r="K39" s="27" t="str">
        <f>IF(A39&lt;&gt;"",IF(E39="InActive","-",SUMIFS('💰 Transaction ขาย'!E:E,'💰 Transaction ขาย'!B:B,A39,'💰 Transaction ขาย'!A:A,"&gt;"&amp;'⚙️ Config'!$H$1-'⚙️ Config'!$H$2)),)</f>
        <v/>
      </c>
      <c r="L39" s="28" t="str">
        <f>IF(E39="InActive","-",IF(A39&lt;&gt;"",K39/'⚙️ Config'!$H$2,))</f>
        <v/>
      </c>
      <c r="M39" s="28" t="str">
        <f t="shared" si="2"/>
        <v/>
      </c>
      <c r="N39" s="28" t="str">
        <f>IF(A39&lt;&gt;"", SUMIFS('💰 Transaction ขาย'!F:F,'💰 Transaction ขาย'!B:B,A39,'💰 Transaction ขาย'!A:A,"&gt;="&amp;DATE(YEAR('⚙️ Config'!$H$1),1,1),'💰 Transaction ขาย'!A:A,"&lt;="&amp;DATE(YEAR('⚙️ Config'!$H$1),12,31)),)</f>
        <v/>
      </c>
    </row>
    <row r="40">
      <c r="A40" s="22"/>
      <c r="B40" s="22" t="str">
        <f>IF(A40&lt;&gt;"",SUMIFS('💸 Transaction ซื้อ'!E:E,'💸 Transaction ซื้อ'!B:B,A40)-SUMIFS('💰 Transaction ขาย'!E:E,'💰 Transaction ขาย'!B:B,A40),"")</f>
        <v/>
      </c>
      <c r="C40" s="23" t="str">
        <f>IF(A40&lt;&gt;"",vlookup(A40,'📦 ชื่อสินค้า'!A:E,5,false),"")</f>
        <v/>
      </c>
      <c r="D40" s="23" t="str">
        <f>IF(A40&lt;&gt;"",VLOOKUP(A40,'📦 ชื่อสินค้า'!A:F,6,false),"")</f>
        <v/>
      </c>
      <c r="E40" s="16" t="str">
        <f>IFERROR(IF(VLOOKUP(A40,'📦 ชื่อสินค้า'!A:G,7,false)="InActive","InActive",IF(A40&lt;&gt;"",IF(B40&lt;=0,"สินค้าหมด",IF(B40&lt;=C40,"ควรเติมทันที","OK")),"")),)</f>
        <v/>
      </c>
      <c r="F40" s="24" t="str">
        <f>IFERROR(IF(A40&lt;&gt;"", SUMIF('💸 Transaction ซื้อ'!B:B,A40,'💸 Transaction ซื้อ'!G:G)/SUMIF('💸 Transaction ซื้อ'!B:B,A40,'💸 Transaction ซื้อ'!E:E),""),"-")</f>
        <v/>
      </c>
      <c r="G40" s="24" t="str">
        <f t="shared" si="1"/>
        <v/>
      </c>
      <c r="H40" s="25"/>
      <c r="I40" s="26"/>
      <c r="J40" s="26"/>
      <c r="K40" s="27" t="str">
        <f>IF(A40&lt;&gt;"",IF(E40="InActive","-",SUMIFS('💰 Transaction ขาย'!E:E,'💰 Transaction ขาย'!B:B,A40,'💰 Transaction ขาย'!A:A,"&gt;"&amp;'⚙️ Config'!$H$1-'⚙️ Config'!$H$2)),)</f>
        <v/>
      </c>
      <c r="L40" s="28" t="str">
        <f>IF(E40="InActive","-",IF(A40&lt;&gt;"",K40/'⚙️ Config'!$H$2,))</f>
        <v/>
      </c>
      <c r="M40" s="28" t="str">
        <f t="shared" si="2"/>
        <v/>
      </c>
      <c r="N40" s="28" t="str">
        <f>IF(A40&lt;&gt;"", SUMIFS('💰 Transaction ขาย'!F:F,'💰 Transaction ขาย'!B:B,A40,'💰 Transaction ขาย'!A:A,"&gt;="&amp;DATE(YEAR('⚙️ Config'!$H$1),1,1),'💰 Transaction ขาย'!A:A,"&lt;="&amp;DATE(YEAR('⚙️ Config'!$H$1),12,31)),)</f>
        <v/>
      </c>
    </row>
    <row r="41">
      <c r="A41" s="22"/>
      <c r="B41" s="22" t="str">
        <f>IF(A41&lt;&gt;"",SUMIFS('💸 Transaction ซื้อ'!E:E,'💸 Transaction ซื้อ'!B:B,A41)-SUMIFS('💰 Transaction ขาย'!E:E,'💰 Transaction ขาย'!B:B,A41),"")</f>
        <v/>
      </c>
      <c r="C41" s="23" t="str">
        <f>IF(A41&lt;&gt;"",vlookup(A41,'📦 ชื่อสินค้า'!A:E,5,false),"")</f>
        <v/>
      </c>
      <c r="D41" s="23" t="str">
        <f>IF(A41&lt;&gt;"",VLOOKUP(A41,'📦 ชื่อสินค้า'!A:F,6,false),"")</f>
        <v/>
      </c>
      <c r="E41" s="16" t="str">
        <f>IFERROR(IF(VLOOKUP(A41,'📦 ชื่อสินค้า'!A:G,7,false)="InActive","InActive",IF(A41&lt;&gt;"",IF(B41&lt;=0,"สินค้าหมด",IF(B41&lt;=C41,"ควรเติมทันที","OK")),"")),)</f>
        <v/>
      </c>
      <c r="F41" s="24" t="str">
        <f>IFERROR(IF(A41&lt;&gt;"", SUMIF('💸 Transaction ซื้อ'!B:B,A41,'💸 Transaction ซื้อ'!G:G)/SUMIF('💸 Transaction ซื้อ'!B:B,A41,'💸 Transaction ซื้อ'!E:E),""),"-")</f>
        <v/>
      </c>
      <c r="G41" s="24" t="str">
        <f t="shared" si="1"/>
        <v/>
      </c>
      <c r="H41" s="25"/>
      <c r="I41" s="26"/>
      <c r="J41" s="26"/>
      <c r="K41" s="27" t="str">
        <f>IF(A41&lt;&gt;"",IF(E41="InActive","-",SUMIFS('💰 Transaction ขาย'!E:E,'💰 Transaction ขาย'!B:B,A41,'💰 Transaction ขาย'!A:A,"&gt;"&amp;'⚙️ Config'!$H$1-'⚙️ Config'!$H$2)),)</f>
        <v/>
      </c>
      <c r="L41" s="28" t="str">
        <f>IF(E41="InActive","-",IF(A41&lt;&gt;"",K41/'⚙️ Config'!$H$2,))</f>
        <v/>
      </c>
      <c r="M41" s="28" t="str">
        <f t="shared" si="2"/>
        <v/>
      </c>
      <c r="N41" s="28" t="str">
        <f>IF(A41&lt;&gt;"", SUMIFS('💰 Transaction ขาย'!F:F,'💰 Transaction ขาย'!B:B,A41,'💰 Transaction ขาย'!A:A,"&gt;="&amp;DATE(YEAR('⚙️ Config'!$H$1),1,1),'💰 Transaction ขาย'!A:A,"&lt;="&amp;DATE(YEAR('⚙️ Config'!$H$1),12,31)),)</f>
        <v/>
      </c>
    </row>
    <row r="42">
      <c r="A42" s="22"/>
      <c r="B42" s="22" t="str">
        <f>IF(A42&lt;&gt;"",SUMIFS('💸 Transaction ซื้อ'!E:E,'💸 Transaction ซื้อ'!B:B,A42)-SUMIFS('💰 Transaction ขาย'!E:E,'💰 Transaction ขาย'!B:B,A42),"")</f>
        <v/>
      </c>
      <c r="C42" s="23" t="str">
        <f>IF(A42&lt;&gt;"",vlookup(A42,'📦 ชื่อสินค้า'!A:E,5,false),"")</f>
        <v/>
      </c>
      <c r="D42" s="23" t="str">
        <f>IF(A42&lt;&gt;"",VLOOKUP(A42,'📦 ชื่อสินค้า'!A:F,6,false),"")</f>
        <v/>
      </c>
      <c r="E42" s="16" t="str">
        <f>IFERROR(IF(VLOOKUP(A42,'📦 ชื่อสินค้า'!A:G,7,false)="InActive","InActive",IF(A42&lt;&gt;"",IF(B42&lt;=0,"สินค้าหมด",IF(B42&lt;=C42,"ควรเติมทันที","OK")),"")),)</f>
        <v/>
      </c>
      <c r="F42" s="24" t="str">
        <f>IFERROR(IF(A42&lt;&gt;"", SUMIF('💸 Transaction ซื้อ'!B:B,A42,'💸 Transaction ซื้อ'!G:G)/SUMIF('💸 Transaction ซื้อ'!B:B,A42,'💸 Transaction ซื้อ'!E:E),""),"-")</f>
        <v/>
      </c>
      <c r="G42" s="24" t="str">
        <f t="shared" si="1"/>
        <v/>
      </c>
      <c r="H42" s="25"/>
      <c r="I42" s="26"/>
      <c r="J42" s="26"/>
      <c r="K42" s="27" t="str">
        <f>IF(A42&lt;&gt;"",IF(E42="InActive","-",SUMIFS('💰 Transaction ขาย'!E:E,'💰 Transaction ขาย'!B:B,A42,'💰 Transaction ขาย'!A:A,"&gt;"&amp;'⚙️ Config'!$H$1-'⚙️ Config'!$H$2)),)</f>
        <v/>
      </c>
      <c r="L42" s="28" t="str">
        <f>IF(E42="InActive","-",IF(A42&lt;&gt;"",K42/'⚙️ Config'!$H$2,))</f>
        <v/>
      </c>
      <c r="M42" s="28" t="str">
        <f t="shared" si="2"/>
        <v/>
      </c>
      <c r="N42" s="28" t="str">
        <f>IF(A42&lt;&gt;"", SUMIFS('💰 Transaction ขาย'!F:F,'💰 Transaction ขาย'!B:B,A42,'💰 Transaction ขาย'!A:A,"&gt;="&amp;DATE(YEAR('⚙️ Config'!$H$1),1,1),'💰 Transaction ขาย'!A:A,"&lt;="&amp;DATE(YEAR('⚙️ Config'!$H$1),12,31)),)</f>
        <v/>
      </c>
    </row>
    <row r="43">
      <c r="A43" s="22"/>
      <c r="B43" s="22" t="str">
        <f>IF(A43&lt;&gt;"",SUMIFS('💸 Transaction ซื้อ'!E:E,'💸 Transaction ซื้อ'!B:B,A43)-SUMIFS('💰 Transaction ขาย'!E:E,'💰 Transaction ขาย'!B:B,A43),"")</f>
        <v/>
      </c>
      <c r="C43" s="23" t="str">
        <f>IF(A43&lt;&gt;"",vlookup(A43,'📦 ชื่อสินค้า'!A:E,5,false),"")</f>
        <v/>
      </c>
      <c r="D43" s="23" t="str">
        <f>IF(A43&lt;&gt;"",VLOOKUP(A43,'📦 ชื่อสินค้า'!A:F,6,false),"")</f>
        <v/>
      </c>
      <c r="E43" s="16" t="str">
        <f>IFERROR(IF(VLOOKUP(A43,'📦 ชื่อสินค้า'!A:G,7,false)="InActive","InActive",IF(A43&lt;&gt;"",IF(B43&lt;=0,"สินค้าหมด",IF(B43&lt;=C43,"ควรเติมทันที","OK")),"")),)</f>
        <v/>
      </c>
      <c r="F43" s="24" t="str">
        <f>IFERROR(IF(A43&lt;&gt;"", SUMIF('💸 Transaction ซื้อ'!B:B,A43,'💸 Transaction ซื้อ'!G:G)/SUMIF('💸 Transaction ซื้อ'!B:B,A43,'💸 Transaction ซื้อ'!E:E),""),"-")</f>
        <v/>
      </c>
      <c r="G43" s="24" t="str">
        <f t="shared" si="1"/>
        <v/>
      </c>
      <c r="H43" s="25"/>
      <c r="I43" s="26"/>
      <c r="J43" s="26"/>
      <c r="K43" s="27" t="str">
        <f>IF(A43&lt;&gt;"",IF(E43="InActive","-",SUMIFS('💰 Transaction ขาย'!E:E,'💰 Transaction ขาย'!B:B,A43,'💰 Transaction ขาย'!A:A,"&gt;"&amp;'⚙️ Config'!$H$1-'⚙️ Config'!$H$2)),)</f>
        <v/>
      </c>
      <c r="L43" s="28" t="str">
        <f>IF(E43="InActive","-",IF(A43&lt;&gt;"",K43/'⚙️ Config'!$H$2,))</f>
        <v/>
      </c>
      <c r="M43" s="28" t="str">
        <f t="shared" si="2"/>
        <v/>
      </c>
      <c r="N43" s="28" t="str">
        <f>IF(A43&lt;&gt;"", SUMIFS('💰 Transaction ขาย'!F:F,'💰 Transaction ขาย'!B:B,A43,'💰 Transaction ขาย'!A:A,"&gt;="&amp;DATE(YEAR('⚙️ Config'!$H$1),1,1),'💰 Transaction ขาย'!A:A,"&lt;="&amp;DATE(YEAR('⚙️ Config'!$H$1),12,31)),)</f>
        <v/>
      </c>
    </row>
    <row r="44">
      <c r="A44" s="22"/>
      <c r="B44" s="22" t="str">
        <f>IF(A44&lt;&gt;"",SUMIFS('💸 Transaction ซื้อ'!E:E,'💸 Transaction ซื้อ'!B:B,A44)-SUMIFS('💰 Transaction ขาย'!E:E,'💰 Transaction ขาย'!B:B,A44),"")</f>
        <v/>
      </c>
      <c r="C44" s="23" t="str">
        <f>IF(A44&lt;&gt;"",vlookup(A44,'📦 ชื่อสินค้า'!A:E,5,false),"")</f>
        <v/>
      </c>
      <c r="D44" s="23" t="str">
        <f>IF(A44&lt;&gt;"",VLOOKUP(A44,'📦 ชื่อสินค้า'!A:F,6,false),"")</f>
        <v/>
      </c>
      <c r="E44" s="16" t="str">
        <f>IFERROR(IF(VLOOKUP(A44,'📦 ชื่อสินค้า'!A:G,7,false)="InActive","InActive",IF(A44&lt;&gt;"",IF(B44&lt;=0,"สินค้าหมด",IF(B44&lt;=C44,"ควรเติมทันที","OK")),"")),)</f>
        <v/>
      </c>
      <c r="F44" s="24" t="str">
        <f>IFERROR(IF(A44&lt;&gt;"", SUMIF('💸 Transaction ซื้อ'!B:B,A44,'💸 Transaction ซื้อ'!G:G)/SUMIF('💸 Transaction ซื้อ'!B:B,A44,'💸 Transaction ซื้อ'!E:E),""),"-")</f>
        <v/>
      </c>
      <c r="G44" s="24" t="str">
        <f t="shared" si="1"/>
        <v/>
      </c>
      <c r="H44" s="25"/>
      <c r="I44" s="26"/>
      <c r="J44" s="26"/>
      <c r="K44" s="27" t="str">
        <f>IF(A44&lt;&gt;"",IF(E44="InActive","-",SUMIFS('💰 Transaction ขาย'!E:E,'💰 Transaction ขาย'!B:B,A44,'💰 Transaction ขาย'!A:A,"&gt;"&amp;'⚙️ Config'!$H$1-'⚙️ Config'!$H$2)),)</f>
        <v/>
      </c>
      <c r="L44" s="28" t="str">
        <f>IF(E44="InActive","-",IF(A44&lt;&gt;"",K44/'⚙️ Config'!$H$2,))</f>
        <v/>
      </c>
      <c r="M44" s="28" t="str">
        <f t="shared" si="2"/>
        <v/>
      </c>
      <c r="N44" s="28" t="str">
        <f>IF(A44&lt;&gt;"", SUMIFS('💰 Transaction ขาย'!F:F,'💰 Transaction ขาย'!B:B,A44,'💰 Transaction ขาย'!A:A,"&gt;="&amp;DATE(YEAR('⚙️ Config'!$H$1),1,1),'💰 Transaction ขาย'!A:A,"&lt;="&amp;DATE(YEAR('⚙️ Config'!$H$1),12,31)),)</f>
        <v/>
      </c>
    </row>
    <row r="45">
      <c r="A45" s="22"/>
      <c r="B45" s="22" t="str">
        <f>IF(A45&lt;&gt;"",SUMIFS('💸 Transaction ซื้อ'!E:E,'💸 Transaction ซื้อ'!B:B,A45)-SUMIFS('💰 Transaction ขาย'!E:E,'💰 Transaction ขาย'!B:B,A45),"")</f>
        <v/>
      </c>
      <c r="C45" s="23" t="str">
        <f>IF(A45&lt;&gt;"",vlookup(A45,'📦 ชื่อสินค้า'!A:E,5,false),"")</f>
        <v/>
      </c>
      <c r="D45" s="23" t="str">
        <f>IF(A45&lt;&gt;"",VLOOKUP(A45,'📦 ชื่อสินค้า'!A:F,6,false),"")</f>
        <v/>
      </c>
      <c r="E45" s="16" t="str">
        <f>IFERROR(IF(VLOOKUP(A45,'📦 ชื่อสินค้า'!A:G,7,false)="InActive","InActive",IF(A45&lt;&gt;"",IF(B45&lt;=0,"สินค้าหมด",IF(B45&lt;=C45,"ควรเติมทันที","OK")),"")),)</f>
        <v/>
      </c>
      <c r="F45" s="24" t="str">
        <f>IFERROR(IF(A45&lt;&gt;"", SUMIF('💸 Transaction ซื้อ'!B:B,A45,'💸 Transaction ซื้อ'!G:G)/SUMIF('💸 Transaction ซื้อ'!B:B,A45,'💸 Transaction ซื้อ'!E:E),""),"-")</f>
        <v/>
      </c>
      <c r="G45" s="24" t="str">
        <f t="shared" si="1"/>
        <v/>
      </c>
      <c r="H45" s="25"/>
      <c r="I45" s="26"/>
      <c r="J45" s="26"/>
      <c r="K45" s="27" t="str">
        <f>IF(A45&lt;&gt;"",IF(E45="InActive","-",SUMIFS('💰 Transaction ขาย'!E:E,'💰 Transaction ขาย'!B:B,A45,'💰 Transaction ขาย'!A:A,"&gt;"&amp;'⚙️ Config'!$H$1-'⚙️ Config'!$H$2)),)</f>
        <v/>
      </c>
      <c r="L45" s="28" t="str">
        <f>IF(E45="InActive","-",IF(A45&lt;&gt;"",K45/'⚙️ Config'!$H$2,))</f>
        <v/>
      </c>
      <c r="M45" s="28" t="str">
        <f t="shared" si="2"/>
        <v/>
      </c>
      <c r="N45" s="28" t="str">
        <f>IF(A45&lt;&gt;"", SUMIFS('💰 Transaction ขาย'!F:F,'💰 Transaction ขาย'!B:B,A45,'💰 Transaction ขาย'!A:A,"&gt;="&amp;DATE(YEAR('⚙️ Config'!$H$1),1,1),'💰 Transaction ขาย'!A:A,"&lt;="&amp;DATE(YEAR('⚙️ Config'!$H$1),12,31)),)</f>
        <v/>
      </c>
    </row>
    <row r="46">
      <c r="A46" s="22"/>
      <c r="B46" s="22" t="str">
        <f>IF(A46&lt;&gt;"",SUMIFS('💸 Transaction ซื้อ'!E:E,'💸 Transaction ซื้อ'!B:B,A46)-SUMIFS('💰 Transaction ขาย'!E:E,'💰 Transaction ขาย'!B:B,A46),"")</f>
        <v/>
      </c>
      <c r="C46" s="23" t="str">
        <f>IF(A46&lt;&gt;"",vlookup(A46,'📦 ชื่อสินค้า'!A:E,5,false),"")</f>
        <v/>
      </c>
      <c r="D46" s="23" t="str">
        <f>IF(A46&lt;&gt;"",VLOOKUP(A46,'📦 ชื่อสินค้า'!A:F,6,false),"")</f>
        <v/>
      </c>
      <c r="E46" s="16" t="str">
        <f>IFERROR(IF(VLOOKUP(A46,'📦 ชื่อสินค้า'!A:G,7,false)="InActive","InActive",IF(A46&lt;&gt;"",IF(B46&lt;=0,"สินค้าหมด",IF(B46&lt;=C46,"ควรเติมทันที","OK")),"")),)</f>
        <v/>
      </c>
      <c r="F46" s="24" t="str">
        <f>IFERROR(IF(A46&lt;&gt;"", SUMIF('💸 Transaction ซื้อ'!B:B,A46,'💸 Transaction ซื้อ'!G:G)/SUMIF('💸 Transaction ซื้อ'!B:B,A46,'💸 Transaction ซื้อ'!E:E),""),"-")</f>
        <v/>
      </c>
      <c r="G46" s="24" t="str">
        <f t="shared" si="1"/>
        <v/>
      </c>
      <c r="H46" s="25"/>
      <c r="I46" s="26"/>
      <c r="J46" s="26"/>
      <c r="K46" s="27" t="str">
        <f>IF(A46&lt;&gt;"",IF(E46="InActive","-",SUMIFS('💰 Transaction ขาย'!E:E,'💰 Transaction ขาย'!B:B,A46,'💰 Transaction ขาย'!A:A,"&gt;"&amp;'⚙️ Config'!$H$1-'⚙️ Config'!$H$2)),)</f>
        <v/>
      </c>
      <c r="L46" s="28" t="str">
        <f>IF(E46="InActive","-",IF(A46&lt;&gt;"",K46/'⚙️ Config'!$H$2,))</f>
        <v/>
      </c>
      <c r="M46" s="28" t="str">
        <f t="shared" si="2"/>
        <v/>
      </c>
      <c r="N46" s="28" t="str">
        <f>IF(A46&lt;&gt;"", SUMIFS('💰 Transaction ขาย'!F:F,'💰 Transaction ขาย'!B:B,A46,'💰 Transaction ขาย'!A:A,"&gt;="&amp;DATE(YEAR('⚙️ Config'!$H$1),1,1),'💰 Transaction ขาย'!A:A,"&lt;="&amp;DATE(YEAR('⚙️ Config'!$H$1),12,31)),)</f>
        <v/>
      </c>
    </row>
    <row r="47">
      <c r="A47" s="22"/>
      <c r="B47" s="22" t="str">
        <f>IF(A47&lt;&gt;"",SUMIFS('💸 Transaction ซื้อ'!E:E,'💸 Transaction ซื้อ'!B:B,A47)-SUMIFS('💰 Transaction ขาย'!E:E,'💰 Transaction ขาย'!B:B,A47),"")</f>
        <v/>
      </c>
      <c r="C47" s="23" t="str">
        <f>IF(A47&lt;&gt;"",vlookup(A47,'📦 ชื่อสินค้า'!A:E,5,false),"")</f>
        <v/>
      </c>
      <c r="D47" s="23" t="str">
        <f>IF(A47&lt;&gt;"",VLOOKUP(A47,'📦 ชื่อสินค้า'!A:F,6,false),"")</f>
        <v/>
      </c>
      <c r="E47" s="16" t="str">
        <f>IFERROR(IF(VLOOKUP(A47,'📦 ชื่อสินค้า'!A:G,7,false)="InActive","InActive",IF(A47&lt;&gt;"",IF(B47&lt;=0,"สินค้าหมด",IF(B47&lt;=C47,"ควรเติมทันที","OK")),"")),)</f>
        <v/>
      </c>
      <c r="F47" s="24" t="str">
        <f>IFERROR(IF(A47&lt;&gt;"", SUMIF('💸 Transaction ซื้อ'!B:B,A47,'💸 Transaction ซื้อ'!G:G)/SUMIF('💸 Transaction ซื้อ'!B:B,A47,'💸 Transaction ซื้อ'!E:E),""),"-")</f>
        <v/>
      </c>
      <c r="G47" s="24" t="str">
        <f t="shared" si="1"/>
        <v/>
      </c>
      <c r="H47" s="25"/>
      <c r="I47" s="26"/>
      <c r="J47" s="26"/>
      <c r="K47" s="27" t="str">
        <f>IF(A47&lt;&gt;"",IF(E47="InActive","-",SUMIFS('💰 Transaction ขาย'!E:E,'💰 Transaction ขาย'!B:B,A47,'💰 Transaction ขาย'!A:A,"&gt;"&amp;'⚙️ Config'!$H$1-'⚙️ Config'!$H$2)),)</f>
        <v/>
      </c>
      <c r="L47" s="28" t="str">
        <f>IF(E47="InActive","-",IF(A47&lt;&gt;"",K47/'⚙️ Config'!$H$2,))</f>
        <v/>
      </c>
      <c r="M47" s="28" t="str">
        <f t="shared" si="2"/>
        <v/>
      </c>
      <c r="N47" s="28" t="str">
        <f>IF(A47&lt;&gt;"", SUMIFS('💰 Transaction ขาย'!F:F,'💰 Transaction ขาย'!B:B,A47,'💰 Transaction ขาย'!A:A,"&gt;="&amp;DATE(YEAR('⚙️ Config'!$H$1),1,1),'💰 Transaction ขาย'!A:A,"&lt;="&amp;DATE(YEAR('⚙️ Config'!$H$1),12,31)),)</f>
        <v/>
      </c>
    </row>
    <row r="48">
      <c r="A48" s="22"/>
      <c r="B48" s="22" t="str">
        <f>IF(A48&lt;&gt;"",SUMIFS('💸 Transaction ซื้อ'!E:E,'💸 Transaction ซื้อ'!B:B,A48)-SUMIFS('💰 Transaction ขาย'!E:E,'💰 Transaction ขาย'!B:B,A48),"")</f>
        <v/>
      </c>
      <c r="C48" s="23" t="str">
        <f>IF(A48&lt;&gt;"",vlookup(A48,'📦 ชื่อสินค้า'!A:E,5,false),"")</f>
        <v/>
      </c>
      <c r="D48" s="23" t="str">
        <f>IF(A48&lt;&gt;"",VLOOKUP(A48,'📦 ชื่อสินค้า'!A:F,6,false),"")</f>
        <v/>
      </c>
      <c r="E48" s="16" t="str">
        <f>IFERROR(IF(VLOOKUP(A48,'📦 ชื่อสินค้า'!A:G,7,false)="InActive","InActive",IF(A48&lt;&gt;"",IF(B48&lt;=0,"สินค้าหมด",IF(B48&lt;=C48,"ควรเติมทันที","OK")),"")),)</f>
        <v/>
      </c>
      <c r="F48" s="24" t="str">
        <f>IFERROR(IF(A48&lt;&gt;"", SUMIF('💸 Transaction ซื้อ'!B:B,A48,'💸 Transaction ซื้อ'!G:G)/SUMIF('💸 Transaction ซื้อ'!B:B,A48,'💸 Transaction ซื้อ'!E:E),""),"-")</f>
        <v/>
      </c>
      <c r="G48" s="24" t="str">
        <f t="shared" si="1"/>
        <v/>
      </c>
      <c r="H48" s="25"/>
      <c r="I48" s="26"/>
      <c r="J48" s="26"/>
      <c r="K48" s="27" t="str">
        <f>IF(A48&lt;&gt;"",IF(E48="InActive","-",SUMIFS('💰 Transaction ขาย'!E:E,'💰 Transaction ขาย'!B:B,A48,'💰 Transaction ขาย'!A:A,"&gt;"&amp;'⚙️ Config'!$H$1-'⚙️ Config'!$H$2)),)</f>
        <v/>
      </c>
      <c r="L48" s="28" t="str">
        <f>IF(E48="InActive","-",IF(A48&lt;&gt;"",K48/'⚙️ Config'!$H$2,))</f>
        <v/>
      </c>
      <c r="M48" s="28" t="str">
        <f t="shared" si="2"/>
        <v/>
      </c>
      <c r="N48" s="28" t="str">
        <f>IF(A48&lt;&gt;"", SUMIFS('💰 Transaction ขาย'!F:F,'💰 Transaction ขาย'!B:B,A48,'💰 Transaction ขาย'!A:A,"&gt;="&amp;DATE(YEAR('⚙️ Config'!$H$1),1,1),'💰 Transaction ขาย'!A:A,"&lt;="&amp;DATE(YEAR('⚙️ Config'!$H$1),12,31)),)</f>
        <v/>
      </c>
    </row>
    <row r="49">
      <c r="A49" s="22"/>
      <c r="B49" s="22" t="str">
        <f>IF(A49&lt;&gt;"",SUMIFS('💸 Transaction ซื้อ'!E:E,'💸 Transaction ซื้อ'!B:B,A49)-SUMIFS('💰 Transaction ขาย'!E:E,'💰 Transaction ขาย'!B:B,A49),"")</f>
        <v/>
      </c>
      <c r="C49" s="23" t="str">
        <f>IF(A49&lt;&gt;"",vlookup(A49,'📦 ชื่อสินค้า'!A:E,5,false),"")</f>
        <v/>
      </c>
      <c r="D49" s="23" t="str">
        <f>IF(A49&lt;&gt;"",VLOOKUP(A49,'📦 ชื่อสินค้า'!A:F,6,false),"")</f>
        <v/>
      </c>
      <c r="E49" s="16" t="str">
        <f>IFERROR(IF(VLOOKUP(A49,'📦 ชื่อสินค้า'!A:G,7,false)="InActive","InActive",IF(A49&lt;&gt;"",IF(B49&lt;=0,"สินค้าหมด",IF(B49&lt;=C49,"ควรเติมทันที","OK")),"")),)</f>
        <v/>
      </c>
      <c r="F49" s="24" t="str">
        <f>IFERROR(IF(A49&lt;&gt;"", SUMIF('💸 Transaction ซื้อ'!B:B,A49,'💸 Transaction ซื้อ'!G:G)/SUMIF('💸 Transaction ซื้อ'!B:B,A49,'💸 Transaction ซื้อ'!E:E),""),"-")</f>
        <v/>
      </c>
      <c r="G49" s="24" t="str">
        <f t="shared" si="1"/>
        <v/>
      </c>
      <c r="H49" s="25"/>
      <c r="I49" s="26"/>
      <c r="J49" s="26"/>
      <c r="K49" s="27" t="str">
        <f>IF(A49&lt;&gt;"",IF(E49="InActive","-",SUMIFS('💰 Transaction ขาย'!E:E,'💰 Transaction ขาย'!B:B,A49,'💰 Transaction ขาย'!A:A,"&gt;"&amp;'⚙️ Config'!$H$1-'⚙️ Config'!$H$2)),)</f>
        <v/>
      </c>
      <c r="L49" s="28" t="str">
        <f>IF(E49="InActive","-",IF(A49&lt;&gt;"",K49/'⚙️ Config'!$H$2,))</f>
        <v/>
      </c>
      <c r="M49" s="28" t="str">
        <f t="shared" si="2"/>
        <v/>
      </c>
      <c r="N49" s="28" t="str">
        <f>IF(A49&lt;&gt;"", SUMIFS('💰 Transaction ขาย'!F:F,'💰 Transaction ขาย'!B:B,A49,'💰 Transaction ขาย'!A:A,"&gt;="&amp;DATE(YEAR('⚙️ Config'!$H$1),1,1),'💰 Transaction ขาย'!A:A,"&lt;="&amp;DATE(YEAR('⚙️ Config'!$H$1),12,31)),)</f>
        <v/>
      </c>
    </row>
    <row r="50">
      <c r="A50" s="22"/>
      <c r="B50" s="22" t="str">
        <f>IF(A50&lt;&gt;"",SUMIFS('💸 Transaction ซื้อ'!E:E,'💸 Transaction ซื้อ'!B:B,A50)-SUMIFS('💰 Transaction ขาย'!E:E,'💰 Transaction ขาย'!B:B,A50),"")</f>
        <v/>
      </c>
      <c r="C50" s="23" t="str">
        <f>IF(A50&lt;&gt;"",vlookup(A50,'📦 ชื่อสินค้า'!A:E,5,false),"")</f>
        <v/>
      </c>
      <c r="D50" s="23" t="str">
        <f>IF(A50&lt;&gt;"",VLOOKUP(A50,'📦 ชื่อสินค้า'!A:F,6,false),"")</f>
        <v/>
      </c>
      <c r="E50" s="16" t="str">
        <f>IFERROR(IF(VLOOKUP(A50,'📦 ชื่อสินค้า'!A:G,7,false)="InActive","InActive",IF(A50&lt;&gt;"",IF(B50&lt;=0,"สินค้าหมด",IF(B50&lt;=C50,"ควรเติมทันที","OK")),"")),)</f>
        <v/>
      </c>
      <c r="F50" s="24" t="str">
        <f>IFERROR(IF(A50&lt;&gt;"", SUMIF('💸 Transaction ซื้อ'!B:B,A50,'💸 Transaction ซื้อ'!G:G)/SUMIF('💸 Transaction ซื้อ'!B:B,A50,'💸 Transaction ซื้อ'!E:E),""),"-")</f>
        <v/>
      </c>
      <c r="G50" s="24" t="str">
        <f t="shared" si="1"/>
        <v/>
      </c>
      <c r="H50" s="25"/>
      <c r="I50" s="26"/>
      <c r="J50" s="26"/>
      <c r="K50" s="27" t="str">
        <f>IF(A50&lt;&gt;"",IF(E50="InActive","-",SUMIFS('💰 Transaction ขาย'!E:E,'💰 Transaction ขาย'!B:B,A50,'💰 Transaction ขาย'!A:A,"&gt;"&amp;'⚙️ Config'!$H$1-'⚙️ Config'!$H$2)),)</f>
        <v/>
      </c>
      <c r="L50" s="28" t="str">
        <f>IF(E50="InActive","-",IF(A50&lt;&gt;"",K50/'⚙️ Config'!$H$2,))</f>
        <v/>
      </c>
      <c r="M50" s="28" t="str">
        <f t="shared" si="2"/>
        <v/>
      </c>
      <c r="N50" s="28" t="str">
        <f>IF(A50&lt;&gt;"", SUMIFS('💰 Transaction ขาย'!F:F,'💰 Transaction ขาย'!B:B,A50,'💰 Transaction ขาย'!A:A,"&gt;="&amp;DATE(YEAR('⚙️ Config'!$H$1),1,1),'💰 Transaction ขาย'!A:A,"&lt;="&amp;DATE(YEAR('⚙️ Config'!$H$1),12,31)),)</f>
        <v/>
      </c>
    </row>
    <row r="51">
      <c r="A51" s="22"/>
      <c r="B51" s="22" t="str">
        <f>IF(A51&lt;&gt;"",SUMIFS('💸 Transaction ซื้อ'!E:E,'💸 Transaction ซื้อ'!B:B,A51)-SUMIFS('💰 Transaction ขาย'!E:E,'💰 Transaction ขาย'!B:B,A51),"")</f>
        <v/>
      </c>
      <c r="C51" s="23" t="str">
        <f>IF(A51&lt;&gt;"",vlookup(A51,'📦 ชื่อสินค้า'!A:E,5,false),"")</f>
        <v/>
      </c>
      <c r="D51" s="23" t="str">
        <f>IF(A51&lt;&gt;"",VLOOKUP(A51,'📦 ชื่อสินค้า'!A:F,6,false),"")</f>
        <v/>
      </c>
      <c r="E51" s="16" t="str">
        <f>IFERROR(IF(VLOOKUP(A51,'📦 ชื่อสินค้า'!A:G,7,false)="InActive","InActive",IF(A51&lt;&gt;"",IF(B51&lt;=0,"สินค้าหมด",IF(B51&lt;=C51,"ควรเติมทันที","OK")),"")),)</f>
        <v/>
      </c>
      <c r="F51" s="24" t="str">
        <f>IFERROR(IF(A51&lt;&gt;"", SUMIF('💸 Transaction ซื้อ'!B:B,A51,'💸 Transaction ซื้อ'!G:G)/SUMIF('💸 Transaction ซื้อ'!B:B,A51,'💸 Transaction ซื้อ'!E:E),""),"-")</f>
        <v/>
      </c>
      <c r="G51" s="24" t="str">
        <f t="shared" si="1"/>
        <v/>
      </c>
      <c r="H51" s="25"/>
      <c r="I51" s="26"/>
      <c r="J51" s="26"/>
      <c r="K51" s="27" t="str">
        <f>IF(A51&lt;&gt;"",IF(E51="InActive","-",SUMIFS('💰 Transaction ขาย'!E:E,'💰 Transaction ขาย'!B:B,A51,'💰 Transaction ขาย'!A:A,"&gt;"&amp;'⚙️ Config'!$H$1-'⚙️ Config'!$H$2)),)</f>
        <v/>
      </c>
      <c r="L51" s="28" t="str">
        <f>IF(E51="InActive","-",IF(A51&lt;&gt;"",K51/'⚙️ Config'!$H$2,))</f>
        <v/>
      </c>
      <c r="M51" s="28" t="str">
        <f t="shared" si="2"/>
        <v/>
      </c>
      <c r="N51" s="28" t="str">
        <f>IF(A51&lt;&gt;"", SUMIFS('💰 Transaction ขาย'!F:F,'💰 Transaction ขาย'!B:B,A51,'💰 Transaction ขาย'!A:A,"&gt;="&amp;DATE(YEAR('⚙️ Config'!$H$1),1,1),'💰 Transaction ขาย'!A:A,"&lt;="&amp;DATE(YEAR('⚙️ Config'!$H$1),12,31)),)</f>
        <v/>
      </c>
    </row>
    <row r="52">
      <c r="A52" s="22"/>
      <c r="B52" s="22" t="str">
        <f>IF(A52&lt;&gt;"",SUMIFS('💸 Transaction ซื้อ'!E:E,'💸 Transaction ซื้อ'!B:B,A52)-SUMIFS('💰 Transaction ขาย'!E:E,'💰 Transaction ขาย'!B:B,A52),"")</f>
        <v/>
      </c>
      <c r="C52" s="23" t="str">
        <f>IF(A52&lt;&gt;"",vlookup(A52,'📦 ชื่อสินค้า'!A:E,5,false),"")</f>
        <v/>
      </c>
      <c r="D52" s="23" t="str">
        <f>IF(A52&lt;&gt;"",VLOOKUP(A52,'📦 ชื่อสินค้า'!A:F,6,false),"")</f>
        <v/>
      </c>
      <c r="E52" s="16" t="str">
        <f>IFERROR(IF(VLOOKUP(A52,'📦 ชื่อสินค้า'!A:G,7,false)="InActive","InActive",IF(A52&lt;&gt;"",IF(B52&lt;=0,"สินค้าหมด",IF(B52&lt;=C52,"ควรเติมทันที","OK")),"")),)</f>
        <v/>
      </c>
      <c r="F52" s="24" t="str">
        <f>IFERROR(IF(A52&lt;&gt;"", SUMIF('💸 Transaction ซื้อ'!B:B,A52,'💸 Transaction ซื้อ'!G:G)/SUMIF('💸 Transaction ซื้อ'!B:B,A52,'💸 Transaction ซื้อ'!E:E),""),"-")</f>
        <v/>
      </c>
      <c r="G52" s="24" t="str">
        <f t="shared" si="1"/>
        <v/>
      </c>
      <c r="H52" s="25"/>
      <c r="I52" s="26"/>
      <c r="J52" s="26"/>
      <c r="K52" s="27" t="str">
        <f>IF(A52&lt;&gt;"",IF(E52="InActive","-",SUMIFS('💰 Transaction ขาย'!E:E,'💰 Transaction ขาย'!B:B,A52,'💰 Transaction ขาย'!A:A,"&gt;"&amp;'⚙️ Config'!$H$1-'⚙️ Config'!$H$2)),)</f>
        <v/>
      </c>
      <c r="L52" s="28" t="str">
        <f>IF(E52="InActive","-",IF(A52&lt;&gt;"",K52/'⚙️ Config'!$H$2,))</f>
        <v/>
      </c>
      <c r="M52" s="28" t="str">
        <f t="shared" si="2"/>
        <v/>
      </c>
      <c r="N52" s="28" t="str">
        <f>IF(A52&lt;&gt;"", SUMIFS('💰 Transaction ขาย'!F:F,'💰 Transaction ขาย'!B:B,A52,'💰 Transaction ขาย'!A:A,"&gt;="&amp;DATE(YEAR('⚙️ Config'!$H$1),1,1),'💰 Transaction ขาย'!A:A,"&lt;="&amp;DATE(YEAR('⚙️ Config'!$H$1),12,31)),)</f>
        <v/>
      </c>
    </row>
    <row r="53">
      <c r="A53" s="22"/>
      <c r="B53" s="22" t="str">
        <f>IF(A53&lt;&gt;"",SUMIFS('💸 Transaction ซื้อ'!E:E,'💸 Transaction ซื้อ'!B:B,A53)-SUMIFS('💰 Transaction ขาย'!E:E,'💰 Transaction ขาย'!B:B,A53),"")</f>
        <v/>
      </c>
      <c r="C53" s="23" t="str">
        <f>IF(A53&lt;&gt;"",vlookup(A53,'📦 ชื่อสินค้า'!A:E,5,false),"")</f>
        <v/>
      </c>
      <c r="D53" s="23" t="str">
        <f>IF(A53&lt;&gt;"",VLOOKUP(A53,'📦 ชื่อสินค้า'!A:F,6,false),"")</f>
        <v/>
      </c>
      <c r="E53" s="16" t="str">
        <f>IFERROR(IF(VLOOKUP(A53,'📦 ชื่อสินค้า'!A:G,7,false)="InActive","InActive",IF(A53&lt;&gt;"",IF(B53&lt;=0,"สินค้าหมด",IF(B53&lt;=C53,"ควรเติมทันที","OK")),"")),)</f>
        <v/>
      </c>
      <c r="F53" s="24" t="str">
        <f>IFERROR(IF(A53&lt;&gt;"", SUMIF('💸 Transaction ซื้อ'!B:B,A53,'💸 Transaction ซื้อ'!G:G)/SUMIF('💸 Transaction ซื้อ'!B:B,A53,'💸 Transaction ซื้อ'!E:E),""),"-")</f>
        <v/>
      </c>
      <c r="G53" s="24" t="str">
        <f t="shared" si="1"/>
        <v/>
      </c>
      <c r="H53" s="25"/>
      <c r="I53" s="26"/>
      <c r="J53" s="26"/>
      <c r="K53" s="27" t="str">
        <f>IF(A53&lt;&gt;"",IF(E53="InActive","-",SUMIFS('💰 Transaction ขาย'!E:E,'💰 Transaction ขาย'!B:B,A53,'💰 Transaction ขาย'!A:A,"&gt;"&amp;'⚙️ Config'!$H$1-'⚙️ Config'!$H$2)),)</f>
        <v/>
      </c>
      <c r="L53" s="28" t="str">
        <f>IF(E53="InActive","-",IF(A53&lt;&gt;"",K53/'⚙️ Config'!$H$2,))</f>
        <v/>
      </c>
      <c r="M53" s="28" t="str">
        <f t="shared" si="2"/>
        <v/>
      </c>
      <c r="N53" s="28" t="str">
        <f>IF(A53&lt;&gt;"", SUMIFS('💰 Transaction ขาย'!F:F,'💰 Transaction ขาย'!B:B,A53,'💰 Transaction ขาย'!A:A,"&gt;="&amp;DATE(YEAR('⚙️ Config'!$H$1),1,1),'💰 Transaction ขาย'!A:A,"&lt;="&amp;DATE(YEAR('⚙️ Config'!$H$1),12,31)),)</f>
        <v/>
      </c>
    </row>
    <row r="54">
      <c r="A54" s="22"/>
      <c r="B54" s="22" t="str">
        <f>IF(A54&lt;&gt;"",SUMIFS('💸 Transaction ซื้อ'!E:E,'💸 Transaction ซื้อ'!B:B,A54)-SUMIFS('💰 Transaction ขาย'!E:E,'💰 Transaction ขาย'!B:B,A54),"")</f>
        <v/>
      </c>
      <c r="C54" s="23" t="str">
        <f>IF(A54&lt;&gt;"",vlookup(A54,'📦 ชื่อสินค้า'!A:E,5,false),"")</f>
        <v/>
      </c>
      <c r="D54" s="23" t="str">
        <f>IF(A54&lt;&gt;"",VLOOKUP(A54,'📦 ชื่อสินค้า'!A:F,6,false),"")</f>
        <v/>
      </c>
      <c r="E54" s="16" t="str">
        <f>IFERROR(IF(VLOOKUP(A54,'📦 ชื่อสินค้า'!A:G,7,false)="InActive","InActive",IF(A54&lt;&gt;"",IF(B54&lt;=0,"สินค้าหมด",IF(B54&lt;=C54,"ควรเติมทันที","OK")),"")),)</f>
        <v/>
      </c>
      <c r="F54" s="24" t="str">
        <f>IFERROR(IF(A54&lt;&gt;"", SUMIF('💸 Transaction ซื้อ'!B:B,A54,'💸 Transaction ซื้อ'!G:G)/SUMIF('💸 Transaction ซื้อ'!B:B,A54,'💸 Transaction ซื้อ'!E:E),""),"-")</f>
        <v/>
      </c>
      <c r="G54" s="24" t="str">
        <f t="shared" si="1"/>
        <v/>
      </c>
      <c r="H54" s="25"/>
      <c r="I54" s="26"/>
      <c r="J54" s="26"/>
      <c r="K54" s="27" t="str">
        <f>IF(A54&lt;&gt;"",IF(E54="InActive","-",SUMIFS('💰 Transaction ขาย'!E:E,'💰 Transaction ขาย'!B:B,A54,'💰 Transaction ขาย'!A:A,"&gt;"&amp;'⚙️ Config'!$H$1-'⚙️ Config'!$H$2)),)</f>
        <v/>
      </c>
      <c r="L54" s="28" t="str">
        <f>IF(E54="InActive","-",IF(A54&lt;&gt;"",K54/'⚙️ Config'!$H$2,))</f>
        <v/>
      </c>
      <c r="M54" s="28" t="str">
        <f t="shared" si="2"/>
        <v/>
      </c>
      <c r="N54" s="28" t="str">
        <f>IF(A54&lt;&gt;"", SUMIFS('💰 Transaction ขาย'!F:F,'💰 Transaction ขาย'!B:B,A54,'💰 Transaction ขาย'!A:A,"&gt;="&amp;DATE(YEAR('⚙️ Config'!$H$1),1,1),'💰 Transaction ขาย'!A:A,"&lt;="&amp;DATE(YEAR('⚙️ Config'!$H$1),12,31)),)</f>
        <v/>
      </c>
    </row>
    <row r="55">
      <c r="A55" s="22"/>
      <c r="B55" s="22" t="str">
        <f>IF(A55&lt;&gt;"",SUMIFS('💸 Transaction ซื้อ'!E:E,'💸 Transaction ซื้อ'!B:B,A55)-SUMIFS('💰 Transaction ขาย'!E:E,'💰 Transaction ขาย'!B:B,A55),"")</f>
        <v/>
      </c>
      <c r="C55" s="23" t="str">
        <f>IF(A55&lt;&gt;"",vlookup(A55,'📦 ชื่อสินค้า'!A:E,5,false),"")</f>
        <v/>
      </c>
      <c r="D55" s="23" t="str">
        <f>IF(A55&lt;&gt;"",VLOOKUP(A55,'📦 ชื่อสินค้า'!A:F,6,false),"")</f>
        <v/>
      </c>
      <c r="E55" s="16" t="str">
        <f>IFERROR(IF(VLOOKUP(A55,'📦 ชื่อสินค้า'!A:G,7,false)="InActive","InActive",IF(A55&lt;&gt;"",IF(B55&lt;=0,"สินค้าหมด",IF(B55&lt;=C55,"ควรเติมทันที","OK")),"")),)</f>
        <v/>
      </c>
      <c r="F55" s="24" t="str">
        <f>IFERROR(IF(A55&lt;&gt;"", SUMIF('💸 Transaction ซื้อ'!B:B,A55,'💸 Transaction ซื้อ'!G:G)/SUMIF('💸 Transaction ซื้อ'!B:B,A55,'💸 Transaction ซื้อ'!E:E),""),"-")</f>
        <v/>
      </c>
      <c r="G55" s="24" t="str">
        <f t="shared" si="1"/>
        <v/>
      </c>
      <c r="H55" s="25"/>
      <c r="I55" s="26"/>
      <c r="J55" s="26"/>
      <c r="K55" s="27" t="str">
        <f>IF(A55&lt;&gt;"",IF(E55="InActive","-",SUMIFS('💰 Transaction ขาย'!E:E,'💰 Transaction ขาย'!B:B,A55,'💰 Transaction ขาย'!A:A,"&gt;"&amp;'⚙️ Config'!$H$1-'⚙️ Config'!$H$2)),)</f>
        <v/>
      </c>
      <c r="L55" s="28" t="str">
        <f>IF(E55="InActive","-",IF(A55&lt;&gt;"",K55/'⚙️ Config'!$H$2,))</f>
        <v/>
      </c>
      <c r="M55" s="28" t="str">
        <f t="shared" si="2"/>
        <v/>
      </c>
      <c r="N55" s="28" t="str">
        <f>IF(A55&lt;&gt;"", SUMIFS('💰 Transaction ขาย'!F:F,'💰 Transaction ขาย'!B:B,A55,'💰 Transaction ขาย'!A:A,"&gt;="&amp;DATE(YEAR('⚙️ Config'!$H$1),1,1),'💰 Transaction ขาย'!A:A,"&lt;="&amp;DATE(YEAR('⚙️ Config'!$H$1),12,31)),)</f>
        <v/>
      </c>
    </row>
    <row r="56">
      <c r="A56" s="22"/>
      <c r="B56" s="22" t="str">
        <f>IF(A56&lt;&gt;"",SUMIFS('💸 Transaction ซื้อ'!E:E,'💸 Transaction ซื้อ'!B:B,A56)-SUMIFS('💰 Transaction ขาย'!E:E,'💰 Transaction ขาย'!B:B,A56),"")</f>
        <v/>
      </c>
      <c r="C56" s="23" t="str">
        <f>IF(A56&lt;&gt;"",vlookup(A56,'📦 ชื่อสินค้า'!A:E,5,false),"")</f>
        <v/>
      </c>
      <c r="D56" s="23" t="str">
        <f>IF(A56&lt;&gt;"",VLOOKUP(A56,'📦 ชื่อสินค้า'!A:F,6,false),"")</f>
        <v/>
      </c>
      <c r="E56" s="16" t="str">
        <f>IFERROR(IF(VLOOKUP(A56,'📦 ชื่อสินค้า'!A:G,7,false)="InActive","InActive",IF(A56&lt;&gt;"",IF(B56&lt;=0,"สินค้าหมด",IF(B56&lt;=C56,"ควรเติมทันที","OK")),"")),)</f>
        <v/>
      </c>
      <c r="F56" s="24" t="str">
        <f>IFERROR(IF(A56&lt;&gt;"", SUMIF('💸 Transaction ซื้อ'!B:B,A56,'💸 Transaction ซื้อ'!G:G)/SUMIF('💸 Transaction ซื้อ'!B:B,A56,'💸 Transaction ซื้อ'!E:E),""),"-")</f>
        <v/>
      </c>
      <c r="G56" s="24" t="str">
        <f t="shared" si="1"/>
        <v/>
      </c>
      <c r="H56" s="25"/>
      <c r="I56" s="26"/>
      <c r="J56" s="26"/>
      <c r="K56" s="27" t="str">
        <f>IF(A56&lt;&gt;"",IF(E56="InActive","-",SUMIFS('💰 Transaction ขาย'!E:E,'💰 Transaction ขาย'!B:B,A56,'💰 Transaction ขาย'!A:A,"&gt;"&amp;'⚙️ Config'!$H$1-'⚙️ Config'!$H$2)),)</f>
        <v/>
      </c>
      <c r="L56" s="28" t="str">
        <f>IF(E56="InActive","-",IF(A56&lt;&gt;"",K56/'⚙️ Config'!$H$2,))</f>
        <v/>
      </c>
      <c r="M56" s="28" t="str">
        <f t="shared" si="2"/>
        <v/>
      </c>
      <c r="N56" s="28" t="str">
        <f>IF(A56&lt;&gt;"", SUMIFS('💰 Transaction ขาย'!F:F,'💰 Transaction ขาย'!B:B,A56,'💰 Transaction ขาย'!A:A,"&gt;="&amp;DATE(YEAR('⚙️ Config'!$H$1),1,1),'💰 Transaction ขาย'!A:A,"&lt;="&amp;DATE(YEAR('⚙️ Config'!$H$1),12,31)),)</f>
        <v/>
      </c>
    </row>
    <row r="57">
      <c r="A57" s="22"/>
      <c r="B57" s="22" t="str">
        <f>IF(A57&lt;&gt;"",SUMIFS('💸 Transaction ซื้อ'!E:E,'💸 Transaction ซื้อ'!B:B,A57)-SUMIFS('💰 Transaction ขาย'!E:E,'💰 Transaction ขาย'!B:B,A57),"")</f>
        <v/>
      </c>
      <c r="C57" s="23" t="str">
        <f>IF(A57&lt;&gt;"",vlookup(A57,'📦 ชื่อสินค้า'!A:E,5,false),"")</f>
        <v/>
      </c>
      <c r="D57" s="23" t="str">
        <f>IF(A57&lt;&gt;"",VLOOKUP(A57,'📦 ชื่อสินค้า'!A:F,6,false),"")</f>
        <v/>
      </c>
      <c r="E57" s="16" t="str">
        <f>IFERROR(IF(VLOOKUP(A57,'📦 ชื่อสินค้า'!A:G,7,false)="InActive","InActive",IF(A57&lt;&gt;"",IF(B57&lt;=0,"สินค้าหมด",IF(B57&lt;=C57,"ควรเติมทันที","OK")),"")),)</f>
        <v/>
      </c>
      <c r="F57" s="24" t="str">
        <f>IFERROR(IF(A57&lt;&gt;"", SUMIF('💸 Transaction ซื้อ'!B:B,A57,'💸 Transaction ซื้อ'!G:G)/SUMIF('💸 Transaction ซื้อ'!B:B,A57,'💸 Transaction ซื้อ'!E:E),""),"-")</f>
        <v/>
      </c>
      <c r="G57" s="24" t="str">
        <f t="shared" si="1"/>
        <v/>
      </c>
      <c r="H57" s="25"/>
      <c r="I57" s="26"/>
      <c r="J57" s="26"/>
      <c r="K57" s="27" t="str">
        <f>IF(A57&lt;&gt;"",IF(E57="InActive","-",SUMIFS('💰 Transaction ขาย'!E:E,'💰 Transaction ขาย'!B:B,A57,'💰 Transaction ขาย'!A:A,"&gt;"&amp;'⚙️ Config'!$H$1-'⚙️ Config'!$H$2)),)</f>
        <v/>
      </c>
      <c r="L57" s="28" t="str">
        <f>IF(E57="InActive","-",IF(A57&lt;&gt;"",K57/'⚙️ Config'!$H$2,))</f>
        <v/>
      </c>
      <c r="M57" s="28" t="str">
        <f t="shared" si="2"/>
        <v/>
      </c>
      <c r="N57" s="28" t="str">
        <f>IF(A57&lt;&gt;"", SUMIFS('💰 Transaction ขาย'!F:F,'💰 Transaction ขาย'!B:B,A57,'💰 Transaction ขาย'!A:A,"&gt;="&amp;DATE(YEAR('⚙️ Config'!$H$1),1,1),'💰 Transaction ขาย'!A:A,"&lt;="&amp;DATE(YEAR('⚙️ Config'!$H$1),12,31)),)</f>
        <v/>
      </c>
    </row>
    <row r="58">
      <c r="A58" s="22"/>
      <c r="B58" s="22" t="str">
        <f>IF(A58&lt;&gt;"",SUMIFS('💸 Transaction ซื้อ'!E:E,'💸 Transaction ซื้อ'!B:B,A58)-SUMIFS('💰 Transaction ขาย'!E:E,'💰 Transaction ขาย'!B:B,A58),"")</f>
        <v/>
      </c>
      <c r="C58" s="23" t="str">
        <f>IF(A58&lt;&gt;"",vlookup(A58,'📦 ชื่อสินค้า'!A:E,5,false),"")</f>
        <v/>
      </c>
      <c r="D58" s="23" t="str">
        <f>IF(A58&lt;&gt;"",VLOOKUP(A58,'📦 ชื่อสินค้า'!A:F,6,false),"")</f>
        <v/>
      </c>
      <c r="E58" s="16" t="str">
        <f>IFERROR(IF(VLOOKUP(A58,'📦 ชื่อสินค้า'!A:G,7,false)="InActive","InActive",IF(A58&lt;&gt;"",IF(B58&lt;=0,"สินค้าหมด",IF(B58&lt;=C58,"ควรเติมทันที","OK")),"")),)</f>
        <v/>
      </c>
      <c r="F58" s="24" t="str">
        <f>IFERROR(IF(A58&lt;&gt;"", SUMIF('💸 Transaction ซื้อ'!B:B,A58,'💸 Transaction ซื้อ'!G:G)/SUMIF('💸 Transaction ซื้อ'!B:B,A58,'💸 Transaction ซื้อ'!E:E),""),"-")</f>
        <v/>
      </c>
      <c r="G58" s="24" t="str">
        <f t="shared" si="1"/>
        <v/>
      </c>
      <c r="H58" s="25"/>
      <c r="I58" s="26"/>
      <c r="J58" s="26"/>
      <c r="K58" s="27" t="str">
        <f>IF(A58&lt;&gt;"",IF(E58="InActive","-",SUMIFS('💰 Transaction ขาย'!E:E,'💰 Transaction ขาย'!B:B,A58,'💰 Transaction ขาย'!A:A,"&gt;"&amp;'⚙️ Config'!$H$1-'⚙️ Config'!$H$2)),)</f>
        <v/>
      </c>
      <c r="L58" s="28" t="str">
        <f>IF(E58="InActive","-",IF(A58&lt;&gt;"",K58/'⚙️ Config'!$H$2,))</f>
        <v/>
      </c>
      <c r="M58" s="28" t="str">
        <f t="shared" si="2"/>
        <v/>
      </c>
      <c r="N58" s="28" t="str">
        <f>IF(A58&lt;&gt;"", SUMIFS('💰 Transaction ขาย'!F:F,'💰 Transaction ขาย'!B:B,A58,'💰 Transaction ขาย'!A:A,"&gt;="&amp;DATE(YEAR('⚙️ Config'!$H$1),1,1),'💰 Transaction ขาย'!A:A,"&lt;="&amp;DATE(YEAR('⚙️ Config'!$H$1),12,31)),)</f>
        <v/>
      </c>
    </row>
    <row r="59">
      <c r="A59" s="22"/>
      <c r="B59" s="22" t="str">
        <f>IF(A59&lt;&gt;"",SUMIFS('💸 Transaction ซื้อ'!E:E,'💸 Transaction ซื้อ'!B:B,A59)-SUMIFS('💰 Transaction ขาย'!E:E,'💰 Transaction ขาย'!B:B,A59),"")</f>
        <v/>
      </c>
      <c r="C59" s="23" t="str">
        <f>IF(A59&lt;&gt;"",vlookup(A59,'📦 ชื่อสินค้า'!A:E,5,false),"")</f>
        <v/>
      </c>
      <c r="D59" s="23" t="str">
        <f>IF(A59&lt;&gt;"",VLOOKUP(A59,'📦 ชื่อสินค้า'!A:F,6,false),"")</f>
        <v/>
      </c>
      <c r="E59" s="16" t="str">
        <f>IFERROR(IF(VLOOKUP(A59,'📦 ชื่อสินค้า'!A:G,7,false)="InActive","InActive",IF(A59&lt;&gt;"",IF(B59&lt;=0,"สินค้าหมด",IF(B59&lt;=C59,"ควรเติมทันที","OK")),"")),)</f>
        <v/>
      </c>
      <c r="F59" s="24" t="str">
        <f>IFERROR(IF(A59&lt;&gt;"", SUMIF('💸 Transaction ซื้อ'!B:B,A59,'💸 Transaction ซื้อ'!G:G)/SUMIF('💸 Transaction ซื้อ'!B:B,A59,'💸 Transaction ซื้อ'!E:E),""),"-")</f>
        <v/>
      </c>
      <c r="G59" s="24" t="str">
        <f t="shared" si="1"/>
        <v/>
      </c>
      <c r="H59" s="25"/>
      <c r="I59" s="26"/>
      <c r="J59" s="26"/>
      <c r="K59" s="27" t="str">
        <f>IF(A59&lt;&gt;"",IF(E59="InActive","-",SUMIFS('💰 Transaction ขาย'!E:E,'💰 Transaction ขาย'!B:B,A59,'💰 Transaction ขาย'!A:A,"&gt;"&amp;'⚙️ Config'!$H$1-'⚙️ Config'!$H$2)),)</f>
        <v/>
      </c>
      <c r="L59" s="28" t="str">
        <f>IF(E59="InActive","-",IF(A59&lt;&gt;"",K59/'⚙️ Config'!$H$2,))</f>
        <v/>
      </c>
      <c r="M59" s="28" t="str">
        <f t="shared" si="2"/>
        <v/>
      </c>
      <c r="N59" s="28" t="str">
        <f>IF(A59&lt;&gt;"", SUMIFS('💰 Transaction ขาย'!F:F,'💰 Transaction ขาย'!B:B,A59,'💰 Transaction ขาย'!A:A,"&gt;="&amp;DATE(YEAR('⚙️ Config'!$H$1),1,1),'💰 Transaction ขาย'!A:A,"&lt;="&amp;DATE(YEAR('⚙️ Config'!$H$1),12,31)),)</f>
        <v/>
      </c>
    </row>
    <row r="60">
      <c r="A60" s="22"/>
      <c r="B60" s="22" t="str">
        <f>IF(A60&lt;&gt;"",SUMIFS('💸 Transaction ซื้อ'!E:E,'💸 Transaction ซื้อ'!B:B,A60)-SUMIFS('💰 Transaction ขาย'!E:E,'💰 Transaction ขาย'!B:B,A60),"")</f>
        <v/>
      </c>
      <c r="C60" s="23" t="str">
        <f>IF(A60&lt;&gt;"",vlookup(A60,'📦 ชื่อสินค้า'!A:E,5,false),"")</f>
        <v/>
      </c>
      <c r="D60" s="23" t="str">
        <f>IF(A60&lt;&gt;"",VLOOKUP(A60,'📦 ชื่อสินค้า'!A:F,6,false),"")</f>
        <v/>
      </c>
      <c r="E60" s="16" t="str">
        <f>IFERROR(IF(VLOOKUP(A60,'📦 ชื่อสินค้า'!A:G,7,false)="InActive","InActive",IF(A60&lt;&gt;"",IF(B60&lt;=0,"สินค้าหมด",IF(B60&lt;=C60,"ควรเติมทันที","OK")),"")),)</f>
        <v/>
      </c>
      <c r="F60" s="24" t="str">
        <f>IFERROR(IF(A60&lt;&gt;"", SUMIF('💸 Transaction ซื้อ'!B:B,A60,'💸 Transaction ซื้อ'!G:G)/SUMIF('💸 Transaction ซื้อ'!B:B,A60,'💸 Transaction ซื้อ'!E:E),""),"-")</f>
        <v/>
      </c>
      <c r="G60" s="24" t="str">
        <f t="shared" si="1"/>
        <v/>
      </c>
      <c r="H60" s="25"/>
      <c r="I60" s="26"/>
      <c r="J60" s="26"/>
      <c r="K60" s="27" t="str">
        <f>IF(A60&lt;&gt;"",IF(E60="InActive","-",SUMIFS('💰 Transaction ขาย'!E:E,'💰 Transaction ขาย'!B:B,A60,'💰 Transaction ขาย'!A:A,"&gt;"&amp;'⚙️ Config'!$H$1-'⚙️ Config'!$H$2)),)</f>
        <v/>
      </c>
      <c r="L60" s="28" t="str">
        <f>IF(E60="InActive","-",IF(A60&lt;&gt;"",K60/'⚙️ Config'!$H$2,))</f>
        <v/>
      </c>
      <c r="M60" s="28" t="str">
        <f t="shared" si="2"/>
        <v/>
      </c>
      <c r="N60" s="28" t="str">
        <f>IF(A60&lt;&gt;"", SUMIFS('💰 Transaction ขาย'!F:F,'💰 Transaction ขาย'!B:B,A60,'💰 Transaction ขาย'!A:A,"&gt;="&amp;DATE(YEAR('⚙️ Config'!$H$1),1,1),'💰 Transaction ขาย'!A:A,"&lt;="&amp;DATE(YEAR('⚙️ Config'!$H$1),12,31)),)</f>
        <v/>
      </c>
    </row>
    <row r="61">
      <c r="A61" s="22"/>
      <c r="B61" s="22" t="str">
        <f>IF(A61&lt;&gt;"",SUMIFS('💸 Transaction ซื้อ'!E:E,'💸 Transaction ซื้อ'!B:B,A61)-SUMIFS('💰 Transaction ขาย'!E:E,'💰 Transaction ขาย'!B:B,A61),"")</f>
        <v/>
      </c>
      <c r="C61" s="23" t="str">
        <f>IF(A61&lt;&gt;"",vlookup(A61,'📦 ชื่อสินค้า'!A:E,5,false),"")</f>
        <v/>
      </c>
      <c r="D61" s="23" t="str">
        <f>IF(A61&lt;&gt;"",VLOOKUP(A61,'📦 ชื่อสินค้า'!A:F,6,false),"")</f>
        <v/>
      </c>
      <c r="E61" s="16" t="str">
        <f>IFERROR(IF(VLOOKUP(A61,'📦 ชื่อสินค้า'!A:G,7,false)="InActive","InActive",IF(A61&lt;&gt;"",IF(B61&lt;=0,"สินค้าหมด",IF(B61&lt;=C61,"ควรเติมทันที","OK")),"")),)</f>
        <v/>
      </c>
      <c r="F61" s="24" t="str">
        <f>IFERROR(IF(A61&lt;&gt;"", SUMIF('💸 Transaction ซื้อ'!B:B,A61,'💸 Transaction ซื้อ'!G:G)/SUMIF('💸 Transaction ซื้อ'!B:B,A61,'💸 Transaction ซื้อ'!E:E),""),"-")</f>
        <v/>
      </c>
      <c r="G61" s="24" t="str">
        <f t="shared" si="1"/>
        <v/>
      </c>
      <c r="H61" s="25"/>
      <c r="I61" s="26"/>
      <c r="J61" s="26"/>
      <c r="K61" s="27" t="str">
        <f>IF(A61&lt;&gt;"",IF(E61="InActive","-",SUMIFS('💰 Transaction ขาย'!E:E,'💰 Transaction ขาย'!B:B,A61,'💰 Transaction ขาย'!A:A,"&gt;"&amp;'⚙️ Config'!$H$1-'⚙️ Config'!$H$2)),)</f>
        <v/>
      </c>
      <c r="L61" s="28" t="str">
        <f>IF(E61="InActive","-",IF(A61&lt;&gt;"",K61/'⚙️ Config'!$H$2,))</f>
        <v/>
      </c>
      <c r="M61" s="28" t="str">
        <f t="shared" si="2"/>
        <v/>
      </c>
      <c r="N61" s="28" t="str">
        <f>IF(A61&lt;&gt;"", SUMIFS('💰 Transaction ขาย'!F:F,'💰 Transaction ขาย'!B:B,A61,'💰 Transaction ขาย'!A:A,"&gt;="&amp;DATE(YEAR('⚙️ Config'!$H$1),1,1),'💰 Transaction ขาย'!A:A,"&lt;="&amp;DATE(YEAR('⚙️ Config'!$H$1),12,31)),)</f>
        <v/>
      </c>
    </row>
    <row r="62">
      <c r="A62" s="22"/>
      <c r="B62" s="22" t="str">
        <f>IF(A62&lt;&gt;"",SUMIFS('💸 Transaction ซื้อ'!E:E,'💸 Transaction ซื้อ'!B:B,A62)-SUMIFS('💰 Transaction ขาย'!E:E,'💰 Transaction ขาย'!B:B,A62),"")</f>
        <v/>
      </c>
      <c r="C62" s="23" t="str">
        <f>IF(A62&lt;&gt;"",vlookup(A62,'📦 ชื่อสินค้า'!A:E,5,false),"")</f>
        <v/>
      </c>
      <c r="D62" s="23" t="str">
        <f>IF(A62&lt;&gt;"",VLOOKUP(A62,'📦 ชื่อสินค้า'!A:F,6,false),"")</f>
        <v/>
      </c>
      <c r="E62" s="16" t="str">
        <f>IFERROR(IF(VLOOKUP(A62,'📦 ชื่อสินค้า'!A:G,7,false)="InActive","InActive",IF(A62&lt;&gt;"",IF(B62&lt;=0,"สินค้าหมด",IF(B62&lt;=C62,"ควรเติมทันที","OK")),"")),)</f>
        <v/>
      </c>
      <c r="F62" s="24" t="str">
        <f>IFERROR(IF(A62&lt;&gt;"", SUMIF('💸 Transaction ซื้อ'!B:B,A62,'💸 Transaction ซื้อ'!G:G)/SUMIF('💸 Transaction ซื้อ'!B:B,A62,'💸 Transaction ซื้อ'!E:E),""),"-")</f>
        <v/>
      </c>
      <c r="G62" s="24" t="str">
        <f t="shared" si="1"/>
        <v/>
      </c>
      <c r="H62" s="25"/>
      <c r="I62" s="26"/>
      <c r="J62" s="26"/>
      <c r="K62" s="27" t="str">
        <f>IF(A62&lt;&gt;"",IF(E62="InActive","-",SUMIFS('💰 Transaction ขาย'!E:E,'💰 Transaction ขาย'!B:B,A62,'💰 Transaction ขาย'!A:A,"&gt;"&amp;'⚙️ Config'!$H$1-'⚙️ Config'!$H$2)),)</f>
        <v/>
      </c>
      <c r="L62" s="28" t="str">
        <f>IF(E62="InActive","-",IF(A62&lt;&gt;"",K62/'⚙️ Config'!$H$2,))</f>
        <v/>
      </c>
      <c r="M62" s="28" t="str">
        <f t="shared" si="2"/>
        <v/>
      </c>
      <c r="N62" s="28" t="str">
        <f>IF(A62&lt;&gt;"", SUMIFS('💰 Transaction ขาย'!F:F,'💰 Transaction ขาย'!B:B,A62,'💰 Transaction ขาย'!A:A,"&gt;="&amp;DATE(YEAR('⚙️ Config'!$H$1),1,1),'💰 Transaction ขาย'!A:A,"&lt;="&amp;DATE(YEAR('⚙️ Config'!$H$1),12,31)),)</f>
        <v/>
      </c>
    </row>
    <row r="63">
      <c r="A63" s="22"/>
      <c r="B63" s="22" t="str">
        <f>IF(A63&lt;&gt;"",SUMIFS('💸 Transaction ซื้อ'!E:E,'💸 Transaction ซื้อ'!B:B,A63)-SUMIFS('💰 Transaction ขาย'!E:E,'💰 Transaction ขาย'!B:B,A63),"")</f>
        <v/>
      </c>
      <c r="C63" s="23" t="str">
        <f>IF(A63&lt;&gt;"",vlookup(A63,'📦 ชื่อสินค้า'!A:E,5,false),"")</f>
        <v/>
      </c>
      <c r="D63" s="23" t="str">
        <f>IF(A63&lt;&gt;"",VLOOKUP(A63,'📦 ชื่อสินค้า'!A:F,6,false),"")</f>
        <v/>
      </c>
      <c r="E63" s="16" t="str">
        <f>IFERROR(IF(VLOOKUP(A63,'📦 ชื่อสินค้า'!A:G,7,false)="InActive","InActive",IF(A63&lt;&gt;"",IF(B63&lt;=0,"สินค้าหมด",IF(B63&lt;=C63,"ควรเติมทันที","OK")),"")),)</f>
        <v/>
      </c>
      <c r="F63" s="24" t="str">
        <f>IFERROR(IF(A63&lt;&gt;"", SUMIF('💸 Transaction ซื้อ'!B:B,A63,'💸 Transaction ซื้อ'!G:G)/SUMIF('💸 Transaction ซื้อ'!B:B,A63,'💸 Transaction ซื้อ'!E:E),""),"-")</f>
        <v/>
      </c>
      <c r="G63" s="24" t="str">
        <f t="shared" si="1"/>
        <v/>
      </c>
      <c r="H63" s="25"/>
      <c r="I63" s="26"/>
      <c r="J63" s="26"/>
      <c r="K63" s="27" t="str">
        <f>IF(A63&lt;&gt;"",IF(E63="InActive","-",SUMIFS('💰 Transaction ขาย'!E:E,'💰 Transaction ขาย'!B:B,A63,'💰 Transaction ขาย'!A:A,"&gt;"&amp;'⚙️ Config'!$H$1-'⚙️ Config'!$H$2)),)</f>
        <v/>
      </c>
      <c r="L63" s="28" t="str">
        <f>IF(E63="InActive","-",IF(A63&lt;&gt;"",K63/'⚙️ Config'!$H$2,))</f>
        <v/>
      </c>
      <c r="M63" s="28" t="str">
        <f t="shared" si="2"/>
        <v/>
      </c>
      <c r="N63" s="28" t="str">
        <f>IF(A63&lt;&gt;"", SUMIFS('💰 Transaction ขาย'!F:F,'💰 Transaction ขาย'!B:B,A63,'💰 Transaction ขาย'!A:A,"&gt;="&amp;DATE(YEAR('⚙️ Config'!$H$1),1,1),'💰 Transaction ขาย'!A:A,"&lt;="&amp;DATE(YEAR('⚙️ Config'!$H$1),12,31)),)</f>
        <v/>
      </c>
    </row>
    <row r="64">
      <c r="A64" s="22"/>
      <c r="B64" s="22" t="str">
        <f>IF(A64&lt;&gt;"",SUMIFS('💸 Transaction ซื้อ'!E:E,'💸 Transaction ซื้อ'!B:B,A64)-SUMIFS('💰 Transaction ขาย'!E:E,'💰 Transaction ขาย'!B:B,A64),"")</f>
        <v/>
      </c>
      <c r="C64" s="23" t="str">
        <f>IF(A64&lt;&gt;"",vlookup(A64,'📦 ชื่อสินค้า'!A:E,5,false),"")</f>
        <v/>
      </c>
      <c r="D64" s="23" t="str">
        <f>IF(A64&lt;&gt;"",VLOOKUP(A64,'📦 ชื่อสินค้า'!A:F,6,false),"")</f>
        <v/>
      </c>
      <c r="E64" s="16" t="str">
        <f>IFERROR(IF(VLOOKUP(A64,'📦 ชื่อสินค้า'!A:G,7,false)="InActive","InActive",IF(A64&lt;&gt;"",IF(B64&lt;=0,"สินค้าหมด",IF(B64&lt;=C64,"ควรเติมทันที","OK")),"")),)</f>
        <v/>
      </c>
      <c r="F64" s="24" t="str">
        <f>IFERROR(IF(A64&lt;&gt;"", SUMIF('💸 Transaction ซื้อ'!B:B,A64,'💸 Transaction ซื้อ'!G:G)/SUMIF('💸 Transaction ซื้อ'!B:B,A64,'💸 Transaction ซื้อ'!E:E),""),"-")</f>
        <v/>
      </c>
      <c r="G64" s="24" t="str">
        <f t="shared" si="1"/>
        <v/>
      </c>
      <c r="H64" s="25"/>
      <c r="I64" s="26"/>
      <c r="J64" s="26"/>
      <c r="K64" s="27" t="str">
        <f>IF(A64&lt;&gt;"",IF(E64="InActive","-",SUMIFS('💰 Transaction ขาย'!E:E,'💰 Transaction ขาย'!B:B,A64,'💰 Transaction ขาย'!A:A,"&gt;"&amp;'⚙️ Config'!$H$1-'⚙️ Config'!$H$2)),)</f>
        <v/>
      </c>
      <c r="L64" s="28" t="str">
        <f>IF(E64="InActive","-",IF(A64&lt;&gt;"",K64/'⚙️ Config'!$H$2,))</f>
        <v/>
      </c>
      <c r="M64" s="28" t="str">
        <f t="shared" si="2"/>
        <v/>
      </c>
      <c r="N64" s="28" t="str">
        <f>IF(A64&lt;&gt;"", SUMIFS('💰 Transaction ขาย'!F:F,'💰 Transaction ขาย'!B:B,A64,'💰 Transaction ขาย'!A:A,"&gt;="&amp;DATE(YEAR('⚙️ Config'!$H$1),1,1),'💰 Transaction ขาย'!A:A,"&lt;="&amp;DATE(YEAR('⚙️ Config'!$H$1),12,31)),)</f>
        <v/>
      </c>
    </row>
    <row r="65">
      <c r="A65" s="22"/>
      <c r="B65" s="22" t="str">
        <f>IF(A65&lt;&gt;"",SUMIFS('💸 Transaction ซื้อ'!E:E,'💸 Transaction ซื้อ'!B:B,A65)-SUMIFS('💰 Transaction ขาย'!E:E,'💰 Transaction ขาย'!B:B,A65),"")</f>
        <v/>
      </c>
      <c r="C65" s="23" t="str">
        <f>IF(A65&lt;&gt;"",vlookup(A65,'📦 ชื่อสินค้า'!A:E,5,false),"")</f>
        <v/>
      </c>
      <c r="D65" s="23" t="str">
        <f>IF(A65&lt;&gt;"",VLOOKUP(A65,'📦 ชื่อสินค้า'!A:F,6,false),"")</f>
        <v/>
      </c>
      <c r="E65" s="16" t="str">
        <f>IFERROR(IF(VLOOKUP(A65,'📦 ชื่อสินค้า'!A:G,7,false)="InActive","InActive",IF(A65&lt;&gt;"",IF(B65&lt;=0,"สินค้าหมด",IF(B65&lt;=C65,"ควรเติมทันที","OK")),"")),)</f>
        <v/>
      </c>
      <c r="F65" s="24" t="str">
        <f>IFERROR(IF(A65&lt;&gt;"", SUMIF('💸 Transaction ซื้อ'!B:B,A65,'💸 Transaction ซื้อ'!G:G)/SUMIF('💸 Transaction ซื้อ'!B:B,A65,'💸 Transaction ซื้อ'!E:E),""),"-")</f>
        <v/>
      </c>
      <c r="G65" s="24" t="str">
        <f t="shared" si="1"/>
        <v/>
      </c>
      <c r="H65" s="25"/>
      <c r="I65" s="26"/>
      <c r="J65" s="26"/>
      <c r="K65" s="27" t="str">
        <f>IF(A65&lt;&gt;"",IF(E65="InActive","-",SUMIFS('💰 Transaction ขาย'!E:E,'💰 Transaction ขาย'!B:B,A65,'💰 Transaction ขาย'!A:A,"&gt;"&amp;'⚙️ Config'!$H$1-'⚙️ Config'!$H$2)),)</f>
        <v/>
      </c>
      <c r="L65" s="28" t="str">
        <f>IF(E65="InActive","-",IF(A65&lt;&gt;"",K65/'⚙️ Config'!$H$2,))</f>
        <v/>
      </c>
      <c r="M65" s="28" t="str">
        <f t="shared" si="2"/>
        <v/>
      </c>
      <c r="N65" s="28" t="str">
        <f>IF(A65&lt;&gt;"", SUMIFS('💰 Transaction ขาย'!F:F,'💰 Transaction ขาย'!B:B,A65,'💰 Transaction ขาย'!A:A,"&gt;="&amp;DATE(YEAR('⚙️ Config'!$H$1),1,1),'💰 Transaction ขาย'!A:A,"&lt;="&amp;DATE(YEAR('⚙️ Config'!$H$1),12,31)),)</f>
        <v/>
      </c>
    </row>
    <row r="66">
      <c r="A66" s="22"/>
      <c r="B66" s="22" t="str">
        <f>IF(A66&lt;&gt;"",SUMIFS('💸 Transaction ซื้อ'!E:E,'💸 Transaction ซื้อ'!B:B,A66)-SUMIFS('💰 Transaction ขาย'!E:E,'💰 Transaction ขาย'!B:B,A66),"")</f>
        <v/>
      </c>
      <c r="C66" s="23" t="str">
        <f>IF(A66&lt;&gt;"",vlookup(A66,'📦 ชื่อสินค้า'!A:E,5,false),"")</f>
        <v/>
      </c>
      <c r="D66" s="23" t="str">
        <f>IF(A66&lt;&gt;"",VLOOKUP(A66,'📦 ชื่อสินค้า'!A:F,6,false),"")</f>
        <v/>
      </c>
      <c r="E66" s="16" t="str">
        <f>IFERROR(IF(VLOOKUP(A66,'📦 ชื่อสินค้า'!A:G,7,false)="InActive","InActive",IF(A66&lt;&gt;"",IF(B66&lt;=0,"สินค้าหมด",IF(B66&lt;=C66,"ควรเติมทันที","OK")),"")),)</f>
        <v/>
      </c>
      <c r="F66" s="24" t="str">
        <f>IFERROR(IF(A66&lt;&gt;"", SUMIF('💸 Transaction ซื้อ'!B:B,A66,'💸 Transaction ซื้อ'!G:G)/SUMIF('💸 Transaction ซื้อ'!B:B,A66,'💸 Transaction ซื้อ'!E:E),""),"-")</f>
        <v/>
      </c>
      <c r="G66" s="24" t="str">
        <f t="shared" si="1"/>
        <v/>
      </c>
      <c r="H66" s="25"/>
      <c r="I66" s="26"/>
      <c r="J66" s="26"/>
      <c r="K66" s="27" t="str">
        <f>IF(A66&lt;&gt;"",IF(E66="InActive","-",SUMIFS('💰 Transaction ขาย'!E:E,'💰 Transaction ขาย'!B:B,A66,'💰 Transaction ขาย'!A:A,"&gt;"&amp;'⚙️ Config'!$H$1-'⚙️ Config'!$H$2)),)</f>
        <v/>
      </c>
      <c r="L66" s="28" t="str">
        <f>IF(E66="InActive","-",IF(A66&lt;&gt;"",K66/'⚙️ Config'!$H$2,))</f>
        <v/>
      </c>
      <c r="M66" s="28" t="str">
        <f t="shared" si="2"/>
        <v/>
      </c>
      <c r="N66" s="28" t="str">
        <f>IF(A66&lt;&gt;"", SUMIFS('💰 Transaction ขาย'!F:F,'💰 Transaction ขาย'!B:B,A66,'💰 Transaction ขาย'!A:A,"&gt;="&amp;DATE(YEAR('⚙️ Config'!$H$1),1,1),'💰 Transaction ขาย'!A:A,"&lt;="&amp;DATE(YEAR('⚙️ Config'!$H$1),12,31)),)</f>
        <v/>
      </c>
    </row>
    <row r="67">
      <c r="A67" s="22"/>
      <c r="B67" s="22" t="str">
        <f>IF(A67&lt;&gt;"",SUMIFS('💸 Transaction ซื้อ'!E:E,'💸 Transaction ซื้อ'!B:B,A67)-SUMIFS('💰 Transaction ขาย'!E:E,'💰 Transaction ขาย'!B:B,A67),"")</f>
        <v/>
      </c>
      <c r="C67" s="23" t="str">
        <f>IF(A67&lt;&gt;"",vlookup(A67,'📦 ชื่อสินค้า'!A:E,5,false),"")</f>
        <v/>
      </c>
      <c r="D67" s="23" t="str">
        <f>IF(A67&lt;&gt;"",VLOOKUP(A67,'📦 ชื่อสินค้า'!A:F,6,false),"")</f>
        <v/>
      </c>
      <c r="E67" s="16" t="str">
        <f>IFERROR(IF(VLOOKUP(A67,'📦 ชื่อสินค้า'!A:G,7,false)="InActive","InActive",IF(A67&lt;&gt;"",IF(B67&lt;=0,"สินค้าหมด",IF(B67&lt;=C67,"ควรเติมทันที","OK")),"")),)</f>
        <v/>
      </c>
      <c r="F67" s="24" t="str">
        <f>IFERROR(IF(A67&lt;&gt;"", SUMIF('💸 Transaction ซื้อ'!B:B,A67,'💸 Transaction ซื้อ'!G:G)/SUMIF('💸 Transaction ซื้อ'!B:B,A67,'💸 Transaction ซื้อ'!E:E),""),"-")</f>
        <v/>
      </c>
      <c r="G67" s="24" t="str">
        <f t="shared" si="1"/>
        <v/>
      </c>
      <c r="H67" s="25"/>
      <c r="I67" s="26"/>
      <c r="J67" s="26"/>
      <c r="K67" s="27" t="str">
        <f>IF(A67&lt;&gt;"",IF(E67="InActive","-",SUMIFS('💰 Transaction ขาย'!E:E,'💰 Transaction ขาย'!B:B,A67,'💰 Transaction ขาย'!A:A,"&gt;"&amp;'⚙️ Config'!$H$1-'⚙️ Config'!$H$2)),)</f>
        <v/>
      </c>
      <c r="L67" s="28" t="str">
        <f>IF(E67="InActive","-",IF(A67&lt;&gt;"",K67/'⚙️ Config'!$H$2,))</f>
        <v/>
      </c>
      <c r="M67" s="28" t="str">
        <f t="shared" si="2"/>
        <v/>
      </c>
      <c r="N67" s="28" t="str">
        <f>IF(A67&lt;&gt;"", SUMIFS('💰 Transaction ขาย'!F:F,'💰 Transaction ขาย'!B:B,A67,'💰 Transaction ขาย'!A:A,"&gt;="&amp;DATE(YEAR('⚙️ Config'!$H$1),1,1),'💰 Transaction ขาย'!A:A,"&lt;="&amp;DATE(YEAR('⚙️ Config'!$H$1),12,31)),)</f>
        <v/>
      </c>
    </row>
    <row r="68">
      <c r="A68" s="22"/>
      <c r="B68" s="22" t="str">
        <f>IF(A68&lt;&gt;"",SUMIFS('💸 Transaction ซื้อ'!E:E,'💸 Transaction ซื้อ'!B:B,A68)-SUMIFS('💰 Transaction ขาย'!E:E,'💰 Transaction ขาย'!B:B,A68),"")</f>
        <v/>
      </c>
      <c r="C68" s="23" t="str">
        <f>IF(A68&lt;&gt;"",vlookup(A68,'📦 ชื่อสินค้า'!A:E,5,false),"")</f>
        <v/>
      </c>
      <c r="D68" s="23" t="str">
        <f>IF(A68&lt;&gt;"",VLOOKUP(A68,'📦 ชื่อสินค้า'!A:F,6,false),"")</f>
        <v/>
      </c>
      <c r="E68" s="16" t="str">
        <f>IFERROR(IF(VLOOKUP(A68,'📦 ชื่อสินค้า'!A:G,7,false)="InActive","InActive",IF(A68&lt;&gt;"",IF(B68&lt;=0,"สินค้าหมด",IF(B68&lt;=C68,"ควรเติมทันที","OK")),"")),)</f>
        <v/>
      </c>
      <c r="F68" s="24" t="str">
        <f>IFERROR(IF(A68&lt;&gt;"", SUMIF('💸 Transaction ซื้อ'!B:B,A68,'💸 Transaction ซื้อ'!G:G)/SUMIF('💸 Transaction ซื้อ'!B:B,A68,'💸 Transaction ซื้อ'!E:E),""),"-")</f>
        <v/>
      </c>
      <c r="G68" s="24" t="str">
        <f t="shared" si="1"/>
        <v/>
      </c>
      <c r="H68" s="25"/>
      <c r="I68" s="26"/>
      <c r="J68" s="26"/>
      <c r="K68" s="27" t="str">
        <f>IF(A68&lt;&gt;"",IF(E68="InActive","-",SUMIFS('💰 Transaction ขาย'!E:E,'💰 Transaction ขาย'!B:B,A68,'💰 Transaction ขาย'!A:A,"&gt;"&amp;'⚙️ Config'!$H$1-'⚙️ Config'!$H$2)),)</f>
        <v/>
      </c>
      <c r="L68" s="28" t="str">
        <f>IF(E68="InActive","-",IF(A68&lt;&gt;"",K68/'⚙️ Config'!$H$2,))</f>
        <v/>
      </c>
      <c r="M68" s="28" t="str">
        <f t="shared" si="2"/>
        <v/>
      </c>
      <c r="N68" s="28" t="str">
        <f>IF(A68&lt;&gt;"", SUMIFS('💰 Transaction ขาย'!F:F,'💰 Transaction ขาย'!B:B,A68,'💰 Transaction ขาย'!A:A,"&gt;="&amp;DATE(YEAR('⚙️ Config'!$H$1),1,1),'💰 Transaction ขาย'!A:A,"&lt;="&amp;DATE(YEAR('⚙️ Config'!$H$1),12,31)),)</f>
        <v/>
      </c>
    </row>
    <row r="69">
      <c r="A69" s="22"/>
      <c r="B69" s="22" t="str">
        <f>IF(A69&lt;&gt;"",SUMIFS('💸 Transaction ซื้อ'!E:E,'💸 Transaction ซื้อ'!B:B,A69)-SUMIFS('💰 Transaction ขาย'!E:E,'💰 Transaction ขาย'!B:B,A69),"")</f>
        <v/>
      </c>
      <c r="C69" s="23" t="str">
        <f>IF(A69&lt;&gt;"",vlookup(A69,'📦 ชื่อสินค้า'!A:E,5,false),"")</f>
        <v/>
      </c>
      <c r="D69" s="23" t="str">
        <f>IF(A69&lt;&gt;"",VLOOKUP(A69,'📦 ชื่อสินค้า'!A:F,6,false),"")</f>
        <v/>
      </c>
      <c r="E69" s="16" t="str">
        <f>IFERROR(IF(VLOOKUP(A69,'📦 ชื่อสินค้า'!A:G,7,false)="InActive","InActive",IF(A69&lt;&gt;"",IF(B69&lt;=0,"สินค้าหมด",IF(B69&lt;=C69,"ควรเติมทันที","OK")),"")),)</f>
        <v/>
      </c>
      <c r="F69" s="24" t="str">
        <f>IFERROR(IF(A69&lt;&gt;"", SUMIF('💸 Transaction ซื้อ'!B:B,A69,'💸 Transaction ซื้อ'!G:G)/SUMIF('💸 Transaction ซื้อ'!B:B,A69,'💸 Transaction ซื้อ'!E:E),""),"-")</f>
        <v/>
      </c>
      <c r="G69" s="24" t="str">
        <f t="shared" si="1"/>
        <v/>
      </c>
      <c r="H69" s="25"/>
      <c r="I69" s="26"/>
      <c r="J69" s="26"/>
      <c r="K69" s="27" t="str">
        <f>IF(A69&lt;&gt;"",IF(E69="InActive","-",SUMIFS('💰 Transaction ขาย'!E:E,'💰 Transaction ขาย'!B:B,A69,'💰 Transaction ขาย'!A:A,"&gt;"&amp;'⚙️ Config'!$H$1-'⚙️ Config'!$H$2)),)</f>
        <v/>
      </c>
      <c r="L69" s="28" t="str">
        <f>IF(E69="InActive","-",IF(A69&lt;&gt;"",K69/'⚙️ Config'!$H$2,))</f>
        <v/>
      </c>
      <c r="M69" s="28" t="str">
        <f t="shared" si="2"/>
        <v/>
      </c>
      <c r="N69" s="28" t="str">
        <f>IF(A69&lt;&gt;"", SUMIFS('💰 Transaction ขาย'!F:F,'💰 Transaction ขาย'!B:B,A69,'💰 Transaction ขาย'!A:A,"&gt;="&amp;DATE(YEAR('⚙️ Config'!$H$1),1,1),'💰 Transaction ขาย'!A:A,"&lt;="&amp;DATE(YEAR('⚙️ Config'!$H$1),12,31)),)</f>
        <v/>
      </c>
    </row>
    <row r="70">
      <c r="A70" s="22"/>
      <c r="B70" s="22" t="str">
        <f>IF(A70&lt;&gt;"",SUMIFS('💸 Transaction ซื้อ'!E:E,'💸 Transaction ซื้อ'!B:B,A70)-SUMIFS('💰 Transaction ขาย'!E:E,'💰 Transaction ขาย'!B:B,A70),"")</f>
        <v/>
      </c>
      <c r="C70" s="23" t="str">
        <f>IF(A70&lt;&gt;"",vlookup(A70,'📦 ชื่อสินค้า'!A:E,5,false),"")</f>
        <v/>
      </c>
      <c r="D70" s="23" t="str">
        <f>IF(A70&lt;&gt;"",VLOOKUP(A70,'📦 ชื่อสินค้า'!A:F,6,false),"")</f>
        <v/>
      </c>
      <c r="E70" s="16" t="str">
        <f>IFERROR(IF(VLOOKUP(A70,'📦 ชื่อสินค้า'!A:G,7,false)="InActive","InActive",IF(A70&lt;&gt;"",IF(B70&lt;=0,"สินค้าหมด",IF(B70&lt;=C70,"ควรเติมทันที","OK")),"")),)</f>
        <v/>
      </c>
      <c r="F70" s="24" t="str">
        <f>IFERROR(IF(A70&lt;&gt;"", SUMIF('💸 Transaction ซื้อ'!B:B,A70,'💸 Transaction ซื้อ'!G:G)/SUMIF('💸 Transaction ซื้อ'!B:B,A70,'💸 Transaction ซื้อ'!E:E),""),"-")</f>
        <v/>
      </c>
      <c r="G70" s="24" t="str">
        <f t="shared" si="1"/>
        <v/>
      </c>
      <c r="H70" s="25"/>
      <c r="I70" s="26"/>
      <c r="J70" s="26"/>
      <c r="K70" s="27" t="str">
        <f>IF(A70&lt;&gt;"",IF(E70="InActive","-",SUMIFS('💰 Transaction ขาย'!E:E,'💰 Transaction ขาย'!B:B,A70,'💰 Transaction ขาย'!A:A,"&gt;"&amp;'⚙️ Config'!$H$1-'⚙️ Config'!$H$2)),)</f>
        <v/>
      </c>
      <c r="L70" s="28" t="str">
        <f>IF(E70="InActive","-",IF(A70&lt;&gt;"",K70/'⚙️ Config'!$H$2,))</f>
        <v/>
      </c>
      <c r="M70" s="28" t="str">
        <f t="shared" si="2"/>
        <v/>
      </c>
      <c r="N70" s="28" t="str">
        <f>IF(A70&lt;&gt;"", SUMIFS('💰 Transaction ขาย'!F:F,'💰 Transaction ขาย'!B:B,A70,'💰 Transaction ขาย'!A:A,"&gt;="&amp;DATE(YEAR('⚙️ Config'!$H$1),1,1),'💰 Transaction ขาย'!A:A,"&lt;="&amp;DATE(YEAR('⚙️ Config'!$H$1),12,31)),)</f>
        <v/>
      </c>
    </row>
    <row r="71">
      <c r="A71" s="22"/>
      <c r="B71" s="22" t="str">
        <f>IF(A71&lt;&gt;"",SUMIFS('💸 Transaction ซื้อ'!E:E,'💸 Transaction ซื้อ'!B:B,A71)-SUMIFS('💰 Transaction ขาย'!E:E,'💰 Transaction ขาย'!B:B,A71),"")</f>
        <v/>
      </c>
      <c r="C71" s="23" t="str">
        <f>IF(A71&lt;&gt;"",vlookup(A71,'📦 ชื่อสินค้า'!A:E,5,false),"")</f>
        <v/>
      </c>
      <c r="D71" s="23" t="str">
        <f>IF(A71&lt;&gt;"",VLOOKUP(A71,'📦 ชื่อสินค้า'!A:F,6,false),"")</f>
        <v/>
      </c>
      <c r="E71" s="16" t="str">
        <f>IFERROR(IF(VLOOKUP(A71,'📦 ชื่อสินค้า'!A:G,7,false)="InActive","InActive",IF(A71&lt;&gt;"",IF(B71&lt;=0,"สินค้าหมด",IF(B71&lt;=C71,"ควรเติมทันที","OK")),"")),)</f>
        <v/>
      </c>
      <c r="F71" s="24" t="str">
        <f>IFERROR(IF(A71&lt;&gt;"", SUMIF('💸 Transaction ซื้อ'!B:B,A71,'💸 Transaction ซื้อ'!G:G)/SUMIF('💸 Transaction ซื้อ'!B:B,A71,'💸 Transaction ซื้อ'!E:E),""),"-")</f>
        <v/>
      </c>
      <c r="G71" s="24" t="str">
        <f t="shared" si="1"/>
        <v/>
      </c>
      <c r="H71" s="25"/>
      <c r="I71" s="26"/>
      <c r="J71" s="26"/>
      <c r="K71" s="27" t="str">
        <f>IF(A71&lt;&gt;"",IF(E71="InActive","-",SUMIFS('💰 Transaction ขาย'!E:E,'💰 Transaction ขาย'!B:B,A71,'💰 Transaction ขาย'!A:A,"&gt;"&amp;'⚙️ Config'!$H$1-'⚙️ Config'!$H$2)),)</f>
        <v/>
      </c>
      <c r="L71" s="28" t="str">
        <f>IF(E71="InActive","-",IF(A71&lt;&gt;"",K71/'⚙️ Config'!$H$2,))</f>
        <v/>
      </c>
      <c r="M71" s="28" t="str">
        <f t="shared" si="2"/>
        <v/>
      </c>
      <c r="N71" s="28" t="str">
        <f>IF(A71&lt;&gt;"", SUMIFS('💰 Transaction ขาย'!F:F,'💰 Transaction ขาย'!B:B,A71,'💰 Transaction ขาย'!A:A,"&gt;="&amp;DATE(YEAR('⚙️ Config'!$H$1),1,1),'💰 Transaction ขาย'!A:A,"&lt;="&amp;DATE(YEAR('⚙️ Config'!$H$1),12,31)),)</f>
        <v/>
      </c>
    </row>
    <row r="72">
      <c r="A72" s="22"/>
      <c r="B72" s="22" t="str">
        <f>IF(A72&lt;&gt;"",SUMIFS('💸 Transaction ซื้อ'!E:E,'💸 Transaction ซื้อ'!B:B,A72)-SUMIFS('💰 Transaction ขาย'!E:E,'💰 Transaction ขาย'!B:B,A72),"")</f>
        <v/>
      </c>
      <c r="C72" s="23" t="str">
        <f>IF(A72&lt;&gt;"",vlookup(A72,'📦 ชื่อสินค้า'!A:E,5,false),"")</f>
        <v/>
      </c>
      <c r="D72" s="23" t="str">
        <f>IF(A72&lt;&gt;"",VLOOKUP(A72,'📦 ชื่อสินค้า'!A:F,6,false),"")</f>
        <v/>
      </c>
      <c r="E72" s="16" t="str">
        <f>IFERROR(IF(VLOOKUP(A72,'📦 ชื่อสินค้า'!A:G,7,false)="InActive","InActive",IF(A72&lt;&gt;"",IF(B72&lt;=0,"สินค้าหมด",IF(B72&lt;=C72,"ควรเติมทันที","OK")),"")),)</f>
        <v/>
      </c>
      <c r="F72" s="24" t="str">
        <f>IFERROR(IF(A72&lt;&gt;"", SUMIF('💸 Transaction ซื้อ'!B:B,A72,'💸 Transaction ซื้อ'!G:G)/SUMIF('💸 Transaction ซื้อ'!B:B,A72,'💸 Transaction ซื้อ'!E:E),""),"-")</f>
        <v/>
      </c>
      <c r="G72" s="24" t="str">
        <f t="shared" si="1"/>
        <v/>
      </c>
      <c r="H72" s="25"/>
      <c r="I72" s="26"/>
      <c r="J72" s="26"/>
      <c r="K72" s="27" t="str">
        <f>IF(A72&lt;&gt;"",IF(E72="InActive","-",SUMIFS('💰 Transaction ขาย'!E:E,'💰 Transaction ขาย'!B:B,A72,'💰 Transaction ขาย'!A:A,"&gt;"&amp;'⚙️ Config'!$H$1-'⚙️ Config'!$H$2)),)</f>
        <v/>
      </c>
      <c r="L72" s="28" t="str">
        <f>IF(E72="InActive","-",IF(A72&lt;&gt;"",K72/'⚙️ Config'!$H$2,))</f>
        <v/>
      </c>
      <c r="M72" s="28" t="str">
        <f t="shared" si="2"/>
        <v/>
      </c>
      <c r="N72" s="28" t="str">
        <f>IF(A72&lt;&gt;"", SUMIFS('💰 Transaction ขาย'!F:F,'💰 Transaction ขาย'!B:B,A72,'💰 Transaction ขาย'!A:A,"&gt;="&amp;DATE(YEAR('⚙️ Config'!$H$1),1,1),'💰 Transaction ขาย'!A:A,"&lt;="&amp;DATE(YEAR('⚙️ Config'!$H$1),12,31)),)</f>
        <v/>
      </c>
    </row>
    <row r="73">
      <c r="A73" s="22"/>
      <c r="B73" s="22" t="str">
        <f>IF(A73&lt;&gt;"",SUMIFS('💸 Transaction ซื้อ'!E:E,'💸 Transaction ซื้อ'!B:B,A73)-SUMIFS('💰 Transaction ขาย'!E:E,'💰 Transaction ขาย'!B:B,A73),"")</f>
        <v/>
      </c>
      <c r="C73" s="23" t="str">
        <f>IF(A73&lt;&gt;"",vlookup(A73,'📦 ชื่อสินค้า'!A:E,5,false),"")</f>
        <v/>
      </c>
      <c r="D73" s="23" t="str">
        <f>IF(A73&lt;&gt;"",VLOOKUP(A73,'📦 ชื่อสินค้า'!A:F,6,false),"")</f>
        <v/>
      </c>
      <c r="E73" s="16" t="str">
        <f>IFERROR(IF(VLOOKUP(A73,'📦 ชื่อสินค้า'!A:G,7,false)="InActive","InActive",IF(A73&lt;&gt;"",IF(B73&lt;=0,"สินค้าหมด",IF(B73&lt;=C73,"ควรเติมทันที","OK")),"")),)</f>
        <v/>
      </c>
      <c r="F73" s="24" t="str">
        <f>IFERROR(IF(A73&lt;&gt;"", SUMIF('💸 Transaction ซื้อ'!B:B,A73,'💸 Transaction ซื้อ'!G:G)/SUMIF('💸 Transaction ซื้อ'!B:B,A73,'💸 Transaction ซื้อ'!E:E),""),"-")</f>
        <v/>
      </c>
      <c r="G73" s="24" t="str">
        <f t="shared" si="1"/>
        <v/>
      </c>
      <c r="H73" s="25"/>
      <c r="I73" s="26"/>
      <c r="J73" s="26"/>
      <c r="K73" s="27" t="str">
        <f>IF(A73&lt;&gt;"",IF(E73="InActive","-",SUMIFS('💰 Transaction ขาย'!E:E,'💰 Transaction ขาย'!B:B,A73,'💰 Transaction ขาย'!A:A,"&gt;"&amp;'⚙️ Config'!$H$1-'⚙️ Config'!$H$2)),)</f>
        <v/>
      </c>
      <c r="L73" s="28" t="str">
        <f>IF(E73="InActive","-",IF(A73&lt;&gt;"",K73/'⚙️ Config'!$H$2,))</f>
        <v/>
      </c>
      <c r="M73" s="28" t="str">
        <f t="shared" si="2"/>
        <v/>
      </c>
      <c r="N73" s="28" t="str">
        <f>IF(A73&lt;&gt;"", SUMIFS('💰 Transaction ขาย'!F:F,'💰 Transaction ขาย'!B:B,A73,'💰 Transaction ขาย'!A:A,"&gt;="&amp;DATE(YEAR('⚙️ Config'!$H$1),1,1),'💰 Transaction ขาย'!A:A,"&lt;="&amp;DATE(YEAR('⚙️ Config'!$H$1),12,31)),)</f>
        <v/>
      </c>
    </row>
    <row r="74">
      <c r="A74" s="22"/>
      <c r="B74" s="22" t="str">
        <f>IF(A74&lt;&gt;"",SUMIFS('💸 Transaction ซื้อ'!E:E,'💸 Transaction ซื้อ'!B:B,A74)-SUMIFS('💰 Transaction ขาย'!E:E,'💰 Transaction ขาย'!B:B,A74),"")</f>
        <v/>
      </c>
      <c r="C74" s="23" t="str">
        <f>IF(A74&lt;&gt;"",vlookup(A74,'📦 ชื่อสินค้า'!A:E,5,false),"")</f>
        <v/>
      </c>
      <c r="D74" s="23" t="str">
        <f>IF(A74&lt;&gt;"",VLOOKUP(A74,'📦 ชื่อสินค้า'!A:F,6,false),"")</f>
        <v/>
      </c>
      <c r="E74" s="16" t="str">
        <f>IFERROR(IF(VLOOKUP(A74,'📦 ชื่อสินค้า'!A:G,7,false)="InActive","InActive",IF(A74&lt;&gt;"",IF(B74&lt;=0,"สินค้าหมด",IF(B74&lt;=C74,"ควรเติมทันที","OK")),"")),)</f>
        <v/>
      </c>
      <c r="F74" s="24" t="str">
        <f>IFERROR(IF(A74&lt;&gt;"", SUMIF('💸 Transaction ซื้อ'!B:B,A74,'💸 Transaction ซื้อ'!G:G)/SUMIF('💸 Transaction ซื้อ'!B:B,A74,'💸 Transaction ซื้อ'!E:E),""),"-")</f>
        <v/>
      </c>
      <c r="G74" s="24" t="str">
        <f t="shared" si="1"/>
        <v/>
      </c>
      <c r="H74" s="25"/>
      <c r="I74" s="26"/>
      <c r="J74" s="26"/>
      <c r="K74" s="27" t="str">
        <f>IF(A74&lt;&gt;"",IF(E74="InActive","-",SUMIFS('💰 Transaction ขาย'!E:E,'💰 Transaction ขาย'!B:B,A74,'💰 Transaction ขาย'!A:A,"&gt;"&amp;'⚙️ Config'!$H$1-'⚙️ Config'!$H$2)),)</f>
        <v/>
      </c>
      <c r="L74" s="28" t="str">
        <f>IF(E74="InActive","-",IF(A74&lt;&gt;"",K74/'⚙️ Config'!$H$2,))</f>
        <v/>
      </c>
      <c r="M74" s="28" t="str">
        <f t="shared" si="2"/>
        <v/>
      </c>
      <c r="N74" s="28" t="str">
        <f>IF(A74&lt;&gt;"", SUMIFS('💰 Transaction ขาย'!F:F,'💰 Transaction ขาย'!B:B,A74,'💰 Transaction ขาย'!A:A,"&gt;="&amp;DATE(YEAR('⚙️ Config'!$H$1),1,1),'💰 Transaction ขาย'!A:A,"&lt;="&amp;DATE(YEAR('⚙️ Config'!$H$1),12,31)),)</f>
        <v/>
      </c>
    </row>
    <row r="75">
      <c r="A75" s="22"/>
      <c r="B75" s="22" t="str">
        <f>IF(A75&lt;&gt;"",SUMIFS('💸 Transaction ซื้อ'!E:E,'💸 Transaction ซื้อ'!B:B,A75)-SUMIFS('💰 Transaction ขาย'!E:E,'💰 Transaction ขาย'!B:B,A75),"")</f>
        <v/>
      </c>
      <c r="C75" s="23" t="str">
        <f>IF(A75&lt;&gt;"",vlookup(A75,'📦 ชื่อสินค้า'!A:E,5,false),"")</f>
        <v/>
      </c>
      <c r="D75" s="23" t="str">
        <f>IF(A75&lt;&gt;"",VLOOKUP(A75,'📦 ชื่อสินค้า'!A:F,6,false),"")</f>
        <v/>
      </c>
      <c r="E75" s="16" t="str">
        <f>IFERROR(IF(VLOOKUP(A75,'📦 ชื่อสินค้า'!A:G,7,false)="InActive","InActive",IF(A75&lt;&gt;"",IF(B75&lt;=0,"สินค้าหมด",IF(B75&lt;=C75,"ควรเติมทันที","OK")),"")),)</f>
        <v/>
      </c>
      <c r="F75" s="24" t="str">
        <f>IFERROR(IF(A75&lt;&gt;"", SUMIF('💸 Transaction ซื้อ'!B:B,A75,'💸 Transaction ซื้อ'!G:G)/SUMIF('💸 Transaction ซื้อ'!B:B,A75,'💸 Transaction ซื้อ'!E:E),""),"-")</f>
        <v/>
      </c>
      <c r="G75" s="24" t="str">
        <f t="shared" si="1"/>
        <v/>
      </c>
      <c r="H75" s="25"/>
      <c r="I75" s="26"/>
      <c r="J75" s="26"/>
      <c r="K75" s="27" t="str">
        <f>IF(A75&lt;&gt;"",IF(E75="InActive","-",SUMIFS('💰 Transaction ขาย'!E:E,'💰 Transaction ขาย'!B:B,A75,'💰 Transaction ขาย'!A:A,"&gt;"&amp;'⚙️ Config'!$H$1-'⚙️ Config'!$H$2)),)</f>
        <v/>
      </c>
      <c r="L75" s="28" t="str">
        <f>IF(E75="InActive","-",IF(A75&lt;&gt;"",K75/'⚙️ Config'!$H$2,))</f>
        <v/>
      </c>
      <c r="M75" s="28" t="str">
        <f t="shared" si="2"/>
        <v/>
      </c>
      <c r="N75" s="28" t="str">
        <f>IF(A75&lt;&gt;"", SUMIFS('💰 Transaction ขาย'!F:F,'💰 Transaction ขาย'!B:B,A75,'💰 Transaction ขาย'!A:A,"&gt;="&amp;DATE(YEAR('⚙️ Config'!$H$1),1,1),'💰 Transaction ขาย'!A:A,"&lt;="&amp;DATE(YEAR('⚙️ Config'!$H$1),12,31)),)</f>
        <v/>
      </c>
    </row>
    <row r="76">
      <c r="A76" s="22"/>
      <c r="B76" s="22" t="str">
        <f>IF(A76&lt;&gt;"",SUMIFS('💸 Transaction ซื้อ'!E:E,'💸 Transaction ซื้อ'!B:B,A76)-SUMIFS('💰 Transaction ขาย'!E:E,'💰 Transaction ขาย'!B:B,A76),"")</f>
        <v/>
      </c>
      <c r="C76" s="23" t="str">
        <f>IF(A76&lt;&gt;"",vlookup(A76,'📦 ชื่อสินค้า'!A:E,5,false),"")</f>
        <v/>
      </c>
      <c r="D76" s="23" t="str">
        <f>IF(A76&lt;&gt;"",VLOOKUP(A76,'📦 ชื่อสินค้า'!A:F,6,false),"")</f>
        <v/>
      </c>
      <c r="E76" s="16" t="str">
        <f>IFERROR(IF(VLOOKUP(A76,'📦 ชื่อสินค้า'!A:G,7,false)="InActive","InActive",IF(A76&lt;&gt;"",IF(B76&lt;=0,"สินค้าหมด",IF(B76&lt;=C76,"ควรเติมทันที","OK")),"")),)</f>
        <v/>
      </c>
      <c r="F76" s="24" t="str">
        <f>IFERROR(IF(A76&lt;&gt;"", SUMIF('💸 Transaction ซื้อ'!B:B,A76,'💸 Transaction ซื้อ'!G:G)/SUMIF('💸 Transaction ซื้อ'!B:B,A76,'💸 Transaction ซื้อ'!E:E),""),"-")</f>
        <v/>
      </c>
      <c r="G76" s="24" t="str">
        <f t="shared" si="1"/>
        <v/>
      </c>
      <c r="H76" s="25"/>
      <c r="I76" s="26"/>
      <c r="J76" s="26"/>
      <c r="K76" s="27" t="str">
        <f>IF(A76&lt;&gt;"",IF(E76="InActive","-",SUMIFS('💰 Transaction ขาย'!E:E,'💰 Transaction ขาย'!B:B,A76,'💰 Transaction ขาย'!A:A,"&gt;"&amp;'⚙️ Config'!$H$1-'⚙️ Config'!$H$2)),)</f>
        <v/>
      </c>
      <c r="L76" s="28" t="str">
        <f>IF(E76="InActive","-",IF(A76&lt;&gt;"",K76/'⚙️ Config'!$H$2,))</f>
        <v/>
      </c>
      <c r="M76" s="28" t="str">
        <f t="shared" si="2"/>
        <v/>
      </c>
      <c r="N76" s="28" t="str">
        <f>IF(A76&lt;&gt;"", SUMIFS('💰 Transaction ขาย'!F:F,'💰 Transaction ขาย'!B:B,A76,'💰 Transaction ขาย'!A:A,"&gt;="&amp;DATE(YEAR('⚙️ Config'!$H$1),1,1),'💰 Transaction ขาย'!A:A,"&lt;="&amp;DATE(YEAR('⚙️ Config'!$H$1),12,31)),)</f>
        <v/>
      </c>
    </row>
    <row r="77">
      <c r="A77" s="22"/>
      <c r="B77" s="22" t="str">
        <f>IF(A77&lt;&gt;"",SUMIFS('💸 Transaction ซื้อ'!E:E,'💸 Transaction ซื้อ'!B:B,A77)-SUMIFS('💰 Transaction ขาย'!E:E,'💰 Transaction ขาย'!B:B,A77),"")</f>
        <v/>
      </c>
      <c r="C77" s="23" t="str">
        <f>IF(A77&lt;&gt;"",vlookup(A77,'📦 ชื่อสินค้า'!A:E,5,false),"")</f>
        <v/>
      </c>
      <c r="D77" s="23" t="str">
        <f>IF(A77&lt;&gt;"",VLOOKUP(A77,'📦 ชื่อสินค้า'!A:F,6,false),"")</f>
        <v/>
      </c>
      <c r="E77" s="16" t="str">
        <f>IFERROR(IF(VLOOKUP(A77,'📦 ชื่อสินค้า'!A:G,7,false)="InActive","InActive",IF(A77&lt;&gt;"",IF(B77&lt;=0,"สินค้าหมด",IF(B77&lt;=C77,"ควรเติมทันที","OK")),"")),)</f>
        <v/>
      </c>
      <c r="F77" s="24" t="str">
        <f>IFERROR(IF(A77&lt;&gt;"", SUMIF('💸 Transaction ซื้อ'!B:B,A77,'💸 Transaction ซื้อ'!G:G)/SUMIF('💸 Transaction ซื้อ'!B:B,A77,'💸 Transaction ซื้อ'!E:E),""),"-")</f>
        <v/>
      </c>
      <c r="G77" s="24" t="str">
        <f t="shared" si="1"/>
        <v/>
      </c>
      <c r="H77" s="25"/>
      <c r="I77" s="26"/>
      <c r="J77" s="26"/>
      <c r="K77" s="27" t="str">
        <f>IF(A77&lt;&gt;"",IF(E77="InActive","-",SUMIFS('💰 Transaction ขาย'!E:E,'💰 Transaction ขาย'!B:B,A77,'💰 Transaction ขาย'!A:A,"&gt;"&amp;'⚙️ Config'!$H$1-'⚙️ Config'!$H$2)),)</f>
        <v/>
      </c>
      <c r="L77" s="28" t="str">
        <f>IF(E77="InActive","-",IF(A77&lt;&gt;"",K77/'⚙️ Config'!$H$2,))</f>
        <v/>
      </c>
      <c r="M77" s="28" t="str">
        <f t="shared" si="2"/>
        <v/>
      </c>
      <c r="N77" s="28" t="str">
        <f>IF(A77&lt;&gt;"", SUMIFS('💰 Transaction ขาย'!F:F,'💰 Transaction ขาย'!B:B,A77,'💰 Transaction ขาย'!A:A,"&gt;="&amp;DATE(YEAR('⚙️ Config'!$H$1),1,1),'💰 Transaction ขาย'!A:A,"&lt;="&amp;DATE(YEAR('⚙️ Config'!$H$1),12,31)),)</f>
        <v/>
      </c>
    </row>
    <row r="78">
      <c r="A78" s="22"/>
      <c r="B78" s="22" t="str">
        <f>IF(A78&lt;&gt;"",SUMIFS('💸 Transaction ซื้อ'!E:E,'💸 Transaction ซื้อ'!B:B,A78)-SUMIFS('💰 Transaction ขาย'!E:E,'💰 Transaction ขาย'!B:B,A78),"")</f>
        <v/>
      </c>
      <c r="C78" s="23" t="str">
        <f>IF(A78&lt;&gt;"",vlookup(A78,'📦 ชื่อสินค้า'!A:E,5,false),"")</f>
        <v/>
      </c>
      <c r="D78" s="23" t="str">
        <f>IF(A78&lt;&gt;"",VLOOKUP(A78,'📦 ชื่อสินค้า'!A:F,6,false),"")</f>
        <v/>
      </c>
      <c r="E78" s="16" t="str">
        <f>IFERROR(IF(VLOOKUP(A78,'📦 ชื่อสินค้า'!A:G,7,false)="InActive","InActive",IF(A78&lt;&gt;"",IF(B78&lt;=0,"สินค้าหมด",IF(B78&lt;=C78,"ควรเติมทันที","OK")),"")),)</f>
        <v/>
      </c>
      <c r="F78" s="24" t="str">
        <f>IFERROR(IF(A78&lt;&gt;"", SUMIF('💸 Transaction ซื้อ'!B:B,A78,'💸 Transaction ซื้อ'!G:G)/SUMIF('💸 Transaction ซื้อ'!B:B,A78,'💸 Transaction ซื้อ'!E:E),""),"-")</f>
        <v/>
      </c>
      <c r="G78" s="24" t="str">
        <f t="shared" si="1"/>
        <v/>
      </c>
      <c r="H78" s="25"/>
      <c r="I78" s="26"/>
      <c r="J78" s="26"/>
      <c r="K78" s="27" t="str">
        <f>IF(A78&lt;&gt;"",IF(E78="InActive","-",SUMIFS('💰 Transaction ขาย'!E:E,'💰 Transaction ขาย'!B:B,A78,'💰 Transaction ขาย'!A:A,"&gt;"&amp;'⚙️ Config'!$H$1-'⚙️ Config'!$H$2)),)</f>
        <v/>
      </c>
      <c r="L78" s="28" t="str">
        <f>IF(E78="InActive","-",IF(A78&lt;&gt;"",K78/'⚙️ Config'!$H$2,))</f>
        <v/>
      </c>
      <c r="M78" s="28" t="str">
        <f t="shared" si="2"/>
        <v/>
      </c>
      <c r="N78" s="28" t="str">
        <f>IF(A78&lt;&gt;"", SUMIFS('💰 Transaction ขาย'!F:F,'💰 Transaction ขาย'!B:B,A78,'💰 Transaction ขาย'!A:A,"&gt;="&amp;DATE(YEAR('⚙️ Config'!$H$1),1,1),'💰 Transaction ขาย'!A:A,"&lt;="&amp;DATE(YEAR('⚙️ Config'!$H$1),12,31)),)</f>
        <v/>
      </c>
    </row>
    <row r="79">
      <c r="A79" s="22"/>
      <c r="B79" s="22" t="str">
        <f>IF(A79&lt;&gt;"",SUMIFS('💸 Transaction ซื้อ'!E:E,'💸 Transaction ซื้อ'!B:B,A79)-SUMIFS('💰 Transaction ขาย'!E:E,'💰 Transaction ขาย'!B:B,A79),"")</f>
        <v/>
      </c>
      <c r="C79" s="23" t="str">
        <f>IF(A79&lt;&gt;"",vlookup(A79,'📦 ชื่อสินค้า'!A:E,5,false),"")</f>
        <v/>
      </c>
      <c r="D79" s="23" t="str">
        <f>IF(A79&lt;&gt;"",VLOOKUP(A79,'📦 ชื่อสินค้า'!A:F,6,false),"")</f>
        <v/>
      </c>
      <c r="E79" s="16" t="str">
        <f>IFERROR(IF(VLOOKUP(A79,'📦 ชื่อสินค้า'!A:G,7,false)="InActive","InActive",IF(A79&lt;&gt;"",IF(B79&lt;=0,"สินค้าหมด",IF(B79&lt;=C79,"ควรเติมทันที","OK")),"")),)</f>
        <v/>
      </c>
      <c r="F79" s="24" t="str">
        <f>IFERROR(IF(A79&lt;&gt;"", SUMIF('💸 Transaction ซื้อ'!B:B,A79,'💸 Transaction ซื้อ'!G:G)/SUMIF('💸 Transaction ซื้อ'!B:B,A79,'💸 Transaction ซื้อ'!E:E),""),"-")</f>
        <v/>
      </c>
      <c r="G79" s="24" t="str">
        <f t="shared" si="1"/>
        <v/>
      </c>
      <c r="H79" s="25"/>
      <c r="I79" s="26"/>
      <c r="J79" s="26"/>
      <c r="K79" s="27" t="str">
        <f>IF(A79&lt;&gt;"",IF(E79="InActive","-",SUMIFS('💰 Transaction ขาย'!E:E,'💰 Transaction ขาย'!B:B,A79,'💰 Transaction ขาย'!A:A,"&gt;"&amp;'⚙️ Config'!$H$1-'⚙️ Config'!$H$2)),)</f>
        <v/>
      </c>
      <c r="L79" s="28" t="str">
        <f>IF(E79="InActive","-",IF(A79&lt;&gt;"",K79/'⚙️ Config'!$H$2,))</f>
        <v/>
      </c>
      <c r="M79" s="28" t="str">
        <f t="shared" si="2"/>
        <v/>
      </c>
      <c r="N79" s="28" t="str">
        <f>IF(A79&lt;&gt;"", SUMIFS('💰 Transaction ขาย'!F:F,'💰 Transaction ขาย'!B:B,A79,'💰 Transaction ขาย'!A:A,"&gt;="&amp;DATE(YEAR('⚙️ Config'!$H$1),1,1),'💰 Transaction ขาย'!A:A,"&lt;="&amp;DATE(YEAR('⚙️ Config'!$H$1),12,31)),)</f>
        <v/>
      </c>
    </row>
    <row r="80">
      <c r="A80" s="22"/>
      <c r="B80" s="22" t="str">
        <f>IF(A80&lt;&gt;"",SUMIFS('💸 Transaction ซื้อ'!E:E,'💸 Transaction ซื้อ'!B:B,A80)-SUMIFS('💰 Transaction ขาย'!E:E,'💰 Transaction ขาย'!B:B,A80),"")</f>
        <v/>
      </c>
      <c r="C80" s="23" t="str">
        <f>IF(A80&lt;&gt;"",vlookup(A80,'📦 ชื่อสินค้า'!A:E,5,false),"")</f>
        <v/>
      </c>
      <c r="D80" s="23" t="str">
        <f>IF(A80&lt;&gt;"",VLOOKUP(A80,'📦 ชื่อสินค้า'!A:F,6,false),"")</f>
        <v/>
      </c>
      <c r="E80" s="16" t="str">
        <f>IFERROR(IF(VLOOKUP(A80,'📦 ชื่อสินค้า'!A:G,7,false)="InActive","InActive",IF(A80&lt;&gt;"",IF(B80&lt;=0,"สินค้าหมด",IF(B80&lt;=C80,"ควรเติมทันที","OK")),"")),)</f>
        <v/>
      </c>
      <c r="F80" s="24" t="str">
        <f>IFERROR(IF(A80&lt;&gt;"", SUMIF('💸 Transaction ซื้อ'!B:B,A80,'💸 Transaction ซื้อ'!G:G)/SUMIF('💸 Transaction ซื้อ'!B:B,A80,'💸 Transaction ซื้อ'!E:E),""),"-")</f>
        <v/>
      </c>
      <c r="G80" s="24" t="str">
        <f t="shared" si="1"/>
        <v/>
      </c>
      <c r="H80" s="25"/>
      <c r="I80" s="26"/>
      <c r="J80" s="26"/>
      <c r="K80" s="27" t="str">
        <f>IF(A80&lt;&gt;"",IF(E80="InActive","-",SUMIFS('💰 Transaction ขาย'!E:E,'💰 Transaction ขาย'!B:B,A80,'💰 Transaction ขาย'!A:A,"&gt;"&amp;'⚙️ Config'!$H$1-'⚙️ Config'!$H$2)),)</f>
        <v/>
      </c>
      <c r="L80" s="28" t="str">
        <f>IF(E80="InActive","-",IF(A80&lt;&gt;"",K80/'⚙️ Config'!$H$2,))</f>
        <v/>
      </c>
      <c r="M80" s="28" t="str">
        <f t="shared" si="2"/>
        <v/>
      </c>
      <c r="N80" s="28" t="str">
        <f>IF(A80&lt;&gt;"", SUMIFS('💰 Transaction ขาย'!F:F,'💰 Transaction ขาย'!B:B,A80,'💰 Transaction ขาย'!A:A,"&gt;="&amp;DATE(YEAR('⚙️ Config'!$H$1),1,1),'💰 Transaction ขาย'!A:A,"&lt;="&amp;DATE(YEAR('⚙️ Config'!$H$1),12,31)),)</f>
        <v/>
      </c>
    </row>
    <row r="81">
      <c r="A81" s="22"/>
      <c r="B81" s="22" t="str">
        <f>IF(A81&lt;&gt;"",SUMIFS('💸 Transaction ซื้อ'!E:E,'💸 Transaction ซื้อ'!B:B,A81)-SUMIFS('💰 Transaction ขาย'!E:E,'💰 Transaction ขาย'!B:B,A81),"")</f>
        <v/>
      </c>
      <c r="C81" s="23" t="str">
        <f>IF(A81&lt;&gt;"",vlookup(A81,'📦 ชื่อสินค้า'!A:E,5,false),"")</f>
        <v/>
      </c>
      <c r="D81" s="23" t="str">
        <f>IF(A81&lt;&gt;"",VLOOKUP(A81,'📦 ชื่อสินค้า'!A:F,6,false),"")</f>
        <v/>
      </c>
      <c r="E81" s="16" t="str">
        <f>IFERROR(IF(VLOOKUP(A81,'📦 ชื่อสินค้า'!A:G,7,false)="InActive","InActive",IF(A81&lt;&gt;"",IF(B81&lt;=0,"สินค้าหมด",IF(B81&lt;=C81,"ควรเติมทันที","OK")),"")),)</f>
        <v/>
      </c>
      <c r="F81" s="24" t="str">
        <f>IFERROR(IF(A81&lt;&gt;"", SUMIF('💸 Transaction ซื้อ'!B:B,A81,'💸 Transaction ซื้อ'!G:G)/SUMIF('💸 Transaction ซื้อ'!B:B,A81,'💸 Transaction ซื้อ'!E:E),""),"-")</f>
        <v/>
      </c>
      <c r="G81" s="24" t="str">
        <f t="shared" si="1"/>
        <v/>
      </c>
      <c r="H81" s="25"/>
      <c r="I81" s="26"/>
      <c r="J81" s="26"/>
      <c r="K81" s="27" t="str">
        <f>IF(A81&lt;&gt;"",IF(E81="InActive","-",SUMIFS('💰 Transaction ขาย'!E:E,'💰 Transaction ขาย'!B:B,A81,'💰 Transaction ขาย'!A:A,"&gt;"&amp;'⚙️ Config'!$H$1-'⚙️ Config'!$H$2)),)</f>
        <v/>
      </c>
      <c r="L81" s="28" t="str">
        <f>IF(E81="InActive","-",IF(A81&lt;&gt;"",K81/'⚙️ Config'!$H$2,))</f>
        <v/>
      </c>
      <c r="M81" s="28" t="str">
        <f t="shared" si="2"/>
        <v/>
      </c>
      <c r="N81" s="28" t="str">
        <f>IF(A81&lt;&gt;"", SUMIFS('💰 Transaction ขาย'!F:F,'💰 Transaction ขาย'!B:B,A81,'💰 Transaction ขาย'!A:A,"&gt;="&amp;DATE(YEAR('⚙️ Config'!$H$1),1,1),'💰 Transaction ขาย'!A:A,"&lt;="&amp;DATE(YEAR('⚙️ Config'!$H$1),12,31)),)</f>
        <v/>
      </c>
    </row>
    <row r="82">
      <c r="A82" s="22"/>
      <c r="B82" s="22" t="str">
        <f>IF(A82&lt;&gt;"",SUMIFS('💸 Transaction ซื้อ'!E:E,'💸 Transaction ซื้อ'!B:B,A82)-SUMIFS('💰 Transaction ขาย'!E:E,'💰 Transaction ขาย'!B:B,A82),"")</f>
        <v/>
      </c>
      <c r="C82" s="23" t="str">
        <f>IF(A82&lt;&gt;"",vlookup(A82,'📦 ชื่อสินค้า'!A:E,5,false),"")</f>
        <v/>
      </c>
      <c r="D82" s="23" t="str">
        <f>IF(A82&lt;&gt;"",VLOOKUP(A82,'📦 ชื่อสินค้า'!A:F,6,false),"")</f>
        <v/>
      </c>
      <c r="E82" s="16" t="str">
        <f>IFERROR(IF(VLOOKUP(A82,'📦 ชื่อสินค้า'!A:G,7,false)="InActive","InActive",IF(A82&lt;&gt;"",IF(B82&lt;=0,"สินค้าหมด",IF(B82&lt;=C82,"ควรเติมทันที","OK")),"")),)</f>
        <v/>
      </c>
      <c r="F82" s="24" t="str">
        <f>IFERROR(IF(A82&lt;&gt;"", SUMIF('💸 Transaction ซื้อ'!B:B,A82,'💸 Transaction ซื้อ'!G:G)/SUMIF('💸 Transaction ซื้อ'!B:B,A82,'💸 Transaction ซื้อ'!E:E),""),"-")</f>
        <v/>
      </c>
      <c r="G82" s="24" t="str">
        <f t="shared" si="1"/>
        <v/>
      </c>
      <c r="H82" s="25"/>
      <c r="I82" s="26"/>
      <c r="J82" s="26"/>
      <c r="K82" s="27" t="str">
        <f>IF(A82&lt;&gt;"",IF(E82="InActive","-",SUMIFS('💰 Transaction ขาย'!E:E,'💰 Transaction ขาย'!B:B,A82,'💰 Transaction ขาย'!A:A,"&gt;"&amp;'⚙️ Config'!$H$1-'⚙️ Config'!$H$2)),)</f>
        <v/>
      </c>
      <c r="L82" s="28" t="str">
        <f>IF(E82="InActive","-",IF(A82&lt;&gt;"",K82/'⚙️ Config'!$H$2,))</f>
        <v/>
      </c>
      <c r="M82" s="28" t="str">
        <f t="shared" si="2"/>
        <v/>
      </c>
      <c r="N82" s="28" t="str">
        <f>IF(A82&lt;&gt;"", SUMIFS('💰 Transaction ขาย'!F:F,'💰 Transaction ขาย'!B:B,A82,'💰 Transaction ขาย'!A:A,"&gt;="&amp;DATE(YEAR('⚙️ Config'!$H$1),1,1),'💰 Transaction ขาย'!A:A,"&lt;="&amp;DATE(YEAR('⚙️ Config'!$H$1),12,31)),)</f>
        <v/>
      </c>
    </row>
    <row r="83">
      <c r="A83" s="22"/>
      <c r="B83" s="22" t="str">
        <f>IF(A83&lt;&gt;"",SUMIFS('💸 Transaction ซื้อ'!E:E,'💸 Transaction ซื้อ'!B:B,A83)-SUMIFS('💰 Transaction ขาย'!E:E,'💰 Transaction ขาย'!B:B,A83),"")</f>
        <v/>
      </c>
      <c r="C83" s="23" t="str">
        <f>IF(A83&lt;&gt;"",vlookup(A83,'📦 ชื่อสินค้า'!A:E,5,false),"")</f>
        <v/>
      </c>
      <c r="D83" s="23" t="str">
        <f>IF(A83&lt;&gt;"",VLOOKUP(A83,'📦 ชื่อสินค้า'!A:F,6,false),"")</f>
        <v/>
      </c>
      <c r="E83" s="16" t="str">
        <f>IFERROR(IF(VLOOKUP(A83,'📦 ชื่อสินค้า'!A:G,7,false)="InActive","InActive",IF(A83&lt;&gt;"",IF(B83&lt;=0,"สินค้าหมด",IF(B83&lt;=C83,"ควรเติมทันที","OK")),"")),)</f>
        <v/>
      </c>
      <c r="F83" s="24" t="str">
        <f>IFERROR(IF(A83&lt;&gt;"", SUMIF('💸 Transaction ซื้อ'!B:B,A83,'💸 Transaction ซื้อ'!G:G)/SUMIF('💸 Transaction ซื้อ'!B:B,A83,'💸 Transaction ซื้อ'!E:E),""),"-")</f>
        <v/>
      </c>
      <c r="G83" s="24" t="str">
        <f t="shared" si="1"/>
        <v/>
      </c>
      <c r="H83" s="25"/>
      <c r="I83" s="26"/>
      <c r="J83" s="26"/>
      <c r="K83" s="27" t="str">
        <f>IF(A83&lt;&gt;"",IF(E83="InActive","-",SUMIFS('💰 Transaction ขาย'!E:E,'💰 Transaction ขาย'!B:B,A83,'💰 Transaction ขาย'!A:A,"&gt;"&amp;'⚙️ Config'!$H$1-'⚙️ Config'!$H$2)),)</f>
        <v/>
      </c>
      <c r="L83" s="28" t="str">
        <f>IF(E83="InActive","-",IF(A83&lt;&gt;"",K83/'⚙️ Config'!$H$2,))</f>
        <v/>
      </c>
      <c r="M83" s="28" t="str">
        <f t="shared" si="2"/>
        <v/>
      </c>
      <c r="N83" s="28" t="str">
        <f>IF(A83&lt;&gt;"", SUMIFS('💰 Transaction ขาย'!F:F,'💰 Transaction ขาย'!B:B,A83,'💰 Transaction ขาย'!A:A,"&gt;="&amp;DATE(YEAR('⚙️ Config'!$H$1),1,1),'💰 Transaction ขาย'!A:A,"&lt;="&amp;DATE(YEAR('⚙️ Config'!$H$1),12,31)),)</f>
        <v/>
      </c>
    </row>
    <row r="84">
      <c r="A84" s="22"/>
      <c r="B84" s="22" t="str">
        <f>IF(A84&lt;&gt;"",SUMIFS('💸 Transaction ซื้อ'!E:E,'💸 Transaction ซื้อ'!B:B,A84)-SUMIFS('💰 Transaction ขาย'!E:E,'💰 Transaction ขาย'!B:B,A84),"")</f>
        <v/>
      </c>
      <c r="C84" s="23" t="str">
        <f>IF(A84&lt;&gt;"",vlookup(A84,'📦 ชื่อสินค้า'!A:E,5,false),"")</f>
        <v/>
      </c>
      <c r="D84" s="23" t="str">
        <f>IF(A84&lt;&gt;"",VLOOKUP(A84,'📦 ชื่อสินค้า'!A:F,6,false),"")</f>
        <v/>
      </c>
      <c r="E84" s="16" t="str">
        <f>IFERROR(IF(VLOOKUP(A84,'📦 ชื่อสินค้า'!A:G,7,false)="InActive","InActive",IF(A84&lt;&gt;"",IF(B84&lt;=0,"สินค้าหมด",IF(B84&lt;=C84,"ควรเติมทันที","OK")),"")),)</f>
        <v/>
      </c>
      <c r="F84" s="24" t="str">
        <f>IFERROR(IF(A84&lt;&gt;"", SUMIF('💸 Transaction ซื้อ'!B:B,A84,'💸 Transaction ซื้อ'!G:G)/SUMIF('💸 Transaction ซื้อ'!B:B,A84,'💸 Transaction ซื้อ'!E:E),""),"-")</f>
        <v/>
      </c>
      <c r="G84" s="24" t="str">
        <f t="shared" si="1"/>
        <v/>
      </c>
      <c r="H84" s="25"/>
      <c r="I84" s="26"/>
      <c r="J84" s="26"/>
      <c r="K84" s="27" t="str">
        <f>IF(A84&lt;&gt;"",IF(E84="InActive","-",SUMIFS('💰 Transaction ขาย'!E:E,'💰 Transaction ขาย'!B:B,A84,'💰 Transaction ขาย'!A:A,"&gt;"&amp;'⚙️ Config'!$H$1-'⚙️ Config'!$H$2)),)</f>
        <v/>
      </c>
      <c r="L84" s="28" t="str">
        <f>IF(E84="InActive","-",IF(A84&lt;&gt;"",K84/'⚙️ Config'!$H$2,))</f>
        <v/>
      </c>
      <c r="M84" s="28" t="str">
        <f t="shared" si="2"/>
        <v/>
      </c>
      <c r="N84" s="28" t="str">
        <f>IF(A84&lt;&gt;"", SUMIFS('💰 Transaction ขาย'!F:F,'💰 Transaction ขาย'!B:B,A84,'💰 Transaction ขาย'!A:A,"&gt;="&amp;DATE(YEAR('⚙️ Config'!$H$1),1,1),'💰 Transaction ขาย'!A:A,"&lt;="&amp;DATE(YEAR('⚙️ Config'!$H$1),12,31)),)</f>
        <v/>
      </c>
    </row>
    <row r="85">
      <c r="A85" s="22"/>
      <c r="B85" s="22" t="str">
        <f>IF(A85&lt;&gt;"",SUMIFS('💸 Transaction ซื้อ'!E:E,'💸 Transaction ซื้อ'!B:B,A85)-SUMIFS('💰 Transaction ขาย'!E:E,'💰 Transaction ขาย'!B:B,A85),"")</f>
        <v/>
      </c>
      <c r="C85" s="23" t="str">
        <f>IF(A85&lt;&gt;"",vlookup(A85,'📦 ชื่อสินค้า'!A:E,5,false),"")</f>
        <v/>
      </c>
      <c r="D85" s="23" t="str">
        <f>IF(A85&lt;&gt;"",VLOOKUP(A85,'📦 ชื่อสินค้า'!A:F,6,false),"")</f>
        <v/>
      </c>
      <c r="E85" s="16" t="str">
        <f>IFERROR(IF(VLOOKUP(A85,'📦 ชื่อสินค้า'!A:G,7,false)="InActive","InActive",IF(A85&lt;&gt;"",IF(B85&lt;=0,"สินค้าหมด",IF(B85&lt;=C85,"ควรเติมทันที","OK")),"")),)</f>
        <v/>
      </c>
      <c r="F85" s="24" t="str">
        <f>IFERROR(IF(A85&lt;&gt;"", SUMIF('💸 Transaction ซื้อ'!B:B,A85,'💸 Transaction ซื้อ'!G:G)/SUMIF('💸 Transaction ซื้อ'!B:B,A85,'💸 Transaction ซื้อ'!E:E),""),"-")</f>
        <v/>
      </c>
      <c r="G85" s="24" t="str">
        <f t="shared" si="1"/>
        <v/>
      </c>
      <c r="H85" s="25"/>
      <c r="I85" s="26"/>
      <c r="J85" s="26"/>
      <c r="K85" s="27" t="str">
        <f>IF(A85&lt;&gt;"",IF(E85="InActive","-",SUMIFS('💰 Transaction ขาย'!E:E,'💰 Transaction ขาย'!B:B,A85,'💰 Transaction ขาย'!A:A,"&gt;"&amp;'⚙️ Config'!$H$1-'⚙️ Config'!$H$2)),)</f>
        <v/>
      </c>
      <c r="L85" s="28" t="str">
        <f>IF(E85="InActive","-",IF(A85&lt;&gt;"",K85/'⚙️ Config'!$H$2,))</f>
        <v/>
      </c>
      <c r="M85" s="28" t="str">
        <f t="shared" si="2"/>
        <v/>
      </c>
      <c r="N85" s="28" t="str">
        <f>IF(A85&lt;&gt;"", SUMIFS('💰 Transaction ขาย'!F:F,'💰 Transaction ขาย'!B:B,A85,'💰 Transaction ขาย'!A:A,"&gt;="&amp;DATE(YEAR('⚙️ Config'!$H$1),1,1),'💰 Transaction ขาย'!A:A,"&lt;="&amp;DATE(YEAR('⚙️ Config'!$H$1),12,31)),)</f>
        <v/>
      </c>
    </row>
    <row r="86">
      <c r="A86" s="22"/>
      <c r="B86" s="22" t="str">
        <f>IF(A86&lt;&gt;"",SUMIFS('💸 Transaction ซื้อ'!E:E,'💸 Transaction ซื้อ'!B:B,A86)-SUMIFS('💰 Transaction ขาย'!E:E,'💰 Transaction ขาย'!B:B,A86),"")</f>
        <v/>
      </c>
      <c r="C86" s="23" t="str">
        <f>IF(A86&lt;&gt;"",vlookup(A86,'📦 ชื่อสินค้า'!A:E,5,false),"")</f>
        <v/>
      </c>
      <c r="D86" s="23" t="str">
        <f>IF(A86&lt;&gt;"",VLOOKUP(A86,'📦 ชื่อสินค้า'!A:F,6,false),"")</f>
        <v/>
      </c>
      <c r="E86" s="16" t="str">
        <f>IFERROR(IF(VLOOKUP(A86,'📦 ชื่อสินค้า'!A:G,7,false)="InActive","InActive",IF(A86&lt;&gt;"",IF(B86&lt;=0,"สินค้าหมด",IF(B86&lt;=C86,"ควรเติมทันที","OK")),"")),)</f>
        <v/>
      </c>
      <c r="F86" s="24" t="str">
        <f>IFERROR(IF(A86&lt;&gt;"", SUMIF('💸 Transaction ซื้อ'!B:B,A86,'💸 Transaction ซื้อ'!G:G)/SUMIF('💸 Transaction ซื้อ'!B:B,A86,'💸 Transaction ซื้อ'!E:E),""),"-")</f>
        <v/>
      </c>
      <c r="G86" s="24" t="str">
        <f t="shared" si="1"/>
        <v/>
      </c>
      <c r="H86" s="25"/>
      <c r="I86" s="26"/>
      <c r="J86" s="26"/>
      <c r="K86" s="27" t="str">
        <f>IF(A86&lt;&gt;"",IF(E86="InActive","-",SUMIFS('💰 Transaction ขาย'!E:E,'💰 Transaction ขาย'!B:B,A86,'💰 Transaction ขาย'!A:A,"&gt;"&amp;'⚙️ Config'!$H$1-'⚙️ Config'!$H$2)),)</f>
        <v/>
      </c>
      <c r="L86" s="28" t="str">
        <f>IF(E86="InActive","-",IF(A86&lt;&gt;"",K86/'⚙️ Config'!$H$2,))</f>
        <v/>
      </c>
      <c r="M86" s="28" t="str">
        <f t="shared" si="2"/>
        <v/>
      </c>
      <c r="N86" s="28" t="str">
        <f>IF(A86&lt;&gt;"", SUMIFS('💰 Transaction ขาย'!F:F,'💰 Transaction ขาย'!B:B,A86,'💰 Transaction ขาย'!A:A,"&gt;="&amp;DATE(YEAR('⚙️ Config'!$H$1),1,1),'💰 Transaction ขาย'!A:A,"&lt;="&amp;DATE(YEAR('⚙️ Config'!$H$1),12,31)),)</f>
        <v/>
      </c>
    </row>
    <row r="87">
      <c r="A87" s="22"/>
      <c r="B87" s="22" t="str">
        <f>IF(A87&lt;&gt;"",SUMIFS('💸 Transaction ซื้อ'!E:E,'💸 Transaction ซื้อ'!B:B,A87)-SUMIFS('💰 Transaction ขาย'!E:E,'💰 Transaction ขาย'!B:B,A87),"")</f>
        <v/>
      </c>
      <c r="C87" s="23" t="str">
        <f>IF(A87&lt;&gt;"",vlookup(A87,'📦 ชื่อสินค้า'!A:E,5,false),"")</f>
        <v/>
      </c>
      <c r="D87" s="23" t="str">
        <f>IF(A87&lt;&gt;"",VLOOKUP(A87,'📦 ชื่อสินค้า'!A:F,6,false),"")</f>
        <v/>
      </c>
      <c r="E87" s="16" t="str">
        <f>IFERROR(IF(VLOOKUP(A87,'📦 ชื่อสินค้า'!A:G,7,false)="InActive","InActive",IF(A87&lt;&gt;"",IF(B87&lt;=0,"สินค้าหมด",IF(B87&lt;=C87,"ควรเติมทันที","OK")),"")),)</f>
        <v/>
      </c>
      <c r="F87" s="24" t="str">
        <f>IFERROR(IF(A87&lt;&gt;"", SUMIF('💸 Transaction ซื้อ'!B:B,A87,'💸 Transaction ซื้อ'!G:G)/SUMIF('💸 Transaction ซื้อ'!B:B,A87,'💸 Transaction ซื้อ'!E:E),""),"-")</f>
        <v/>
      </c>
      <c r="G87" s="24" t="str">
        <f t="shared" si="1"/>
        <v/>
      </c>
      <c r="H87" s="25"/>
      <c r="I87" s="26"/>
      <c r="J87" s="26"/>
      <c r="K87" s="27" t="str">
        <f>IF(A87&lt;&gt;"",IF(E87="InActive","-",SUMIFS('💰 Transaction ขาย'!E:E,'💰 Transaction ขาย'!B:B,A87,'💰 Transaction ขาย'!A:A,"&gt;"&amp;'⚙️ Config'!$H$1-'⚙️ Config'!$H$2)),)</f>
        <v/>
      </c>
      <c r="L87" s="28" t="str">
        <f>IF(E87="InActive","-",IF(A87&lt;&gt;"",K87/'⚙️ Config'!$H$2,))</f>
        <v/>
      </c>
      <c r="M87" s="28" t="str">
        <f t="shared" si="2"/>
        <v/>
      </c>
      <c r="N87" s="28" t="str">
        <f>IF(A87&lt;&gt;"", SUMIFS('💰 Transaction ขาย'!F:F,'💰 Transaction ขาย'!B:B,A87,'💰 Transaction ขาย'!A:A,"&gt;="&amp;DATE(YEAR('⚙️ Config'!$H$1),1,1),'💰 Transaction ขาย'!A:A,"&lt;="&amp;DATE(YEAR('⚙️ Config'!$H$1),12,31)),)</f>
        <v/>
      </c>
    </row>
    <row r="88">
      <c r="A88" s="22"/>
      <c r="B88" s="22" t="str">
        <f>IF(A88&lt;&gt;"",SUMIFS('💸 Transaction ซื้อ'!E:E,'💸 Transaction ซื้อ'!B:B,A88)-SUMIFS('💰 Transaction ขาย'!E:E,'💰 Transaction ขาย'!B:B,A88),"")</f>
        <v/>
      </c>
      <c r="C88" s="23" t="str">
        <f>IF(A88&lt;&gt;"",vlookup(A88,'📦 ชื่อสินค้า'!A:E,5,false),"")</f>
        <v/>
      </c>
      <c r="D88" s="23" t="str">
        <f>IF(A88&lt;&gt;"",VLOOKUP(A88,'📦 ชื่อสินค้า'!A:F,6,false),"")</f>
        <v/>
      </c>
      <c r="E88" s="16" t="str">
        <f>IFERROR(IF(VLOOKUP(A88,'📦 ชื่อสินค้า'!A:G,7,false)="InActive","InActive",IF(A88&lt;&gt;"",IF(B88&lt;=0,"สินค้าหมด",IF(B88&lt;=C88,"ควรเติมทันที","OK")),"")),)</f>
        <v/>
      </c>
      <c r="F88" s="24" t="str">
        <f>IFERROR(IF(A88&lt;&gt;"", SUMIF('💸 Transaction ซื้อ'!B:B,A88,'💸 Transaction ซื้อ'!G:G)/SUMIF('💸 Transaction ซื้อ'!B:B,A88,'💸 Transaction ซื้อ'!E:E),""),"-")</f>
        <v/>
      </c>
      <c r="G88" s="24" t="str">
        <f t="shared" si="1"/>
        <v/>
      </c>
      <c r="H88" s="25"/>
      <c r="I88" s="26"/>
      <c r="J88" s="26"/>
      <c r="K88" s="27" t="str">
        <f>IF(A88&lt;&gt;"",IF(E88="InActive","-",SUMIFS('💰 Transaction ขาย'!E:E,'💰 Transaction ขาย'!B:B,A88,'💰 Transaction ขาย'!A:A,"&gt;"&amp;'⚙️ Config'!$H$1-'⚙️ Config'!$H$2)),)</f>
        <v/>
      </c>
      <c r="L88" s="28" t="str">
        <f>IF(E88="InActive","-",IF(A88&lt;&gt;"",K88/'⚙️ Config'!$H$2,))</f>
        <v/>
      </c>
      <c r="M88" s="28" t="str">
        <f t="shared" si="2"/>
        <v/>
      </c>
      <c r="N88" s="28" t="str">
        <f>IF(A88&lt;&gt;"", SUMIFS('💰 Transaction ขาย'!F:F,'💰 Transaction ขาย'!B:B,A88,'💰 Transaction ขาย'!A:A,"&gt;="&amp;DATE(YEAR('⚙️ Config'!$H$1),1,1),'💰 Transaction ขาย'!A:A,"&lt;="&amp;DATE(YEAR('⚙️ Config'!$H$1),12,31)),)</f>
        <v/>
      </c>
    </row>
    <row r="89">
      <c r="A89" s="22"/>
      <c r="B89" s="22" t="str">
        <f>IF(A89&lt;&gt;"",SUMIFS('💸 Transaction ซื้อ'!E:E,'💸 Transaction ซื้อ'!B:B,A89)-SUMIFS('💰 Transaction ขาย'!E:E,'💰 Transaction ขาย'!B:B,A89),"")</f>
        <v/>
      </c>
      <c r="C89" s="23" t="str">
        <f>IF(A89&lt;&gt;"",vlookup(A89,'📦 ชื่อสินค้า'!A:E,5,false),"")</f>
        <v/>
      </c>
      <c r="D89" s="23" t="str">
        <f>IF(A89&lt;&gt;"",VLOOKUP(A89,'📦 ชื่อสินค้า'!A:F,6,false),"")</f>
        <v/>
      </c>
      <c r="E89" s="16" t="str">
        <f>IFERROR(IF(VLOOKUP(A89,'📦 ชื่อสินค้า'!A:G,7,false)="InActive","InActive",IF(A89&lt;&gt;"",IF(B89&lt;=0,"สินค้าหมด",IF(B89&lt;=C89,"ควรเติมทันที","OK")),"")),)</f>
        <v/>
      </c>
      <c r="F89" s="24" t="str">
        <f>IFERROR(IF(A89&lt;&gt;"", SUMIF('💸 Transaction ซื้อ'!B:B,A89,'💸 Transaction ซื้อ'!G:G)/SUMIF('💸 Transaction ซื้อ'!B:B,A89,'💸 Transaction ซื้อ'!E:E),""),"-")</f>
        <v/>
      </c>
      <c r="G89" s="24" t="str">
        <f t="shared" si="1"/>
        <v/>
      </c>
      <c r="H89" s="25"/>
      <c r="I89" s="26"/>
      <c r="J89" s="26"/>
      <c r="K89" s="27" t="str">
        <f>IF(A89&lt;&gt;"",IF(E89="InActive","-",SUMIFS('💰 Transaction ขาย'!E:E,'💰 Transaction ขาย'!B:B,A89,'💰 Transaction ขาย'!A:A,"&gt;"&amp;'⚙️ Config'!$H$1-'⚙️ Config'!$H$2)),)</f>
        <v/>
      </c>
      <c r="L89" s="28" t="str">
        <f>IF(E89="InActive","-",IF(A89&lt;&gt;"",K89/'⚙️ Config'!$H$2,))</f>
        <v/>
      </c>
      <c r="M89" s="28" t="str">
        <f t="shared" si="2"/>
        <v/>
      </c>
      <c r="N89" s="28" t="str">
        <f>IF(A89&lt;&gt;"", SUMIFS('💰 Transaction ขาย'!F:F,'💰 Transaction ขาย'!B:B,A89,'💰 Transaction ขาย'!A:A,"&gt;="&amp;DATE(YEAR('⚙️ Config'!$H$1),1,1),'💰 Transaction ขาย'!A:A,"&lt;="&amp;DATE(YEAR('⚙️ Config'!$H$1),12,31)),)</f>
        <v/>
      </c>
    </row>
    <row r="90">
      <c r="A90" s="22"/>
      <c r="B90" s="22" t="str">
        <f>IF(A90&lt;&gt;"",SUMIFS('💸 Transaction ซื้อ'!E:E,'💸 Transaction ซื้อ'!B:B,A90)-SUMIFS('💰 Transaction ขาย'!E:E,'💰 Transaction ขาย'!B:B,A90),"")</f>
        <v/>
      </c>
      <c r="C90" s="23" t="str">
        <f>IF(A90&lt;&gt;"",vlookup(A90,'📦 ชื่อสินค้า'!A:E,5,false),"")</f>
        <v/>
      </c>
      <c r="D90" s="23" t="str">
        <f>IF(A90&lt;&gt;"",VLOOKUP(A90,'📦 ชื่อสินค้า'!A:F,6,false),"")</f>
        <v/>
      </c>
      <c r="E90" s="16" t="str">
        <f>IFERROR(IF(VLOOKUP(A90,'📦 ชื่อสินค้า'!A:G,7,false)="InActive","InActive",IF(A90&lt;&gt;"",IF(B90&lt;=0,"สินค้าหมด",IF(B90&lt;=C90,"ควรเติมทันที","OK")),"")),)</f>
        <v/>
      </c>
      <c r="F90" s="24" t="str">
        <f>IFERROR(IF(A90&lt;&gt;"", SUMIF('💸 Transaction ซื้อ'!B:B,A90,'💸 Transaction ซื้อ'!G:G)/SUMIF('💸 Transaction ซื้อ'!B:B,A90,'💸 Transaction ซื้อ'!E:E),""),"-")</f>
        <v/>
      </c>
      <c r="G90" s="24" t="str">
        <f t="shared" si="1"/>
        <v/>
      </c>
      <c r="H90" s="25"/>
      <c r="I90" s="26"/>
      <c r="J90" s="26"/>
      <c r="K90" s="27" t="str">
        <f>IF(A90&lt;&gt;"",IF(E90="InActive","-",SUMIFS('💰 Transaction ขาย'!E:E,'💰 Transaction ขาย'!B:B,A90,'💰 Transaction ขาย'!A:A,"&gt;"&amp;'⚙️ Config'!$H$1-'⚙️ Config'!$H$2)),)</f>
        <v/>
      </c>
      <c r="L90" s="28" t="str">
        <f>IF(E90="InActive","-",IF(A90&lt;&gt;"",K90/'⚙️ Config'!$H$2,))</f>
        <v/>
      </c>
      <c r="M90" s="28" t="str">
        <f t="shared" si="2"/>
        <v/>
      </c>
      <c r="N90" s="28" t="str">
        <f>IF(A90&lt;&gt;"", SUMIFS('💰 Transaction ขาย'!F:F,'💰 Transaction ขาย'!B:B,A90,'💰 Transaction ขาย'!A:A,"&gt;="&amp;DATE(YEAR('⚙️ Config'!$H$1),1,1),'💰 Transaction ขาย'!A:A,"&lt;="&amp;DATE(YEAR('⚙️ Config'!$H$1),12,31)),)</f>
        <v/>
      </c>
    </row>
    <row r="91">
      <c r="A91" s="22"/>
      <c r="B91" s="22" t="str">
        <f>IF(A91&lt;&gt;"",SUMIFS('💸 Transaction ซื้อ'!E:E,'💸 Transaction ซื้อ'!B:B,A91)-SUMIFS('💰 Transaction ขาย'!E:E,'💰 Transaction ขาย'!B:B,A91),"")</f>
        <v/>
      </c>
      <c r="C91" s="23" t="str">
        <f>IF(A91&lt;&gt;"",vlookup(A91,'📦 ชื่อสินค้า'!A:E,5,false),"")</f>
        <v/>
      </c>
      <c r="D91" s="23" t="str">
        <f>IF(A91&lt;&gt;"",VLOOKUP(A91,'📦 ชื่อสินค้า'!A:F,6,false),"")</f>
        <v/>
      </c>
      <c r="E91" s="16" t="str">
        <f>IFERROR(IF(VLOOKUP(A91,'📦 ชื่อสินค้า'!A:G,7,false)="InActive","InActive",IF(A91&lt;&gt;"",IF(B91&lt;=0,"สินค้าหมด",IF(B91&lt;=C91,"ควรเติมทันที","OK")),"")),)</f>
        <v/>
      </c>
      <c r="F91" s="24" t="str">
        <f>IFERROR(IF(A91&lt;&gt;"", SUMIF('💸 Transaction ซื้อ'!B:B,A91,'💸 Transaction ซื้อ'!G:G)/SUMIF('💸 Transaction ซื้อ'!B:B,A91,'💸 Transaction ซื้อ'!E:E),""),"-")</f>
        <v/>
      </c>
      <c r="G91" s="24" t="str">
        <f t="shared" si="1"/>
        <v/>
      </c>
      <c r="H91" s="25"/>
      <c r="I91" s="26"/>
      <c r="J91" s="26"/>
      <c r="K91" s="27" t="str">
        <f>IF(A91&lt;&gt;"",IF(E91="InActive","-",SUMIFS('💰 Transaction ขาย'!E:E,'💰 Transaction ขาย'!B:B,A91,'💰 Transaction ขาย'!A:A,"&gt;"&amp;'⚙️ Config'!$H$1-'⚙️ Config'!$H$2)),)</f>
        <v/>
      </c>
      <c r="L91" s="28" t="str">
        <f>IF(E91="InActive","-",IF(A91&lt;&gt;"",K91/'⚙️ Config'!$H$2,))</f>
        <v/>
      </c>
      <c r="M91" s="28" t="str">
        <f t="shared" si="2"/>
        <v/>
      </c>
      <c r="N91" s="28" t="str">
        <f>IF(A91&lt;&gt;"", SUMIFS('💰 Transaction ขาย'!F:F,'💰 Transaction ขาย'!B:B,A91,'💰 Transaction ขาย'!A:A,"&gt;="&amp;DATE(YEAR('⚙️ Config'!$H$1),1,1),'💰 Transaction ขาย'!A:A,"&lt;="&amp;DATE(YEAR('⚙️ Config'!$H$1),12,31)),)</f>
        <v/>
      </c>
    </row>
    <row r="92">
      <c r="A92" s="22"/>
      <c r="B92" s="22" t="str">
        <f>IF(A92&lt;&gt;"",SUMIFS('💸 Transaction ซื้อ'!E:E,'💸 Transaction ซื้อ'!B:B,A92)-SUMIFS('💰 Transaction ขาย'!E:E,'💰 Transaction ขาย'!B:B,A92),"")</f>
        <v/>
      </c>
      <c r="C92" s="23" t="str">
        <f>IF(A92&lt;&gt;"",vlookup(A92,'📦 ชื่อสินค้า'!A:E,5,false),"")</f>
        <v/>
      </c>
      <c r="D92" s="23" t="str">
        <f>IF(A92&lt;&gt;"",VLOOKUP(A92,'📦 ชื่อสินค้า'!A:F,6,false),"")</f>
        <v/>
      </c>
      <c r="E92" s="16" t="str">
        <f>IFERROR(IF(VLOOKUP(A92,'📦 ชื่อสินค้า'!A:G,7,false)="InActive","InActive",IF(A92&lt;&gt;"",IF(B92&lt;=0,"สินค้าหมด",IF(B92&lt;=C92,"ควรเติมทันที","OK")),"")),)</f>
        <v/>
      </c>
      <c r="F92" s="24" t="str">
        <f>IFERROR(IF(A92&lt;&gt;"", SUMIF('💸 Transaction ซื้อ'!B:B,A92,'💸 Transaction ซื้อ'!G:G)/SUMIF('💸 Transaction ซื้อ'!B:B,A92,'💸 Transaction ซื้อ'!E:E),""),"-")</f>
        <v/>
      </c>
      <c r="G92" s="24" t="str">
        <f t="shared" si="1"/>
        <v/>
      </c>
      <c r="H92" s="25"/>
      <c r="I92" s="26"/>
      <c r="J92" s="26"/>
      <c r="K92" s="27" t="str">
        <f>IF(A92&lt;&gt;"",IF(E92="InActive","-",SUMIFS('💰 Transaction ขาย'!E:E,'💰 Transaction ขาย'!B:B,A92,'💰 Transaction ขาย'!A:A,"&gt;"&amp;'⚙️ Config'!$H$1-'⚙️ Config'!$H$2)),)</f>
        <v/>
      </c>
      <c r="L92" s="28" t="str">
        <f>IF(E92="InActive","-",IF(A92&lt;&gt;"",K92/'⚙️ Config'!$H$2,))</f>
        <v/>
      </c>
      <c r="M92" s="28" t="str">
        <f t="shared" si="2"/>
        <v/>
      </c>
      <c r="N92" s="28" t="str">
        <f>IF(A92&lt;&gt;"", SUMIFS('💰 Transaction ขาย'!F:F,'💰 Transaction ขาย'!B:B,A92,'💰 Transaction ขาย'!A:A,"&gt;="&amp;DATE(YEAR('⚙️ Config'!$H$1),1,1),'💰 Transaction ขาย'!A:A,"&lt;="&amp;DATE(YEAR('⚙️ Config'!$H$1),12,31)),)</f>
        <v/>
      </c>
    </row>
    <row r="93">
      <c r="A93" s="22"/>
      <c r="B93" s="22" t="str">
        <f>IF(A93&lt;&gt;"",SUMIFS('💸 Transaction ซื้อ'!E:E,'💸 Transaction ซื้อ'!B:B,A93)-SUMIFS('💰 Transaction ขาย'!E:E,'💰 Transaction ขาย'!B:B,A93),"")</f>
        <v/>
      </c>
      <c r="C93" s="23" t="str">
        <f>IF(A93&lt;&gt;"",vlookup(A93,'📦 ชื่อสินค้า'!A:E,5,false),"")</f>
        <v/>
      </c>
      <c r="D93" s="23" t="str">
        <f>IF(A93&lt;&gt;"",VLOOKUP(A93,'📦 ชื่อสินค้า'!A:F,6,false),"")</f>
        <v/>
      </c>
      <c r="E93" s="16" t="str">
        <f>IFERROR(IF(VLOOKUP(A93,'📦 ชื่อสินค้า'!A:G,7,false)="InActive","InActive",IF(A93&lt;&gt;"",IF(B93&lt;=0,"สินค้าหมด",IF(B93&lt;=C93,"ควรเติมทันที","OK")),"")),)</f>
        <v/>
      </c>
      <c r="F93" s="24" t="str">
        <f>IFERROR(IF(A93&lt;&gt;"", SUMIF('💸 Transaction ซื้อ'!B:B,A93,'💸 Transaction ซื้อ'!G:G)/SUMIF('💸 Transaction ซื้อ'!B:B,A93,'💸 Transaction ซื้อ'!E:E),""),"-")</f>
        <v/>
      </c>
      <c r="G93" s="24" t="str">
        <f t="shared" si="1"/>
        <v/>
      </c>
      <c r="H93" s="25"/>
      <c r="I93" s="26"/>
      <c r="J93" s="26"/>
      <c r="K93" s="27" t="str">
        <f>IF(A93&lt;&gt;"",IF(E93="InActive","-",SUMIFS('💰 Transaction ขาย'!E:E,'💰 Transaction ขาย'!B:B,A93,'💰 Transaction ขาย'!A:A,"&gt;"&amp;'⚙️ Config'!$H$1-'⚙️ Config'!$H$2)),)</f>
        <v/>
      </c>
      <c r="L93" s="28" t="str">
        <f>IF(E93="InActive","-",IF(A93&lt;&gt;"",K93/'⚙️ Config'!$H$2,))</f>
        <v/>
      </c>
      <c r="M93" s="28" t="str">
        <f t="shared" si="2"/>
        <v/>
      </c>
      <c r="N93" s="28" t="str">
        <f>IF(A93&lt;&gt;"", SUMIFS('💰 Transaction ขาย'!F:F,'💰 Transaction ขาย'!B:B,A93,'💰 Transaction ขาย'!A:A,"&gt;="&amp;DATE(YEAR('⚙️ Config'!$H$1),1,1),'💰 Transaction ขาย'!A:A,"&lt;="&amp;DATE(YEAR('⚙️ Config'!$H$1),12,31)),)</f>
        <v/>
      </c>
    </row>
    <row r="94">
      <c r="A94" s="22"/>
      <c r="B94" s="22" t="str">
        <f>IF(A94&lt;&gt;"",SUMIFS('💸 Transaction ซื้อ'!E:E,'💸 Transaction ซื้อ'!B:B,A94)-SUMIFS('💰 Transaction ขาย'!E:E,'💰 Transaction ขาย'!B:B,A94),"")</f>
        <v/>
      </c>
      <c r="C94" s="23" t="str">
        <f>IF(A94&lt;&gt;"",vlookup(A94,'📦 ชื่อสินค้า'!A:E,5,false),"")</f>
        <v/>
      </c>
      <c r="D94" s="23" t="str">
        <f>IF(A94&lt;&gt;"",VLOOKUP(A94,'📦 ชื่อสินค้า'!A:F,6,false),"")</f>
        <v/>
      </c>
      <c r="E94" s="16" t="str">
        <f>IFERROR(IF(VLOOKUP(A94,'📦 ชื่อสินค้า'!A:G,7,false)="InActive","InActive",IF(A94&lt;&gt;"",IF(B94&lt;=0,"สินค้าหมด",IF(B94&lt;=C94,"ควรเติมทันที","OK")),"")),)</f>
        <v/>
      </c>
      <c r="F94" s="24" t="str">
        <f>IFERROR(IF(A94&lt;&gt;"", SUMIF('💸 Transaction ซื้อ'!B:B,A94,'💸 Transaction ซื้อ'!G:G)/SUMIF('💸 Transaction ซื้อ'!B:B,A94,'💸 Transaction ซื้อ'!E:E),""),"-")</f>
        <v/>
      </c>
      <c r="G94" s="24" t="str">
        <f t="shared" si="1"/>
        <v/>
      </c>
      <c r="H94" s="25"/>
      <c r="I94" s="26"/>
      <c r="J94" s="26"/>
      <c r="K94" s="27" t="str">
        <f>IF(A94&lt;&gt;"",IF(E94="InActive","-",SUMIFS('💰 Transaction ขาย'!E:E,'💰 Transaction ขาย'!B:B,A94,'💰 Transaction ขาย'!A:A,"&gt;"&amp;'⚙️ Config'!$H$1-'⚙️ Config'!$H$2)),)</f>
        <v/>
      </c>
      <c r="L94" s="28" t="str">
        <f>IF(E94="InActive","-",IF(A94&lt;&gt;"",K94/'⚙️ Config'!$H$2,))</f>
        <v/>
      </c>
      <c r="M94" s="28" t="str">
        <f t="shared" si="2"/>
        <v/>
      </c>
      <c r="N94" s="28" t="str">
        <f>IF(A94&lt;&gt;"", SUMIFS('💰 Transaction ขาย'!F:F,'💰 Transaction ขาย'!B:B,A94,'💰 Transaction ขาย'!A:A,"&gt;="&amp;DATE(YEAR('⚙️ Config'!$H$1),1,1),'💰 Transaction ขาย'!A:A,"&lt;="&amp;DATE(YEAR('⚙️ Config'!$H$1),12,31)),)</f>
        <v/>
      </c>
    </row>
    <row r="95">
      <c r="A95" s="22"/>
      <c r="B95" s="22" t="str">
        <f>IF(A95&lt;&gt;"",SUMIFS('💸 Transaction ซื้อ'!E:E,'💸 Transaction ซื้อ'!B:B,A95)-SUMIFS('💰 Transaction ขาย'!E:E,'💰 Transaction ขาย'!B:B,A95),"")</f>
        <v/>
      </c>
      <c r="C95" s="23" t="str">
        <f>IF(A95&lt;&gt;"",vlookup(A95,'📦 ชื่อสินค้า'!A:E,5,false),"")</f>
        <v/>
      </c>
      <c r="D95" s="23" t="str">
        <f>IF(A95&lt;&gt;"",VLOOKUP(A95,'📦 ชื่อสินค้า'!A:F,6,false),"")</f>
        <v/>
      </c>
      <c r="E95" s="16" t="str">
        <f>IFERROR(IF(VLOOKUP(A95,'📦 ชื่อสินค้า'!A:G,7,false)="InActive","InActive",IF(A95&lt;&gt;"",IF(B95&lt;=0,"สินค้าหมด",IF(B95&lt;=C95,"ควรเติมทันที","OK")),"")),)</f>
        <v/>
      </c>
      <c r="F95" s="24" t="str">
        <f>IFERROR(IF(A95&lt;&gt;"", SUMIF('💸 Transaction ซื้อ'!B:B,A95,'💸 Transaction ซื้อ'!G:G)/SUMIF('💸 Transaction ซื้อ'!B:B,A95,'💸 Transaction ซื้อ'!E:E),""),"-")</f>
        <v/>
      </c>
      <c r="G95" s="24" t="str">
        <f t="shared" si="1"/>
        <v/>
      </c>
      <c r="H95" s="25"/>
      <c r="I95" s="26"/>
      <c r="J95" s="26"/>
      <c r="K95" s="27" t="str">
        <f>IF(A95&lt;&gt;"",IF(E95="InActive","-",SUMIFS('💰 Transaction ขาย'!E:E,'💰 Transaction ขาย'!B:B,A95,'💰 Transaction ขาย'!A:A,"&gt;"&amp;'⚙️ Config'!$H$1-'⚙️ Config'!$H$2)),)</f>
        <v/>
      </c>
      <c r="L95" s="28" t="str">
        <f>IF(E95="InActive","-",IF(A95&lt;&gt;"",K95/'⚙️ Config'!$H$2,))</f>
        <v/>
      </c>
      <c r="M95" s="28" t="str">
        <f t="shared" si="2"/>
        <v/>
      </c>
      <c r="N95" s="28" t="str">
        <f>IF(A95&lt;&gt;"", SUMIFS('💰 Transaction ขาย'!F:F,'💰 Transaction ขาย'!B:B,A95,'💰 Transaction ขาย'!A:A,"&gt;="&amp;DATE(YEAR('⚙️ Config'!$H$1),1,1),'💰 Transaction ขาย'!A:A,"&lt;="&amp;DATE(YEAR('⚙️ Config'!$H$1),12,31)),)</f>
        <v/>
      </c>
    </row>
    <row r="96">
      <c r="A96" s="22"/>
      <c r="B96" s="22" t="str">
        <f>IF(A96&lt;&gt;"",SUMIFS('💸 Transaction ซื้อ'!E:E,'💸 Transaction ซื้อ'!B:B,A96)-SUMIFS('💰 Transaction ขาย'!E:E,'💰 Transaction ขาย'!B:B,A96),"")</f>
        <v/>
      </c>
      <c r="C96" s="23" t="str">
        <f>IF(A96&lt;&gt;"",vlookup(A96,'📦 ชื่อสินค้า'!A:E,5,false),"")</f>
        <v/>
      </c>
      <c r="D96" s="23" t="str">
        <f>IF(A96&lt;&gt;"",VLOOKUP(A96,'📦 ชื่อสินค้า'!A:F,6,false),"")</f>
        <v/>
      </c>
      <c r="E96" s="16" t="str">
        <f>IFERROR(IF(VLOOKUP(A96,'📦 ชื่อสินค้า'!A:G,7,false)="InActive","InActive",IF(A96&lt;&gt;"",IF(B96&lt;=0,"สินค้าหมด",IF(B96&lt;=C96,"ควรเติมทันที","OK")),"")),)</f>
        <v/>
      </c>
      <c r="F96" s="24" t="str">
        <f>IFERROR(IF(A96&lt;&gt;"", SUMIF('💸 Transaction ซื้อ'!B:B,A96,'💸 Transaction ซื้อ'!G:G)/SUMIF('💸 Transaction ซื้อ'!B:B,A96,'💸 Transaction ซื้อ'!E:E),""),"-")</f>
        <v/>
      </c>
      <c r="G96" s="24" t="str">
        <f t="shared" si="1"/>
        <v/>
      </c>
      <c r="H96" s="25"/>
      <c r="I96" s="26"/>
      <c r="J96" s="26"/>
      <c r="K96" s="27" t="str">
        <f>IF(A96&lt;&gt;"",IF(E96="InActive","-",SUMIFS('💰 Transaction ขาย'!E:E,'💰 Transaction ขาย'!B:B,A96,'💰 Transaction ขาย'!A:A,"&gt;"&amp;'⚙️ Config'!$H$1-'⚙️ Config'!$H$2)),)</f>
        <v/>
      </c>
      <c r="L96" s="28" t="str">
        <f>IF(E96="InActive","-",IF(A96&lt;&gt;"",K96/'⚙️ Config'!$H$2,))</f>
        <v/>
      </c>
      <c r="M96" s="28" t="str">
        <f t="shared" si="2"/>
        <v/>
      </c>
      <c r="N96" s="28" t="str">
        <f>IF(A96&lt;&gt;"", SUMIFS('💰 Transaction ขาย'!F:F,'💰 Transaction ขาย'!B:B,A96,'💰 Transaction ขาย'!A:A,"&gt;="&amp;DATE(YEAR('⚙️ Config'!$H$1),1,1),'💰 Transaction ขาย'!A:A,"&lt;="&amp;DATE(YEAR('⚙️ Config'!$H$1),12,31)),)</f>
        <v/>
      </c>
    </row>
    <row r="97">
      <c r="A97" s="22"/>
      <c r="B97" s="22" t="str">
        <f>IF(A97&lt;&gt;"",SUMIFS('💸 Transaction ซื้อ'!E:E,'💸 Transaction ซื้อ'!B:B,A97)-SUMIFS('💰 Transaction ขาย'!E:E,'💰 Transaction ขาย'!B:B,A97),"")</f>
        <v/>
      </c>
      <c r="C97" s="23" t="str">
        <f>IF(A97&lt;&gt;"",vlookup(A97,'📦 ชื่อสินค้า'!A:E,5,false),"")</f>
        <v/>
      </c>
      <c r="D97" s="23" t="str">
        <f>IF(A97&lt;&gt;"",VLOOKUP(A97,'📦 ชื่อสินค้า'!A:F,6,false),"")</f>
        <v/>
      </c>
      <c r="E97" s="16" t="str">
        <f>IFERROR(IF(VLOOKUP(A97,'📦 ชื่อสินค้า'!A:G,7,false)="InActive","InActive",IF(A97&lt;&gt;"",IF(B97&lt;=0,"สินค้าหมด",IF(B97&lt;=C97,"ควรเติมทันที","OK")),"")),)</f>
        <v/>
      </c>
      <c r="F97" s="24" t="str">
        <f>IFERROR(IF(A97&lt;&gt;"", SUMIF('💸 Transaction ซื้อ'!B:B,A97,'💸 Transaction ซื้อ'!G:G)/SUMIF('💸 Transaction ซื้อ'!B:B,A97,'💸 Transaction ซื้อ'!E:E),""),"-")</f>
        <v/>
      </c>
      <c r="G97" s="24" t="str">
        <f t="shared" si="1"/>
        <v/>
      </c>
      <c r="H97" s="25"/>
      <c r="I97" s="26"/>
      <c r="J97" s="26"/>
      <c r="K97" s="27" t="str">
        <f>IF(A97&lt;&gt;"",IF(E97="InActive","-",SUMIFS('💰 Transaction ขาย'!E:E,'💰 Transaction ขาย'!B:B,A97,'💰 Transaction ขาย'!A:A,"&gt;"&amp;'⚙️ Config'!$H$1-'⚙️ Config'!$H$2)),)</f>
        <v/>
      </c>
      <c r="L97" s="28" t="str">
        <f>IF(E97="InActive","-",IF(A97&lt;&gt;"",K97/'⚙️ Config'!$H$2,))</f>
        <v/>
      </c>
      <c r="M97" s="28" t="str">
        <f t="shared" si="2"/>
        <v/>
      </c>
      <c r="N97" s="28" t="str">
        <f>IF(A97&lt;&gt;"", SUMIFS('💰 Transaction ขาย'!F:F,'💰 Transaction ขาย'!B:B,A97,'💰 Transaction ขาย'!A:A,"&gt;="&amp;DATE(YEAR('⚙️ Config'!$H$1),1,1),'💰 Transaction ขาย'!A:A,"&lt;="&amp;DATE(YEAR('⚙️ Config'!$H$1),12,31)),)</f>
        <v/>
      </c>
    </row>
    <row r="98">
      <c r="A98" s="22"/>
      <c r="B98" s="22" t="str">
        <f>IF(A98&lt;&gt;"",SUMIFS('💸 Transaction ซื้อ'!E:E,'💸 Transaction ซื้อ'!B:B,A98)-SUMIFS('💰 Transaction ขาย'!E:E,'💰 Transaction ขาย'!B:B,A98),"")</f>
        <v/>
      </c>
      <c r="C98" s="23" t="str">
        <f>IF(A98&lt;&gt;"",vlookup(A98,'📦 ชื่อสินค้า'!A:E,5,false),"")</f>
        <v/>
      </c>
      <c r="D98" s="23" t="str">
        <f>IF(A98&lt;&gt;"",VLOOKUP(A98,'📦 ชื่อสินค้า'!A:F,6,false),"")</f>
        <v/>
      </c>
      <c r="E98" s="16" t="str">
        <f>IFERROR(IF(VLOOKUP(A98,'📦 ชื่อสินค้า'!A:G,7,false)="InActive","InActive",IF(A98&lt;&gt;"",IF(B98&lt;=0,"สินค้าหมด",IF(B98&lt;=C98,"ควรเติมทันที","OK")),"")),)</f>
        <v/>
      </c>
      <c r="F98" s="24" t="str">
        <f>IFERROR(IF(A98&lt;&gt;"", SUMIF('💸 Transaction ซื้อ'!B:B,A98,'💸 Transaction ซื้อ'!G:G)/SUMIF('💸 Transaction ซื้อ'!B:B,A98,'💸 Transaction ซื้อ'!E:E),""),"-")</f>
        <v/>
      </c>
      <c r="G98" s="24" t="str">
        <f t="shared" si="1"/>
        <v/>
      </c>
      <c r="H98" s="25"/>
      <c r="I98" s="26"/>
      <c r="J98" s="26"/>
      <c r="K98" s="27" t="str">
        <f>IF(A98&lt;&gt;"",IF(E98="InActive","-",SUMIFS('💰 Transaction ขาย'!E:E,'💰 Transaction ขาย'!B:B,A98,'💰 Transaction ขาย'!A:A,"&gt;"&amp;'⚙️ Config'!$H$1-'⚙️ Config'!$H$2)),)</f>
        <v/>
      </c>
      <c r="L98" s="28" t="str">
        <f>IF(E98="InActive","-",IF(A98&lt;&gt;"",K98/'⚙️ Config'!$H$2,))</f>
        <v/>
      </c>
      <c r="M98" s="28" t="str">
        <f t="shared" si="2"/>
        <v/>
      </c>
      <c r="N98" s="28" t="str">
        <f>IF(A98&lt;&gt;"", SUMIFS('💰 Transaction ขาย'!F:F,'💰 Transaction ขาย'!B:B,A98,'💰 Transaction ขาย'!A:A,"&gt;="&amp;DATE(YEAR('⚙️ Config'!$H$1),1,1),'💰 Transaction ขาย'!A:A,"&lt;="&amp;DATE(YEAR('⚙️ Config'!$H$1),12,31)),)</f>
        <v/>
      </c>
    </row>
    <row r="99">
      <c r="A99" s="22"/>
      <c r="B99" s="22" t="str">
        <f>IF(A99&lt;&gt;"",SUMIFS('💸 Transaction ซื้อ'!E:E,'💸 Transaction ซื้อ'!B:B,A99)-SUMIFS('💰 Transaction ขาย'!E:E,'💰 Transaction ขาย'!B:B,A99),"")</f>
        <v/>
      </c>
      <c r="C99" s="23" t="str">
        <f>IF(A99&lt;&gt;"",vlookup(A99,'📦 ชื่อสินค้า'!A:E,5,false),"")</f>
        <v/>
      </c>
      <c r="D99" s="23" t="str">
        <f>IF(A99&lt;&gt;"",VLOOKUP(A99,'📦 ชื่อสินค้า'!A:F,6,false),"")</f>
        <v/>
      </c>
      <c r="E99" s="16" t="str">
        <f>IFERROR(IF(VLOOKUP(A99,'📦 ชื่อสินค้า'!A:G,7,false)="InActive","InActive",IF(A99&lt;&gt;"",IF(B99&lt;=0,"สินค้าหมด",IF(B99&lt;=C99,"ควรเติมทันที","OK")),"")),)</f>
        <v/>
      </c>
      <c r="F99" s="24" t="str">
        <f>IFERROR(IF(A99&lt;&gt;"", SUMIF('💸 Transaction ซื้อ'!B:B,A99,'💸 Transaction ซื้อ'!G:G)/SUMIF('💸 Transaction ซื้อ'!B:B,A99,'💸 Transaction ซื้อ'!E:E),""),"-")</f>
        <v/>
      </c>
      <c r="G99" s="24" t="str">
        <f t="shared" si="1"/>
        <v/>
      </c>
      <c r="H99" s="25"/>
      <c r="I99" s="26"/>
      <c r="J99" s="26"/>
      <c r="K99" s="27" t="str">
        <f>IF(A99&lt;&gt;"",IF(E99="InActive","-",SUMIFS('💰 Transaction ขาย'!E:E,'💰 Transaction ขาย'!B:B,A99,'💰 Transaction ขาย'!A:A,"&gt;"&amp;'⚙️ Config'!$H$1-'⚙️ Config'!$H$2)),)</f>
        <v/>
      </c>
      <c r="L99" s="28" t="str">
        <f>IF(E99="InActive","-",IF(A99&lt;&gt;"",K99/'⚙️ Config'!$H$2,))</f>
        <v/>
      </c>
      <c r="M99" s="28" t="str">
        <f t="shared" si="2"/>
        <v/>
      </c>
      <c r="N99" s="28" t="str">
        <f>IF(A99&lt;&gt;"", SUMIFS('💰 Transaction ขาย'!F:F,'💰 Transaction ขาย'!B:B,A99,'💰 Transaction ขาย'!A:A,"&gt;="&amp;DATE(YEAR('⚙️ Config'!$H$1),1,1),'💰 Transaction ขาย'!A:A,"&lt;="&amp;DATE(YEAR('⚙️ Config'!$H$1),12,31)),)</f>
        <v/>
      </c>
    </row>
    <row r="100">
      <c r="A100" s="22"/>
      <c r="B100" s="22" t="str">
        <f>IF(A100&lt;&gt;"",SUMIFS('💸 Transaction ซื้อ'!E:E,'💸 Transaction ซื้อ'!B:B,A100)-SUMIFS('💰 Transaction ขาย'!E:E,'💰 Transaction ขาย'!B:B,A100),"")</f>
        <v/>
      </c>
      <c r="C100" s="23" t="str">
        <f>IF(A100&lt;&gt;"",vlookup(A100,'📦 ชื่อสินค้า'!A:E,5,false),"")</f>
        <v/>
      </c>
      <c r="D100" s="23" t="str">
        <f>IF(A100&lt;&gt;"",VLOOKUP(A100,'📦 ชื่อสินค้า'!A:F,6,false),"")</f>
        <v/>
      </c>
      <c r="E100" s="16" t="str">
        <f>IFERROR(IF(VLOOKUP(A100,'📦 ชื่อสินค้า'!A:G,7,false)="InActive","InActive",IF(A100&lt;&gt;"",IF(B100&lt;=0,"สินค้าหมด",IF(B100&lt;=C100,"ควรเติมทันที","OK")),"")),)</f>
        <v/>
      </c>
      <c r="F100" s="24" t="str">
        <f>IFERROR(IF(A100&lt;&gt;"", SUMIF('💸 Transaction ซื้อ'!B:B,A100,'💸 Transaction ซื้อ'!G:G)/SUMIF('💸 Transaction ซื้อ'!B:B,A100,'💸 Transaction ซื้อ'!E:E),""),"-")</f>
        <v/>
      </c>
      <c r="G100" s="24" t="str">
        <f t="shared" si="1"/>
        <v/>
      </c>
      <c r="H100" s="25"/>
      <c r="I100" s="26"/>
      <c r="J100" s="26"/>
      <c r="K100" s="27" t="str">
        <f>IF(A100&lt;&gt;"",IF(E100="InActive","-",SUMIFS('💰 Transaction ขาย'!E:E,'💰 Transaction ขาย'!B:B,A100,'💰 Transaction ขาย'!A:A,"&gt;"&amp;'⚙️ Config'!$H$1-'⚙️ Config'!$H$2)),)</f>
        <v/>
      </c>
      <c r="L100" s="28" t="str">
        <f>IF(E100="InActive","-",IF(A100&lt;&gt;"",K100/'⚙️ Config'!$H$2,))</f>
        <v/>
      </c>
      <c r="M100" s="28" t="str">
        <f t="shared" si="2"/>
        <v/>
      </c>
      <c r="N100" s="28" t="str">
        <f>IF(A100&lt;&gt;"", SUMIFS('💰 Transaction ขาย'!F:F,'💰 Transaction ขาย'!B:B,A100,'💰 Transaction ขาย'!A:A,"&gt;="&amp;DATE(YEAR('⚙️ Config'!$H$1),1,1),'💰 Transaction ขาย'!A:A,"&lt;="&amp;DATE(YEAR('⚙️ Config'!$H$1),12,31)),)</f>
        <v/>
      </c>
    </row>
    <row r="101">
      <c r="A101" s="22"/>
      <c r="B101" s="22" t="str">
        <f>IF(A101&lt;&gt;"",SUMIFS('💸 Transaction ซื้อ'!E:E,'💸 Transaction ซื้อ'!B:B,A101)-SUMIFS('💰 Transaction ขาย'!E:E,'💰 Transaction ขาย'!B:B,A101),"")</f>
        <v/>
      </c>
      <c r="C101" s="23" t="str">
        <f>IF(A101&lt;&gt;"",vlookup(A101,'📦 ชื่อสินค้า'!A:E,5,false),"")</f>
        <v/>
      </c>
      <c r="D101" s="23" t="str">
        <f>IF(A101&lt;&gt;"",VLOOKUP(A101,'📦 ชื่อสินค้า'!A:F,6,false),"")</f>
        <v/>
      </c>
      <c r="E101" s="16" t="str">
        <f>IFERROR(IF(VLOOKUP(A101,'📦 ชื่อสินค้า'!A:G,7,false)="InActive","InActive",IF(A101&lt;&gt;"",IF(B101&lt;=0,"สินค้าหมด",IF(B101&lt;=C101,"ควรเติมทันที","OK")),"")),)</f>
        <v/>
      </c>
      <c r="F101" s="24" t="str">
        <f>IFERROR(IF(A101&lt;&gt;"", SUMIF('💸 Transaction ซื้อ'!B:B,A101,'💸 Transaction ซื้อ'!G:G)/SUMIF('💸 Transaction ซื้อ'!B:B,A101,'💸 Transaction ซื้อ'!E:E),""),"-")</f>
        <v/>
      </c>
      <c r="G101" s="24" t="str">
        <f t="shared" si="1"/>
        <v/>
      </c>
      <c r="H101" s="25"/>
      <c r="I101" s="26"/>
      <c r="J101" s="26"/>
      <c r="K101" s="27" t="str">
        <f>IF(A101&lt;&gt;"",IF(E101="InActive","-",SUMIFS('💰 Transaction ขาย'!E:E,'💰 Transaction ขาย'!B:B,A101,'💰 Transaction ขาย'!A:A,"&gt;"&amp;'⚙️ Config'!$H$1-'⚙️ Config'!$H$2)),)</f>
        <v/>
      </c>
      <c r="L101" s="28" t="str">
        <f>IF(E101="InActive","-",IF(A101&lt;&gt;"",K101/'⚙️ Config'!$H$2,))</f>
        <v/>
      </c>
      <c r="M101" s="28" t="str">
        <f t="shared" si="2"/>
        <v/>
      </c>
      <c r="N101" s="28" t="str">
        <f>IF(A101&lt;&gt;"", SUMIFS('💰 Transaction ขาย'!F:F,'💰 Transaction ขาย'!B:B,A101,'💰 Transaction ขาย'!A:A,"&gt;="&amp;DATE(YEAR('⚙️ Config'!$H$1),1,1),'💰 Transaction ขาย'!A:A,"&lt;="&amp;DATE(YEAR('⚙️ Config'!$H$1),12,31)),)</f>
        <v/>
      </c>
    </row>
    <row r="102">
      <c r="A102" s="22"/>
      <c r="B102" s="22" t="str">
        <f>IF(A102&lt;&gt;"",SUMIFS('💸 Transaction ซื้อ'!E:E,'💸 Transaction ซื้อ'!B:B,A102)-SUMIFS('💰 Transaction ขาย'!E:E,'💰 Transaction ขาย'!B:B,A102),"")</f>
        <v/>
      </c>
      <c r="C102" s="23" t="str">
        <f>IF(A102&lt;&gt;"",vlookup(A102,'📦 ชื่อสินค้า'!A:E,5,false),"")</f>
        <v/>
      </c>
      <c r="D102" s="23" t="str">
        <f>IF(A102&lt;&gt;"",VLOOKUP(A102,'📦 ชื่อสินค้า'!A:F,6,false),"")</f>
        <v/>
      </c>
      <c r="E102" s="16" t="str">
        <f>IFERROR(IF(VLOOKUP(A102,'📦 ชื่อสินค้า'!A:G,7,false)="InActive","InActive",IF(A102&lt;&gt;"",IF(B102&lt;=0,"สินค้าหมด",IF(B102&lt;=C102,"ควรเติมทันที","OK")),"")),)</f>
        <v/>
      </c>
      <c r="F102" s="24" t="str">
        <f>IFERROR(IF(A102&lt;&gt;"", SUMIF('💸 Transaction ซื้อ'!B:B,A102,'💸 Transaction ซื้อ'!G:G)/SUMIF('💸 Transaction ซื้อ'!B:B,A102,'💸 Transaction ซื้อ'!E:E),""),"-")</f>
        <v/>
      </c>
      <c r="G102" s="24" t="str">
        <f t="shared" si="1"/>
        <v/>
      </c>
      <c r="H102" s="25"/>
      <c r="I102" s="26"/>
      <c r="J102" s="26"/>
      <c r="K102" s="27" t="str">
        <f>IF(A102&lt;&gt;"",IF(E102="InActive","-",SUMIFS('💰 Transaction ขาย'!E:E,'💰 Transaction ขาย'!B:B,A102,'💰 Transaction ขาย'!A:A,"&gt;"&amp;'⚙️ Config'!$H$1-'⚙️ Config'!$H$2)),)</f>
        <v/>
      </c>
      <c r="L102" s="28" t="str">
        <f>IF(E102="InActive","-",IF(A102&lt;&gt;"",K102/'⚙️ Config'!$H$2,))</f>
        <v/>
      </c>
      <c r="M102" s="28" t="str">
        <f t="shared" si="2"/>
        <v/>
      </c>
      <c r="N102" s="28" t="str">
        <f>IF(A102&lt;&gt;"", SUMIFS('💰 Transaction ขาย'!F:F,'💰 Transaction ขาย'!B:B,A102,'💰 Transaction ขาย'!A:A,"&gt;="&amp;DATE(YEAR('⚙️ Config'!$H$1),1,1),'💰 Transaction ขาย'!A:A,"&lt;="&amp;DATE(YEAR('⚙️ Config'!$H$1),12,31)),)</f>
        <v/>
      </c>
    </row>
    <row r="103">
      <c r="A103" s="22"/>
      <c r="B103" s="22" t="str">
        <f>IF(A103&lt;&gt;"",SUMIFS('💸 Transaction ซื้อ'!E:E,'💸 Transaction ซื้อ'!B:B,A103)-SUMIFS('💰 Transaction ขาย'!E:E,'💰 Transaction ขาย'!B:B,A103),"")</f>
        <v/>
      </c>
      <c r="C103" s="23" t="str">
        <f>IF(A103&lt;&gt;"",vlookup(A103,'📦 ชื่อสินค้า'!A:E,5,false),"")</f>
        <v/>
      </c>
      <c r="D103" s="23" t="str">
        <f>IF(A103&lt;&gt;"",VLOOKUP(A103,'📦 ชื่อสินค้า'!A:F,6,false),"")</f>
        <v/>
      </c>
      <c r="E103" s="16" t="str">
        <f>IFERROR(IF(VLOOKUP(A103,'📦 ชื่อสินค้า'!A:G,7,false)="InActive","InActive",IF(A103&lt;&gt;"",IF(B103&lt;=0,"สินค้าหมด",IF(B103&lt;=C103,"ควรเติมทันที","OK")),"")),)</f>
        <v/>
      </c>
      <c r="F103" s="24" t="str">
        <f>IFERROR(IF(A103&lt;&gt;"", SUMIF('💸 Transaction ซื้อ'!B:B,A103,'💸 Transaction ซื้อ'!G:G)/SUMIF('💸 Transaction ซื้อ'!B:B,A103,'💸 Transaction ซื้อ'!E:E),""),"-")</f>
        <v/>
      </c>
      <c r="G103" s="24" t="str">
        <f t="shared" si="1"/>
        <v/>
      </c>
      <c r="H103" s="25"/>
      <c r="I103" s="26"/>
      <c r="J103" s="26"/>
      <c r="K103" s="27" t="str">
        <f>IF(A103&lt;&gt;"",IF(E103="InActive","-",SUMIFS('💰 Transaction ขาย'!E:E,'💰 Transaction ขาย'!B:B,A103,'💰 Transaction ขาย'!A:A,"&gt;"&amp;'⚙️ Config'!$H$1-'⚙️ Config'!$H$2)),)</f>
        <v/>
      </c>
      <c r="L103" s="28" t="str">
        <f>IF(E103="InActive","-",IF(A103&lt;&gt;"",K103/'⚙️ Config'!$H$2,))</f>
        <v/>
      </c>
      <c r="M103" s="28" t="str">
        <f t="shared" si="2"/>
        <v/>
      </c>
      <c r="N103" s="28" t="str">
        <f>IF(A103&lt;&gt;"", SUMIFS('💰 Transaction ขาย'!F:F,'💰 Transaction ขาย'!B:B,A103,'💰 Transaction ขาย'!A:A,"&gt;="&amp;DATE(YEAR('⚙️ Config'!$H$1),1,1),'💰 Transaction ขาย'!A:A,"&lt;="&amp;DATE(YEAR('⚙️ Config'!$H$1),12,31)),)</f>
        <v/>
      </c>
    </row>
    <row r="104">
      <c r="A104" s="22"/>
      <c r="B104" s="22" t="str">
        <f>IF(A104&lt;&gt;"",SUMIFS('💸 Transaction ซื้อ'!E:E,'💸 Transaction ซื้อ'!B:B,A104)-SUMIFS('💰 Transaction ขาย'!E:E,'💰 Transaction ขาย'!B:B,A104),"")</f>
        <v/>
      </c>
      <c r="C104" s="23" t="str">
        <f>IF(A104&lt;&gt;"",vlookup(A104,'📦 ชื่อสินค้า'!A:E,5,false),"")</f>
        <v/>
      </c>
      <c r="D104" s="23" t="str">
        <f>IF(A104&lt;&gt;"",VLOOKUP(A104,'📦 ชื่อสินค้า'!A:F,6,false),"")</f>
        <v/>
      </c>
      <c r="E104" s="16" t="str">
        <f>IFERROR(IF(VLOOKUP(A104,'📦 ชื่อสินค้า'!A:G,7,false)="InActive","InActive",IF(A104&lt;&gt;"",IF(B104&lt;=0,"สินค้าหมด",IF(B104&lt;=C104,"ควรเติมทันที","OK")),"")),)</f>
        <v/>
      </c>
      <c r="F104" s="24" t="str">
        <f>IFERROR(IF(A104&lt;&gt;"", SUMIF('💸 Transaction ซื้อ'!B:B,A104,'💸 Transaction ซื้อ'!G:G)/SUMIF('💸 Transaction ซื้อ'!B:B,A104,'💸 Transaction ซื้อ'!E:E),""),"-")</f>
        <v/>
      </c>
      <c r="G104" s="24" t="str">
        <f t="shared" si="1"/>
        <v/>
      </c>
      <c r="H104" s="25"/>
      <c r="I104" s="26"/>
      <c r="J104" s="26"/>
      <c r="K104" s="27" t="str">
        <f>IF(A104&lt;&gt;"",IF(E104="InActive","-",SUMIFS('💰 Transaction ขาย'!E:E,'💰 Transaction ขาย'!B:B,A104,'💰 Transaction ขาย'!A:A,"&gt;"&amp;'⚙️ Config'!$H$1-'⚙️ Config'!$H$2)),)</f>
        <v/>
      </c>
      <c r="L104" s="28" t="str">
        <f>IF(E104="InActive","-",IF(A104&lt;&gt;"",K104/'⚙️ Config'!$H$2,))</f>
        <v/>
      </c>
      <c r="M104" s="28" t="str">
        <f t="shared" si="2"/>
        <v/>
      </c>
      <c r="N104" s="28" t="str">
        <f>IF(A104&lt;&gt;"", SUMIFS('💰 Transaction ขาย'!F:F,'💰 Transaction ขาย'!B:B,A104,'💰 Transaction ขาย'!A:A,"&gt;="&amp;DATE(YEAR('⚙️ Config'!$H$1),1,1),'💰 Transaction ขาย'!A:A,"&lt;="&amp;DATE(YEAR('⚙️ Config'!$H$1),12,31)),)</f>
        <v/>
      </c>
    </row>
    <row r="105">
      <c r="A105" s="22"/>
      <c r="B105" s="22" t="str">
        <f>IF(A105&lt;&gt;"",SUMIFS('💸 Transaction ซื้อ'!E:E,'💸 Transaction ซื้อ'!B:B,A105)-SUMIFS('💰 Transaction ขาย'!E:E,'💰 Transaction ขาย'!B:B,A105),"")</f>
        <v/>
      </c>
      <c r="C105" s="23" t="str">
        <f>IF(A105&lt;&gt;"",vlookup(A105,'📦 ชื่อสินค้า'!A:E,5,false),"")</f>
        <v/>
      </c>
      <c r="D105" s="23" t="str">
        <f>IF(A105&lt;&gt;"",VLOOKUP(A105,'📦 ชื่อสินค้า'!A:F,6,false),"")</f>
        <v/>
      </c>
      <c r="E105" s="16" t="str">
        <f>IFERROR(IF(VLOOKUP(A105,'📦 ชื่อสินค้า'!A:G,7,false)="InActive","InActive",IF(A105&lt;&gt;"",IF(B105&lt;=0,"สินค้าหมด",IF(B105&lt;=C105,"ควรเติมทันที","OK")),"")),)</f>
        <v/>
      </c>
      <c r="F105" s="24" t="str">
        <f>IFERROR(IF(A105&lt;&gt;"", SUMIF('💸 Transaction ซื้อ'!B:B,A105,'💸 Transaction ซื้อ'!G:G)/SUMIF('💸 Transaction ซื้อ'!B:B,A105,'💸 Transaction ซื้อ'!E:E),""),"-")</f>
        <v/>
      </c>
      <c r="G105" s="24" t="str">
        <f t="shared" si="1"/>
        <v/>
      </c>
      <c r="H105" s="25"/>
      <c r="I105" s="26"/>
      <c r="J105" s="26"/>
      <c r="K105" s="27" t="str">
        <f>IF(A105&lt;&gt;"",IF(E105="InActive","-",SUMIFS('💰 Transaction ขาย'!E:E,'💰 Transaction ขาย'!B:B,A105,'💰 Transaction ขาย'!A:A,"&gt;"&amp;'⚙️ Config'!$H$1-'⚙️ Config'!$H$2)),)</f>
        <v/>
      </c>
      <c r="L105" s="28" t="str">
        <f>IF(E105="InActive","-",IF(A105&lt;&gt;"",K105/'⚙️ Config'!$H$2,))</f>
        <v/>
      </c>
      <c r="M105" s="28" t="str">
        <f t="shared" si="2"/>
        <v/>
      </c>
      <c r="N105" s="28" t="str">
        <f>IF(A105&lt;&gt;"", SUMIFS('💰 Transaction ขาย'!F:F,'💰 Transaction ขาย'!B:B,A105,'💰 Transaction ขาย'!A:A,"&gt;="&amp;DATE(YEAR('⚙️ Config'!$H$1),1,1),'💰 Transaction ขาย'!A:A,"&lt;="&amp;DATE(YEAR('⚙️ Config'!$H$1),12,31)),)</f>
        <v/>
      </c>
    </row>
    <row r="106">
      <c r="A106" s="22"/>
      <c r="B106" s="22" t="str">
        <f>IF(A106&lt;&gt;"",SUMIFS('💸 Transaction ซื้อ'!E:E,'💸 Transaction ซื้อ'!B:B,A106)-SUMIFS('💰 Transaction ขาย'!E:E,'💰 Transaction ขาย'!B:B,A106),"")</f>
        <v/>
      </c>
      <c r="C106" s="23" t="str">
        <f>IF(A106&lt;&gt;"",vlookup(A106,'📦 ชื่อสินค้า'!A:E,5,false),"")</f>
        <v/>
      </c>
      <c r="D106" s="23" t="str">
        <f>IF(A106&lt;&gt;"",VLOOKUP(A106,'📦 ชื่อสินค้า'!A:F,6,false),"")</f>
        <v/>
      </c>
      <c r="E106" s="16" t="str">
        <f>IFERROR(IF(VLOOKUP(A106,'📦 ชื่อสินค้า'!A:G,7,false)="InActive","InActive",IF(A106&lt;&gt;"",IF(B106&lt;=0,"สินค้าหมด",IF(B106&lt;=C106,"ควรเติมทันที","OK")),"")),)</f>
        <v/>
      </c>
      <c r="F106" s="24" t="str">
        <f>IFERROR(IF(A106&lt;&gt;"", SUMIF('💸 Transaction ซื้อ'!B:B,A106,'💸 Transaction ซื้อ'!G:G)/SUMIF('💸 Transaction ซื้อ'!B:B,A106,'💸 Transaction ซื้อ'!E:E),""),"-")</f>
        <v/>
      </c>
      <c r="G106" s="24" t="str">
        <f t="shared" si="1"/>
        <v/>
      </c>
      <c r="H106" s="25"/>
      <c r="I106" s="26"/>
      <c r="J106" s="26"/>
      <c r="K106" s="27" t="str">
        <f>IF(A106&lt;&gt;"",IF(E106="InActive","-",SUMIFS('💰 Transaction ขาย'!E:E,'💰 Transaction ขาย'!B:B,A106,'💰 Transaction ขาย'!A:A,"&gt;"&amp;'⚙️ Config'!$H$1-'⚙️ Config'!$H$2)),)</f>
        <v/>
      </c>
      <c r="L106" s="28" t="str">
        <f>IF(E106="InActive","-",IF(A106&lt;&gt;"",K106/'⚙️ Config'!$H$2,))</f>
        <v/>
      </c>
      <c r="M106" s="28" t="str">
        <f t="shared" si="2"/>
        <v/>
      </c>
      <c r="N106" s="28" t="str">
        <f>IF(A106&lt;&gt;"", SUMIFS('💰 Transaction ขาย'!F:F,'💰 Transaction ขาย'!B:B,A106,'💰 Transaction ขาย'!A:A,"&gt;="&amp;DATE(YEAR('⚙️ Config'!$H$1),1,1),'💰 Transaction ขาย'!A:A,"&lt;="&amp;DATE(YEAR('⚙️ Config'!$H$1),12,31)),)</f>
        <v/>
      </c>
    </row>
    <row r="107">
      <c r="A107" s="22"/>
      <c r="B107" s="22" t="str">
        <f>IF(A107&lt;&gt;"",SUMIFS('💸 Transaction ซื้อ'!E:E,'💸 Transaction ซื้อ'!B:B,A107)-SUMIFS('💰 Transaction ขาย'!E:E,'💰 Transaction ขาย'!B:B,A107),"")</f>
        <v/>
      </c>
      <c r="C107" s="23" t="str">
        <f>IF(A107&lt;&gt;"",vlookup(A107,'📦 ชื่อสินค้า'!A:E,5,false),"")</f>
        <v/>
      </c>
      <c r="D107" s="23" t="str">
        <f>IF(A107&lt;&gt;"",VLOOKUP(A107,'📦 ชื่อสินค้า'!A:F,6,false),"")</f>
        <v/>
      </c>
      <c r="E107" s="16" t="str">
        <f>IFERROR(IF(VLOOKUP(A107,'📦 ชื่อสินค้า'!A:G,7,false)="InActive","InActive",IF(A107&lt;&gt;"",IF(B107&lt;=0,"สินค้าหมด",IF(B107&lt;=C107,"ควรเติมทันที","OK")),"")),)</f>
        <v/>
      </c>
      <c r="F107" s="24" t="str">
        <f>IFERROR(IF(A107&lt;&gt;"", SUMIF('💸 Transaction ซื้อ'!B:B,A107,'💸 Transaction ซื้อ'!G:G)/SUMIF('💸 Transaction ซื้อ'!B:B,A107,'💸 Transaction ซื้อ'!E:E),""),"-")</f>
        <v/>
      </c>
      <c r="G107" s="24" t="str">
        <f t="shared" si="1"/>
        <v/>
      </c>
      <c r="H107" s="25"/>
      <c r="I107" s="26"/>
      <c r="J107" s="26"/>
      <c r="K107" s="27" t="str">
        <f>IF(A107&lt;&gt;"",IF(E107="InActive","-",SUMIFS('💰 Transaction ขาย'!E:E,'💰 Transaction ขาย'!B:B,A107,'💰 Transaction ขาย'!A:A,"&gt;"&amp;'⚙️ Config'!$H$1-'⚙️ Config'!$H$2)),)</f>
        <v/>
      </c>
      <c r="L107" s="28" t="str">
        <f>IF(E107="InActive","-",IF(A107&lt;&gt;"",K107/'⚙️ Config'!$H$2,))</f>
        <v/>
      </c>
      <c r="M107" s="28" t="str">
        <f t="shared" si="2"/>
        <v/>
      </c>
      <c r="N107" s="28" t="str">
        <f>IF(A107&lt;&gt;"", SUMIFS('💰 Transaction ขาย'!F:F,'💰 Transaction ขาย'!B:B,A107,'💰 Transaction ขาย'!A:A,"&gt;="&amp;DATE(YEAR('⚙️ Config'!$H$1),1,1),'💰 Transaction ขาย'!A:A,"&lt;="&amp;DATE(YEAR('⚙️ Config'!$H$1),12,31)),)</f>
        <v/>
      </c>
    </row>
    <row r="108">
      <c r="A108" s="22"/>
      <c r="B108" s="22" t="str">
        <f>IF(A108&lt;&gt;"",SUMIFS('💸 Transaction ซื้อ'!E:E,'💸 Transaction ซื้อ'!B:B,A108)-SUMIFS('💰 Transaction ขาย'!E:E,'💰 Transaction ขาย'!B:B,A108),"")</f>
        <v/>
      </c>
      <c r="C108" s="23" t="str">
        <f>IF(A108&lt;&gt;"",vlookup(A108,'📦 ชื่อสินค้า'!A:E,5,false),"")</f>
        <v/>
      </c>
      <c r="D108" s="23" t="str">
        <f>IF(A108&lt;&gt;"",VLOOKUP(A108,'📦 ชื่อสินค้า'!A:F,6,false),"")</f>
        <v/>
      </c>
      <c r="E108" s="16" t="str">
        <f>IFERROR(IF(VLOOKUP(A108,'📦 ชื่อสินค้า'!A:G,7,false)="InActive","InActive",IF(A108&lt;&gt;"",IF(B108&lt;=0,"สินค้าหมด",IF(B108&lt;=C108,"ควรเติมทันที","OK")),"")),)</f>
        <v/>
      </c>
      <c r="F108" s="24" t="str">
        <f>IFERROR(IF(A108&lt;&gt;"", SUMIF('💸 Transaction ซื้อ'!B:B,A108,'💸 Transaction ซื้อ'!G:G)/SUMIF('💸 Transaction ซื้อ'!B:B,A108,'💸 Transaction ซื้อ'!E:E),""),"-")</f>
        <v/>
      </c>
      <c r="G108" s="24" t="str">
        <f t="shared" si="1"/>
        <v/>
      </c>
      <c r="H108" s="25"/>
      <c r="I108" s="26"/>
      <c r="J108" s="26"/>
      <c r="K108" s="27" t="str">
        <f>IF(A108&lt;&gt;"",IF(E108="InActive","-",SUMIFS('💰 Transaction ขาย'!E:E,'💰 Transaction ขาย'!B:B,A108,'💰 Transaction ขาย'!A:A,"&gt;"&amp;'⚙️ Config'!$H$1-'⚙️ Config'!$H$2)),)</f>
        <v/>
      </c>
      <c r="L108" s="28" t="str">
        <f>IF(E108="InActive","-",IF(A108&lt;&gt;"",K108/'⚙️ Config'!$H$2,))</f>
        <v/>
      </c>
      <c r="M108" s="28" t="str">
        <f t="shared" si="2"/>
        <v/>
      </c>
      <c r="N108" s="28" t="str">
        <f>IF(A108&lt;&gt;"", SUMIFS('💰 Transaction ขาย'!F:F,'💰 Transaction ขาย'!B:B,A108,'💰 Transaction ขาย'!A:A,"&gt;="&amp;DATE(YEAR('⚙️ Config'!$H$1),1,1),'💰 Transaction ขาย'!A:A,"&lt;="&amp;DATE(YEAR('⚙️ Config'!$H$1),12,31)),)</f>
        <v/>
      </c>
    </row>
    <row r="109">
      <c r="A109" s="22"/>
      <c r="B109" s="22" t="str">
        <f>IF(A109&lt;&gt;"",SUMIFS('💸 Transaction ซื้อ'!E:E,'💸 Transaction ซื้อ'!B:B,A109)-SUMIFS('💰 Transaction ขาย'!E:E,'💰 Transaction ขาย'!B:B,A109),"")</f>
        <v/>
      </c>
      <c r="C109" s="23" t="str">
        <f>IF(A109&lt;&gt;"",vlookup(A109,'📦 ชื่อสินค้า'!A:E,5,false),"")</f>
        <v/>
      </c>
      <c r="D109" s="23" t="str">
        <f>IF(A109&lt;&gt;"",VLOOKUP(A109,'📦 ชื่อสินค้า'!A:F,6,false),"")</f>
        <v/>
      </c>
      <c r="E109" s="16" t="str">
        <f>IFERROR(IF(VLOOKUP(A109,'📦 ชื่อสินค้า'!A:G,7,false)="InActive","InActive",IF(A109&lt;&gt;"",IF(B109&lt;=0,"สินค้าหมด",IF(B109&lt;=C109,"ควรเติมทันที","OK")),"")),)</f>
        <v/>
      </c>
      <c r="F109" s="24" t="str">
        <f>IFERROR(IF(A109&lt;&gt;"", SUMIF('💸 Transaction ซื้อ'!B:B,A109,'💸 Transaction ซื้อ'!G:G)/SUMIF('💸 Transaction ซื้อ'!B:B,A109,'💸 Transaction ซื้อ'!E:E),""),"-")</f>
        <v/>
      </c>
      <c r="G109" s="24" t="str">
        <f t="shared" si="1"/>
        <v/>
      </c>
      <c r="H109" s="25"/>
      <c r="I109" s="26"/>
      <c r="J109" s="26"/>
      <c r="K109" s="27" t="str">
        <f>IF(A109&lt;&gt;"",IF(E109="InActive","-",SUMIFS('💰 Transaction ขาย'!E:E,'💰 Transaction ขาย'!B:B,A109,'💰 Transaction ขาย'!A:A,"&gt;"&amp;'⚙️ Config'!$H$1-'⚙️ Config'!$H$2)),)</f>
        <v/>
      </c>
      <c r="L109" s="28" t="str">
        <f>IF(E109="InActive","-",IF(A109&lt;&gt;"",K109/'⚙️ Config'!$H$2,))</f>
        <v/>
      </c>
      <c r="M109" s="28" t="str">
        <f t="shared" si="2"/>
        <v/>
      </c>
      <c r="N109" s="28" t="str">
        <f>IF(A109&lt;&gt;"", SUMIFS('💰 Transaction ขาย'!F:F,'💰 Transaction ขาย'!B:B,A109,'💰 Transaction ขาย'!A:A,"&gt;="&amp;DATE(YEAR('⚙️ Config'!$H$1),1,1),'💰 Transaction ขาย'!A:A,"&lt;="&amp;DATE(YEAR('⚙️ Config'!$H$1),12,31)),)</f>
        <v/>
      </c>
    </row>
    <row r="110">
      <c r="A110" s="22"/>
      <c r="B110" s="22" t="str">
        <f>IF(A110&lt;&gt;"",SUMIFS('💸 Transaction ซื้อ'!E:E,'💸 Transaction ซื้อ'!B:B,A110)-SUMIFS('💰 Transaction ขาย'!E:E,'💰 Transaction ขาย'!B:B,A110),"")</f>
        <v/>
      </c>
      <c r="C110" s="23" t="str">
        <f>IF(A110&lt;&gt;"",vlookup(A110,'📦 ชื่อสินค้า'!A:E,5,false),"")</f>
        <v/>
      </c>
      <c r="D110" s="23" t="str">
        <f>IF(A110&lt;&gt;"",VLOOKUP(A110,'📦 ชื่อสินค้า'!A:F,6,false),"")</f>
        <v/>
      </c>
      <c r="E110" s="16" t="str">
        <f>IFERROR(IF(VLOOKUP(A110,'📦 ชื่อสินค้า'!A:G,7,false)="InActive","InActive",IF(A110&lt;&gt;"",IF(B110&lt;=0,"สินค้าหมด",IF(B110&lt;=C110,"ควรเติมทันที","OK")),"")),)</f>
        <v/>
      </c>
      <c r="F110" s="24" t="str">
        <f>IFERROR(IF(A110&lt;&gt;"", SUMIF('💸 Transaction ซื้อ'!B:B,A110,'💸 Transaction ซื้อ'!G:G)/SUMIF('💸 Transaction ซื้อ'!B:B,A110,'💸 Transaction ซื้อ'!E:E),""),"-")</f>
        <v/>
      </c>
      <c r="G110" s="24" t="str">
        <f t="shared" si="1"/>
        <v/>
      </c>
      <c r="H110" s="25"/>
      <c r="I110" s="26"/>
      <c r="J110" s="26"/>
      <c r="K110" s="27" t="str">
        <f>IF(A110&lt;&gt;"",IF(E110="InActive","-",SUMIFS('💰 Transaction ขาย'!E:E,'💰 Transaction ขาย'!B:B,A110,'💰 Transaction ขาย'!A:A,"&gt;"&amp;'⚙️ Config'!$H$1-'⚙️ Config'!$H$2)),)</f>
        <v/>
      </c>
      <c r="L110" s="28" t="str">
        <f>IF(E110="InActive","-",IF(A110&lt;&gt;"",K110/'⚙️ Config'!$H$2,))</f>
        <v/>
      </c>
      <c r="M110" s="28" t="str">
        <f t="shared" si="2"/>
        <v/>
      </c>
      <c r="N110" s="28" t="str">
        <f>IF(A110&lt;&gt;"", SUMIFS('💰 Transaction ขาย'!F:F,'💰 Transaction ขาย'!B:B,A110,'💰 Transaction ขาย'!A:A,"&gt;="&amp;DATE(YEAR('⚙️ Config'!$H$1),1,1),'💰 Transaction ขาย'!A:A,"&lt;="&amp;DATE(YEAR('⚙️ Config'!$H$1),12,31)),)</f>
        <v/>
      </c>
    </row>
    <row r="111">
      <c r="A111" s="22"/>
      <c r="B111" s="22" t="str">
        <f>IF(A111&lt;&gt;"",SUMIFS('💸 Transaction ซื้อ'!E:E,'💸 Transaction ซื้อ'!B:B,A111)-SUMIFS('💰 Transaction ขาย'!E:E,'💰 Transaction ขาย'!B:B,A111),"")</f>
        <v/>
      </c>
      <c r="C111" s="23" t="str">
        <f>IF(A111&lt;&gt;"",vlookup(A111,'📦 ชื่อสินค้า'!A:E,5,false),"")</f>
        <v/>
      </c>
      <c r="D111" s="23" t="str">
        <f>IF(A111&lt;&gt;"",VLOOKUP(A111,'📦 ชื่อสินค้า'!A:F,6,false),"")</f>
        <v/>
      </c>
      <c r="E111" s="16" t="str">
        <f>IFERROR(IF(VLOOKUP(A111,'📦 ชื่อสินค้า'!A:G,7,false)="InActive","InActive",IF(A111&lt;&gt;"",IF(B111&lt;=0,"สินค้าหมด",IF(B111&lt;=C111,"ควรเติมทันที","OK")),"")),)</f>
        <v/>
      </c>
      <c r="F111" s="24" t="str">
        <f>IFERROR(IF(A111&lt;&gt;"", SUMIF('💸 Transaction ซื้อ'!B:B,A111,'💸 Transaction ซื้อ'!G:G)/SUMIF('💸 Transaction ซื้อ'!B:B,A111,'💸 Transaction ซื้อ'!E:E),""),"-")</f>
        <v/>
      </c>
      <c r="G111" s="24" t="str">
        <f t="shared" si="1"/>
        <v/>
      </c>
      <c r="H111" s="25"/>
      <c r="I111" s="26"/>
      <c r="J111" s="26"/>
      <c r="K111" s="27" t="str">
        <f>IF(A111&lt;&gt;"",IF(E111="InActive","-",SUMIFS('💰 Transaction ขาย'!E:E,'💰 Transaction ขาย'!B:B,A111,'💰 Transaction ขาย'!A:A,"&gt;"&amp;'⚙️ Config'!$H$1-'⚙️ Config'!$H$2)),)</f>
        <v/>
      </c>
      <c r="L111" s="28" t="str">
        <f>IF(E111="InActive","-",IF(A111&lt;&gt;"",K111/'⚙️ Config'!$H$2,))</f>
        <v/>
      </c>
      <c r="M111" s="28" t="str">
        <f t="shared" si="2"/>
        <v/>
      </c>
      <c r="N111" s="28" t="str">
        <f>IF(A111&lt;&gt;"", SUMIFS('💰 Transaction ขาย'!F:F,'💰 Transaction ขาย'!B:B,A111,'💰 Transaction ขาย'!A:A,"&gt;="&amp;DATE(YEAR('⚙️ Config'!$H$1),1,1),'💰 Transaction ขาย'!A:A,"&lt;="&amp;DATE(YEAR('⚙️ Config'!$H$1),12,31)),)</f>
        <v/>
      </c>
    </row>
    <row r="112">
      <c r="A112" s="22"/>
      <c r="B112" s="22" t="str">
        <f>IF(A112&lt;&gt;"",SUMIFS('💸 Transaction ซื้อ'!E:E,'💸 Transaction ซื้อ'!B:B,A112)-SUMIFS('💰 Transaction ขาย'!E:E,'💰 Transaction ขาย'!B:B,A112),"")</f>
        <v/>
      </c>
      <c r="C112" s="23" t="str">
        <f>IF(A112&lt;&gt;"",vlookup(A112,'📦 ชื่อสินค้า'!A:E,5,false),"")</f>
        <v/>
      </c>
      <c r="D112" s="23" t="str">
        <f>IF(A112&lt;&gt;"",VLOOKUP(A112,'📦 ชื่อสินค้า'!A:F,6,false),"")</f>
        <v/>
      </c>
      <c r="E112" s="16" t="str">
        <f>IFERROR(IF(VLOOKUP(A112,'📦 ชื่อสินค้า'!A:G,7,false)="InActive","InActive",IF(A112&lt;&gt;"",IF(B112&lt;=0,"สินค้าหมด",IF(B112&lt;=C112,"ควรเติมทันที","OK")),"")),)</f>
        <v/>
      </c>
      <c r="F112" s="24" t="str">
        <f>IFERROR(IF(A112&lt;&gt;"", SUMIF('💸 Transaction ซื้อ'!B:B,A112,'💸 Transaction ซื้อ'!G:G)/SUMIF('💸 Transaction ซื้อ'!B:B,A112,'💸 Transaction ซื้อ'!E:E),""),"-")</f>
        <v/>
      </c>
      <c r="G112" s="24" t="str">
        <f t="shared" si="1"/>
        <v/>
      </c>
      <c r="H112" s="25"/>
      <c r="I112" s="26"/>
      <c r="J112" s="26"/>
      <c r="K112" s="27" t="str">
        <f>IF(A112&lt;&gt;"",IF(E112="InActive","-",SUMIFS('💰 Transaction ขาย'!E:E,'💰 Transaction ขาย'!B:B,A112,'💰 Transaction ขาย'!A:A,"&gt;"&amp;'⚙️ Config'!$H$1-'⚙️ Config'!$H$2)),)</f>
        <v/>
      </c>
      <c r="L112" s="28" t="str">
        <f>IF(E112="InActive","-",IF(A112&lt;&gt;"",K112/'⚙️ Config'!$H$2,))</f>
        <v/>
      </c>
      <c r="M112" s="28" t="str">
        <f t="shared" si="2"/>
        <v/>
      </c>
      <c r="N112" s="28" t="str">
        <f>IF(A112&lt;&gt;"", SUMIFS('💰 Transaction ขาย'!F:F,'💰 Transaction ขาย'!B:B,A112,'💰 Transaction ขาย'!A:A,"&gt;="&amp;DATE(YEAR('⚙️ Config'!$H$1),1,1),'💰 Transaction ขาย'!A:A,"&lt;="&amp;DATE(YEAR('⚙️ Config'!$H$1),12,31)),)</f>
        <v/>
      </c>
    </row>
    <row r="113">
      <c r="A113" s="22"/>
      <c r="B113" s="22" t="str">
        <f>IF(A113&lt;&gt;"",SUMIFS('💸 Transaction ซื้อ'!E:E,'💸 Transaction ซื้อ'!B:B,A113)-SUMIFS('💰 Transaction ขาย'!E:E,'💰 Transaction ขาย'!B:B,A113),"")</f>
        <v/>
      </c>
      <c r="C113" s="23" t="str">
        <f>IF(A113&lt;&gt;"",vlookup(A113,'📦 ชื่อสินค้า'!A:E,5,false),"")</f>
        <v/>
      </c>
      <c r="D113" s="23" t="str">
        <f>IF(A113&lt;&gt;"",VLOOKUP(A113,'📦 ชื่อสินค้า'!A:F,6,false),"")</f>
        <v/>
      </c>
      <c r="E113" s="16" t="str">
        <f>IFERROR(IF(VLOOKUP(A113,'📦 ชื่อสินค้า'!A:G,7,false)="InActive","InActive",IF(A113&lt;&gt;"",IF(B113&lt;=0,"สินค้าหมด",IF(B113&lt;=C113,"ควรเติมทันที","OK")),"")),)</f>
        <v/>
      </c>
      <c r="F113" s="24" t="str">
        <f>IFERROR(IF(A113&lt;&gt;"", SUMIF('💸 Transaction ซื้อ'!B:B,A113,'💸 Transaction ซื้อ'!G:G)/SUMIF('💸 Transaction ซื้อ'!B:B,A113,'💸 Transaction ซื้อ'!E:E),""),"-")</f>
        <v/>
      </c>
      <c r="G113" s="24" t="str">
        <f t="shared" si="1"/>
        <v/>
      </c>
      <c r="H113" s="25"/>
      <c r="I113" s="26"/>
      <c r="J113" s="26"/>
      <c r="K113" s="27" t="str">
        <f>IF(A113&lt;&gt;"",IF(E113="InActive","-",SUMIFS('💰 Transaction ขาย'!E:E,'💰 Transaction ขาย'!B:B,A113,'💰 Transaction ขาย'!A:A,"&gt;"&amp;'⚙️ Config'!$H$1-'⚙️ Config'!$H$2)),)</f>
        <v/>
      </c>
      <c r="L113" s="28" t="str">
        <f>IF(E113="InActive","-",IF(A113&lt;&gt;"",K113/'⚙️ Config'!$H$2,))</f>
        <v/>
      </c>
      <c r="M113" s="28" t="str">
        <f t="shared" si="2"/>
        <v/>
      </c>
      <c r="N113" s="28" t="str">
        <f>IF(A113&lt;&gt;"", SUMIFS('💰 Transaction ขาย'!F:F,'💰 Transaction ขาย'!B:B,A113,'💰 Transaction ขาย'!A:A,"&gt;="&amp;DATE(YEAR('⚙️ Config'!$H$1),1,1),'💰 Transaction ขาย'!A:A,"&lt;="&amp;DATE(YEAR('⚙️ Config'!$H$1),12,31)),)</f>
        <v/>
      </c>
    </row>
    <row r="114">
      <c r="A114" s="22"/>
      <c r="B114" s="22" t="str">
        <f>IF(A114&lt;&gt;"",SUMIFS('💸 Transaction ซื้อ'!E:E,'💸 Transaction ซื้อ'!B:B,A114)-SUMIFS('💰 Transaction ขาย'!E:E,'💰 Transaction ขาย'!B:B,A114),"")</f>
        <v/>
      </c>
      <c r="C114" s="23" t="str">
        <f>IF(A114&lt;&gt;"",vlookup(A114,'📦 ชื่อสินค้า'!A:E,5,false),"")</f>
        <v/>
      </c>
      <c r="D114" s="23" t="str">
        <f>IF(A114&lt;&gt;"",VLOOKUP(A114,'📦 ชื่อสินค้า'!A:F,6,false),"")</f>
        <v/>
      </c>
      <c r="E114" s="16" t="str">
        <f>IFERROR(IF(VLOOKUP(A114,'📦 ชื่อสินค้า'!A:G,7,false)="InActive","InActive",IF(A114&lt;&gt;"",IF(B114&lt;=0,"สินค้าหมด",IF(B114&lt;=C114,"ควรเติมทันที","OK")),"")),)</f>
        <v/>
      </c>
      <c r="F114" s="24" t="str">
        <f>IFERROR(IF(A114&lt;&gt;"", SUMIF('💸 Transaction ซื้อ'!B:B,A114,'💸 Transaction ซื้อ'!G:G)/SUMIF('💸 Transaction ซื้อ'!B:B,A114,'💸 Transaction ซื้อ'!E:E),""),"-")</f>
        <v/>
      </c>
      <c r="G114" s="24" t="str">
        <f t="shared" si="1"/>
        <v/>
      </c>
      <c r="H114" s="25"/>
      <c r="I114" s="26"/>
      <c r="J114" s="26"/>
      <c r="K114" s="27" t="str">
        <f>IF(A114&lt;&gt;"",IF(E114="InActive","-",SUMIFS('💰 Transaction ขาย'!E:E,'💰 Transaction ขาย'!B:B,A114,'💰 Transaction ขาย'!A:A,"&gt;"&amp;'⚙️ Config'!$H$1-'⚙️ Config'!$H$2)),)</f>
        <v/>
      </c>
      <c r="L114" s="28" t="str">
        <f>IF(E114="InActive","-",IF(A114&lt;&gt;"",K114/'⚙️ Config'!$H$2,))</f>
        <v/>
      </c>
      <c r="M114" s="28" t="str">
        <f t="shared" si="2"/>
        <v/>
      </c>
      <c r="N114" s="28" t="str">
        <f>IF(A114&lt;&gt;"", SUMIFS('💰 Transaction ขาย'!F:F,'💰 Transaction ขาย'!B:B,A114,'💰 Transaction ขาย'!A:A,"&gt;="&amp;DATE(YEAR('⚙️ Config'!$H$1),1,1),'💰 Transaction ขาย'!A:A,"&lt;="&amp;DATE(YEAR('⚙️ Config'!$H$1),12,31)),)</f>
        <v/>
      </c>
    </row>
    <row r="115">
      <c r="A115" s="22"/>
      <c r="B115" s="22" t="str">
        <f>IF(A115&lt;&gt;"",SUMIFS('💸 Transaction ซื้อ'!E:E,'💸 Transaction ซื้อ'!B:B,A115)-SUMIFS('💰 Transaction ขาย'!E:E,'💰 Transaction ขาย'!B:B,A115),"")</f>
        <v/>
      </c>
      <c r="C115" s="23" t="str">
        <f>IF(A115&lt;&gt;"",vlookup(A115,'📦 ชื่อสินค้า'!A:E,5,false),"")</f>
        <v/>
      </c>
      <c r="D115" s="23" t="str">
        <f>IF(A115&lt;&gt;"",VLOOKUP(A115,'📦 ชื่อสินค้า'!A:F,6,false),"")</f>
        <v/>
      </c>
      <c r="E115" s="16" t="str">
        <f>IFERROR(IF(VLOOKUP(A115,'📦 ชื่อสินค้า'!A:G,7,false)="InActive","InActive",IF(A115&lt;&gt;"",IF(B115&lt;=0,"สินค้าหมด",IF(B115&lt;=C115,"ควรเติมทันที","OK")),"")),)</f>
        <v/>
      </c>
      <c r="F115" s="24" t="str">
        <f>IFERROR(IF(A115&lt;&gt;"", SUMIF('💸 Transaction ซื้อ'!B:B,A115,'💸 Transaction ซื้อ'!G:G)/SUMIF('💸 Transaction ซื้อ'!B:B,A115,'💸 Transaction ซื้อ'!E:E),""),"-")</f>
        <v/>
      </c>
      <c r="G115" s="24" t="str">
        <f t="shared" si="1"/>
        <v/>
      </c>
      <c r="H115" s="25"/>
      <c r="I115" s="26"/>
      <c r="J115" s="26"/>
      <c r="K115" s="27" t="str">
        <f>IF(A115&lt;&gt;"",IF(E115="InActive","-",SUMIFS('💰 Transaction ขาย'!E:E,'💰 Transaction ขาย'!B:B,A115,'💰 Transaction ขาย'!A:A,"&gt;"&amp;'⚙️ Config'!$H$1-'⚙️ Config'!$H$2)),)</f>
        <v/>
      </c>
      <c r="L115" s="28" t="str">
        <f>IF(E115="InActive","-",IF(A115&lt;&gt;"",K115/'⚙️ Config'!$H$2,))</f>
        <v/>
      </c>
      <c r="M115" s="28" t="str">
        <f t="shared" si="2"/>
        <v/>
      </c>
      <c r="N115" s="28" t="str">
        <f>IF(A115&lt;&gt;"", SUMIFS('💰 Transaction ขาย'!F:F,'💰 Transaction ขาย'!B:B,A115,'💰 Transaction ขาย'!A:A,"&gt;="&amp;DATE(YEAR('⚙️ Config'!$H$1),1,1),'💰 Transaction ขาย'!A:A,"&lt;="&amp;DATE(YEAR('⚙️ Config'!$H$1),12,31)),)</f>
        <v/>
      </c>
    </row>
    <row r="116">
      <c r="A116" s="22"/>
      <c r="B116" s="22" t="str">
        <f>IF(A116&lt;&gt;"",SUMIFS('💸 Transaction ซื้อ'!E:E,'💸 Transaction ซื้อ'!B:B,A116)-SUMIFS('💰 Transaction ขาย'!E:E,'💰 Transaction ขาย'!B:B,A116),"")</f>
        <v/>
      </c>
      <c r="C116" s="23" t="str">
        <f>IF(A116&lt;&gt;"",vlookup(A116,'📦 ชื่อสินค้า'!A:E,5,false),"")</f>
        <v/>
      </c>
      <c r="D116" s="23" t="str">
        <f>IF(A116&lt;&gt;"",VLOOKUP(A116,'📦 ชื่อสินค้า'!A:F,6,false),"")</f>
        <v/>
      </c>
      <c r="E116" s="16" t="str">
        <f>IFERROR(IF(VLOOKUP(A116,'📦 ชื่อสินค้า'!A:G,7,false)="InActive","InActive",IF(A116&lt;&gt;"",IF(B116&lt;=0,"สินค้าหมด",IF(B116&lt;=C116,"ควรเติมทันที","OK")),"")),)</f>
        <v/>
      </c>
      <c r="F116" s="24" t="str">
        <f>IFERROR(IF(A116&lt;&gt;"", SUMIF('💸 Transaction ซื้อ'!B:B,A116,'💸 Transaction ซื้อ'!G:G)/SUMIF('💸 Transaction ซื้อ'!B:B,A116,'💸 Transaction ซื้อ'!E:E),""),"-")</f>
        <v/>
      </c>
      <c r="G116" s="24" t="str">
        <f t="shared" si="1"/>
        <v/>
      </c>
      <c r="H116" s="25"/>
      <c r="I116" s="26"/>
      <c r="J116" s="26"/>
      <c r="K116" s="27" t="str">
        <f>IF(A116&lt;&gt;"",IF(E116="InActive","-",SUMIFS('💰 Transaction ขาย'!E:E,'💰 Transaction ขาย'!B:B,A116,'💰 Transaction ขาย'!A:A,"&gt;"&amp;'⚙️ Config'!$H$1-'⚙️ Config'!$H$2)),)</f>
        <v/>
      </c>
      <c r="L116" s="28" t="str">
        <f>IF(E116="InActive","-",IF(A116&lt;&gt;"",K116/'⚙️ Config'!$H$2,))</f>
        <v/>
      </c>
      <c r="M116" s="28" t="str">
        <f t="shared" si="2"/>
        <v/>
      </c>
      <c r="N116" s="28" t="str">
        <f>IF(A116&lt;&gt;"", SUMIFS('💰 Transaction ขาย'!F:F,'💰 Transaction ขาย'!B:B,A116,'💰 Transaction ขาย'!A:A,"&gt;="&amp;DATE(YEAR('⚙️ Config'!$H$1),1,1),'💰 Transaction ขาย'!A:A,"&lt;="&amp;DATE(YEAR('⚙️ Config'!$H$1),12,31)),)</f>
        <v/>
      </c>
    </row>
    <row r="117">
      <c r="A117" s="22"/>
      <c r="B117" s="22" t="str">
        <f>IF(A117&lt;&gt;"",SUMIFS('💸 Transaction ซื้อ'!E:E,'💸 Transaction ซื้อ'!B:B,A117)-SUMIFS('💰 Transaction ขาย'!E:E,'💰 Transaction ขาย'!B:B,A117),"")</f>
        <v/>
      </c>
      <c r="C117" s="23" t="str">
        <f>IF(A117&lt;&gt;"",vlookup(A117,'📦 ชื่อสินค้า'!A:E,5,false),"")</f>
        <v/>
      </c>
      <c r="D117" s="23" t="str">
        <f>IF(A117&lt;&gt;"",VLOOKUP(A117,'📦 ชื่อสินค้า'!A:F,6,false),"")</f>
        <v/>
      </c>
      <c r="E117" s="16" t="str">
        <f>IFERROR(IF(VLOOKUP(A117,'📦 ชื่อสินค้า'!A:G,7,false)="InActive","InActive",IF(A117&lt;&gt;"",IF(B117&lt;=0,"สินค้าหมด",IF(B117&lt;=C117,"ควรเติมทันที","OK")),"")),)</f>
        <v/>
      </c>
      <c r="F117" s="24" t="str">
        <f>IFERROR(IF(A117&lt;&gt;"", SUMIF('💸 Transaction ซื้อ'!B:B,A117,'💸 Transaction ซื้อ'!G:G)/SUMIF('💸 Transaction ซื้อ'!B:B,A117,'💸 Transaction ซื้อ'!E:E),""),"-")</f>
        <v/>
      </c>
      <c r="G117" s="24" t="str">
        <f t="shared" si="1"/>
        <v/>
      </c>
      <c r="H117" s="25"/>
      <c r="I117" s="26"/>
      <c r="J117" s="26"/>
      <c r="K117" s="27" t="str">
        <f>IF(A117&lt;&gt;"",IF(E117="InActive","-",SUMIFS('💰 Transaction ขาย'!E:E,'💰 Transaction ขาย'!B:B,A117,'💰 Transaction ขาย'!A:A,"&gt;"&amp;'⚙️ Config'!$H$1-'⚙️ Config'!$H$2)),)</f>
        <v/>
      </c>
      <c r="L117" s="28" t="str">
        <f>IF(E117="InActive","-",IF(A117&lt;&gt;"",K117/'⚙️ Config'!$H$2,))</f>
        <v/>
      </c>
      <c r="M117" s="28" t="str">
        <f t="shared" si="2"/>
        <v/>
      </c>
      <c r="N117" s="28" t="str">
        <f>IF(A117&lt;&gt;"", SUMIFS('💰 Transaction ขาย'!F:F,'💰 Transaction ขาย'!B:B,A117,'💰 Transaction ขาย'!A:A,"&gt;="&amp;DATE(YEAR('⚙️ Config'!$H$1),1,1),'💰 Transaction ขาย'!A:A,"&lt;="&amp;DATE(YEAR('⚙️ Config'!$H$1),12,31)),)</f>
        <v/>
      </c>
    </row>
    <row r="118">
      <c r="A118" s="22"/>
      <c r="B118" s="22" t="str">
        <f>IF(A118&lt;&gt;"",SUMIFS('💸 Transaction ซื้อ'!E:E,'💸 Transaction ซื้อ'!B:B,A118)-SUMIFS('💰 Transaction ขาย'!E:E,'💰 Transaction ขาย'!B:B,A118),"")</f>
        <v/>
      </c>
      <c r="C118" s="23" t="str">
        <f>IF(A118&lt;&gt;"",vlookup(A118,'📦 ชื่อสินค้า'!A:E,5,false),"")</f>
        <v/>
      </c>
      <c r="D118" s="23" t="str">
        <f>IF(A118&lt;&gt;"",VLOOKUP(A118,'📦 ชื่อสินค้า'!A:F,6,false),"")</f>
        <v/>
      </c>
      <c r="E118" s="16" t="str">
        <f>IFERROR(IF(VLOOKUP(A118,'📦 ชื่อสินค้า'!A:G,7,false)="InActive","InActive",IF(A118&lt;&gt;"",IF(B118&lt;=0,"สินค้าหมด",IF(B118&lt;=C118,"ควรเติมทันที","OK")),"")),)</f>
        <v/>
      </c>
      <c r="F118" s="24" t="str">
        <f>IFERROR(IF(A118&lt;&gt;"", SUMIF('💸 Transaction ซื้อ'!B:B,A118,'💸 Transaction ซื้อ'!G:G)/SUMIF('💸 Transaction ซื้อ'!B:B,A118,'💸 Transaction ซื้อ'!E:E),""),"-")</f>
        <v/>
      </c>
      <c r="G118" s="24" t="str">
        <f t="shared" si="1"/>
        <v/>
      </c>
      <c r="H118" s="25"/>
      <c r="I118" s="26"/>
      <c r="J118" s="26"/>
      <c r="K118" s="27" t="str">
        <f>IF(A118&lt;&gt;"",IF(E118="InActive","-",SUMIFS('💰 Transaction ขาย'!E:E,'💰 Transaction ขาย'!B:B,A118,'💰 Transaction ขาย'!A:A,"&gt;"&amp;'⚙️ Config'!$H$1-'⚙️ Config'!$H$2)),)</f>
        <v/>
      </c>
      <c r="L118" s="28" t="str">
        <f>IF(E118="InActive","-",IF(A118&lt;&gt;"",K118/'⚙️ Config'!$H$2,))</f>
        <v/>
      </c>
      <c r="M118" s="28" t="str">
        <f t="shared" si="2"/>
        <v/>
      </c>
      <c r="N118" s="28" t="str">
        <f>IF(A118&lt;&gt;"", SUMIFS('💰 Transaction ขาย'!F:F,'💰 Transaction ขาย'!B:B,A118,'💰 Transaction ขาย'!A:A,"&gt;="&amp;DATE(YEAR('⚙️ Config'!$H$1),1,1),'💰 Transaction ขาย'!A:A,"&lt;="&amp;DATE(YEAR('⚙️ Config'!$H$1),12,31)),)</f>
        <v/>
      </c>
    </row>
    <row r="119">
      <c r="A119" s="22"/>
      <c r="B119" s="22" t="str">
        <f>IF(A119&lt;&gt;"",SUMIFS('💸 Transaction ซื้อ'!E:E,'💸 Transaction ซื้อ'!B:B,A119)-SUMIFS('💰 Transaction ขาย'!E:E,'💰 Transaction ขาย'!B:B,A119),"")</f>
        <v/>
      </c>
      <c r="C119" s="23" t="str">
        <f>IF(A119&lt;&gt;"",vlookup(A119,'📦 ชื่อสินค้า'!A:E,5,false),"")</f>
        <v/>
      </c>
      <c r="D119" s="23" t="str">
        <f>IF(A119&lt;&gt;"",VLOOKUP(A119,'📦 ชื่อสินค้า'!A:F,6,false),"")</f>
        <v/>
      </c>
      <c r="E119" s="16" t="str">
        <f>IFERROR(IF(VLOOKUP(A119,'📦 ชื่อสินค้า'!A:G,7,false)="InActive","InActive",IF(A119&lt;&gt;"",IF(B119&lt;=0,"สินค้าหมด",IF(B119&lt;=C119,"ควรเติมทันที","OK")),"")),)</f>
        <v/>
      </c>
      <c r="F119" s="24" t="str">
        <f>IFERROR(IF(A119&lt;&gt;"", SUMIF('💸 Transaction ซื้อ'!B:B,A119,'💸 Transaction ซื้อ'!G:G)/SUMIF('💸 Transaction ซื้อ'!B:B,A119,'💸 Transaction ซื้อ'!E:E),""),"-")</f>
        <v/>
      </c>
      <c r="G119" s="24" t="str">
        <f t="shared" si="1"/>
        <v/>
      </c>
      <c r="H119" s="25"/>
      <c r="I119" s="26"/>
      <c r="J119" s="26"/>
      <c r="K119" s="27" t="str">
        <f>IF(A119&lt;&gt;"",IF(E119="InActive","-",SUMIFS('💰 Transaction ขาย'!E:E,'💰 Transaction ขาย'!B:B,A119,'💰 Transaction ขาย'!A:A,"&gt;"&amp;'⚙️ Config'!$H$1-'⚙️ Config'!$H$2)),)</f>
        <v/>
      </c>
      <c r="L119" s="28" t="str">
        <f>IF(E119="InActive","-",IF(A119&lt;&gt;"",K119/'⚙️ Config'!$H$2,))</f>
        <v/>
      </c>
      <c r="M119" s="28" t="str">
        <f t="shared" si="2"/>
        <v/>
      </c>
      <c r="N119" s="28" t="str">
        <f>IF(A119&lt;&gt;"", SUMIFS('💰 Transaction ขาย'!F:F,'💰 Transaction ขาย'!B:B,A119,'💰 Transaction ขาย'!A:A,"&gt;="&amp;DATE(YEAR('⚙️ Config'!$H$1),1,1),'💰 Transaction ขาย'!A:A,"&lt;="&amp;DATE(YEAR('⚙️ Config'!$H$1),12,31)),)</f>
        <v/>
      </c>
    </row>
    <row r="120">
      <c r="A120" s="22"/>
      <c r="B120" s="22" t="str">
        <f>IF(A120&lt;&gt;"",SUMIFS('💸 Transaction ซื้อ'!E:E,'💸 Transaction ซื้อ'!B:B,A120)-SUMIFS('💰 Transaction ขาย'!E:E,'💰 Transaction ขาย'!B:B,A120),"")</f>
        <v/>
      </c>
      <c r="C120" s="23" t="str">
        <f>IF(A120&lt;&gt;"",vlookup(A120,'📦 ชื่อสินค้า'!A:E,5,false),"")</f>
        <v/>
      </c>
      <c r="D120" s="23" t="str">
        <f>IF(A120&lt;&gt;"",VLOOKUP(A120,'📦 ชื่อสินค้า'!A:F,6,false),"")</f>
        <v/>
      </c>
      <c r="E120" s="16" t="str">
        <f>IFERROR(IF(VLOOKUP(A120,'📦 ชื่อสินค้า'!A:G,7,false)="InActive","InActive",IF(A120&lt;&gt;"",IF(B120&lt;=0,"สินค้าหมด",IF(B120&lt;=C120,"ควรเติมทันที","OK")),"")),)</f>
        <v/>
      </c>
      <c r="F120" s="24" t="str">
        <f>IFERROR(IF(A120&lt;&gt;"", SUMIF('💸 Transaction ซื้อ'!B:B,A120,'💸 Transaction ซื้อ'!G:G)/SUMIF('💸 Transaction ซื้อ'!B:B,A120,'💸 Transaction ซื้อ'!E:E),""),"-")</f>
        <v/>
      </c>
      <c r="G120" s="24" t="str">
        <f t="shared" si="1"/>
        <v/>
      </c>
      <c r="H120" s="25"/>
      <c r="I120" s="26"/>
      <c r="J120" s="26"/>
      <c r="K120" s="27" t="str">
        <f>IF(A120&lt;&gt;"",IF(E120="InActive","-",SUMIFS('💰 Transaction ขาย'!E:E,'💰 Transaction ขาย'!B:B,A120,'💰 Transaction ขาย'!A:A,"&gt;"&amp;'⚙️ Config'!$H$1-'⚙️ Config'!$H$2)),)</f>
        <v/>
      </c>
      <c r="L120" s="28" t="str">
        <f>IF(E120="InActive","-",IF(A120&lt;&gt;"",K120/'⚙️ Config'!$H$2,))</f>
        <v/>
      </c>
      <c r="M120" s="28" t="str">
        <f t="shared" si="2"/>
        <v/>
      </c>
      <c r="N120" s="28" t="str">
        <f>IF(A120&lt;&gt;"", SUMIFS('💰 Transaction ขาย'!F:F,'💰 Transaction ขาย'!B:B,A120,'💰 Transaction ขาย'!A:A,"&gt;="&amp;DATE(YEAR('⚙️ Config'!$H$1),1,1),'💰 Transaction ขาย'!A:A,"&lt;="&amp;DATE(YEAR('⚙️ Config'!$H$1),12,31)),)</f>
        <v/>
      </c>
    </row>
    <row r="121">
      <c r="A121" s="22"/>
      <c r="B121" s="22" t="str">
        <f>IF(A121&lt;&gt;"",SUMIFS('💸 Transaction ซื้อ'!E:E,'💸 Transaction ซื้อ'!B:B,A121)-SUMIFS('💰 Transaction ขาย'!E:E,'💰 Transaction ขาย'!B:B,A121),"")</f>
        <v/>
      </c>
      <c r="C121" s="23" t="str">
        <f>IF(A121&lt;&gt;"",vlookup(A121,'📦 ชื่อสินค้า'!A:E,5,false),"")</f>
        <v/>
      </c>
      <c r="D121" s="23" t="str">
        <f>IF(A121&lt;&gt;"",VLOOKUP(A121,'📦 ชื่อสินค้า'!A:F,6,false),"")</f>
        <v/>
      </c>
      <c r="E121" s="16" t="str">
        <f>IFERROR(IF(VLOOKUP(A121,'📦 ชื่อสินค้า'!A:G,7,false)="InActive","InActive",IF(A121&lt;&gt;"",IF(B121&lt;=0,"สินค้าหมด",IF(B121&lt;=C121,"ควรเติมทันที","OK")),"")),)</f>
        <v/>
      </c>
      <c r="F121" s="24" t="str">
        <f>IFERROR(IF(A121&lt;&gt;"", SUMIF('💸 Transaction ซื้อ'!B:B,A121,'💸 Transaction ซื้อ'!G:G)/SUMIF('💸 Transaction ซื้อ'!B:B,A121,'💸 Transaction ซื้อ'!E:E),""),"-")</f>
        <v/>
      </c>
      <c r="G121" s="24" t="str">
        <f t="shared" si="1"/>
        <v/>
      </c>
      <c r="H121" s="25"/>
      <c r="I121" s="26"/>
      <c r="J121" s="26"/>
      <c r="K121" s="27" t="str">
        <f>IF(A121&lt;&gt;"",IF(E121="InActive","-",SUMIFS('💰 Transaction ขาย'!E:E,'💰 Transaction ขาย'!B:B,A121,'💰 Transaction ขาย'!A:A,"&gt;"&amp;'⚙️ Config'!$H$1-'⚙️ Config'!$H$2)),)</f>
        <v/>
      </c>
      <c r="L121" s="28" t="str">
        <f>IF(E121="InActive","-",IF(A121&lt;&gt;"",K121/'⚙️ Config'!$H$2,))</f>
        <v/>
      </c>
      <c r="M121" s="28" t="str">
        <f t="shared" si="2"/>
        <v/>
      </c>
      <c r="N121" s="28" t="str">
        <f>IF(A121&lt;&gt;"", SUMIFS('💰 Transaction ขาย'!F:F,'💰 Transaction ขาย'!B:B,A121,'💰 Transaction ขาย'!A:A,"&gt;="&amp;DATE(YEAR('⚙️ Config'!$H$1),1,1),'💰 Transaction ขาย'!A:A,"&lt;="&amp;DATE(YEAR('⚙️ Config'!$H$1),12,31)),)</f>
        <v/>
      </c>
    </row>
    <row r="122">
      <c r="A122" s="22"/>
      <c r="B122" s="22" t="str">
        <f>IF(A122&lt;&gt;"",SUMIFS('💸 Transaction ซื้อ'!E:E,'💸 Transaction ซื้อ'!B:B,A122)-SUMIFS('💰 Transaction ขาย'!E:E,'💰 Transaction ขาย'!B:B,A122),"")</f>
        <v/>
      </c>
      <c r="C122" s="23" t="str">
        <f>IF(A122&lt;&gt;"",vlookup(A122,'📦 ชื่อสินค้า'!A:E,5,false),"")</f>
        <v/>
      </c>
      <c r="D122" s="23" t="str">
        <f>IF(A122&lt;&gt;"",VLOOKUP(A122,'📦 ชื่อสินค้า'!A:F,6,false),"")</f>
        <v/>
      </c>
      <c r="E122" s="16" t="str">
        <f>IFERROR(IF(VLOOKUP(A122,'📦 ชื่อสินค้า'!A:G,7,false)="InActive","InActive",IF(A122&lt;&gt;"",IF(B122&lt;=0,"สินค้าหมด",IF(B122&lt;=C122,"ควรเติมทันที","OK")),"")),)</f>
        <v/>
      </c>
      <c r="F122" s="24" t="str">
        <f>IFERROR(IF(A122&lt;&gt;"", SUMIF('💸 Transaction ซื้อ'!B:B,A122,'💸 Transaction ซื้อ'!G:G)/SUMIF('💸 Transaction ซื้อ'!B:B,A122,'💸 Transaction ซื้อ'!E:E),""),"-")</f>
        <v/>
      </c>
      <c r="G122" s="24" t="str">
        <f t="shared" si="1"/>
        <v/>
      </c>
      <c r="H122" s="25"/>
      <c r="I122" s="26"/>
      <c r="J122" s="26"/>
      <c r="K122" s="27" t="str">
        <f>IF(A122&lt;&gt;"",IF(E122="InActive","-",SUMIFS('💰 Transaction ขาย'!E:E,'💰 Transaction ขาย'!B:B,A122,'💰 Transaction ขาย'!A:A,"&gt;"&amp;'⚙️ Config'!$H$1-'⚙️ Config'!$H$2)),)</f>
        <v/>
      </c>
      <c r="L122" s="28" t="str">
        <f>IF(E122="InActive","-",IF(A122&lt;&gt;"",K122/'⚙️ Config'!$H$2,))</f>
        <v/>
      </c>
      <c r="M122" s="28" t="str">
        <f t="shared" si="2"/>
        <v/>
      </c>
      <c r="N122" s="28" t="str">
        <f>IF(A122&lt;&gt;"", SUMIFS('💰 Transaction ขาย'!F:F,'💰 Transaction ขาย'!B:B,A122,'💰 Transaction ขาย'!A:A,"&gt;="&amp;DATE(YEAR('⚙️ Config'!$H$1),1,1),'💰 Transaction ขาย'!A:A,"&lt;="&amp;DATE(YEAR('⚙️ Config'!$H$1),12,31)),)</f>
        <v/>
      </c>
    </row>
    <row r="123">
      <c r="A123" s="22"/>
      <c r="B123" s="22" t="str">
        <f>IF(A123&lt;&gt;"",SUMIFS('💸 Transaction ซื้อ'!E:E,'💸 Transaction ซื้อ'!B:B,A123)-SUMIFS('💰 Transaction ขาย'!E:E,'💰 Transaction ขาย'!B:B,A123),"")</f>
        <v/>
      </c>
      <c r="C123" s="23" t="str">
        <f>IF(A123&lt;&gt;"",vlookup(A123,'📦 ชื่อสินค้า'!A:E,5,false),"")</f>
        <v/>
      </c>
      <c r="D123" s="23" t="str">
        <f>IF(A123&lt;&gt;"",VLOOKUP(A123,'📦 ชื่อสินค้า'!A:F,6,false),"")</f>
        <v/>
      </c>
      <c r="E123" s="16" t="str">
        <f>IFERROR(IF(VLOOKUP(A123,'📦 ชื่อสินค้า'!A:G,7,false)="InActive","InActive",IF(A123&lt;&gt;"",IF(B123&lt;=0,"สินค้าหมด",IF(B123&lt;=C123,"ควรเติมทันที","OK")),"")),)</f>
        <v/>
      </c>
      <c r="F123" s="24" t="str">
        <f>IFERROR(IF(A123&lt;&gt;"", SUMIF('💸 Transaction ซื้อ'!B:B,A123,'💸 Transaction ซื้อ'!G:G)/SUMIF('💸 Transaction ซื้อ'!B:B,A123,'💸 Transaction ซื้อ'!E:E),""),"-")</f>
        <v/>
      </c>
      <c r="G123" s="24" t="str">
        <f t="shared" si="1"/>
        <v/>
      </c>
      <c r="H123" s="25"/>
      <c r="I123" s="26"/>
      <c r="J123" s="26"/>
      <c r="K123" s="27" t="str">
        <f>IF(A123&lt;&gt;"",IF(E123="InActive","-",SUMIFS('💰 Transaction ขาย'!E:E,'💰 Transaction ขาย'!B:B,A123,'💰 Transaction ขาย'!A:A,"&gt;"&amp;'⚙️ Config'!$H$1-'⚙️ Config'!$H$2)),)</f>
        <v/>
      </c>
      <c r="L123" s="28" t="str">
        <f>IF(E123="InActive","-",IF(A123&lt;&gt;"",K123/'⚙️ Config'!$H$2,))</f>
        <v/>
      </c>
      <c r="M123" s="28" t="str">
        <f t="shared" si="2"/>
        <v/>
      </c>
      <c r="N123" s="28" t="str">
        <f>IF(A123&lt;&gt;"", SUMIFS('💰 Transaction ขาย'!F:F,'💰 Transaction ขาย'!B:B,A123,'💰 Transaction ขาย'!A:A,"&gt;="&amp;DATE(YEAR('⚙️ Config'!$H$1),1,1),'💰 Transaction ขาย'!A:A,"&lt;="&amp;DATE(YEAR('⚙️ Config'!$H$1),12,31)),)</f>
        <v/>
      </c>
    </row>
    <row r="124">
      <c r="A124" s="22"/>
      <c r="B124" s="22" t="str">
        <f>IF(A124&lt;&gt;"",SUMIFS('💸 Transaction ซื้อ'!E:E,'💸 Transaction ซื้อ'!B:B,A124)-SUMIFS('💰 Transaction ขาย'!E:E,'💰 Transaction ขาย'!B:B,A124),"")</f>
        <v/>
      </c>
      <c r="C124" s="23" t="str">
        <f>IF(A124&lt;&gt;"",vlookup(A124,'📦 ชื่อสินค้า'!A:E,5,false),"")</f>
        <v/>
      </c>
      <c r="D124" s="23" t="str">
        <f>IF(A124&lt;&gt;"",VLOOKUP(A124,'📦 ชื่อสินค้า'!A:F,6,false),"")</f>
        <v/>
      </c>
      <c r="E124" s="16" t="str">
        <f>IFERROR(IF(VLOOKUP(A124,'📦 ชื่อสินค้า'!A:G,7,false)="InActive","InActive",IF(A124&lt;&gt;"",IF(B124&lt;=0,"สินค้าหมด",IF(B124&lt;=C124,"ควรเติมทันที","OK")),"")),)</f>
        <v/>
      </c>
      <c r="F124" s="24" t="str">
        <f>IFERROR(IF(A124&lt;&gt;"", SUMIF('💸 Transaction ซื้อ'!B:B,A124,'💸 Transaction ซื้อ'!G:G)/SUMIF('💸 Transaction ซื้อ'!B:B,A124,'💸 Transaction ซื้อ'!E:E),""),"-")</f>
        <v/>
      </c>
      <c r="G124" s="24" t="str">
        <f t="shared" si="1"/>
        <v/>
      </c>
      <c r="H124" s="25"/>
      <c r="I124" s="26"/>
      <c r="J124" s="26"/>
      <c r="K124" s="27" t="str">
        <f>IF(A124&lt;&gt;"",IF(E124="InActive","-",SUMIFS('💰 Transaction ขาย'!E:E,'💰 Transaction ขาย'!B:B,A124,'💰 Transaction ขาย'!A:A,"&gt;"&amp;'⚙️ Config'!$H$1-'⚙️ Config'!$H$2)),)</f>
        <v/>
      </c>
      <c r="L124" s="28" t="str">
        <f>IF(E124="InActive","-",IF(A124&lt;&gt;"",K124/'⚙️ Config'!$H$2,))</f>
        <v/>
      </c>
      <c r="M124" s="28" t="str">
        <f t="shared" si="2"/>
        <v/>
      </c>
      <c r="N124" s="28" t="str">
        <f>IF(A124&lt;&gt;"", SUMIFS('💰 Transaction ขาย'!F:F,'💰 Transaction ขาย'!B:B,A124,'💰 Transaction ขาย'!A:A,"&gt;="&amp;DATE(YEAR('⚙️ Config'!$H$1),1,1),'💰 Transaction ขาย'!A:A,"&lt;="&amp;DATE(YEAR('⚙️ Config'!$H$1),12,31)),)</f>
        <v/>
      </c>
    </row>
    <row r="125">
      <c r="A125" s="22"/>
      <c r="B125" s="22" t="str">
        <f>IF(A125&lt;&gt;"",SUMIFS('💸 Transaction ซื้อ'!E:E,'💸 Transaction ซื้อ'!B:B,A125)-SUMIFS('💰 Transaction ขาย'!E:E,'💰 Transaction ขาย'!B:B,A125),"")</f>
        <v/>
      </c>
      <c r="C125" s="23" t="str">
        <f>IF(A125&lt;&gt;"",vlookup(A125,'📦 ชื่อสินค้า'!A:E,5,false),"")</f>
        <v/>
      </c>
      <c r="D125" s="23" t="str">
        <f>IF(A125&lt;&gt;"",VLOOKUP(A125,'📦 ชื่อสินค้า'!A:F,6,false),"")</f>
        <v/>
      </c>
      <c r="E125" s="16" t="str">
        <f>IFERROR(IF(VLOOKUP(A125,'📦 ชื่อสินค้า'!A:G,7,false)="InActive","InActive",IF(A125&lt;&gt;"",IF(B125&lt;=0,"สินค้าหมด",IF(B125&lt;=C125,"ควรเติมทันที","OK")),"")),)</f>
        <v/>
      </c>
      <c r="F125" s="24" t="str">
        <f>IFERROR(IF(A125&lt;&gt;"", SUMIF('💸 Transaction ซื้อ'!B:B,A125,'💸 Transaction ซื้อ'!G:G)/SUMIF('💸 Transaction ซื้อ'!B:B,A125,'💸 Transaction ซื้อ'!E:E),""),"-")</f>
        <v/>
      </c>
      <c r="G125" s="24" t="str">
        <f t="shared" si="1"/>
        <v/>
      </c>
      <c r="H125" s="25"/>
      <c r="I125" s="26"/>
      <c r="J125" s="26"/>
      <c r="K125" s="27" t="str">
        <f>IF(A125&lt;&gt;"",IF(E125="InActive","-",SUMIFS('💰 Transaction ขาย'!E:E,'💰 Transaction ขาย'!B:B,A125,'💰 Transaction ขาย'!A:A,"&gt;"&amp;'⚙️ Config'!$H$1-'⚙️ Config'!$H$2)),)</f>
        <v/>
      </c>
      <c r="L125" s="28" t="str">
        <f>IF(E125="InActive","-",IF(A125&lt;&gt;"",K125/'⚙️ Config'!$H$2,))</f>
        <v/>
      </c>
      <c r="M125" s="28" t="str">
        <f t="shared" si="2"/>
        <v/>
      </c>
      <c r="N125" s="28" t="str">
        <f>IF(A125&lt;&gt;"", SUMIFS('💰 Transaction ขาย'!F:F,'💰 Transaction ขาย'!B:B,A125,'💰 Transaction ขาย'!A:A,"&gt;="&amp;DATE(YEAR('⚙️ Config'!$H$1),1,1),'💰 Transaction ขาย'!A:A,"&lt;="&amp;DATE(YEAR('⚙️ Config'!$H$1),12,31)),)</f>
        <v/>
      </c>
    </row>
    <row r="126">
      <c r="A126" s="22"/>
      <c r="B126" s="22" t="str">
        <f>IF(A126&lt;&gt;"",SUMIFS('💸 Transaction ซื้อ'!E:E,'💸 Transaction ซื้อ'!B:B,A126)-SUMIFS('💰 Transaction ขาย'!E:E,'💰 Transaction ขาย'!B:B,A126),"")</f>
        <v/>
      </c>
      <c r="C126" s="23" t="str">
        <f>IF(A126&lt;&gt;"",vlookup(A126,'📦 ชื่อสินค้า'!A:E,5,false),"")</f>
        <v/>
      </c>
      <c r="D126" s="23" t="str">
        <f>IF(A126&lt;&gt;"",VLOOKUP(A126,'📦 ชื่อสินค้า'!A:F,6,false),"")</f>
        <v/>
      </c>
      <c r="E126" s="16" t="str">
        <f>IFERROR(IF(VLOOKUP(A126,'📦 ชื่อสินค้า'!A:G,7,false)="InActive","InActive",IF(A126&lt;&gt;"",IF(B126&lt;=0,"สินค้าหมด",IF(B126&lt;=C126,"ควรเติมทันที","OK")),"")),)</f>
        <v/>
      </c>
      <c r="F126" s="24" t="str">
        <f>IFERROR(IF(A126&lt;&gt;"", SUMIF('💸 Transaction ซื้อ'!B:B,A126,'💸 Transaction ซื้อ'!G:G)/SUMIF('💸 Transaction ซื้อ'!B:B,A126,'💸 Transaction ซื้อ'!E:E),""),"-")</f>
        <v/>
      </c>
      <c r="G126" s="24" t="str">
        <f t="shared" si="1"/>
        <v/>
      </c>
      <c r="H126" s="25"/>
      <c r="I126" s="26"/>
      <c r="J126" s="26"/>
      <c r="K126" s="27" t="str">
        <f>IF(A126&lt;&gt;"",IF(E126="InActive","-",SUMIFS('💰 Transaction ขาย'!E:E,'💰 Transaction ขาย'!B:B,A126,'💰 Transaction ขาย'!A:A,"&gt;"&amp;'⚙️ Config'!$H$1-'⚙️ Config'!$H$2)),)</f>
        <v/>
      </c>
      <c r="L126" s="28" t="str">
        <f>IF(E126="InActive","-",IF(A126&lt;&gt;"",K126/'⚙️ Config'!$H$2,))</f>
        <v/>
      </c>
      <c r="M126" s="28" t="str">
        <f t="shared" si="2"/>
        <v/>
      </c>
      <c r="N126" s="28" t="str">
        <f>IF(A126&lt;&gt;"", SUMIFS('💰 Transaction ขาย'!F:F,'💰 Transaction ขาย'!B:B,A126,'💰 Transaction ขาย'!A:A,"&gt;="&amp;DATE(YEAR('⚙️ Config'!$H$1),1,1),'💰 Transaction ขาย'!A:A,"&lt;="&amp;DATE(YEAR('⚙️ Config'!$H$1),12,31)),)</f>
        <v/>
      </c>
    </row>
    <row r="127">
      <c r="A127" s="22"/>
      <c r="B127" s="22" t="str">
        <f>IF(A127&lt;&gt;"",SUMIFS('💸 Transaction ซื้อ'!E:E,'💸 Transaction ซื้อ'!B:B,A127)-SUMIFS('💰 Transaction ขาย'!E:E,'💰 Transaction ขาย'!B:B,A127),"")</f>
        <v/>
      </c>
      <c r="C127" s="23" t="str">
        <f>IF(A127&lt;&gt;"",vlookup(A127,'📦 ชื่อสินค้า'!A:E,5,false),"")</f>
        <v/>
      </c>
      <c r="D127" s="23" t="str">
        <f>IF(A127&lt;&gt;"",VLOOKUP(A127,'📦 ชื่อสินค้า'!A:F,6,false),"")</f>
        <v/>
      </c>
      <c r="E127" s="16" t="str">
        <f>IFERROR(IF(VLOOKUP(A127,'📦 ชื่อสินค้า'!A:G,7,false)="InActive","InActive",IF(A127&lt;&gt;"",IF(B127&lt;=0,"สินค้าหมด",IF(B127&lt;=C127,"ควรเติมทันที","OK")),"")),)</f>
        <v/>
      </c>
      <c r="F127" s="24" t="str">
        <f>IFERROR(IF(A127&lt;&gt;"", SUMIF('💸 Transaction ซื้อ'!B:B,A127,'💸 Transaction ซื้อ'!G:G)/SUMIF('💸 Transaction ซื้อ'!B:B,A127,'💸 Transaction ซื้อ'!E:E),""),"-")</f>
        <v/>
      </c>
      <c r="G127" s="24" t="str">
        <f t="shared" si="1"/>
        <v/>
      </c>
      <c r="H127" s="25"/>
      <c r="I127" s="26"/>
      <c r="J127" s="26"/>
      <c r="K127" s="27" t="str">
        <f>IF(A127&lt;&gt;"",IF(E127="InActive","-",SUMIFS('💰 Transaction ขาย'!E:E,'💰 Transaction ขาย'!B:B,A127,'💰 Transaction ขาย'!A:A,"&gt;"&amp;'⚙️ Config'!$H$1-'⚙️ Config'!$H$2)),)</f>
        <v/>
      </c>
      <c r="L127" s="28" t="str">
        <f>IF(E127="InActive","-",IF(A127&lt;&gt;"",K127/'⚙️ Config'!$H$2,))</f>
        <v/>
      </c>
      <c r="M127" s="28" t="str">
        <f t="shared" si="2"/>
        <v/>
      </c>
      <c r="N127" s="28" t="str">
        <f>IF(A127&lt;&gt;"", SUMIFS('💰 Transaction ขาย'!F:F,'💰 Transaction ขาย'!B:B,A127,'💰 Transaction ขาย'!A:A,"&gt;="&amp;DATE(YEAR('⚙️ Config'!$H$1),1,1),'💰 Transaction ขาย'!A:A,"&lt;="&amp;DATE(YEAR('⚙️ Config'!$H$1),12,31)),)</f>
        <v/>
      </c>
    </row>
    <row r="128">
      <c r="A128" s="22"/>
      <c r="B128" s="22" t="str">
        <f>IF(A128&lt;&gt;"",SUMIFS('💸 Transaction ซื้อ'!E:E,'💸 Transaction ซื้อ'!B:B,A128)-SUMIFS('💰 Transaction ขาย'!E:E,'💰 Transaction ขาย'!B:B,A128),"")</f>
        <v/>
      </c>
      <c r="C128" s="23" t="str">
        <f>IF(A128&lt;&gt;"",vlookup(A128,'📦 ชื่อสินค้า'!A:E,5,false),"")</f>
        <v/>
      </c>
      <c r="D128" s="23" t="str">
        <f>IF(A128&lt;&gt;"",VLOOKUP(A128,'📦 ชื่อสินค้า'!A:F,6,false),"")</f>
        <v/>
      </c>
      <c r="E128" s="16" t="str">
        <f>IFERROR(IF(VLOOKUP(A128,'📦 ชื่อสินค้า'!A:G,7,false)="InActive","InActive",IF(A128&lt;&gt;"",IF(B128&lt;=0,"สินค้าหมด",IF(B128&lt;=C128,"ควรเติมทันที","OK")),"")),)</f>
        <v/>
      </c>
      <c r="F128" s="24" t="str">
        <f>IFERROR(IF(A128&lt;&gt;"", SUMIF('💸 Transaction ซื้อ'!B:B,A128,'💸 Transaction ซื้อ'!G:G)/SUMIF('💸 Transaction ซื้อ'!B:B,A128,'💸 Transaction ซื้อ'!E:E),""),"-")</f>
        <v/>
      </c>
      <c r="G128" s="24" t="str">
        <f t="shared" si="1"/>
        <v/>
      </c>
      <c r="H128" s="25"/>
      <c r="I128" s="26"/>
      <c r="J128" s="26"/>
      <c r="K128" s="27" t="str">
        <f>IF(A128&lt;&gt;"",IF(E128="InActive","-",SUMIFS('💰 Transaction ขาย'!E:E,'💰 Transaction ขาย'!B:B,A128,'💰 Transaction ขาย'!A:A,"&gt;"&amp;'⚙️ Config'!$H$1-'⚙️ Config'!$H$2)),)</f>
        <v/>
      </c>
      <c r="L128" s="28" t="str">
        <f>IF(E128="InActive","-",IF(A128&lt;&gt;"",K128/'⚙️ Config'!$H$2,))</f>
        <v/>
      </c>
      <c r="M128" s="28" t="str">
        <f t="shared" si="2"/>
        <v/>
      </c>
      <c r="N128" s="28" t="str">
        <f>IF(A128&lt;&gt;"", SUMIFS('💰 Transaction ขาย'!F:F,'💰 Transaction ขาย'!B:B,A128,'💰 Transaction ขาย'!A:A,"&gt;="&amp;DATE(YEAR('⚙️ Config'!$H$1),1,1),'💰 Transaction ขาย'!A:A,"&lt;="&amp;DATE(YEAR('⚙️ Config'!$H$1),12,31)),)</f>
        <v/>
      </c>
    </row>
    <row r="129">
      <c r="A129" s="22"/>
      <c r="B129" s="22" t="str">
        <f>IF(A129&lt;&gt;"",SUMIFS('💸 Transaction ซื้อ'!E:E,'💸 Transaction ซื้อ'!B:B,A129)-SUMIFS('💰 Transaction ขาย'!E:E,'💰 Transaction ขาย'!B:B,A129),"")</f>
        <v/>
      </c>
      <c r="C129" s="23" t="str">
        <f>IF(A129&lt;&gt;"",vlookup(A129,'📦 ชื่อสินค้า'!A:E,5,false),"")</f>
        <v/>
      </c>
      <c r="D129" s="23" t="str">
        <f>IF(A129&lt;&gt;"",VLOOKUP(A129,'📦 ชื่อสินค้า'!A:F,6,false),"")</f>
        <v/>
      </c>
      <c r="E129" s="16" t="str">
        <f>IFERROR(IF(VLOOKUP(A129,'📦 ชื่อสินค้า'!A:G,7,false)="InActive","InActive",IF(A129&lt;&gt;"",IF(B129&lt;=0,"สินค้าหมด",IF(B129&lt;=C129,"ควรเติมทันที","OK")),"")),)</f>
        <v/>
      </c>
      <c r="F129" s="24" t="str">
        <f>IFERROR(IF(A129&lt;&gt;"", SUMIF('💸 Transaction ซื้อ'!B:B,A129,'💸 Transaction ซื้อ'!G:G)/SUMIF('💸 Transaction ซื้อ'!B:B,A129,'💸 Transaction ซื้อ'!E:E),""),"-")</f>
        <v/>
      </c>
      <c r="G129" s="24" t="str">
        <f t="shared" si="1"/>
        <v/>
      </c>
      <c r="H129" s="25"/>
      <c r="I129" s="26"/>
      <c r="J129" s="26"/>
      <c r="K129" s="27" t="str">
        <f>IF(A129&lt;&gt;"",IF(E129="InActive","-",SUMIFS('💰 Transaction ขาย'!E:E,'💰 Transaction ขาย'!B:B,A129,'💰 Transaction ขาย'!A:A,"&gt;"&amp;'⚙️ Config'!$H$1-'⚙️ Config'!$H$2)),)</f>
        <v/>
      </c>
      <c r="L129" s="28" t="str">
        <f>IF(E129="InActive","-",IF(A129&lt;&gt;"",K129/'⚙️ Config'!$H$2,))</f>
        <v/>
      </c>
      <c r="M129" s="28" t="str">
        <f t="shared" si="2"/>
        <v/>
      </c>
      <c r="N129" s="28" t="str">
        <f>IF(A129&lt;&gt;"", SUMIFS('💰 Transaction ขาย'!F:F,'💰 Transaction ขาย'!B:B,A129,'💰 Transaction ขาย'!A:A,"&gt;="&amp;DATE(YEAR('⚙️ Config'!$H$1),1,1),'💰 Transaction ขาย'!A:A,"&lt;="&amp;DATE(YEAR('⚙️ Config'!$H$1),12,31)),)</f>
        <v/>
      </c>
    </row>
    <row r="130">
      <c r="A130" s="22"/>
      <c r="B130" s="22" t="str">
        <f>IF(A130&lt;&gt;"",SUMIFS('💸 Transaction ซื้อ'!E:E,'💸 Transaction ซื้อ'!B:B,A130)-SUMIFS('💰 Transaction ขาย'!E:E,'💰 Transaction ขาย'!B:B,A130),"")</f>
        <v/>
      </c>
      <c r="C130" s="23" t="str">
        <f>IF(A130&lt;&gt;"",vlookup(A130,'📦 ชื่อสินค้า'!A:E,5,false),"")</f>
        <v/>
      </c>
      <c r="D130" s="23" t="str">
        <f>IF(A130&lt;&gt;"",VLOOKUP(A130,'📦 ชื่อสินค้า'!A:F,6,false),"")</f>
        <v/>
      </c>
      <c r="E130" s="16" t="str">
        <f>IFERROR(IF(VLOOKUP(A130,'📦 ชื่อสินค้า'!A:G,7,false)="InActive","InActive",IF(A130&lt;&gt;"",IF(B130&lt;=0,"สินค้าหมด",IF(B130&lt;=C130,"ควรเติมทันที","OK")),"")),)</f>
        <v/>
      </c>
      <c r="F130" s="24" t="str">
        <f>IFERROR(IF(A130&lt;&gt;"", SUMIF('💸 Transaction ซื้อ'!B:B,A130,'💸 Transaction ซื้อ'!G:G)/SUMIF('💸 Transaction ซื้อ'!B:B,A130,'💸 Transaction ซื้อ'!E:E),""),"-")</f>
        <v/>
      </c>
      <c r="G130" s="24" t="str">
        <f t="shared" si="1"/>
        <v/>
      </c>
      <c r="H130" s="25"/>
      <c r="I130" s="26"/>
      <c r="J130" s="26"/>
      <c r="K130" s="27" t="str">
        <f>IF(A130&lt;&gt;"",IF(E130="InActive","-",SUMIFS('💰 Transaction ขาย'!E:E,'💰 Transaction ขาย'!B:B,A130,'💰 Transaction ขาย'!A:A,"&gt;"&amp;'⚙️ Config'!$H$1-'⚙️ Config'!$H$2)),)</f>
        <v/>
      </c>
      <c r="L130" s="28" t="str">
        <f>IF(E130="InActive","-",IF(A130&lt;&gt;"",K130/'⚙️ Config'!$H$2,))</f>
        <v/>
      </c>
      <c r="M130" s="28" t="str">
        <f t="shared" si="2"/>
        <v/>
      </c>
      <c r="N130" s="28" t="str">
        <f>IF(A130&lt;&gt;"", SUMIFS('💰 Transaction ขาย'!F:F,'💰 Transaction ขาย'!B:B,A130,'💰 Transaction ขาย'!A:A,"&gt;="&amp;DATE(YEAR('⚙️ Config'!$H$1),1,1),'💰 Transaction ขาย'!A:A,"&lt;="&amp;DATE(YEAR('⚙️ Config'!$H$1),12,31)),)</f>
        <v/>
      </c>
    </row>
    <row r="131">
      <c r="A131" s="22"/>
      <c r="B131" s="22" t="str">
        <f>IF(A131&lt;&gt;"",SUMIFS('💸 Transaction ซื้อ'!E:E,'💸 Transaction ซื้อ'!B:B,A131)-SUMIFS('💰 Transaction ขาย'!E:E,'💰 Transaction ขาย'!B:B,A131),"")</f>
        <v/>
      </c>
      <c r="C131" s="23" t="str">
        <f>IF(A131&lt;&gt;"",vlookup(A131,'📦 ชื่อสินค้า'!A:E,5,false),"")</f>
        <v/>
      </c>
      <c r="D131" s="23" t="str">
        <f>IF(A131&lt;&gt;"",VLOOKUP(A131,'📦 ชื่อสินค้า'!A:F,6,false),"")</f>
        <v/>
      </c>
      <c r="E131" s="16" t="str">
        <f>IFERROR(IF(VLOOKUP(A131,'📦 ชื่อสินค้า'!A:G,7,false)="InActive","InActive",IF(A131&lt;&gt;"",IF(B131&lt;=0,"สินค้าหมด",IF(B131&lt;=C131,"ควรเติมทันที","OK")),"")),)</f>
        <v/>
      </c>
      <c r="F131" s="24" t="str">
        <f>IFERROR(IF(A131&lt;&gt;"", SUMIF('💸 Transaction ซื้อ'!B:B,A131,'💸 Transaction ซื้อ'!G:G)/SUMIF('💸 Transaction ซื้อ'!B:B,A131,'💸 Transaction ซื้อ'!E:E),""),"-")</f>
        <v/>
      </c>
      <c r="G131" s="24" t="str">
        <f t="shared" si="1"/>
        <v/>
      </c>
      <c r="H131" s="25"/>
      <c r="I131" s="26"/>
      <c r="J131" s="26"/>
      <c r="K131" s="27" t="str">
        <f>IF(A131&lt;&gt;"",IF(E131="InActive","-",SUMIFS('💰 Transaction ขาย'!E:E,'💰 Transaction ขาย'!B:B,A131,'💰 Transaction ขาย'!A:A,"&gt;"&amp;'⚙️ Config'!$H$1-'⚙️ Config'!$H$2)),)</f>
        <v/>
      </c>
      <c r="L131" s="28" t="str">
        <f>IF(E131="InActive","-",IF(A131&lt;&gt;"",K131/'⚙️ Config'!$H$2,))</f>
        <v/>
      </c>
      <c r="M131" s="28" t="str">
        <f t="shared" si="2"/>
        <v/>
      </c>
      <c r="N131" s="28" t="str">
        <f>IF(A131&lt;&gt;"", SUMIFS('💰 Transaction ขาย'!F:F,'💰 Transaction ขาย'!B:B,A131,'💰 Transaction ขาย'!A:A,"&gt;="&amp;DATE(YEAR('⚙️ Config'!$H$1),1,1),'💰 Transaction ขาย'!A:A,"&lt;="&amp;DATE(YEAR('⚙️ Config'!$H$1),12,31)),)</f>
        <v/>
      </c>
    </row>
    <row r="132">
      <c r="A132" s="22"/>
      <c r="B132" s="22" t="str">
        <f>IF(A132&lt;&gt;"",SUMIFS('💸 Transaction ซื้อ'!E:E,'💸 Transaction ซื้อ'!B:B,A132)-SUMIFS('💰 Transaction ขาย'!E:E,'💰 Transaction ขาย'!B:B,A132),"")</f>
        <v/>
      </c>
      <c r="C132" s="23" t="str">
        <f>IF(A132&lt;&gt;"",vlookup(A132,'📦 ชื่อสินค้า'!A:E,5,false),"")</f>
        <v/>
      </c>
      <c r="D132" s="23" t="str">
        <f>IF(A132&lt;&gt;"",VLOOKUP(A132,'📦 ชื่อสินค้า'!A:F,6,false),"")</f>
        <v/>
      </c>
      <c r="E132" s="16" t="str">
        <f>IFERROR(IF(VLOOKUP(A132,'📦 ชื่อสินค้า'!A:G,7,false)="InActive","InActive",IF(A132&lt;&gt;"",IF(B132&lt;=0,"สินค้าหมด",IF(B132&lt;=C132,"ควรเติมทันที","OK")),"")),)</f>
        <v/>
      </c>
      <c r="F132" s="24" t="str">
        <f>IFERROR(IF(A132&lt;&gt;"", SUMIF('💸 Transaction ซื้อ'!B:B,A132,'💸 Transaction ซื้อ'!G:G)/SUMIF('💸 Transaction ซื้อ'!B:B,A132,'💸 Transaction ซื้อ'!E:E),""),"-")</f>
        <v/>
      </c>
      <c r="G132" s="24" t="str">
        <f t="shared" si="1"/>
        <v/>
      </c>
      <c r="H132" s="25"/>
      <c r="I132" s="26"/>
      <c r="J132" s="26"/>
      <c r="K132" s="27" t="str">
        <f>IF(A132&lt;&gt;"",IF(E132="InActive","-",SUMIFS('💰 Transaction ขาย'!E:E,'💰 Transaction ขาย'!B:B,A132,'💰 Transaction ขาย'!A:A,"&gt;"&amp;'⚙️ Config'!$H$1-'⚙️ Config'!$H$2)),)</f>
        <v/>
      </c>
      <c r="L132" s="28" t="str">
        <f>IF(E132="InActive","-",IF(A132&lt;&gt;"",K132/'⚙️ Config'!$H$2,))</f>
        <v/>
      </c>
      <c r="M132" s="28" t="str">
        <f t="shared" si="2"/>
        <v/>
      </c>
      <c r="N132" s="28" t="str">
        <f>IF(A132&lt;&gt;"", SUMIFS('💰 Transaction ขาย'!F:F,'💰 Transaction ขาย'!B:B,A132,'💰 Transaction ขาย'!A:A,"&gt;="&amp;DATE(YEAR('⚙️ Config'!$H$1),1,1),'💰 Transaction ขาย'!A:A,"&lt;="&amp;DATE(YEAR('⚙️ Config'!$H$1),12,31)),)</f>
        <v/>
      </c>
    </row>
    <row r="133">
      <c r="A133" s="22"/>
      <c r="B133" s="22" t="str">
        <f>IF(A133&lt;&gt;"",SUMIFS('💸 Transaction ซื้อ'!E:E,'💸 Transaction ซื้อ'!B:B,A133)-SUMIFS('💰 Transaction ขาย'!E:E,'💰 Transaction ขาย'!B:B,A133),"")</f>
        <v/>
      </c>
      <c r="C133" s="23" t="str">
        <f>IF(A133&lt;&gt;"",vlookup(A133,'📦 ชื่อสินค้า'!A:E,5,false),"")</f>
        <v/>
      </c>
      <c r="D133" s="23" t="str">
        <f>IF(A133&lt;&gt;"",VLOOKUP(A133,'📦 ชื่อสินค้า'!A:F,6,false),"")</f>
        <v/>
      </c>
      <c r="E133" s="16" t="str">
        <f>IFERROR(IF(VLOOKUP(A133,'📦 ชื่อสินค้า'!A:G,7,false)="InActive","InActive",IF(A133&lt;&gt;"",IF(B133&lt;=0,"สินค้าหมด",IF(B133&lt;=C133,"ควรเติมทันที","OK")),"")),)</f>
        <v/>
      </c>
      <c r="F133" s="24" t="str">
        <f>IFERROR(IF(A133&lt;&gt;"", SUMIF('💸 Transaction ซื้อ'!B:B,A133,'💸 Transaction ซื้อ'!G:G)/SUMIF('💸 Transaction ซื้อ'!B:B,A133,'💸 Transaction ซื้อ'!E:E),""),"-")</f>
        <v/>
      </c>
      <c r="G133" s="24" t="str">
        <f t="shared" si="1"/>
        <v/>
      </c>
      <c r="H133" s="25"/>
      <c r="I133" s="26"/>
      <c r="J133" s="26"/>
      <c r="K133" s="27" t="str">
        <f>IF(A133&lt;&gt;"",IF(E133="InActive","-",SUMIFS('💰 Transaction ขาย'!E:E,'💰 Transaction ขาย'!B:B,A133,'💰 Transaction ขาย'!A:A,"&gt;"&amp;'⚙️ Config'!$H$1-'⚙️ Config'!$H$2)),)</f>
        <v/>
      </c>
      <c r="L133" s="28" t="str">
        <f>IF(E133="InActive","-",IF(A133&lt;&gt;"",K133/'⚙️ Config'!$H$2,))</f>
        <v/>
      </c>
      <c r="M133" s="28" t="str">
        <f t="shared" si="2"/>
        <v/>
      </c>
      <c r="N133" s="28" t="str">
        <f>IF(A133&lt;&gt;"", SUMIFS('💰 Transaction ขาย'!F:F,'💰 Transaction ขาย'!B:B,A133,'💰 Transaction ขาย'!A:A,"&gt;="&amp;DATE(YEAR('⚙️ Config'!$H$1),1,1),'💰 Transaction ขาย'!A:A,"&lt;="&amp;DATE(YEAR('⚙️ Config'!$H$1),12,31)),)</f>
        <v/>
      </c>
    </row>
    <row r="134">
      <c r="A134" s="22"/>
      <c r="B134" s="22" t="str">
        <f>IF(A134&lt;&gt;"",SUMIFS('💸 Transaction ซื้อ'!E:E,'💸 Transaction ซื้อ'!B:B,A134)-SUMIFS('💰 Transaction ขาย'!E:E,'💰 Transaction ขาย'!B:B,A134),"")</f>
        <v/>
      </c>
      <c r="C134" s="23" t="str">
        <f>IF(A134&lt;&gt;"",vlookup(A134,'📦 ชื่อสินค้า'!A:E,5,false),"")</f>
        <v/>
      </c>
      <c r="D134" s="23" t="str">
        <f>IF(A134&lt;&gt;"",VLOOKUP(A134,'📦 ชื่อสินค้า'!A:F,6,false),"")</f>
        <v/>
      </c>
      <c r="E134" s="16" t="str">
        <f>IFERROR(IF(VLOOKUP(A134,'📦 ชื่อสินค้า'!A:G,7,false)="InActive","InActive",IF(A134&lt;&gt;"",IF(B134&lt;=0,"สินค้าหมด",IF(B134&lt;=C134,"ควรเติมทันที","OK")),"")),)</f>
        <v/>
      </c>
      <c r="F134" s="24" t="str">
        <f>IFERROR(IF(A134&lt;&gt;"", SUMIF('💸 Transaction ซื้อ'!B:B,A134,'💸 Transaction ซื้อ'!G:G)/SUMIF('💸 Transaction ซื้อ'!B:B,A134,'💸 Transaction ซื้อ'!E:E),""),"-")</f>
        <v/>
      </c>
      <c r="G134" s="24" t="str">
        <f t="shared" si="1"/>
        <v/>
      </c>
      <c r="H134" s="25"/>
      <c r="I134" s="26"/>
      <c r="J134" s="26"/>
      <c r="K134" s="27" t="str">
        <f>IF(A134&lt;&gt;"",IF(E134="InActive","-",SUMIFS('💰 Transaction ขาย'!E:E,'💰 Transaction ขาย'!B:B,A134,'💰 Transaction ขาย'!A:A,"&gt;"&amp;'⚙️ Config'!$H$1-'⚙️ Config'!$H$2)),)</f>
        <v/>
      </c>
      <c r="L134" s="28" t="str">
        <f>IF(E134="InActive","-",IF(A134&lt;&gt;"",K134/'⚙️ Config'!$H$2,))</f>
        <v/>
      </c>
      <c r="M134" s="28" t="str">
        <f t="shared" si="2"/>
        <v/>
      </c>
      <c r="N134" s="28" t="str">
        <f>IF(A134&lt;&gt;"", SUMIFS('💰 Transaction ขาย'!F:F,'💰 Transaction ขาย'!B:B,A134,'💰 Transaction ขาย'!A:A,"&gt;="&amp;DATE(YEAR('⚙️ Config'!$H$1),1,1),'💰 Transaction ขาย'!A:A,"&lt;="&amp;DATE(YEAR('⚙️ Config'!$H$1),12,31)),)</f>
        <v/>
      </c>
    </row>
    <row r="135">
      <c r="A135" s="22"/>
      <c r="B135" s="22" t="str">
        <f>IF(A135&lt;&gt;"",SUMIFS('💸 Transaction ซื้อ'!E:E,'💸 Transaction ซื้อ'!B:B,A135)-SUMIFS('💰 Transaction ขาย'!E:E,'💰 Transaction ขาย'!B:B,A135),"")</f>
        <v/>
      </c>
      <c r="C135" s="23" t="str">
        <f>IF(A135&lt;&gt;"",vlookup(A135,'📦 ชื่อสินค้า'!A:E,5,false),"")</f>
        <v/>
      </c>
      <c r="D135" s="23" t="str">
        <f>IF(A135&lt;&gt;"",VLOOKUP(A135,'📦 ชื่อสินค้า'!A:F,6,false),"")</f>
        <v/>
      </c>
      <c r="E135" s="16" t="str">
        <f>IFERROR(IF(VLOOKUP(A135,'📦 ชื่อสินค้า'!A:G,7,false)="InActive","InActive",IF(A135&lt;&gt;"",IF(B135&lt;=0,"สินค้าหมด",IF(B135&lt;=C135,"ควรเติมทันที","OK")),"")),)</f>
        <v/>
      </c>
      <c r="F135" s="24" t="str">
        <f>IFERROR(IF(A135&lt;&gt;"", SUMIF('💸 Transaction ซื้อ'!B:B,A135,'💸 Transaction ซื้อ'!G:G)/SUMIF('💸 Transaction ซื้อ'!B:B,A135,'💸 Transaction ซื้อ'!E:E),""),"-")</f>
        <v/>
      </c>
      <c r="G135" s="24" t="str">
        <f t="shared" si="1"/>
        <v/>
      </c>
      <c r="H135" s="25"/>
      <c r="I135" s="26"/>
      <c r="J135" s="26"/>
      <c r="K135" s="27" t="str">
        <f>IF(A135&lt;&gt;"",IF(E135="InActive","-",SUMIFS('💰 Transaction ขาย'!E:E,'💰 Transaction ขาย'!B:B,A135,'💰 Transaction ขาย'!A:A,"&gt;"&amp;'⚙️ Config'!$H$1-'⚙️ Config'!$H$2)),)</f>
        <v/>
      </c>
      <c r="L135" s="28" t="str">
        <f>IF(E135="InActive","-",IF(A135&lt;&gt;"",K135/'⚙️ Config'!$H$2,))</f>
        <v/>
      </c>
      <c r="M135" s="28" t="str">
        <f t="shared" si="2"/>
        <v/>
      </c>
      <c r="N135" s="28" t="str">
        <f>IF(A135&lt;&gt;"", SUMIFS('💰 Transaction ขาย'!F:F,'💰 Transaction ขาย'!B:B,A135,'💰 Transaction ขาย'!A:A,"&gt;="&amp;DATE(YEAR('⚙️ Config'!$H$1),1,1),'💰 Transaction ขาย'!A:A,"&lt;="&amp;DATE(YEAR('⚙️ Config'!$H$1),12,31)),)</f>
        <v/>
      </c>
    </row>
    <row r="136">
      <c r="A136" s="22"/>
      <c r="B136" s="22" t="str">
        <f>IF(A136&lt;&gt;"",SUMIFS('💸 Transaction ซื้อ'!E:E,'💸 Transaction ซื้อ'!B:B,A136)-SUMIFS('💰 Transaction ขาย'!E:E,'💰 Transaction ขาย'!B:B,A136),"")</f>
        <v/>
      </c>
      <c r="C136" s="23" t="str">
        <f>IF(A136&lt;&gt;"",vlookup(A136,'📦 ชื่อสินค้า'!A:E,5,false),"")</f>
        <v/>
      </c>
      <c r="D136" s="23" t="str">
        <f>IF(A136&lt;&gt;"",VLOOKUP(A136,'📦 ชื่อสินค้า'!A:F,6,false),"")</f>
        <v/>
      </c>
      <c r="E136" s="16" t="str">
        <f>IFERROR(IF(VLOOKUP(A136,'📦 ชื่อสินค้า'!A:G,7,false)="InActive","InActive",IF(A136&lt;&gt;"",IF(B136&lt;=0,"สินค้าหมด",IF(B136&lt;=C136,"ควรเติมทันที","OK")),"")),)</f>
        <v/>
      </c>
      <c r="F136" s="24" t="str">
        <f>IFERROR(IF(A136&lt;&gt;"", SUMIF('💸 Transaction ซื้อ'!B:B,A136,'💸 Transaction ซื้อ'!G:G)/SUMIF('💸 Transaction ซื้อ'!B:B,A136,'💸 Transaction ซื้อ'!E:E),""),"-")</f>
        <v/>
      </c>
      <c r="G136" s="24" t="str">
        <f t="shared" si="1"/>
        <v/>
      </c>
      <c r="H136" s="25"/>
      <c r="I136" s="26"/>
      <c r="J136" s="26"/>
      <c r="K136" s="27" t="str">
        <f>IF(A136&lt;&gt;"",IF(E136="InActive","-",SUMIFS('💰 Transaction ขาย'!E:E,'💰 Transaction ขาย'!B:B,A136,'💰 Transaction ขาย'!A:A,"&gt;"&amp;'⚙️ Config'!$H$1-'⚙️ Config'!$H$2)),)</f>
        <v/>
      </c>
      <c r="L136" s="28" t="str">
        <f>IF(E136="InActive","-",IF(A136&lt;&gt;"",K136/'⚙️ Config'!$H$2,))</f>
        <v/>
      </c>
      <c r="M136" s="28" t="str">
        <f t="shared" si="2"/>
        <v/>
      </c>
      <c r="N136" s="28" t="str">
        <f>IF(A136&lt;&gt;"", SUMIFS('💰 Transaction ขาย'!F:F,'💰 Transaction ขาย'!B:B,A136,'💰 Transaction ขาย'!A:A,"&gt;="&amp;DATE(YEAR('⚙️ Config'!$H$1),1,1),'💰 Transaction ขาย'!A:A,"&lt;="&amp;DATE(YEAR('⚙️ Config'!$H$1),12,31)),)</f>
        <v/>
      </c>
    </row>
    <row r="137">
      <c r="A137" s="22"/>
      <c r="B137" s="22" t="str">
        <f>IF(A137&lt;&gt;"",SUMIFS('💸 Transaction ซื้อ'!E:E,'💸 Transaction ซื้อ'!B:B,A137)-SUMIFS('💰 Transaction ขาย'!E:E,'💰 Transaction ขาย'!B:B,A137),"")</f>
        <v/>
      </c>
      <c r="C137" s="23" t="str">
        <f>IF(A137&lt;&gt;"",vlookup(A137,'📦 ชื่อสินค้า'!A:E,5,false),"")</f>
        <v/>
      </c>
      <c r="D137" s="23" t="str">
        <f>IF(A137&lt;&gt;"",VLOOKUP(A137,'📦 ชื่อสินค้า'!A:F,6,false),"")</f>
        <v/>
      </c>
      <c r="E137" s="16" t="str">
        <f>IFERROR(IF(VLOOKUP(A137,'📦 ชื่อสินค้า'!A:G,7,false)="InActive","InActive",IF(A137&lt;&gt;"",IF(B137&lt;=0,"สินค้าหมด",IF(B137&lt;=C137,"ควรเติมทันที","OK")),"")),)</f>
        <v/>
      </c>
      <c r="F137" s="24" t="str">
        <f>IFERROR(IF(A137&lt;&gt;"", SUMIF('💸 Transaction ซื้อ'!B:B,A137,'💸 Transaction ซื้อ'!G:G)/SUMIF('💸 Transaction ซื้อ'!B:B,A137,'💸 Transaction ซื้อ'!E:E),""),"-")</f>
        <v/>
      </c>
      <c r="G137" s="24" t="str">
        <f t="shared" si="1"/>
        <v/>
      </c>
      <c r="H137" s="25"/>
      <c r="I137" s="26"/>
      <c r="J137" s="26"/>
      <c r="K137" s="27" t="str">
        <f>IF(A137&lt;&gt;"",IF(E137="InActive","-",SUMIFS('💰 Transaction ขาย'!E:E,'💰 Transaction ขาย'!B:B,A137,'💰 Transaction ขาย'!A:A,"&gt;"&amp;'⚙️ Config'!$H$1-'⚙️ Config'!$H$2)),)</f>
        <v/>
      </c>
      <c r="L137" s="28" t="str">
        <f>IF(E137="InActive","-",IF(A137&lt;&gt;"",K137/'⚙️ Config'!$H$2,))</f>
        <v/>
      </c>
      <c r="M137" s="28" t="str">
        <f t="shared" si="2"/>
        <v/>
      </c>
      <c r="N137" s="28" t="str">
        <f>IF(A137&lt;&gt;"", SUMIFS('💰 Transaction ขาย'!F:F,'💰 Transaction ขาย'!B:B,A137,'💰 Transaction ขาย'!A:A,"&gt;="&amp;DATE(YEAR('⚙️ Config'!$H$1),1,1),'💰 Transaction ขาย'!A:A,"&lt;="&amp;DATE(YEAR('⚙️ Config'!$H$1),12,31)),)</f>
        <v/>
      </c>
    </row>
    <row r="138">
      <c r="A138" s="22"/>
      <c r="B138" s="22" t="str">
        <f>IF(A138&lt;&gt;"",SUMIFS('💸 Transaction ซื้อ'!E:E,'💸 Transaction ซื้อ'!B:B,A138)-SUMIFS('💰 Transaction ขาย'!E:E,'💰 Transaction ขาย'!B:B,A138),"")</f>
        <v/>
      </c>
      <c r="C138" s="23" t="str">
        <f>IF(A138&lt;&gt;"",vlookup(A138,'📦 ชื่อสินค้า'!A:E,5,false),"")</f>
        <v/>
      </c>
      <c r="D138" s="23" t="str">
        <f>IF(A138&lt;&gt;"",VLOOKUP(A138,'📦 ชื่อสินค้า'!A:F,6,false),"")</f>
        <v/>
      </c>
      <c r="E138" s="16" t="str">
        <f>IFERROR(IF(VLOOKUP(A138,'📦 ชื่อสินค้า'!A:G,7,false)="InActive","InActive",IF(A138&lt;&gt;"",IF(B138&lt;=0,"สินค้าหมด",IF(B138&lt;=C138,"ควรเติมทันที","OK")),"")),)</f>
        <v/>
      </c>
      <c r="F138" s="24" t="str">
        <f>IFERROR(IF(A138&lt;&gt;"", SUMIF('💸 Transaction ซื้อ'!B:B,A138,'💸 Transaction ซื้อ'!G:G)/SUMIF('💸 Transaction ซื้อ'!B:B,A138,'💸 Transaction ซื้อ'!E:E),""),"-")</f>
        <v/>
      </c>
      <c r="G138" s="24" t="str">
        <f t="shared" si="1"/>
        <v/>
      </c>
      <c r="H138" s="25"/>
      <c r="I138" s="26"/>
      <c r="J138" s="26"/>
      <c r="K138" s="27" t="str">
        <f>IF(A138&lt;&gt;"",IF(E138="InActive","-",SUMIFS('💰 Transaction ขาย'!E:E,'💰 Transaction ขาย'!B:B,A138,'💰 Transaction ขาย'!A:A,"&gt;"&amp;'⚙️ Config'!$H$1-'⚙️ Config'!$H$2)),)</f>
        <v/>
      </c>
      <c r="L138" s="28" t="str">
        <f>IF(E138="InActive","-",IF(A138&lt;&gt;"",K138/'⚙️ Config'!$H$2,))</f>
        <v/>
      </c>
      <c r="M138" s="28" t="str">
        <f t="shared" si="2"/>
        <v/>
      </c>
      <c r="N138" s="28" t="str">
        <f>IF(A138&lt;&gt;"", SUMIFS('💰 Transaction ขาย'!F:F,'💰 Transaction ขาย'!B:B,A138,'💰 Transaction ขาย'!A:A,"&gt;="&amp;DATE(YEAR('⚙️ Config'!$H$1),1,1),'💰 Transaction ขาย'!A:A,"&lt;="&amp;DATE(YEAR('⚙️ Config'!$H$1),12,31)),)</f>
        <v/>
      </c>
    </row>
    <row r="139">
      <c r="A139" s="22"/>
      <c r="B139" s="22" t="str">
        <f>IF(A139&lt;&gt;"",SUMIFS('💸 Transaction ซื้อ'!E:E,'💸 Transaction ซื้อ'!B:B,A139)-SUMIFS('💰 Transaction ขาย'!E:E,'💰 Transaction ขาย'!B:B,A139),"")</f>
        <v/>
      </c>
      <c r="C139" s="23" t="str">
        <f>IF(A139&lt;&gt;"",vlookup(A139,'📦 ชื่อสินค้า'!A:E,5,false),"")</f>
        <v/>
      </c>
      <c r="D139" s="23" t="str">
        <f>IF(A139&lt;&gt;"",VLOOKUP(A139,'📦 ชื่อสินค้า'!A:F,6,false),"")</f>
        <v/>
      </c>
      <c r="E139" s="16" t="str">
        <f>IFERROR(IF(VLOOKUP(A139,'📦 ชื่อสินค้า'!A:G,7,false)="InActive","InActive",IF(A139&lt;&gt;"",IF(B139&lt;=0,"สินค้าหมด",IF(B139&lt;=C139,"ควรเติมทันที","OK")),"")),)</f>
        <v/>
      </c>
      <c r="F139" s="24" t="str">
        <f>IFERROR(IF(A139&lt;&gt;"", SUMIF('💸 Transaction ซื้อ'!B:B,A139,'💸 Transaction ซื้อ'!G:G)/SUMIF('💸 Transaction ซื้อ'!B:B,A139,'💸 Transaction ซื้อ'!E:E),""),"-")</f>
        <v/>
      </c>
      <c r="G139" s="24" t="str">
        <f t="shared" si="1"/>
        <v/>
      </c>
      <c r="H139" s="25"/>
      <c r="I139" s="26"/>
      <c r="J139" s="26"/>
      <c r="K139" s="27" t="str">
        <f>IF(A139&lt;&gt;"",IF(E139="InActive","-",SUMIFS('💰 Transaction ขาย'!E:E,'💰 Transaction ขาย'!B:B,A139,'💰 Transaction ขาย'!A:A,"&gt;"&amp;'⚙️ Config'!$H$1-'⚙️ Config'!$H$2)),)</f>
        <v/>
      </c>
      <c r="L139" s="28" t="str">
        <f>IF(E139="InActive","-",IF(A139&lt;&gt;"",K139/'⚙️ Config'!$H$2,))</f>
        <v/>
      </c>
      <c r="M139" s="28" t="str">
        <f t="shared" si="2"/>
        <v/>
      </c>
      <c r="N139" s="28" t="str">
        <f>IF(A139&lt;&gt;"", SUMIFS('💰 Transaction ขาย'!F:F,'💰 Transaction ขาย'!B:B,A139,'💰 Transaction ขาย'!A:A,"&gt;="&amp;DATE(YEAR('⚙️ Config'!$H$1),1,1),'💰 Transaction ขาย'!A:A,"&lt;="&amp;DATE(YEAR('⚙️ Config'!$H$1),12,31)),)</f>
        <v/>
      </c>
    </row>
    <row r="140">
      <c r="A140" s="22"/>
      <c r="B140" s="22" t="str">
        <f>IF(A140&lt;&gt;"",SUMIFS('💸 Transaction ซื้อ'!E:E,'💸 Transaction ซื้อ'!B:B,A140)-SUMIFS('💰 Transaction ขาย'!E:E,'💰 Transaction ขาย'!B:B,A140),"")</f>
        <v/>
      </c>
      <c r="C140" s="23" t="str">
        <f>IF(A140&lt;&gt;"",vlookup(A140,'📦 ชื่อสินค้า'!A:E,5,false),"")</f>
        <v/>
      </c>
      <c r="D140" s="23" t="str">
        <f>IF(A140&lt;&gt;"",VLOOKUP(A140,'📦 ชื่อสินค้า'!A:F,6,false),"")</f>
        <v/>
      </c>
      <c r="E140" s="16" t="str">
        <f>IFERROR(IF(VLOOKUP(A140,'📦 ชื่อสินค้า'!A:G,7,false)="InActive","InActive",IF(A140&lt;&gt;"",IF(B140&lt;=0,"สินค้าหมด",IF(B140&lt;=C140,"ควรเติมทันที","OK")),"")),)</f>
        <v/>
      </c>
      <c r="F140" s="24" t="str">
        <f>IFERROR(IF(A140&lt;&gt;"", SUMIF('💸 Transaction ซื้อ'!B:B,A140,'💸 Transaction ซื้อ'!G:G)/SUMIF('💸 Transaction ซื้อ'!B:B,A140,'💸 Transaction ซื้อ'!E:E),""),"-")</f>
        <v/>
      </c>
      <c r="G140" s="24" t="str">
        <f t="shared" si="1"/>
        <v/>
      </c>
      <c r="H140" s="25"/>
      <c r="I140" s="26"/>
      <c r="J140" s="26"/>
      <c r="K140" s="27" t="str">
        <f>IF(A140&lt;&gt;"",IF(E140="InActive","-",SUMIFS('💰 Transaction ขาย'!E:E,'💰 Transaction ขาย'!B:B,A140,'💰 Transaction ขาย'!A:A,"&gt;"&amp;'⚙️ Config'!$H$1-'⚙️ Config'!$H$2)),)</f>
        <v/>
      </c>
      <c r="L140" s="28" t="str">
        <f>IF(E140="InActive","-",IF(A140&lt;&gt;"",K140/'⚙️ Config'!$H$2,))</f>
        <v/>
      </c>
      <c r="M140" s="28" t="str">
        <f t="shared" si="2"/>
        <v/>
      </c>
      <c r="N140" s="28" t="str">
        <f>IF(A140&lt;&gt;"", SUMIFS('💰 Transaction ขาย'!F:F,'💰 Transaction ขาย'!B:B,A140,'💰 Transaction ขาย'!A:A,"&gt;="&amp;DATE(YEAR('⚙️ Config'!$H$1),1,1),'💰 Transaction ขาย'!A:A,"&lt;="&amp;DATE(YEAR('⚙️ Config'!$H$1),12,31)),)</f>
        <v/>
      </c>
    </row>
    <row r="141">
      <c r="A141" s="22"/>
      <c r="B141" s="22" t="str">
        <f>IF(A141&lt;&gt;"",SUMIFS('💸 Transaction ซื้อ'!E:E,'💸 Transaction ซื้อ'!B:B,A141)-SUMIFS('💰 Transaction ขาย'!E:E,'💰 Transaction ขาย'!B:B,A141),"")</f>
        <v/>
      </c>
      <c r="C141" s="23" t="str">
        <f>IF(A141&lt;&gt;"",vlookup(A141,'📦 ชื่อสินค้า'!A:E,5,false),"")</f>
        <v/>
      </c>
      <c r="D141" s="23" t="str">
        <f>IF(A141&lt;&gt;"",VLOOKUP(A141,'📦 ชื่อสินค้า'!A:F,6,false),"")</f>
        <v/>
      </c>
      <c r="E141" s="16" t="str">
        <f>IFERROR(IF(VLOOKUP(A141,'📦 ชื่อสินค้า'!A:G,7,false)="InActive","InActive",IF(A141&lt;&gt;"",IF(B141&lt;=0,"สินค้าหมด",IF(B141&lt;=C141,"ควรเติมทันที","OK")),"")),)</f>
        <v/>
      </c>
      <c r="F141" s="24" t="str">
        <f>IFERROR(IF(A141&lt;&gt;"", SUMIF('💸 Transaction ซื้อ'!B:B,A141,'💸 Transaction ซื้อ'!G:G)/SUMIF('💸 Transaction ซื้อ'!B:B,A141,'💸 Transaction ซื้อ'!E:E),""),"-")</f>
        <v/>
      </c>
      <c r="G141" s="24" t="str">
        <f t="shared" si="1"/>
        <v/>
      </c>
      <c r="H141" s="25"/>
      <c r="I141" s="26"/>
      <c r="J141" s="26"/>
      <c r="K141" s="27" t="str">
        <f>IF(A141&lt;&gt;"",IF(E141="InActive","-",SUMIFS('💰 Transaction ขาย'!E:E,'💰 Transaction ขาย'!B:B,A141,'💰 Transaction ขาย'!A:A,"&gt;"&amp;'⚙️ Config'!$H$1-'⚙️ Config'!$H$2)),)</f>
        <v/>
      </c>
      <c r="L141" s="28" t="str">
        <f>IF(E141="InActive","-",IF(A141&lt;&gt;"",K141/'⚙️ Config'!$H$2,))</f>
        <v/>
      </c>
      <c r="M141" s="28" t="str">
        <f t="shared" si="2"/>
        <v/>
      </c>
      <c r="N141" s="28" t="str">
        <f>IF(A141&lt;&gt;"", SUMIFS('💰 Transaction ขาย'!F:F,'💰 Transaction ขาย'!B:B,A141,'💰 Transaction ขาย'!A:A,"&gt;="&amp;DATE(YEAR('⚙️ Config'!$H$1),1,1),'💰 Transaction ขาย'!A:A,"&lt;="&amp;DATE(YEAR('⚙️ Config'!$H$1),12,31)),)</f>
        <v/>
      </c>
    </row>
    <row r="142">
      <c r="A142" s="22"/>
      <c r="B142" s="22" t="str">
        <f>IF(A142&lt;&gt;"",SUMIFS('💸 Transaction ซื้อ'!E:E,'💸 Transaction ซื้อ'!B:B,A142)-SUMIFS('💰 Transaction ขาย'!E:E,'💰 Transaction ขาย'!B:B,A142),"")</f>
        <v/>
      </c>
      <c r="C142" s="23" t="str">
        <f>IF(A142&lt;&gt;"",vlookup(A142,'📦 ชื่อสินค้า'!A:E,5,false),"")</f>
        <v/>
      </c>
      <c r="D142" s="23" t="str">
        <f>IF(A142&lt;&gt;"",VLOOKUP(A142,'📦 ชื่อสินค้า'!A:F,6,false),"")</f>
        <v/>
      </c>
      <c r="E142" s="16" t="str">
        <f>IFERROR(IF(VLOOKUP(A142,'📦 ชื่อสินค้า'!A:G,7,false)="InActive","InActive",IF(A142&lt;&gt;"",IF(B142&lt;=0,"สินค้าหมด",IF(B142&lt;=C142,"ควรเติมทันที","OK")),"")),)</f>
        <v/>
      </c>
      <c r="F142" s="24" t="str">
        <f>IFERROR(IF(A142&lt;&gt;"", SUMIF('💸 Transaction ซื้อ'!B:B,A142,'💸 Transaction ซื้อ'!G:G)/SUMIF('💸 Transaction ซื้อ'!B:B,A142,'💸 Transaction ซื้อ'!E:E),""),"-")</f>
        <v/>
      </c>
      <c r="G142" s="24" t="str">
        <f t="shared" si="1"/>
        <v/>
      </c>
      <c r="H142" s="25"/>
      <c r="I142" s="26"/>
      <c r="J142" s="26"/>
      <c r="K142" s="27" t="str">
        <f>IF(A142&lt;&gt;"",IF(E142="InActive","-",SUMIFS('💰 Transaction ขาย'!E:E,'💰 Transaction ขาย'!B:B,A142,'💰 Transaction ขาย'!A:A,"&gt;"&amp;'⚙️ Config'!$H$1-'⚙️ Config'!$H$2)),)</f>
        <v/>
      </c>
      <c r="L142" s="28" t="str">
        <f>IF(E142="InActive","-",IF(A142&lt;&gt;"",K142/'⚙️ Config'!$H$2,))</f>
        <v/>
      </c>
      <c r="M142" s="28" t="str">
        <f t="shared" si="2"/>
        <v/>
      </c>
      <c r="N142" s="28" t="str">
        <f>IF(A142&lt;&gt;"", SUMIFS('💰 Transaction ขาย'!F:F,'💰 Transaction ขาย'!B:B,A142,'💰 Transaction ขาย'!A:A,"&gt;="&amp;DATE(YEAR('⚙️ Config'!$H$1),1,1),'💰 Transaction ขาย'!A:A,"&lt;="&amp;DATE(YEAR('⚙️ Config'!$H$1),12,31)),)</f>
        <v/>
      </c>
    </row>
    <row r="143">
      <c r="A143" s="22"/>
      <c r="B143" s="22" t="str">
        <f>IF(A143&lt;&gt;"",SUMIFS('💸 Transaction ซื้อ'!E:E,'💸 Transaction ซื้อ'!B:B,A143)-SUMIFS('💰 Transaction ขาย'!E:E,'💰 Transaction ขาย'!B:B,A143),"")</f>
        <v/>
      </c>
      <c r="C143" s="23" t="str">
        <f>IF(A143&lt;&gt;"",vlookup(A143,'📦 ชื่อสินค้า'!A:E,5,false),"")</f>
        <v/>
      </c>
      <c r="D143" s="23" t="str">
        <f>IF(A143&lt;&gt;"",VLOOKUP(A143,'📦 ชื่อสินค้า'!A:F,6,false),"")</f>
        <v/>
      </c>
      <c r="E143" s="16" t="str">
        <f>IFERROR(IF(VLOOKUP(A143,'📦 ชื่อสินค้า'!A:G,7,false)="InActive","InActive",IF(A143&lt;&gt;"",IF(B143&lt;=0,"สินค้าหมด",IF(B143&lt;=C143,"ควรเติมทันที","OK")),"")),)</f>
        <v/>
      </c>
      <c r="F143" s="24" t="str">
        <f>IFERROR(IF(A143&lt;&gt;"", SUMIF('💸 Transaction ซื้อ'!B:B,A143,'💸 Transaction ซื้อ'!G:G)/SUMIF('💸 Transaction ซื้อ'!B:B,A143,'💸 Transaction ซื้อ'!E:E),""),"-")</f>
        <v/>
      </c>
      <c r="G143" s="24" t="str">
        <f t="shared" si="1"/>
        <v/>
      </c>
      <c r="H143" s="25"/>
      <c r="I143" s="26"/>
      <c r="J143" s="26"/>
      <c r="K143" s="27" t="str">
        <f>IF(A143&lt;&gt;"",IF(E143="InActive","-",SUMIFS('💰 Transaction ขาย'!E:E,'💰 Transaction ขาย'!B:B,A143,'💰 Transaction ขาย'!A:A,"&gt;"&amp;'⚙️ Config'!$H$1-'⚙️ Config'!$H$2)),)</f>
        <v/>
      </c>
      <c r="L143" s="28" t="str">
        <f>IF(E143="InActive","-",IF(A143&lt;&gt;"",K143/'⚙️ Config'!$H$2,))</f>
        <v/>
      </c>
      <c r="M143" s="28" t="str">
        <f t="shared" si="2"/>
        <v/>
      </c>
      <c r="N143" s="28" t="str">
        <f>IF(A143&lt;&gt;"", SUMIFS('💰 Transaction ขาย'!F:F,'💰 Transaction ขาย'!B:B,A143,'💰 Transaction ขาย'!A:A,"&gt;="&amp;DATE(YEAR('⚙️ Config'!$H$1),1,1),'💰 Transaction ขาย'!A:A,"&lt;="&amp;DATE(YEAR('⚙️ Config'!$H$1),12,31)),)</f>
        <v/>
      </c>
    </row>
    <row r="144">
      <c r="A144" s="22"/>
      <c r="B144" s="22" t="str">
        <f>IF(A144&lt;&gt;"",SUMIFS('💸 Transaction ซื้อ'!E:E,'💸 Transaction ซื้อ'!B:B,A144)-SUMIFS('💰 Transaction ขาย'!E:E,'💰 Transaction ขาย'!B:B,A144),"")</f>
        <v/>
      </c>
      <c r="C144" s="23" t="str">
        <f>IF(A144&lt;&gt;"",vlookup(A144,'📦 ชื่อสินค้า'!A:E,5,false),"")</f>
        <v/>
      </c>
      <c r="D144" s="23" t="str">
        <f>IF(A144&lt;&gt;"",VLOOKUP(A144,'📦 ชื่อสินค้า'!A:F,6,false),"")</f>
        <v/>
      </c>
      <c r="E144" s="16" t="str">
        <f>IFERROR(IF(VLOOKUP(A144,'📦 ชื่อสินค้า'!A:G,7,false)="InActive","InActive",IF(A144&lt;&gt;"",IF(B144&lt;=0,"สินค้าหมด",IF(B144&lt;=C144,"ควรเติมทันที","OK")),"")),)</f>
        <v/>
      </c>
      <c r="F144" s="24" t="str">
        <f>IFERROR(IF(A144&lt;&gt;"", SUMIF('💸 Transaction ซื้อ'!B:B,A144,'💸 Transaction ซื้อ'!G:G)/SUMIF('💸 Transaction ซื้อ'!B:B,A144,'💸 Transaction ซื้อ'!E:E),""),"-")</f>
        <v/>
      </c>
      <c r="G144" s="24" t="str">
        <f t="shared" si="1"/>
        <v/>
      </c>
      <c r="H144" s="25"/>
      <c r="I144" s="26"/>
      <c r="J144" s="26"/>
      <c r="K144" s="27" t="str">
        <f>IF(A144&lt;&gt;"",IF(E144="InActive","-",SUMIFS('💰 Transaction ขาย'!E:E,'💰 Transaction ขาย'!B:B,A144,'💰 Transaction ขาย'!A:A,"&gt;"&amp;'⚙️ Config'!$H$1-'⚙️ Config'!$H$2)),)</f>
        <v/>
      </c>
      <c r="L144" s="28" t="str">
        <f>IF(E144="InActive","-",IF(A144&lt;&gt;"",K144/'⚙️ Config'!$H$2,))</f>
        <v/>
      </c>
      <c r="M144" s="28" t="str">
        <f t="shared" si="2"/>
        <v/>
      </c>
      <c r="N144" s="28" t="str">
        <f>IF(A144&lt;&gt;"", SUMIFS('💰 Transaction ขาย'!F:F,'💰 Transaction ขาย'!B:B,A144,'💰 Transaction ขาย'!A:A,"&gt;="&amp;DATE(YEAR('⚙️ Config'!$H$1),1,1),'💰 Transaction ขาย'!A:A,"&lt;="&amp;DATE(YEAR('⚙️ Config'!$H$1),12,31)),)</f>
        <v/>
      </c>
    </row>
    <row r="145">
      <c r="A145" s="22"/>
      <c r="B145" s="22" t="str">
        <f>IF(A145&lt;&gt;"",SUMIFS('💸 Transaction ซื้อ'!E:E,'💸 Transaction ซื้อ'!B:B,A145)-SUMIFS('💰 Transaction ขาย'!E:E,'💰 Transaction ขาย'!B:B,A145),"")</f>
        <v/>
      </c>
      <c r="C145" s="23" t="str">
        <f>IF(A145&lt;&gt;"",vlookup(A145,'📦 ชื่อสินค้า'!A:E,5,false),"")</f>
        <v/>
      </c>
      <c r="D145" s="23" t="str">
        <f>IF(A145&lt;&gt;"",VLOOKUP(A145,'📦 ชื่อสินค้า'!A:F,6,false),"")</f>
        <v/>
      </c>
      <c r="E145" s="16" t="str">
        <f>IFERROR(IF(VLOOKUP(A145,'📦 ชื่อสินค้า'!A:G,7,false)="InActive","InActive",IF(A145&lt;&gt;"",IF(B145&lt;=0,"สินค้าหมด",IF(B145&lt;=C145,"ควรเติมทันที","OK")),"")),)</f>
        <v/>
      </c>
      <c r="F145" s="24" t="str">
        <f>IFERROR(IF(A145&lt;&gt;"", SUMIF('💸 Transaction ซื้อ'!B:B,A145,'💸 Transaction ซื้อ'!G:G)/SUMIF('💸 Transaction ซื้อ'!B:B,A145,'💸 Transaction ซื้อ'!E:E),""),"-")</f>
        <v/>
      </c>
      <c r="G145" s="24" t="str">
        <f t="shared" si="1"/>
        <v/>
      </c>
      <c r="H145" s="25"/>
      <c r="I145" s="26"/>
      <c r="J145" s="26"/>
      <c r="K145" s="27" t="str">
        <f>IF(A145&lt;&gt;"",IF(E145="InActive","-",SUMIFS('💰 Transaction ขาย'!E:E,'💰 Transaction ขาย'!B:B,A145,'💰 Transaction ขาย'!A:A,"&gt;"&amp;'⚙️ Config'!$H$1-'⚙️ Config'!$H$2)),)</f>
        <v/>
      </c>
      <c r="L145" s="28" t="str">
        <f>IF(E145="InActive","-",IF(A145&lt;&gt;"",K145/'⚙️ Config'!$H$2,))</f>
        <v/>
      </c>
      <c r="M145" s="28" t="str">
        <f t="shared" si="2"/>
        <v/>
      </c>
      <c r="N145" s="28" t="str">
        <f>IF(A145&lt;&gt;"", SUMIFS('💰 Transaction ขาย'!F:F,'💰 Transaction ขาย'!B:B,A145,'💰 Transaction ขาย'!A:A,"&gt;="&amp;DATE(YEAR('⚙️ Config'!$H$1),1,1),'💰 Transaction ขาย'!A:A,"&lt;="&amp;DATE(YEAR('⚙️ Config'!$H$1),12,31)),)</f>
        <v/>
      </c>
    </row>
    <row r="146">
      <c r="A146" s="22"/>
      <c r="B146" s="22" t="str">
        <f>IF(A146&lt;&gt;"",SUMIFS('💸 Transaction ซื้อ'!E:E,'💸 Transaction ซื้อ'!B:B,A146)-SUMIFS('💰 Transaction ขาย'!E:E,'💰 Transaction ขาย'!B:B,A146),"")</f>
        <v/>
      </c>
      <c r="C146" s="23" t="str">
        <f>IF(A146&lt;&gt;"",vlookup(A146,'📦 ชื่อสินค้า'!A:E,5,false),"")</f>
        <v/>
      </c>
      <c r="D146" s="23" t="str">
        <f>IF(A146&lt;&gt;"",VLOOKUP(A146,'📦 ชื่อสินค้า'!A:F,6,false),"")</f>
        <v/>
      </c>
      <c r="E146" s="16" t="str">
        <f>IFERROR(IF(VLOOKUP(A146,'📦 ชื่อสินค้า'!A:G,7,false)="InActive","InActive",IF(A146&lt;&gt;"",IF(B146&lt;=0,"สินค้าหมด",IF(B146&lt;=C146,"ควรเติมทันที","OK")),"")),)</f>
        <v/>
      </c>
      <c r="F146" s="24" t="str">
        <f>IFERROR(IF(A146&lt;&gt;"", SUMIF('💸 Transaction ซื้อ'!B:B,A146,'💸 Transaction ซื้อ'!G:G)/SUMIF('💸 Transaction ซื้อ'!B:B,A146,'💸 Transaction ซื้อ'!E:E),""),"-")</f>
        <v/>
      </c>
      <c r="G146" s="24" t="str">
        <f t="shared" si="1"/>
        <v/>
      </c>
      <c r="H146" s="25"/>
      <c r="I146" s="26"/>
      <c r="J146" s="26"/>
      <c r="K146" s="27" t="str">
        <f>IF(A146&lt;&gt;"",IF(E146="InActive","-",SUMIFS('💰 Transaction ขาย'!E:E,'💰 Transaction ขาย'!B:B,A146,'💰 Transaction ขาย'!A:A,"&gt;"&amp;'⚙️ Config'!$H$1-'⚙️ Config'!$H$2)),)</f>
        <v/>
      </c>
      <c r="L146" s="28" t="str">
        <f>IF(E146="InActive","-",IF(A146&lt;&gt;"",K146/'⚙️ Config'!$H$2,))</f>
        <v/>
      </c>
      <c r="M146" s="28" t="str">
        <f t="shared" si="2"/>
        <v/>
      </c>
      <c r="N146" s="28" t="str">
        <f>IF(A146&lt;&gt;"", SUMIFS('💰 Transaction ขาย'!F:F,'💰 Transaction ขาย'!B:B,A146,'💰 Transaction ขาย'!A:A,"&gt;="&amp;DATE(YEAR('⚙️ Config'!$H$1),1,1),'💰 Transaction ขาย'!A:A,"&lt;="&amp;DATE(YEAR('⚙️ Config'!$H$1),12,31)),)</f>
        <v/>
      </c>
    </row>
    <row r="147">
      <c r="A147" s="22"/>
      <c r="B147" s="22" t="str">
        <f>IF(A147&lt;&gt;"",SUMIFS('💸 Transaction ซื้อ'!E:E,'💸 Transaction ซื้อ'!B:B,A147)-SUMIFS('💰 Transaction ขาย'!E:E,'💰 Transaction ขาย'!B:B,A147),"")</f>
        <v/>
      </c>
      <c r="C147" s="23" t="str">
        <f>IF(A147&lt;&gt;"",vlookup(A147,'📦 ชื่อสินค้า'!A:E,5,false),"")</f>
        <v/>
      </c>
      <c r="D147" s="23" t="str">
        <f>IF(A147&lt;&gt;"",VLOOKUP(A147,'📦 ชื่อสินค้า'!A:F,6,false),"")</f>
        <v/>
      </c>
      <c r="E147" s="16" t="str">
        <f>IFERROR(IF(VLOOKUP(A147,'📦 ชื่อสินค้า'!A:G,7,false)="InActive","InActive",IF(A147&lt;&gt;"",IF(B147&lt;=0,"สินค้าหมด",IF(B147&lt;=C147,"ควรเติมทันที","OK")),"")),)</f>
        <v/>
      </c>
      <c r="F147" s="24" t="str">
        <f>IFERROR(IF(A147&lt;&gt;"", SUMIF('💸 Transaction ซื้อ'!B:B,A147,'💸 Transaction ซื้อ'!G:G)/SUMIF('💸 Transaction ซื้อ'!B:B,A147,'💸 Transaction ซื้อ'!E:E),""),"-")</f>
        <v/>
      </c>
      <c r="G147" s="24" t="str">
        <f t="shared" si="1"/>
        <v/>
      </c>
      <c r="H147" s="25"/>
      <c r="I147" s="26"/>
      <c r="J147" s="26"/>
      <c r="K147" s="27" t="str">
        <f>IF(A147&lt;&gt;"",IF(E147="InActive","-",SUMIFS('💰 Transaction ขาย'!E:E,'💰 Transaction ขาย'!B:B,A147,'💰 Transaction ขาย'!A:A,"&gt;"&amp;'⚙️ Config'!$H$1-'⚙️ Config'!$H$2)),)</f>
        <v/>
      </c>
      <c r="L147" s="28" t="str">
        <f>IF(E147="InActive","-",IF(A147&lt;&gt;"",K147/'⚙️ Config'!$H$2,))</f>
        <v/>
      </c>
      <c r="M147" s="28" t="str">
        <f t="shared" si="2"/>
        <v/>
      </c>
      <c r="N147" s="28" t="str">
        <f>IF(A147&lt;&gt;"", SUMIFS('💰 Transaction ขาย'!F:F,'💰 Transaction ขาย'!B:B,A147,'💰 Transaction ขาย'!A:A,"&gt;="&amp;DATE(YEAR('⚙️ Config'!$H$1),1,1),'💰 Transaction ขาย'!A:A,"&lt;="&amp;DATE(YEAR('⚙️ Config'!$H$1),12,31)),)</f>
        <v/>
      </c>
    </row>
    <row r="148">
      <c r="A148" s="22"/>
      <c r="B148" s="22" t="str">
        <f>IF(A148&lt;&gt;"",SUMIFS('💸 Transaction ซื้อ'!E:E,'💸 Transaction ซื้อ'!B:B,A148)-SUMIFS('💰 Transaction ขาย'!E:E,'💰 Transaction ขาย'!B:B,A148),"")</f>
        <v/>
      </c>
      <c r="C148" s="23" t="str">
        <f>IF(A148&lt;&gt;"",vlookup(A148,'📦 ชื่อสินค้า'!A:E,5,false),"")</f>
        <v/>
      </c>
      <c r="D148" s="23" t="str">
        <f>IF(A148&lt;&gt;"",VLOOKUP(A148,'📦 ชื่อสินค้า'!A:F,6,false),"")</f>
        <v/>
      </c>
      <c r="E148" s="16" t="str">
        <f>IFERROR(IF(VLOOKUP(A148,'📦 ชื่อสินค้า'!A:G,7,false)="InActive","InActive",IF(A148&lt;&gt;"",IF(B148&lt;=0,"สินค้าหมด",IF(B148&lt;=C148,"ควรเติมทันที","OK")),"")),)</f>
        <v/>
      </c>
      <c r="F148" s="24" t="str">
        <f>IFERROR(IF(A148&lt;&gt;"", SUMIF('💸 Transaction ซื้อ'!B:B,A148,'💸 Transaction ซื้อ'!G:G)/SUMIF('💸 Transaction ซื้อ'!B:B,A148,'💸 Transaction ซื้อ'!E:E),""),"-")</f>
        <v/>
      </c>
      <c r="G148" s="24" t="str">
        <f t="shared" si="1"/>
        <v/>
      </c>
      <c r="H148" s="25"/>
      <c r="I148" s="26"/>
      <c r="J148" s="26"/>
      <c r="K148" s="27" t="str">
        <f>IF(A148&lt;&gt;"",IF(E148="InActive","-",SUMIFS('💰 Transaction ขาย'!E:E,'💰 Transaction ขาย'!B:B,A148,'💰 Transaction ขาย'!A:A,"&gt;"&amp;'⚙️ Config'!$H$1-'⚙️ Config'!$H$2)),)</f>
        <v/>
      </c>
      <c r="L148" s="28" t="str">
        <f>IF(E148="InActive","-",IF(A148&lt;&gt;"",K148/'⚙️ Config'!$H$2,))</f>
        <v/>
      </c>
      <c r="M148" s="28" t="str">
        <f t="shared" si="2"/>
        <v/>
      </c>
      <c r="N148" s="28" t="str">
        <f>IF(A148&lt;&gt;"", SUMIFS('💰 Transaction ขาย'!F:F,'💰 Transaction ขาย'!B:B,A148,'💰 Transaction ขาย'!A:A,"&gt;="&amp;DATE(YEAR('⚙️ Config'!$H$1),1,1),'💰 Transaction ขาย'!A:A,"&lt;="&amp;DATE(YEAR('⚙️ Config'!$H$1),12,31)),)</f>
        <v/>
      </c>
    </row>
    <row r="149">
      <c r="A149" s="22"/>
      <c r="B149" s="22" t="str">
        <f>IF(A149&lt;&gt;"",SUMIFS('💸 Transaction ซื้อ'!E:E,'💸 Transaction ซื้อ'!B:B,A149)-SUMIFS('💰 Transaction ขาย'!E:E,'💰 Transaction ขาย'!B:B,A149),"")</f>
        <v/>
      </c>
      <c r="C149" s="23" t="str">
        <f>IF(A149&lt;&gt;"",vlookup(A149,'📦 ชื่อสินค้า'!A:E,5,false),"")</f>
        <v/>
      </c>
      <c r="D149" s="23" t="str">
        <f>IF(A149&lt;&gt;"",VLOOKUP(A149,'📦 ชื่อสินค้า'!A:F,6,false),"")</f>
        <v/>
      </c>
      <c r="E149" s="16" t="str">
        <f>IFERROR(IF(VLOOKUP(A149,'📦 ชื่อสินค้า'!A:G,7,false)="InActive","InActive",IF(A149&lt;&gt;"",IF(B149&lt;=0,"สินค้าหมด",IF(B149&lt;=C149,"ควรเติมทันที","OK")),"")),)</f>
        <v/>
      </c>
      <c r="F149" s="24" t="str">
        <f>IFERROR(IF(A149&lt;&gt;"", SUMIF('💸 Transaction ซื้อ'!B:B,A149,'💸 Transaction ซื้อ'!G:G)/SUMIF('💸 Transaction ซื้อ'!B:B,A149,'💸 Transaction ซื้อ'!E:E),""),"-")</f>
        <v/>
      </c>
      <c r="G149" s="24" t="str">
        <f t="shared" si="1"/>
        <v/>
      </c>
      <c r="H149" s="25"/>
      <c r="I149" s="26"/>
      <c r="J149" s="26"/>
      <c r="K149" s="27" t="str">
        <f>IF(A149&lt;&gt;"",IF(E149="InActive","-",SUMIFS('💰 Transaction ขาย'!E:E,'💰 Transaction ขาย'!B:B,A149,'💰 Transaction ขาย'!A:A,"&gt;"&amp;'⚙️ Config'!$H$1-'⚙️ Config'!$H$2)),)</f>
        <v/>
      </c>
      <c r="L149" s="28" t="str">
        <f>IF(E149="InActive","-",IF(A149&lt;&gt;"",K149/'⚙️ Config'!$H$2,))</f>
        <v/>
      </c>
      <c r="M149" s="28" t="str">
        <f t="shared" si="2"/>
        <v/>
      </c>
      <c r="N149" s="28" t="str">
        <f>IF(A149&lt;&gt;"", SUMIFS('💰 Transaction ขาย'!F:F,'💰 Transaction ขาย'!B:B,A149,'💰 Transaction ขาย'!A:A,"&gt;="&amp;DATE(YEAR('⚙️ Config'!$H$1),1,1),'💰 Transaction ขาย'!A:A,"&lt;="&amp;DATE(YEAR('⚙️ Config'!$H$1),12,31)),)</f>
        <v/>
      </c>
    </row>
    <row r="150">
      <c r="A150" s="22"/>
      <c r="B150" s="22" t="str">
        <f>IF(A150&lt;&gt;"",SUMIFS('💸 Transaction ซื้อ'!E:E,'💸 Transaction ซื้อ'!B:B,A150)-SUMIFS('💰 Transaction ขาย'!E:E,'💰 Transaction ขาย'!B:B,A150),"")</f>
        <v/>
      </c>
      <c r="C150" s="23" t="str">
        <f>IF(A150&lt;&gt;"",vlookup(A150,'📦 ชื่อสินค้า'!A:E,5,false),"")</f>
        <v/>
      </c>
      <c r="D150" s="23" t="str">
        <f>IF(A150&lt;&gt;"",VLOOKUP(A150,'📦 ชื่อสินค้า'!A:F,6,false),"")</f>
        <v/>
      </c>
      <c r="E150" s="16" t="str">
        <f>IFERROR(IF(VLOOKUP(A150,'📦 ชื่อสินค้า'!A:G,7,false)="InActive","InActive",IF(A150&lt;&gt;"",IF(B150&lt;=0,"สินค้าหมด",IF(B150&lt;=C150,"ควรเติมทันที","OK")),"")),)</f>
        <v/>
      </c>
      <c r="F150" s="24" t="str">
        <f>IFERROR(IF(A150&lt;&gt;"", SUMIF('💸 Transaction ซื้อ'!B:B,A150,'💸 Transaction ซื้อ'!G:G)/SUMIF('💸 Transaction ซื้อ'!B:B,A150,'💸 Transaction ซื้อ'!E:E),""),"-")</f>
        <v/>
      </c>
      <c r="G150" s="24" t="str">
        <f t="shared" si="1"/>
        <v/>
      </c>
      <c r="H150" s="25"/>
      <c r="I150" s="26"/>
      <c r="J150" s="26"/>
      <c r="K150" s="27" t="str">
        <f>IF(A150&lt;&gt;"",IF(E150="InActive","-",SUMIFS('💰 Transaction ขาย'!E:E,'💰 Transaction ขาย'!B:B,A150,'💰 Transaction ขาย'!A:A,"&gt;"&amp;'⚙️ Config'!$H$1-'⚙️ Config'!$H$2)),)</f>
        <v/>
      </c>
      <c r="L150" s="28" t="str">
        <f>IF(E150="InActive","-",IF(A150&lt;&gt;"",K150/'⚙️ Config'!$H$2,))</f>
        <v/>
      </c>
      <c r="M150" s="28" t="str">
        <f t="shared" si="2"/>
        <v/>
      </c>
      <c r="N150" s="28" t="str">
        <f>IF(A150&lt;&gt;"", SUMIFS('💰 Transaction ขาย'!F:F,'💰 Transaction ขาย'!B:B,A150,'💰 Transaction ขาย'!A:A,"&gt;="&amp;DATE(YEAR('⚙️ Config'!$H$1),1,1),'💰 Transaction ขาย'!A:A,"&lt;="&amp;DATE(YEAR('⚙️ Config'!$H$1),12,31)),)</f>
        <v/>
      </c>
    </row>
    <row r="151">
      <c r="A151" s="22"/>
      <c r="B151" s="22" t="str">
        <f>IF(A151&lt;&gt;"",SUMIFS('💸 Transaction ซื้อ'!E:E,'💸 Transaction ซื้อ'!B:B,A151)-SUMIFS('💰 Transaction ขาย'!E:E,'💰 Transaction ขาย'!B:B,A151),"")</f>
        <v/>
      </c>
      <c r="C151" s="23" t="str">
        <f>IF(A151&lt;&gt;"",vlookup(A151,'📦 ชื่อสินค้า'!A:E,5,false),"")</f>
        <v/>
      </c>
      <c r="D151" s="23" t="str">
        <f>IF(A151&lt;&gt;"",VLOOKUP(A151,'📦 ชื่อสินค้า'!A:F,6,false),"")</f>
        <v/>
      </c>
      <c r="E151" s="16" t="str">
        <f>IFERROR(IF(VLOOKUP(A151,'📦 ชื่อสินค้า'!A:G,7,false)="InActive","InActive",IF(A151&lt;&gt;"",IF(B151&lt;=0,"สินค้าหมด",IF(B151&lt;=C151,"ควรเติมทันที","OK")),"")),)</f>
        <v/>
      </c>
      <c r="F151" s="24" t="str">
        <f>IFERROR(IF(A151&lt;&gt;"", SUMIF('💸 Transaction ซื้อ'!B:B,A151,'💸 Transaction ซื้อ'!G:G)/SUMIF('💸 Transaction ซื้อ'!B:B,A151,'💸 Transaction ซื้อ'!E:E),""),"-")</f>
        <v/>
      </c>
      <c r="G151" s="24" t="str">
        <f t="shared" si="1"/>
        <v/>
      </c>
      <c r="H151" s="25"/>
      <c r="I151" s="26"/>
      <c r="J151" s="26"/>
      <c r="K151" s="27" t="str">
        <f>IF(A151&lt;&gt;"",IF(E151="InActive","-",SUMIFS('💰 Transaction ขาย'!E:E,'💰 Transaction ขาย'!B:B,A151,'💰 Transaction ขาย'!A:A,"&gt;"&amp;'⚙️ Config'!$H$1-'⚙️ Config'!$H$2)),)</f>
        <v/>
      </c>
      <c r="L151" s="28" t="str">
        <f>IF(E151="InActive","-",IF(A151&lt;&gt;"",K151/'⚙️ Config'!$H$2,))</f>
        <v/>
      </c>
      <c r="M151" s="28" t="str">
        <f t="shared" si="2"/>
        <v/>
      </c>
      <c r="N151" s="28" t="str">
        <f>IF(A151&lt;&gt;"", SUMIFS('💰 Transaction ขาย'!F:F,'💰 Transaction ขาย'!B:B,A151,'💰 Transaction ขาย'!A:A,"&gt;="&amp;DATE(YEAR('⚙️ Config'!$H$1),1,1),'💰 Transaction ขาย'!A:A,"&lt;="&amp;DATE(YEAR('⚙️ Config'!$H$1),12,31)),)</f>
        <v/>
      </c>
    </row>
    <row r="152">
      <c r="A152" s="22"/>
      <c r="B152" s="22" t="str">
        <f>IF(A152&lt;&gt;"",SUMIFS('💸 Transaction ซื้อ'!E:E,'💸 Transaction ซื้อ'!B:B,A152)-SUMIFS('💰 Transaction ขาย'!E:E,'💰 Transaction ขาย'!B:B,A152),"")</f>
        <v/>
      </c>
      <c r="C152" s="23" t="str">
        <f>IF(A152&lt;&gt;"",vlookup(A152,'📦 ชื่อสินค้า'!A:E,5,false),"")</f>
        <v/>
      </c>
      <c r="D152" s="23" t="str">
        <f>IF(A152&lt;&gt;"",VLOOKUP(A152,'📦 ชื่อสินค้า'!A:F,6,false),"")</f>
        <v/>
      </c>
      <c r="E152" s="16" t="str">
        <f>IFERROR(IF(VLOOKUP(A152,'📦 ชื่อสินค้า'!A:G,7,false)="InActive","InActive",IF(A152&lt;&gt;"",IF(B152&lt;=0,"สินค้าหมด",IF(B152&lt;=C152,"ควรเติมทันที","OK")),"")),)</f>
        <v/>
      </c>
      <c r="F152" s="24" t="str">
        <f>IFERROR(IF(A152&lt;&gt;"", SUMIF('💸 Transaction ซื้อ'!B:B,A152,'💸 Transaction ซื้อ'!G:G)/SUMIF('💸 Transaction ซื้อ'!B:B,A152,'💸 Transaction ซื้อ'!E:E),""),"-")</f>
        <v/>
      </c>
      <c r="G152" s="24" t="str">
        <f t="shared" si="1"/>
        <v/>
      </c>
      <c r="H152" s="25"/>
      <c r="I152" s="26"/>
      <c r="J152" s="26"/>
      <c r="K152" s="27" t="str">
        <f>IF(A152&lt;&gt;"",IF(E152="InActive","-",SUMIFS('💰 Transaction ขาย'!E:E,'💰 Transaction ขาย'!B:B,A152,'💰 Transaction ขาย'!A:A,"&gt;"&amp;'⚙️ Config'!$H$1-'⚙️ Config'!$H$2)),)</f>
        <v/>
      </c>
      <c r="L152" s="28" t="str">
        <f>IF(E152="InActive","-",IF(A152&lt;&gt;"",K152/'⚙️ Config'!$H$2,))</f>
        <v/>
      </c>
      <c r="M152" s="28" t="str">
        <f t="shared" si="2"/>
        <v/>
      </c>
      <c r="N152" s="28" t="str">
        <f>IF(A152&lt;&gt;"", SUMIFS('💰 Transaction ขาย'!F:F,'💰 Transaction ขาย'!B:B,A152,'💰 Transaction ขาย'!A:A,"&gt;="&amp;DATE(YEAR('⚙️ Config'!$H$1),1,1),'💰 Transaction ขาย'!A:A,"&lt;="&amp;DATE(YEAR('⚙️ Config'!$H$1),12,31)),)</f>
        <v/>
      </c>
    </row>
    <row r="153">
      <c r="A153" s="22"/>
      <c r="B153" s="22" t="str">
        <f>IF(A153&lt;&gt;"",SUMIFS('💸 Transaction ซื้อ'!E:E,'💸 Transaction ซื้อ'!B:B,A153)-SUMIFS('💰 Transaction ขาย'!E:E,'💰 Transaction ขาย'!B:B,A153),"")</f>
        <v/>
      </c>
      <c r="C153" s="23" t="str">
        <f>IF(A153&lt;&gt;"",vlookup(A153,'📦 ชื่อสินค้า'!A:E,5,false),"")</f>
        <v/>
      </c>
      <c r="D153" s="23" t="str">
        <f>IF(A153&lt;&gt;"",VLOOKUP(A153,'📦 ชื่อสินค้า'!A:F,6,false),"")</f>
        <v/>
      </c>
      <c r="E153" s="16" t="str">
        <f>IFERROR(IF(VLOOKUP(A153,'📦 ชื่อสินค้า'!A:G,7,false)="InActive","InActive",IF(A153&lt;&gt;"",IF(B153&lt;=0,"สินค้าหมด",IF(B153&lt;=C153,"ควรเติมทันที","OK")),"")),)</f>
        <v/>
      </c>
      <c r="F153" s="24" t="str">
        <f>IFERROR(IF(A153&lt;&gt;"", SUMIF('💸 Transaction ซื้อ'!B:B,A153,'💸 Transaction ซื้อ'!G:G)/SUMIF('💸 Transaction ซื้อ'!B:B,A153,'💸 Transaction ซื้อ'!E:E),""),"-")</f>
        <v/>
      </c>
      <c r="G153" s="24" t="str">
        <f t="shared" si="1"/>
        <v/>
      </c>
      <c r="H153" s="25"/>
      <c r="I153" s="26"/>
      <c r="J153" s="26"/>
      <c r="K153" s="27" t="str">
        <f>IF(A153&lt;&gt;"",IF(E153="InActive","-",SUMIFS('💰 Transaction ขาย'!E:E,'💰 Transaction ขาย'!B:B,A153,'💰 Transaction ขาย'!A:A,"&gt;"&amp;'⚙️ Config'!$H$1-'⚙️ Config'!$H$2)),)</f>
        <v/>
      </c>
      <c r="L153" s="28" t="str">
        <f>IF(E153="InActive","-",IF(A153&lt;&gt;"",K153/'⚙️ Config'!$H$2,))</f>
        <v/>
      </c>
      <c r="M153" s="28" t="str">
        <f t="shared" si="2"/>
        <v/>
      </c>
      <c r="N153" s="28" t="str">
        <f>IF(A153&lt;&gt;"", SUMIFS('💰 Transaction ขาย'!F:F,'💰 Transaction ขาย'!B:B,A153,'💰 Transaction ขาย'!A:A,"&gt;="&amp;DATE(YEAR('⚙️ Config'!$H$1),1,1),'💰 Transaction ขาย'!A:A,"&lt;="&amp;DATE(YEAR('⚙️ Config'!$H$1),12,31)),)</f>
        <v/>
      </c>
    </row>
    <row r="154">
      <c r="A154" s="22"/>
      <c r="B154" s="22" t="str">
        <f>IF(A154&lt;&gt;"",SUMIFS('💸 Transaction ซื้อ'!E:E,'💸 Transaction ซื้อ'!B:B,A154)-SUMIFS('💰 Transaction ขาย'!E:E,'💰 Transaction ขาย'!B:B,A154),"")</f>
        <v/>
      </c>
      <c r="C154" s="23" t="str">
        <f>IF(A154&lt;&gt;"",vlookup(A154,'📦 ชื่อสินค้า'!A:E,5,false),"")</f>
        <v/>
      </c>
      <c r="D154" s="23" t="str">
        <f>IF(A154&lt;&gt;"",VLOOKUP(A154,'📦 ชื่อสินค้า'!A:F,6,false),"")</f>
        <v/>
      </c>
      <c r="E154" s="16" t="str">
        <f>IFERROR(IF(VLOOKUP(A154,'📦 ชื่อสินค้า'!A:G,7,false)="InActive","InActive",IF(A154&lt;&gt;"",IF(B154&lt;=0,"สินค้าหมด",IF(B154&lt;=C154,"ควรเติมทันที","OK")),"")),)</f>
        <v/>
      </c>
      <c r="F154" s="24" t="str">
        <f>IFERROR(IF(A154&lt;&gt;"", SUMIF('💸 Transaction ซื้อ'!B:B,A154,'💸 Transaction ซื้อ'!G:G)/SUMIF('💸 Transaction ซื้อ'!B:B,A154,'💸 Transaction ซื้อ'!E:E),""),"-")</f>
        <v/>
      </c>
      <c r="G154" s="24" t="str">
        <f t="shared" si="1"/>
        <v/>
      </c>
      <c r="H154" s="25"/>
      <c r="I154" s="26"/>
      <c r="J154" s="26"/>
      <c r="K154" s="27" t="str">
        <f>IF(A154&lt;&gt;"",IF(E154="InActive","-",SUMIFS('💰 Transaction ขาย'!E:E,'💰 Transaction ขาย'!B:B,A154,'💰 Transaction ขาย'!A:A,"&gt;"&amp;'⚙️ Config'!$H$1-'⚙️ Config'!$H$2)),)</f>
        <v/>
      </c>
      <c r="L154" s="28" t="str">
        <f>IF(E154="InActive","-",IF(A154&lt;&gt;"",K154/'⚙️ Config'!$H$2,))</f>
        <v/>
      </c>
      <c r="M154" s="28" t="str">
        <f t="shared" si="2"/>
        <v/>
      </c>
      <c r="N154" s="28" t="str">
        <f>IF(A154&lt;&gt;"", SUMIFS('💰 Transaction ขาย'!F:F,'💰 Transaction ขาย'!B:B,A154,'💰 Transaction ขาย'!A:A,"&gt;="&amp;DATE(YEAR('⚙️ Config'!$H$1),1,1),'💰 Transaction ขาย'!A:A,"&lt;="&amp;DATE(YEAR('⚙️ Config'!$H$1),12,31)),)</f>
        <v/>
      </c>
    </row>
    <row r="155">
      <c r="A155" s="22"/>
      <c r="B155" s="22" t="str">
        <f>IF(A155&lt;&gt;"",SUMIFS('💸 Transaction ซื้อ'!E:E,'💸 Transaction ซื้อ'!B:B,A155)-SUMIFS('💰 Transaction ขาย'!E:E,'💰 Transaction ขาย'!B:B,A155),"")</f>
        <v/>
      </c>
      <c r="C155" s="23" t="str">
        <f>IF(A155&lt;&gt;"",vlookup(A155,'📦 ชื่อสินค้า'!A:E,5,false),"")</f>
        <v/>
      </c>
      <c r="D155" s="23" t="str">
        <f>IF(A155&lt;&gt;"",VLOOKUP(A155,'📦 ชื่อสินค้า'!A:F,6,false),"")</f>
        <v/>
      </c>
      <c r="E155" s="16" t="str">
        <f>IFERROR(IF(VLOOKUP(A155,'📦 ชื่อสินค้า'!A:G,7,false)="InActive","InActive",IF(A155&lt;&gt;"",IF(B155&lt;=0,"สินค้าหมด",IF(B155&lt;=C155,"ควรเติมทันที","OK")),"")),)</f>
        <v/>
      </c>
      <c r="F155" s="24" t="str">
        <f>IFERROR(IF(A155&lt;&gt;"", SUMIF('💸 Transaction ซื้อ'!B:B,A155,'💸 Transaction ซื้อ'!G:G)/SUMIF('💸 Transaction ซื้อ'!B:B,A155,'💸 Transaction ซื้อ'!E:E),""),"-")</f>
        <v/>
      </c>
      <c r="G155" s="24" t="str">
        <f t="shared" si="1"/>
        <v/>
      </c>
      <c r="H155" s="25"/>
      <c r="I155" s="26"/>
      <c r="J155" s="26"/>
      <c r="K155" s="27" t="str">
        <f>IF(A155&lt;&gt;"",IF(E155="InActive","-",SUMIFS('💰 Transaction ขาย'!E:E,'💰 Transaction ขาย'!B:B,A155,'💰 Transaction ขาย'!A:A,"&gt;"&amp;'⚙️ Config'!$H$1-'⚙️ Config'!$H$2)),)</f>
        <v/>
      </c>
      <c r="L155" s="28" t="str">
        <f>IF(E155="InActive","-",IF(A155&lt;&gt;"",K155/'⚙️ Config'!$H$2,))</f>
        <v/>
      </c>
      <c r="M155" s="28" t="str">
        <f t="shared" si="2"/>
        <v/>
      </c>
      <c r="N155" s="28" t="str">
        <f>IF(A155&lt;&gt;"", SUMIFS('💰 Transaction ขาย'!F:F,'💰 Transaction ขาย'!B:B,A155,'💰 Transaction ขาย'!A:A,"&gt;="&amp;DATE(YEAR('⚙️ Config'!$H$1),1,1),'💰 Transaction ขาย'!A:A,"&lt;="&amp;DATE(YEAR('⚙️ Config'!$H$1),12,31)),)</f>
        <v/>
      </c>
    </row>
    <row r="156">
      <c r="A156" s="22"/>
      <c r="B156" s="22" t="str">
        <f>IF(A156&lt;&gt;"",SUMIFS('💸 Transaction ซื้อ'!E:E,'💸 Transaction ซื้อ'!B:B,A156)-SUMIFS('💰 Transaction ขาย'!E:E,'💰 Transaction ขาย'!B:B,A156),"")</f>
        <v/>
      </c>
      <c r="C156" s="23" t="str">
        <f>IF(A156&lt;&gt;"",vlookup(A156,'📦 ชื่อสินค้า'!A:E,5,false),"")</f>
        <v/>
      </c>
      <c r="D156" s="23" t="str">
        <f>IF(A156&lt;&gt;"",VLOOKUP(A156,'📦 ชื่อสินค้า'!A:F,6,false),"")</f>
        <v/>
      </c>
      <c r="E156" s="16" t="str">
        <f>IFERROR(IF(VLOOKUP(A156,'📦 ชื่อสินค้า'!A:G,7,false)="InActive","InActive",IF(A156&lt;&gt;"",IF(B156&lt;=0,"สินค้าหมด",IF(B156&lt;=C156,"ควรเติมทันที","OK")),"")),)</f>
        <v/>
      </c>
      <c r="F156" s="24" t="str">
        <f>IFERROR(IF(A156&lt;&gt;"", SUMIF('💸 Transaction ซื้อ'!B:B,A156,'💸 Transaction ซื้อ'!G:G)/SUMIF('💸 Transaction ซื้อ'!B:B,A156,'💸 Transaction ซื้อ'!E:E),""),"-")</f>
        <v/>
      </c>
      <c r="G156" s="24" t="str">
        <f t="shared" si="1"/>
        <v/>
      </c>
      <c r="H156" s="25"/>
      <c r="I156" s="26"/>
      <c r="J156" s="26"/>
      <c r="K156" s="27" t="str">
        <f>IF(A156&lt;&gt;"",IF(E156="InActive","-",SUMIFS('💰 Transaction ขาย'!E:E,'💰 Transaction ขาย'!B:B,A156,'💰 Transaction ขาย'!A:A,"&gt;"&amp;'⚙️ Config'!$H$1-'⚙️ Config'!$H$2)),)</f>
        <v/>
      </c>
      <c r="L156" s="28" t="str">
        <f>IF(E156="InActive","-",IF(A156&lt;&gt;"",K156/'⚙️ Config'!$H$2,))</f>
        <v/>
      </c>
      <c r="M156" s="28" t="str">
        <f t="shared" si="2"/>
        <v/>
      </c>
      <c r="N156" s="28" t="str">
        <f>IF(A156&lt;&gt;"", SUMIFS('💰 Transaction ขาย'!F:F,'💰 Transaction ขาย'!B:B,A156,'💰 Transaction ขาย'!A:A,"&gt;="&amp;DATE(YEAR('⚙️ Config'!$H$1),1,1),'💰 Transaction ขาย'!A:A,"&lt;="&amp;DATE(YEAR('⚙️ Config'!$H$1),12,31)),)</f>
        <v/>
      </c>
    </row>
    <row r="157">
      <c r="A157" s="22"/>
      <c r="B157" s="22" t="str">
        <f>IF(A157&lt;&gt;"",SUMIFS('💸 Transaction ซื้อ'!E:E,'💸 Transaction ซื้อ'!B:B,A157)-SUMIFS('💰 Transaction ขาย'!E:E,'💰 Transaction ขาย'!B:B,A157),"")</f>
        <v/>
      </c>
      <c r="C157" s="23" t="str">
        <f>IF(A157&lt;&gt;"",vlookup(A157,'📦 ชื่อสินค้า'!A:E,5,false),"")</f>
        <v/>
      </c>
      <c r="D157" s="23" t="str">
        <f>IF(A157&lt;&gt;"",VLOOKUP(A157,'📦 ชื่อสินค้า'!A:F,6,false),"")</f>
        <v/>
      </c>
      <c r="E157" s="16" t="str">
        <f>IFERROR(IF(VLOOKUP(A157,'📦 ชื่อสินค้า'!A:G,7,false)="InActive","InActive",IF(A157&lt;&gt;"",IF(B157&lt;=0,"สินค้าหมด",IF(B157&lt;=C157,"ควรเติมทันที","OK")),"")),)</f>
        <v/>
      </c>
      <c r="F157" s="24" t="str">
        <f>IFERROR(IF(A157&lt;&gt;"", SUMIF('💸 Transaction ซื้อ'!B:B,A157,'💸 Transaction ซื้อ'!G:G)/SUMIF('💸 Transaction ซื้อ'!B:B,A157,'💸 Transaction ซื้อ'!E:E),""),"-")</f>
        <v/>
      </c>
      <c r="G157" s="24" t="str">
        <f t="shared" si="1"/>
        <v/>
      </c>
      <c r="H157" s="25"/>
      <c r="I157" s="26"/>
      <c r="J157" s="26"/>
      <c r="K157" s="27" t="str">
        <f>IF(A157&lt;&gt;"",IF(E157="InActive","-",SUMIFS('💰 Transaction ขาย'!E:E,'💰 Transaction ขาย'!B:B,A157,'💰 Transaction ขาย'!A:A,"&gt;"&amp;'⚙️ Config'!$H$1-'⚙️ Config'!$H$2)),)</f>
        <v/>
      </c>
      <c r="L157" s="28" t="str">
        <f>IF(E157="InActive","-",IF(A157&lt;&gt;"",K157/'⚙️ Config'!$H$2,))</f>
        <v/>
      </c>
      <c r="M157" s="28" t="str">
        <f t="shared" si="2"/>
        <v/>
      </c>
      <c r="N157" s="28" t="str">
        <f>IF(A157&lt;&gt;"", SUMIFS('💰 Transaction ขาย'!F:F,'💰 Transaction ขาย'!B:B,A157,'💰 Transaction ขาย'!A:A,"&gt;="&amp;DATE(YEAR('⚙️ Config'!$H$1),1,1),'💰 Transaction ขาย'!A:A,"&lt;="&amp;DATE(YEAR('⚙️ Config'!$H$1),12,31)),)</f>
        <v/>
      </c>
    </row>
    <row r="158">
      <c r="A158" s="22"/>
      <c r="B158" s="22" t="str">
        <f>IF(A158&lt;&gt;"",SUMIFS('💸 Transaction ซื้อ'!E:E,'💸 Transaction ซื้อ'!B:B,A158)-SUMIFS('💰 Transaction ขาย'!E:E,'💰 Transaction ขาย'!B:B,A158),"")</f>
        <v/>
      </c>
      <c r="C158" s="23" t="str">
        <f>IF(A158&lt;&gt;"",vlookup(A158,'📦 ชื่อสินค้า'!A:E,5,false),"")</f>
        <v/>
      </c>
      <c r="D158" s="23" t="str">
        <f>IF(A158&lt;&gt;"",VLOOKUP(A158,'📦 ชื่อสินค้า'!A:F,6,false),"")</f>
        <v/>
      </c>
      <c r="E158" s="16" t="str">
        <f>IFERROR(IF(VLOOKUP(A158,'📦 ชื่อสินค้า'!A:G,7,false)="InActive","InActive",IF(A158&lt;&gt;"",IF(B158&lt;=0,"สินค้าหมด",IF(B158&lt;=C158,"ควรเติมทันที","OK")),"")),)</f>
        <v/>
      </c>
      <c r="F158" s="24" t="str">
        <f>IFERROR(IF(A158&lt;&gt;"", SUMIF('💸 Transaction ซื้อ'!B:B,A158,'💸 Transaction ซื้อ'!G:G)/SUMIF('💸 Transaction ซื้อ'!B:B,A158,'💸 Transaction ซื้อ'!E:E),""),"-")</f>
        <v/>
      </c>
      <c r="G158" s="24" t="str">
        <f t="shared" si="1"/>
        <v/>
      </c>
      <c r="H158" s="25"/>
      <c r="I158" s="26"/>
      <c r="J158" s="26"/>
      <c r="K158" s="27" t="str">
        <f>IF(A158&lt;&gt;"",IF(E158="InActive","-",SUMIFS('💰 Transaction ขาย'!E:E,'💰 Transaction ขาย'!B:B,A158,'💰 Transaction ขาย'!A:A,"&gt;"&amp;'⚙️ Config'!$H$1-'⚙️ Config'!$H$2)),)</f>
        <v/>
      </c>
      <c r="L158" s="28" t="str">
        <f>IF(E158="InActive","-",IF(A158&lt;&gt;"",K158/'⚙️ Config'!$H$2,))</f>
        <v/>
      </c>
      <c r="M158" s="28" t="str">
        <f t="shared" si="2"/>
        <v/>
      </c>
      <c r="N158" s="28" t="str">
        <f>IF(A158&lt;&gt;"", SUMIFS('💰 Transaction ขาย'!F:F,'💰 Transaction ขาย'!B:B,A158,'💰 Transaction ขาย'!A:A,"&gt;="&amp;DATE(YEAR('⚙️ Config'!$H$1),1,1),'💰 Transaction ขาย'!A:A,"&lt;="&amp;DATE(YEAR('⚙️ Config'!$H$1),12,31)),)</f>
        <v/>
      </c>
    </row>
    <row r="159">
      <c r="A159" s="22"/>
      <c r="B159" s="22" t="str">
        <f>IF(A159&lt;&gt;"",SUMIFS('💸 Transaction ซื้อ'!E:E,'💸 Transaction ซื้อ'!B:B,A159)-SUMIFS('💰 Transaction ขาย'!E:E,'💰 Transaction ขาย'!B:B,A159),"")</f>
        <v/>
      </c>
      <c r="C159" s="23" t="str">
        <f>IF(A159&lt;&gt;"",vlookup(A159,'📦 ชื่อสินค้า'!A:E,5,false),"")</f>
        <v/>
      </c>
      <c r="D159" s="23" t="str">
        <f>IF(A159&lt;&gt;"",VLOOKUP(A159,'📦 ชื่อสินค้า'!A:F,6,false),"")</f>
        <v/>
      </c>
      <c r="E159" s="16" t="str">
        <f>IFERROR(IF(VLOOKUP(A159,'📦 ชื่อสินค้า'!A:G,7,false)="InActive","InActive",IF(A159&lt;&gt;"",IF(B159&lt;=0,"สินค้าหมด",IF(B159&lt;=C159,"ควรเติมทันที","OK")),"")),)</f>
        <v/>
      </c>
      <c r="F159" s="24" t="str">
        <f>IFERROR(IF(A159&lt;&gt;"", SUMIF('💸 Transaction ซื้อ'!B:B,A159,'💸 Transaction ซื้อ'!G:G)/SUMIF('💸 Transaction ซื้อ'!B:B,A159,'💸 Transaction ซื้อ'!E:E),""),"-")</f>
        <v/>
      </c>
      <c r="G159" s="24" t="str">
        <f t="shared" si="1"/>
        <v/>
      </c>
      <c r="H159" s="25"/>
      <c r="I159" s="26"/>
      <c r="J159" s="26"/>
      <c r="K159" s="27" t="str">
        <f>IF(A159&lt;&gt;"",IF(E159="InActive","-",SUMIFS('💰 Transaction ขาย'!E:E,'💰 Transaction ขาย'!B:B,A159,'💰 Transaction ขาย'!A:A,"&gt;"&amp;'⚙️ Config'!$H$1-'⚙️ Config'!$H$2)),)</f>
        <v/>
      </c>
      <c r="L159" s="28" t="str">
        <f>IF(E159="InActive","-",IF(A159&lt;&gt;"",K159/'⚙️ Config'!$H$2,))</f>
        <v/>
      </c>
      <c r="M159" s="28" t="str">
        <f t="shared" si="2"/>
        <v/>
      </c>
      <c r="N159" s="28" t="str">
        <f>IF(A159&lt;&gt;"", SUMIFS('💰 Transaction ขาย'!F:F,'💰 Transaction ขาย'!B:B,A159,'💰 Transaction ขาย'!A:A,"&gt;="&amp;DATE(YEAR('⚙️ Config'!$H$1),1,1),'💰 Transaction ขาย'!A:A,"&lt;="&amp;DATE(YEAR('⚙️ Config'!$H$1),12,31)),)</f>
        <v/>
      </c>
    </row>
    <row r="160">
      <c r="A160" s="22"/>
      <c r="B160" s="22" t="str">
        <f>IF(A160&lt;&gt;"",SUMIFS('💸 Transaction ซื้อ'!E:E,'💸 Transaction ซื้อ'!B:B,A160)-SUMIFS('💰 Transaction ขาย'!E:E,'💰 Transaction ขาย'!B:B,A160),"")</f>
        <v/>
      </c>
      <c r="C160" s="23" t="str">
        <f>IF(A160&lt;&gt;"",vlookup(A160,'📦 ชื่อสินค้า'!A:E,5,false),"")</f>
        <v/>
      </c>
      <c r="D160" s="23" t="str">
        <f>IF(A160&lt;&gt;"",VLOOKUP(A160,'📦 ชื่อสินค้า'!A:F,6,false),"")</f>
        <v/>
      </c>
      <c r="E160" s="16" t="str">
        <f>IFERROR(IF(VLOOKUP(A160,'📦 ชื่อสินค้า'!A:G,7,false)="InActive","InActive",IF(A160&lt;&gt;"",IF(B160&lt;=0,"สินค้าหมด",IF(B160&lt;=C160,"ควรเติมทันที","OK")),"")),)</f>
        <v/>
      </c>
      <c r="F160" s="24" t="str">
        <f>IFERROR(IF(A160&lt;&gt;"", SUMIF('💸 Transaction ซื้อ'!B:B,A160,'💸 Transaction ซื้อ'!G:G)/SUMIF('💸 Transaction ซื้อ'!B:B,A160,'💸 Transaction ซื้อ'!E:E),""),"-")</f>
        <v/>
      </c>
      <c r="G160" s="24" t="str">
        <f t="shared" si="1"/>
        <v/>
      </c>
      <c r="H160" s="25"/>
      <c r="I160" s="26"/>
      <c r="J160" s="26"/>
      <c r="K160" s="27" t="str">
        <f>IF(A160&lt;&gt;"",IF(E160="InActive","-",SUMIFS('💰 Transaction ขาย'!E:E,'💰 Transaction ขาย'!B:B,A160,'💰 Transaction ขาย'!A:A,"&gt;"&amp;'⚙️ Config'!$H$1-'⚙️ Config'!$H$2)),)</f>
        <v/>
      </c>
      <c r="L160" s="28" t="str">
        <f>IF(E160="InActive","-",IF(A160&lt;&gt;"",K160/'⚙️ Config'!$H$2,))</f>
        <v/>
      </c>
      <c r="M160" s="28" t="str">
        <f t="shared" si="2"/>
        <v/>
      </c>
      <c r="N160" s="28" t="str">
        <f>IF(A160&lt;&gt;"", SUMIFS('💰 Transaction ขาย'!F:F,'💰 Transaction ขาย'!B:B,A160,'💰 Transaction ขาย'!A:A,"&gt;="&amp;DATE(YEAR('⚙️ Config'!$H$1),1,1),'💰 Transaction ขาย'!A:A,"&lt;="&amp;DATE(YEAR('⚙️ Config'!$H$1),12,31)),)</f>
        <v/>
      </c>
    </row>
    <row r="161">
      <c r="A161" s="22"/>
      <c r="B161" s="22" t="str">
        <f>IF(A161&lt;&gt;"",SUMIFS('💸 Transaction ซื้อ'!E:E,'💸 Transaction ซื้อ'!B:B,A161)-SUMIFS('💰 Transaction ขาย'!E:E,'💰 Transaction ขาย'!B:B,A161),"")</f>
        <v/>
      </c>
      <c r="C161" s="23" t="str">
        <f>IF(A161&lt;&gt;"",vlookup(A161,'📦 ชื่อสินค้า'!A:E,5,false),"")</f>
        <v/>
      </c>
      <c r="D161" s="23" t="str">
        <f>IF(A161&lt;&gt;"",VLOOKUP(A161,'📦 ชื่อสินค้า'!A:F,6,false),"")</f>
        <v/>
      </c>
      <c r="E161" s="16" t="str">
        <f>IFERROR(IF(VLOOKUP(A161,'📦 ชื่อสินค้า'!A:G,7,false)="InActive","InActive",IF(A161&lt;&gt;"",IF(B161&lt;=0,"สินค้าหมด",IF(B161&lt;=C161,"ควรเติมทันที","OK")),"")),)</f>
        <v/>
      </c>
      <c r="F161" s="24" t="str">
        <f>IFERROR(IF(A161&lt;&gt;"", SUMIF('💸 Transaction ซื้อ'!B:B,A161,'💸 Transaction ซื้อ'!G:G)/SUMIF('💸 Transaction ซื้อ'!B:B,A161,'💸 Transaction ซื้อ'!E:E),""),"-")</f>
        <v/>
      </c>
      <c r="G161" s="24" t="str">
        <f t="shared" si="1"/>
        <v/>
      </c>
      <c r="H161" s="25"/>
      <c r="I161" s="26"/>
      <c r="J161" s="26"/>
      <c r="K161" s="27" t="str">
        <f>IF(A161&lt;&gt;"",IF(E161="InActive","-",SUMIFS('💰 Transaction ขาย'!E:E,'💰 Transaction ขาย'!B:B,A161,'💰 Transaction ขาย'!A:A,"&gt;"&amp;'⚙️ Config'!$H$1-'⚙️ Config'!$H$2)),)</f>
        <v/>
      </c>
      <c r="L161" s="28" t="str">
        <f>IF(E161="InActive","-",IF(A161&lt;&gt;"",K161/'⚙️ Config'!$H$2,))</f>
        <v/>
      </c>
      <c r="M161" s="28" t="str">
        <f t="shared" si="2"/>
        <v/>
      </c>
      <c r="N161" s="28" t="str">
        <f>IF(A161&lt;&gt;"", SUMIFS('💰 Transaction ขาย'!F:F,'💰 Transaction ขาย'!B:B,A161,'💰 Transaction ขาย'!A:A,"&gt;="&amp;DATE(YEAR('⚙️ Config'!$H$1),1,1),'💰 Transaction ขาย'!A:A,"&lt;="&amp;DATE(YEAR('⚙️ Config'!$H$1),12,31)),)</f>
        <v/>
      </c>
    </row>
    <row r="162">
      <c r="A162" s="22"/>
      <c r="B162" s="22" t="str">
        <f>IF(A162&lt;&gt;"",SUMIFS('💸 Transaction ซื้อ'!E:E,'💸 Transaction ซื้อ'!B:B,A162)-SUMIFS('💰 Transaction ขาย'!E:E,'💰 Transaction ขาย'!B:B,A162),"")</f>
        <v/>
      </c>
      <c r="C162" s="23" t="str">
        <f>IF(A162&lt;&gt;"",vlookup(A162,'📦 ชื่อสินค้า'!A:E,5,false),"")</f>
        <v/>
      </c>
      <c r="D162" s="23" t="str">
        <f>IF(A162&lt;&gt;"",VLOOKUP(A162,'📦 ชื่อสินค้า'!A:F,6,false),"")</f>
        <v/>
      </c>
      <c r="E162" s="16" t="str">
        <f>IFERROR(IF(VLOOKUP(A162,'📦 ชื่อสินค้า'!A:G,7,false)="InActive","InActive",IF(A162&lt;&gt;"",IF(B162&lt;=0,"สินค้าหมด",IF(B162&lt;=C162,"ควรเติมทันที","OK")),"")),)</f>
        <v/>
      </c>
      <c r="F162" s="24" t="str">
        <f>IFERROR(IF(A162&lt;&gt;"", SUMIF('💸 Transaction ซื้อ'!B:B,A162,'💸 Transaction ซื้อ'!G:G)/SUMIF('💸 Transaction ซื้อ'!B:B,A162,'💸 Transaction ซื้อ'!E:E),""),"-")</f>
        <v/>
      </c>
      <c r="G162" s="24" t="str">
        <f t="shared" si="1"/>
        <v/>
      </c>
      <c r="H162" s="25"/>
      <c r="I162" s="26"/>
      <c r="J162" s="26"/>
      <c r="K162" s="27" t="str">
        <f>IF(A162&lt;&gt;"",IF(E162="InActive","-",SUMIFS('💰 Transaction ขาย'!E:E,'💰 Transaction ขาย'!B:B,A162,'💰 Transaction ขาย'!A:A,"&gt;"&amp;'⚙️ Config'!$H$1-'⚙️ Config'!$H$2)),)</f>
        <v/>
      </c>
      <c r="L162" s="28" t="str">
        <f>IF(E162="InActive","-",IF(A162&lt;&gt;"",K162/'⚙️ Config'!$H$2,))</f>
        <v/>
      </c>
      <c r="M162" s="28" t="str">
        <f t="shared" si="2"/>
        <v/>
      </c>
      <c r="N162" s="28" t="str">
        <f>IF(A162&lt;&gt;"", SUMIFS('💰 Transaction ขาย'!F:F,'💰 Transaction ขาย'!B:B,A162,'💰 Transaction ขาย'!A:A,"&gt;="&amp;DATE(YEAR('⚙️ Config'!$H$1),1,1),'💰 Transaction ขาย'!A:A,"&lt;="&amp;DATE(YEAR('⚙️ Config'!$H$1),12,31)),)</f>
        <v/>
      </c>
    </row>
    <row r="163">
      <c r="A163" s="22"/>
      <c r="B163" s="22" t="str">
        <f>IF(A163&lt;&gt;"",SUMIFS('💸 Transaction ซื้อ'!E:E,'💸 Transaction ซื้อ'!B:B,A163)-SUMIFS('💰 Transaction ขาย'!E:E,'💰 Transaction ขาย'!B:B,A163),"")</f>
        <v/>
      </c>
      <c r="C163" s="23" t="str">
        <f>IF(A163&lt;&gt;"",vlookup(A163,'📦 ชื่อสินค้า'!A:E,5,false),"")</f>
        <v/>
      </c>
      <c r="D163" s="23" t="str">
        <f>IF(A163&lt;&gt;"",VLOOKUP(A163,'📦 ชื่อสินค้า'!A:F,6,false),"")</f>
        <v/>
      </c>
      <c r="E163" s="16" t="str">
        <f>IFERROR(IF(VLOOKUP(A163,'📦 ชื่อสินค้า'!A:G,7,false)="InActive","InActive",IF(A163&lt;&gt;"",IF(B163&lt;=0,"สินค้าหมด",IF(B163&lt;=C163,"ควรเติมทันที","OK")),"")),)</f>
        <v/>
      </c>
      <c r="F163" s="24" t="str">
        <f>IFERROR(IF(A163&lt;&gt;"", SUMIF('💸 Transaction ซื้อ'!B:B,A163,'💸 Transaction ซื้อ'!G:G)/SUMIF('💸 Transaction ซื้อ'!B:B,A163,'💸 Transaction ซื้อ'!E:E),""),"-")</f>
        <v/>
      </c>
      <c r="G163" s="24" t="str">
        <f t="shared" si="1"/>
        <v/>
      </c>
      <c r="H163" s="25"/>
      <c r="I163" s="26"/>
      <c r="J163" s="26"/>
      <c r="K163" s="27" t="str">
        <f>IF(A163&lt;&gt;"",IF(E163="InActive","-",SUMIFS('💰 Transaction ขาย'!E:E,'💰 Transaction ขาย'!B:B,A163,'💰 Transaction ขาย'!A:A,"&gt;"&amp;'⚙️ Config'!$H$1-'⚙️ Config'!$H$2)),)</f>
        <v/>
      </c>
      <c r="L163" s="28" t="str">
        <f>IF(E163="InActive","-",IF(A163&lt;&gt;"",K163/'⚙️ Config'!$H$2,))</f>
        <v/>
      </c>
      <c r="M163" s="28" t="str">
        <f t="shared" si="2"/>
        <v/>
      </c>
      <c r="N163" s="28" t="str">
        <f>IF(A163&lt;&gt;"", SUMIFS('💰 Transaction ขาย'!F:F,'💰 Transaction ขาย'!B:B,A163,'💰 Transaction ขาย'!A:A,"&gt;="&amp;DATE(YEAR('⚙️ Config'!$H$1),1,1),'💰 Transaction ขาย'!A:A,"&lt;="&amp;DATE(YEAR('⚙️ Config'!$H$1),12,31)),)</f>
        <v/>
      </c>
    </row>
    <row r="164">
      <c r="A164" s="22"/>
      <c r="B164" s="22" t="str">
        <f>IF(A164&lt;&gt;"",SUMIFS('💸 Transaction ซื้อ'!E:E,'💸 Transaction ซื้อ'!B:B,A164)-SUMIFS('💰 Transaction ขาย'!E:E,'💰 Transaction ขาย'!B:B,A164),"")</f>
        <v/>
      </c>
      <c r="C164" s="23" t="str">
        <f>IF(A164&lt;&gt;"",vlookup(A164,'📦 ชื่อสินค้า'!A:E,5,false),"")</f>
        <v/>
      </c>
      <c r="D164" s="23" t="str">
        <f>IF(A164&lt;&gt;"",VLOOKUP(A164,'📦 ชื่อสินค้า'!A:F,6,false),"")</f>
        <v/>
      </c>
      <c r="E164" s="16" t="str">
        <f>IFERROR(IF(VLOOKUP(A164,'📦 ชื่อสินค้า'!A:G,7,false)="InActive","InActive",IF(A164&lt;&gt;"",IF(B164&lt;=0,"สินค้าหมด",IF(B164&lt;=C164,"ควรเติมทันที","OK")),"")),)</f>
        <v/>
      </c>
      <c r="F164" s="24" t="str">
        <f>IFERROR(IF(A164&lt;&gt;"", SUMIF('💸 Transaction ซื้อ'!B:B,A164,'💸 Transaction ซื้อ'!G:G)/SUMIF('💸 Transaction ซื้อ'!B:B,A164,'💸 Transaction ซื้อ'!E:E),""),"-")</f>
        <v/>
      </c>
      <c r="G164" s="24" t="str">
        <f t="shared" si="1"/>
        <v/>
      </c>
      <c r="H164" s="25"/>
      <c r="I164" s="26"/>
      <c r="J164" s="26"/>
      <c r="K164" s="27" t="str">
        <f>IF(A164&lt;&gt;"",IF(E164="InActive","-",SUMIFS('💰 Transaction ขาย'!E:E,'💰 Transaction ขาย'!B:B,A164,'💰 Transaction ขาย'!A:A,"&gt;"&amp;'⚙️ Config'!$H$1-'⚙️ Config'!$H$2)),)</f>
        <v/>
      </c>
      <c r="L164" s="28" t="str">
        <f>IF(E164="InActive","-",IF(A164&lt;&gt;"",K164/'⚙️ Config'!$H$2,))</f>
        <v/>
      </c>
      <c r="M164" s="28" t="str">
        <f t="shared" si="2"/>
        <v/>
      </c>
      <c r="N164" s="28" t="str">
        <f>IF(A164&lt;&gt;"", SUMIFS('💰 Transaction ขาย'!F:F,'💰 Transaction ขาย'!B:B,A164,'💰 Transaction ขาย'!A:A,"&gt;="&amp;DATE(YEAR('⚙️ Config'!$H$1),1,1),'💰 Transaction ขาย'!A:A,"&lt;="&amp;DATE(YEAR('⚙️ Config'!$H$1),12,31)),)</f>
        <v/>
      </c>
    </row>
    <row r="165">
      <c r="A165" s="22"/>
      <c r="B165" s="22" t="str">
        <f>IF(A165&lt;&gt;"",SUMIFS('💸 Transaction ซื้อ'!E:E,'💸 Transaction ซื้อ'!B:B,A165)-SUMIFS('💰 Transaction ขาย'!E:E,'💰 Transaction ขาย'!B:B,A165),"")</f>
        <v/>
      </c>
      <c r="C165" s="23" t="str">
        <f>IF(A165&lt;&gt;"",vlookup(A165,'📦 ชื่อสินค้า'!A:E,5,false),"")</f>
        <v/>
      </c>
      <c r="D165" s="23" t="str">
        <f>IF(A165&lt;&gt;"",VLOOKUP(A165,'📦 ชื่อสินค้า'!A:F,6,false),"")</f>
        <v/>
      </c>
      <c r="E165" s="16" t="str">
        <f>IFERROR(IF(VLOOKUP(A165,'📦 ชื่อสินค้า'!A:G,7,false)="InActive","InActive",IF(A165&lt;&gt;"",IF(B165&lt;=0,"สินค้าหมด",IF(B165&lt;=C165,"ควรเติมทันที","OK")),"")),)</f>
        <v/>
      </c>
      <c r="F165" s="24" t="str">
        <f>IFERROR(IF(A165&lt;&gt;"", SUMIF('💸 Transaction ซื้อ'!B:B,A165,'💸 Transaction ซื้อ'!G:G)/SUMIF('💸 Transaction ซื้อ'!B:B,A165,'💸 Transaction ซื้อ'!E:E),""),"-")</f>
        <v/>
      </c>
      <c r="G165" s="24" t="str">
        <f t="shared" si="1"/>
        <v/>
      </c>
      <c r="H165" s="25"/>
      <c r="I165" s="26"/>
      <c r="J165" s="26"/>
      <c r="K165" s="27" t="str">
        <f>IF(A165&lt;&gt;"",IF(E165="InActive","-",SUMIFS('💰 Transaction ขาย'!E:E,'💰 Transaction ขาย'!B:B,A165,'💰 Transaction ขาย'!A:A,"&gt;"&amp;'⚙️ Config'!$H$1-'⚙️ Config'!$H$2)),)</f>
        <v/>
      </c>
      <c r="L165" s="28" t="str">
        <f>IF(E165="InActive","-",IF(A165&lt;&gt;"",K165/'⚙️ Config'!$H$2,))</f>
        <v/>
      </c>
      <c r="M165" s="28" t="str">
        <f t="shared" si="2"/>
        <v/>
      </c>
      <c r="N165" s="28" t="str">
        <f>IF(A165&lt;&gt;"", SUMIFS('💰 Transaction ขาย'!F:F,'💰 Transaction ขาย'!B:B,A165,'💰 Transaction ขาย'!A:A,"&gt;="&amp;DATE(YEAR('⚙️ Config'!$H$1),1,1),'💰 Transaction ขาย'!A:A,"&lt;="&amp;DATE(YEAR('⚙️ Config'!$H$1),12,31)),)</f>
        <v/>
      </c>
    </row>
    <row r="166">
      <c r="A166" s="22"/>
      <c r="B166" s="22" t="str">
        <f>IF(A166&lt;&gt;"",SUMIFS('💸 Transaction ซื้อ'!E:E,'💸 Transaction ซื้อ'!B:B,A166)-SUMIFS('💰 Transaction ขาย'!E:E,'💰 Transaction ขาย'!B:B,A166),"")</f>
        <v/>
      </c>
      <c r="C166" s="23" t="str">
        <f>IF(A166&lt;&gt;"",vlookup(A166,'📦 ชื่อสินค้า'!A:E,5,false),"")</f>
        <v/>
      </c>
      <c r="D166" s="23" t="str">
        <f>IF(A166&lt;&gt;"",VLOOKUP(A166,'📦 ชื่อสินค้า'!A:F,6,false),"")</f>
        <v/>
      </c>
      <c r="E166" s="16" t="str">
        <f>IFERROR(IF(VLOOKUP(A166,'📦 ชื่อสินค้า'!A:G,7,false)="InActive","InActive",IF(A166&lt;&gt;"",IF(B166&lt;=0,"สินค้าหมด",IF(B166&lt;=C166,"ควรเติมทันที","OK")),"")),)</f>
        <v/>
      </c>
      <c r="F166" s="24" t="str">
        <f>IFERROR(IF(A166&lt;&gt;"", SUMIF('💸 Transaction ซื้อ'!B:B,A166,'💸 Transaction ซื้อ'!G:G)/SUMIF('💸 Transaction ซื้อ'!B:B,A166,'💸 Transaction ซื้อ'!E:E),""),"-")</f>
        <v/>
      </c>
      <c r="G166" s="24" t="str">
        <f t="shared" si="1"/>
        <v/>
      </c>
      <c r="H166" s="25"/>
      <c r="I166" s="26"/>
      <c r="J166" s="26"/>
      <c r="K166" s="27" t="str">
        <f>IF(A166&lt;&gt;"",IF(E166="InActive","-",SUMIFS('💰 Transaction ขาย'!E:E,'💰 Transaction ขาย'!B:B,A166,'💰 Transaction ขาย'!A:A,"&gt;"&amp;'⚙️ Config'!$H$1-'⚙️ Config'!$H$2)),)</f>
        <v/>
      </c>
      <c r="L166" s="28" t="str">
        <f>IF(E166="InActive","-",IF(A166&lt;&gt;"",K166/'⚙️ Config'!$H$2,))</f>
        <v/>
      </c>
      <c r="M166" s="28" t="str">
        <f t="shared" si="2"/>
        <v/>
      </c>
      <c r="N166" s="28" t="str">
        <f>IF(A166&lt;&gt;"", SUMIFS('💰 Transaction ขาย'!F:F,'💰 Transaction ขาย'!B:B,A166,'💰 Transaction ขาย'!A:A,"&gt;="&amp;DATE(YEAR('⚙️ Config'!$H$1),1,1),'💰 Transaction ขาย'!A:A,"&lt;="&amp;DATE(YEAR('⚙️ Config'!$H$1),12,31)),)</f>
        <v/>
      </c>
    </row>
    <row r="167">
      <c r="A167" s="22"/>
      <c r="B167" s="22" t="str">
        <f>IF(A167&lt;&gt;"",SUMIFS('💸 Transaction ซื้อ'!E:E,'💸 Transaction ซื้อ'!B:B,A167)-SUMIFS('💰 Transaction ขาย'!E:E,'💰 Transaction ขาย'!B:B,A167),"")</f>
        <v/>
      </c>
      <c r="C167" s="23" t="str">
        <f>IF(A167&lt;&gt;"",vlookup(A167,'📦 ชื่อสินค้า'!A:E,5,false),"")</f>
        <v/>
      </c>
      <c r="D167" s="23" t="str">
        <f>IF(A167&lt;&gt;"",VLOOKUP(A167,'📦 ชื่อสินค้า'!A:F,6,false),"")</f>
        <v/>
      </c>
      <c r="E167" s="16" t="str">
        <f>IFERROR(IF(VLOOKUP(A167,'📦 ชื่อสินค้า'!A:G,7,false)="InActive","InActive",IF(A167&lt;&gt;"",IF(B167&lt;=0,"สินค้าหมด",IF(B167&lt;=C167,"ควรเติมทันที","OK")),"")),)</f>
        <v/>
      </c>
      <c r="F167" s="24" t="str">
        <f>IFERROR(IF(A167&lt;&gt;"", SUMIF('💸 Transaction ซื้อ'!B:B,A167,'💸 Transaction ซื้อ'!G:G)/SUMIF('💸 Transaction ซื้อ'!B:B,A167,'💸 Transaction ซื้อ'!E:E),""),"-")</f>
        <v/>
      </c>
      <c r="G167" s="24" t="str">
        <f t="shared" si="1"/>
        <v/>
      </c>
      <c r="H167" s="25"/>
      <c r="I167" s="26"/>
      <c r="J167" s="26"/>
      <c r="K167" s="27" t="str">
        <f>IF(A167&lt;&gt;"",IF(E167="InActive","-",SUMIFS('💰 Transaction ขาย'!E:E,'💰 Transaction ขาย'!B:B,A167,'💰 Transaction ขาย'!A:A,"&gt;"&amp;'⚙️ Config'!$H$1-'⚙️ Config'!$H$2)),)</f>
        <v/>
      </c>
      <c r="L167" s="28" t="str">
        <f>IF(E167="InActive","-",IF(A167&lt;&gt;"",K167/'⚙️ Config'!$H$2,))</f>
        <v/>
      </c>
      <c r="M167" s="28" t="str">
        <f t="shared" si="2"/>
        <v/>
      </c>
      <c r="N167" s="28" t="str">
        <f>IF(A167&lt;&gt;"", SUMIFS('💰 Transaction ขาย'!F:F,'💰 Transaction ขาย'!B:B,A167,'💰 Transaction ขาย'!A:A,"&gt;="&amp;DATE(YEAR('⚙️ Config'!$H$1),1,1),'💰 Transaction ขาย'!A:A,"&lt;="&amp;DATE(YEAR('⚙️ Config'!$H$1),12,31)),)</f>
        <v/>
      </c>
    </row>
    <row r="168">
      <c r="A168" s="22"/>
      <c r="B168" s="22" t="str">
        <f>IF(A168&lt;&gt;"",SUMIFS('💸 Transaction ซื้อ'!E:E,'💸 Transaction ซื้อ'!B:B,A168)-SUMIFS('💰 Transaction ขาย'!E:E,'💰 Transaction ขาย'!B:B,A168),"")</f>
        <v/>
      </c>
      <c r="C168" s="23" t="str">
        <f>IF(A168&lt;&gt;"",vlookup(A168,'📦 ชื่อสินค้า'!A:E,5,false),"")</f>
        <v/>
      </c>
      <c r="D168" s="23" t="str">
        <f>IF(A168&lt;&gt;"",VLOOKUP(A168,'📦 ชื่อสินค้า'!A:F,6,false),"")</f>
        <v/>
      </c>
      <c r="E168" s="16" t="str">
        <f>IFERROR(IF(VLOOKUP(A168,'📦 ชื่อสินค้า'!A:G,7,false)="InActive","InActive",IF(A168&lt;&gt;"",IF(B168&lt;=0,"สินค้าหมด",IF(B168&lt;=C168,"ควรเติมทันที","OK")),"")),)</f>
        <v/>
      </c>
      <c r="F168" s="24" t="str">
        <f>IFERROR(IF(A168&lt;&gt;"", SUMIF('💸 Transaction ซื้อ'!B:B,A168,'💸 Transaction ซื้อ'!G:G)/SUMIF('💸 Transaction ซื้อ'!B:B,A168,'💸 Transaction ซื้อ'!E:E),""),"-")</f>
        <v/>
      </c>
      <c r="G168" s="24" t="str">
        <f t="shared" si="1"/>
        <v/>
      </c>
      <c r="H168" s="25"/>
      <c r="I168" s="26"/>
      <c r="J168" s="26"/>
      <c r="K168" s="27" t="str">
        <f>IF(A168&lt;&gt;"",IF(E168="InActive","-",SUMIFS('💰 Transaction ขาย'!E:E,'💰 Transaction ขาย'!B:B,A168,'💰 Transaction ขาย'!A:A,"&gt;"&amp;'⚙️ Config'!$H$1-'⚙️ Config'!$H$2)),)</f>
        <v/>
      </c>
      <c r="L168" s="28" t="str">
        <f>IF(E168="InActive","-",IF(A168&lt;&gt;"",K168/'⚙️ Config'!$H$2,))</f>
        <v/>
      </c>
      <c r="M168" s="28" t="str">
        <f t="shared" si="2"/>
        <v/>
      </c>
      <c r="N168" s="28" t="str">
        <f>IF(A168&lt;&gt;"", SUMIFS('💰 Transaction ขาย'!F:F,'💰 Transaction ขาย'!B:B,A168,'💰 Transaction ขาย'!A:A,"&gt;="&amp;DATE(YEAR('⚙️ Config'!$H$1),1,1),'💰 Transaction ขาย'!A:A,"&lt;="&amp;DATE(YEAR('⚙️ Config'!$H$1),12,31)),)</f>
        <v/>
      </c>
    </row>
    <row r="169">
      <c r="A169" s="22"/>
      <c r="B169" s="22" t="str">
        <f>IF(A169&lt;&gt;"",SUMIFS('💸 Transaction ซื้อ'!E:E,'💸 Transaction ซื้อ'!B:B,A169)-SUMIFS('💰 Transaction ขาย'!E:E,'💰 Transaction ขาย'!B:B,A169),"")</f>
        <v/>
      </c>
      <c r="C169" s="23" t="str">
        <f>IF(A169&lt;&gt;"",vlookup(A169,'📦 ชื่อสินค้า'!A:E,5,false),"")</f>
        <v/>
      </c>
      <c r="D169" s="23" t="str">
        <f>IF(A169&lt;&gt;"",VLOOKUP(A169,'📦 ชื่อสินค้า'!A:F,6,false),"")</f>
        <v/>
      </c>
      <c r="E169" s="16" t="str">
        <f>IFERROR(IF(VLOOKUP(A169,'📦 ชื่อสินค้า'!A:G,7,false)="InActive","InActive",IF(A169&lt;&gt;"",IF(B169&lt;=0,"สินค้าหมด",IF(B169&lt;=C169,"ควรเติมทันที","OK")),"")),)</f>
        <v/>
      </c>
      <c r="F169" s="24" t="str">
        <f>IFERROR(IF(A169&lt;&gt;"", SUMIF('💸 Transaction ซื้อ'!B:B,A169,'💸 Transaction ซื้อ'!G:G)/SUMIF('💸 Transaction ซื้อ'!B:B,A169,'💸 Transaction ซื้อ'!E:E),""),"-")</f>
        <v/>
      </c>
      <c r="G169" s="24" t="str">
        <f t="shared" si="1"/>
        <v/>
      </c>
      <c r="H169" s="25"/>
      <c r="I169" s="26"/>
      <c r="J169" s="26"/>
      <c r="K169" s="27" t="str">
        <f>IF(A169&lt;&gt;"",IF(E169="InActive","-",SUMIFS('💰 Transaction ขาย'!E:E,'💰 Transaction ขาย'!B:B,A169,'💰 Transaction ขาย'!A:A,"&gt;"&amp;'⚙️ Config'!$H$1-'⚙️ Config'!$H$2)),)</f>
        <v/>
      </c>
      <c r="L169" s="28" t="str">
        <f>IF(E169="InActive","-",IF(A169&lt;&gt;"",K169/'⚙️ Config'!$H$2,))</f>
        <v/>
      </c>
      <c r="M169" s="28" t="str">
        <f t="shared" si="2"/>
        <v/>
      </c>
      <c r="N169" s="28" t="str">
        <f>IF(A169&lt;&gt;"", SUMIFS('💰 Transaction ขาย'!F:F,'💰 Transaction ขาย'!B:B,A169,'💰 Transaction ขาย'!A:A,"&gt;="&amp;DATE(YEAR('⚙️ Config'!$H$1),1,1),'💰 Transaction ขาย'!A:A,"&lt;="&amp;DATE(YEAR('⚙️ Config'!$H$1),12,31)),)</f>
        <v/>
      </c>
    </row>
    <row r="170">
      <c r="A170" s="22"/>
      <c r="B170" s="22" t="str">
        <f>IF(A170&lt;&gt;"",SUMIFS('💸 Transaction ซื้อ'!E:E,'💸 Transaction ซื้อ'!B:B,A170)-SUMIFS('💰 Transaction ขาย'!E:E,'💰 Transaction ขาย'!B:B,A170),"")</f>
        <v/>
      </c>
      <c r="C170" s="23" t="str">
        <f>IF(A170&lt;&gt;"",vlookup(A170,'📦 ชื่อสินค้า'!A:E,5,false),"")</f>
        <v/>
      </c>
      <c r="D170" s="23" t="str">
        <f>IF(A170&lt;&gt;"",VLOOKUP(A170,'📦 ชื่อสินค้า'!A:F,6,false),"")</f>
        <v/>
      </c>
      <c r="E170" s="16" t="str">
        <f>IFERROR(IF(VLOOKUP(A170,'📦 ชื่อสินค้า'!A:G,7,false)="InActive","InActive",IF(A170&lt;&gt;"",IF(B170&lt;=0,"สินค้าหมด",IF(B170&lt;=C170,"ควรเติมทันที","OK")),"")),)</f>
        <v/>
      </c>
      <c r="F170" s="24" t="str">
        <f>IFERROR(IF(A170&lt;&gt;"", SUMIF('💸 Transaction ซื้อ'!B:B,A170,'💸 Transaction ซื้อ'!G:G)/SUMIF('💸 Transaction ซื้อ'!B:B,A170,'💸 Transaction ซื้อ'!E:E),""),"-")</f>
        <v/>
      </c>
      <c r="G170" s="24" t="str">
        <f t="shared" si="1"/>
        <v/>
      </c>
      <c r="H170" s="25"/>
      <c r="I170" s="26"/>
      <c r="J170" s="26"/>
      <c r="K170" s="27" t="str">
        <f>IF(A170&lt;&gt;"",IF(E170="InActive","-",SUMIFS('💰 Transaction ขาย'!E:E,'💰 Transaction ขาย'!B:B,A170,'💰 Transaction ขาย'!A:A,"&gt;"&amp;'⚙️ Config'!$H$1-'⚙️ Config'!$H$2)),)</f>
        <v/>
      </c>
      <c r="L170" s="28" t="str">
        <f>IF(E170="InActive","-",IF(A170&lt;&gt;"",K170/'⚙️ Config'!$H$2,))</f>
        <v/>
      </c>
      <c r="M170" s="28" t="str">
        <f t="shared" si="2"/>
        <v/>
      </c>
      <c r="N170" s="28" t="str">
        <f>IF(A170&lt;&gt;"", SUMIFS('💰 Transaction ขาย'!F:F,'💰 Transaction ขาย'!B:B,A170,'💰 Transaction ขาย'!A:A,"&gt;="&amp;DATE(YEAR('⚙️ Config'!$H$1),1,1),'💰 Transaction ขาย'!A:A,"&lt;="&amp;DATE(YEAR('⚙️ Config'!$H$1),12,31)),)</f>
        <v/>
      </c>
    </row>
    <row r="171">
      <c r="A171" s="22"/>
      <c r="B171" s="22" t="str">
        <f>IF(A171&lt;&gt;"",SUMIFS('💸 Transaction ซื้อ'!E:E,'💸 Transaction ซื้อ'!B:B,A171)-SUMIFS('💰 Transaction ขาย'!E:E,'💰 Transaction ขาย'!B:B,A171),"")</f>
        <v/>
      </c>
      <c r="C171" s="23" t="str">
        <f>IF(A171&lt;&gt;"",vlookup(A171,'📦 ชื่อสินค้า'!A:E,5,false),"")</f>
        <v/>
      </c>
      <c r="D171" s="23" t="str">
        <f>IF(A171&lt;&gt;"",VLOOKUP(A171,'📦 ชื่อสินค้า'!A:F,6,false),"")</f>
        <v/>
      </c>
      <c r="E171" s="16" t="str">
        <f>IFERROR(IF(VLOOKUP(A171,'📦 ชื่อสินค้า'!A:G,7,false)="InActive","InActive",IF(A171&lt;&gt;"",IF(B171&lt;=0,"สินค้าหมด",IF(B171&lt;=C171,"ควรเติมทันที","OK")),"")),)</f>
        <v/>
      </c>
      <c r="F171" s="24" t="str">
        <f>IFERROR(IF(A171&lt;&gt;"", SUMIF('💸 Transaction ซื้อ'!B:B,A171,'💸 Transaction ซื้อ'!G:G)/SUMIF('💸 Transaction ซื้อ'!B:B,A171,'💸 Transaction ซื้อ'!E:E),""),"-")</f>
        <v/>
      </c>
      <c r="G171" s="24" t="str">
        <f t="shared" si="1"/>
        <v/>
      </c>
      <c r="H171" s="25"/>
      <c r="I171" s="26"/>
      <c r="J171" s="26"/>
      <c r="K171" s="27" t="str">
        <f>IF(A171&lt;&gt;"",IF(E171="InActive","-",SUMIFS('💰 Transaction ขาย'!E:E,'💰 Transaction ขาย'!B:B,A171,'💰 Transaction ขาย'!A:A,"&gt;"&amp;'⚙️ Config'!$H$1-'⚙️ Config'!$H$2)),)</f>
        <v/>
      </c>
      <c r="L171" s="28" t="str">
        <f>IF(E171="InActive","-",IF(A171&lt;&gt;"",K171/'⚙️ Config'!$H$2,))</f>
        <v/>
      </c>
      <c r="M171" s="28" t="str">
        <f t="shared" si="2"/>
        <v/>
      </c>
      <c r="N171" s="28" t="str">
        <f>IF(A171&lt;&gt;"", SUMIFS('💰 Transaction ขาย'!F:F,'💰 Transaction ขาย'!B:B,A171,'💰 Transaction ขาย'!A:A,"&gt;="&amp;DATE(YEAR('⚙️ Config'!$H$1),1,1),'💰 Transaction ขาย'!A:A,"&lt;="&amp;DATE(YEAR('⚙️ Config'!$H$1),12,31)),)</f>
        <v/>
      </c>
    </row>
    <row r="172">
      <c r="A172" s="22"/>
      <c r="B172" s="22" t="str">
        <f>IF(A172&lt;&gt;"",SUMIFS('💸 Transaction ซื้อ'!E:E,'💸 Transaction ซื้อ'!B:B,A172)-SUMIFS('💰 Transaction ขาย'!E:E,'💰 Transaction ขาย'!B:B,A172),"")</f>
        <v/>
      </c>
      <c r="C172" s="23" t="str">
        <f>IF(A172&lt;&gt;"",vlookup(A172,'📦 ชื่อสินค้า'!A:E,5,false),"")</f>
        <v/>
      </c>
      <c r="D172" s="23" t="str">
        <f>IF(A172&lt;&gt;"",VLOOKUP(A172,'📦 ชื่อสินค้า'!A:F,6,false),"")</f>
        <v/>
      </c>
      <c r="E172" s="16" t="str">
        <f>IFERROR(IF(VLOOKUP(A172,'📦 ชื่อสินค้า'!A:G,7,false)="InActive","InActive",IF(A172&lt;&gt;"",IF(B172&lt;=0,"สินค้าหมด",IF(B172&lt;=C172,"ควรเติมทันที","OK")),"")),)</f>
        <v/>
      </c>
      <c r="F172" s="24" t="str">
        <f>IFERROR(IF(A172&lt;&gt;"", SUMIF('💸 Transaction ซื้อ'!B:B,A172,'💸 Transaction ซื้อ'!G:G)/SUMIF('💸 Transaction ซื้อ'!B:B,A172,'💸 Transaction ซื้อ'!E:E),""),"-")</f>
        <v/>
      </c>
      <c r="G172" s="24" t="str">
        <f t="shared" si="1"/>
        <v/>
      </c>
      <c r="H172" s="25"/>
      <c r="I172" s="26"/>
      <c r="J172" s="26"/>
      <c r="K172" s="27" t="str">
        <f>IF(A172&lt;&gt;"",IF(E172="InActive","-",SUMIFS('💰 Transaction ขาย'!E:E,'💰 Transaction ขาย'!B:B,A172,'💰 Transaction ขาย'!A:A,"&gt;"&amp;'⚙️ Config'!$H$1-'⚙️ Config'!$H$2)),)</f>
        <v/>
      </c>
      <c r="L172" s="28" t="str">
        <f>IF(E172="InActive","-",IF(A172&lt;&gt;"",K172/'⚙️ Config'!$H$2,))</f>
        <v/>
      </c>
      <c r="M172" s="28" t="str">
        <f t="shared" si="2"/>
        <v/>
      </c>
      <c r="N172" s="28" t="str">
        <f>IF(A172&lt;&gt;"", SUMIFS('💰 Transaction ขาย'!F:F,'💰 Transaction ขาย'!B:B,A172,'💰 Transaction ขาย'!A:A,"&gt;="&amp;DATE(YEAR('⚙️ Config'!$H$1),1,1),'💰 Transaction ขาย'!A:A,"&lt;="&amp;DATE(YEAR('⚙️ Config'!$H$1),12,31)),)</f>
        <v/>
      </c>
    </row>
    <row r="173">
      <c r="A173" s="22"/>
      <c r="B173" s="22" t="str">
        <f>IF(A173&lt;&gt;"",SUMIFS('💸 Transaction ซื้อ'!E:E,'💸 Transaction ซื้อ'!B:B,A173)-SUMIFS('💰 Transaction ขาย'!E:E,'💰 Transaction ขาย'!B:B,A173),"")</f>
        <v/>
      </c>
      <c r="C173" s="23" t="str">
        <f>IF(A173&lt;&gt;"",vlookup(A173,'📦 ชื่อสินค้า'!A:E,5,false),"")</f>
        <v/>
      </c>
      <c r="D173" s="23" t="str">
        <f>IF(A173&lt;&gt;"",VLOOKUP(A173,'📦 ชื่อสินค้า'!A:F,6,false),"")</f>
        <v/>
      </c>
      <c r="E173" s="16" t="str">
        <f>IFERROR(IF(VLOOKUP(A173,'📦 ชื่อสินค้า'!A:G,7,false)="InActive","InActive",IF(A173&lt;&gt;"",IF(B173&lt;=0,"สินค้าหมด",IF(B173&lt;=C173,"ควรเติมทันที","OK")),"")),)</f>
        <v/>
      </c>
      <c r="F173" s="24" t="str">
        <f>IFERROR(IF(A173&lt;&gt;"", SUMIF('💸 Transaction ซื้อ'!B:B,A173,'💸 Transaction ซื้อ'!G:G)/SUMIF('💸 Transaction ซื้อ'!B:B,A173,'💸 Transaction ซื้อ'!E:E),""),"-")</f>
        <v/>
      </c>
      <c r="G173" s="24" t="str">
        <f t="shared" si="1"/>
        <v/>
      </c>
      <c r="H173" s="25"/>
      <c r="I173" s="26"/>
      <c r="J173" s="26"/>
      <c r="K173" s="27" t="str">
        <f>IF(A173&lt;&gt;"",IF(E173="InActive","-",SUMIFS('💰 Transaction ขาย'!E:E,'💰 Transaction ขาย'!B:B,A173,'💰 Transaction ขาย'!A:A,"&gt;"&amp;'⚙️ Config'!$H$1-'⚙️ Config'!$H$2)),)</f>
        <v/>
      </c>
      <c r="L173" s="28" t="str">
        <f>IF(E173="InActive","-",IF(A173&lt;&gt;"",K173/'⚙️ Config'!$H$2,))</f>
        <v/>
      </c>
      <c r="M173" s="28" t="str">
        <f t="shared" si="2"/>
        <v/>
      </c>
      <c r="N173" s="28" t="str">
        <f>IF(A173&lt;&gt;"", SUMIFS('💰 Transaction ขาย'!F:F,'💰 Transaction ขาย'!B:B,A173,'💰 Transaction ขาย'!A:A,"&gt;="&amp;DATE(YEAR('⚙️ Config'!$H$1),1,1),'💰 Transaction ขาย'!A:A,"&lt;="&amp;DATE(YEAR('⚙️ Config'!$H$1),12,31)),)</f>
        <v/>
      </c>
    </row>
    <row r="174">
      <c r="A174" s="22"/>
      <c r="B174" s="22" t="str">
        <f>IF(A174&lt;&gt;"",SUMIFS('💸 Transaction ซื้อ'!E:E,'💸 Transaction ซื้อ'!B:B,A174)-SUMIFS('💰 Transaction ขาย'!E:E,'💰 Transaction ขาย'!B:B,A174),"")</f>
        <v/>
      </c>
      <c r="C174" s="23" t="str">
        <f>IF(A174&lt;&gt;"",vlookup(A174,'📦 ชื่อสินค้า'!A:E,5,false),"")</f>
        <v/>
      </c>
      <c r="D174" s="23" t="str">
        <f>IF(A174&lt;&gt;"",VLOOKUP(A174,'📦 ชื่อสินค้า'!A:F,6,false),"")</f>
        <v/>
      </c>
      <c r="E174" s="16" t="str">
        <f>IFERROR(IF(VLOOKUP(A174,'📦 ชื่อสินค้า'!A:G,7,false)="InActive","InActive",IF(A174&lt;&gt;"",IF(B174&lt;=0,"สินค้าหมด",IF(B174&lt;=C174,"ควรเติมทันที","OK")),"")),)</f>
        <v/>
      </c>
      <c r="F174" s="24" t="str">
        <f>IFERROR(IF(A174&lt;&gt;"", SUMIF('💸 Transaction ซื้อ'!B:B,A174,'💸 Transaction ซื้อ'!G:G)/SUMIF('💸 Transaction ซื้อ'!B:B,A174,'💸 Transaction ซื้อ'!E:E),""),"-")</f>
        <v/>
      </c>
      <c r="G174" s="24" t="str">
        <f t="shared" si="1"/>
        <v/>
      </c>
      <c r="H174" s="25"/>
      <c r="I174" s="26"/>
      <c r="J174" s="26"/>
      <c r="K174" s="27" t="str">
        <f>IF(A174&lt;&gt;"",IF(E174="InActive","-",SUMIFS('💰 Transaction ขาย'!E:E,'💰 Transaction ขาย'!B:B,A174,'💰 Transaction ขาย'!A:A,"&gt;"&amp;'⚙️ Config'!$H$1-'⚙️ Config'!$H$2)),)</f>
        <v/>
      </c>
      <c r="L174" s="28" t="str">
        <f>IF(E174="InActive","-",IF(A174&lt;&gt;"",K174/'⚙️ Config'!$H$2,))</f>
        <v/>
      </c>
      <c r="M174" s="28" t="str">
        <f t="shared" si="2"/>
        <v/>
      </c>
      <c r="N174" s="28" t="str">
        <f>IF(A174&lt;&gt;"", SUMIFS('💰 Transaction ขาย'!F:F,'💰 Transaction ขาย'!B:B,A174,'💰 Transaction ขาย'!A:A,"&gt;="&amp;DATE(YEAR('⚙️ Config'!$H$1),1,1),'💰 Transaction ขาย'!A:A,"&lt;="&amp;DATE(YEAR('⚙️ Config'!$H$1),12,31)),)</f>
        <v/>
      </c>
    </row>
    <row r="175">
      <c r="A175" s="22"/>
      <c r="B175" s="22" t="str">
        <f>IF(A175&lt;&gt;"",SUMIFS('💸 Transaction ซื้อ'!E:E,'💸 Transaction ซื้อ'!B:B,A175)-SUMIFS('💰 Transaction ขาย'!E:E,'💰 Transaction ขาย'!B:B,A175),"")</f>
        <v/>
      </c>
      <c r="C175" s="23" t="str">
        <f>IF(A175&lt;&gt;"",vlookup(A175,'📦 ชื่อสินค้า'!A:E,5,false),"")</f>
        <v/>
      </c>
      <c r="D175" s="23" t="str">
        <f>IF(A175&lt;&gt;"",VLOOKUP(A175,'📦 ชื่อสินค้า'!A:F,6,false),"")</f>
        <v/>
      </c>
      <c r="E175" s="16" t="str">
        <f>IFERROR(IF(VLOOKUP(A175,'📦 ชื่อสินค้า'!A:G,7,false)="InActive","InActive",IF(A175&lt;&gt;"",IF(B175&lt;=0,"สินค้าหมด",IF(B175&lt;=C175,"ควรเติมทันที","OK")),"")),)</f>
        <v/>
      </c>
      <c r="F175" s="24" t="str">
        <f>IFERROR(IF(A175&lt;&gt;"", SUMIF('💸 Transaction ซื้อ'!B:B,A175,'💸 Transaction ซื้อ'!G:G)/SUMIF('💸 Transaction ซื้อ'!B:B,A175,'💸 Transaction ซื้อ'!E:E),""),"-")</f>
        <v/>
      </c>
      <c r="G175" s="24" t="str">
        <f t="shared" si="1"/>
        <v/>
      </c>
      <c r="H175" s="25"/>
      <c r="I175" s="26"/>
      <c r="J175" s="26"/>
      <c r="K175" s="27" t="str">
        <f>IF(A175&lt;&gt;"",IF(E175="InActive","-",SUMIFS('💰 Transaction ขาย'!E:E,'💰 Transaction ขาย'!B:B,A175,'💰 Transaction ขาย'!A:A,"&gt;"&amp;'⚙️ Config'!$H$1-'⚙️ Config'!$H$2)),)</f>
        <v/>
      </c>
      <c r="L175" s="28" t="str">
        <f>IF(E175="InActive","-",IF(A175&lt;&gt;"",K175/'⚙️ Config'!$H$2,))</f>
        <v/>
      </c>
      <c r="M175" s="28" t="str">
        <f t="shared" si="2"/>
        <v/>
      </c>
      <c r="N175" s="28" t="str">
        <f>IF(A175&lt;&gt;"", SUMIFS('💰 Transaction ขาย'!F:F,'💰 Transaction ขาย'!B:B,A175,'💰 Transaction ขาย'!A:A,"&gt;="&amp;DATE(YEAR('⚙️ Config'!$H$1),1,1),'💰 Transaction ขาย'!A:A,"&lt;="&amp;DATE(YEAR('⚙️ Config'!$H$1),12,31)),)</f>
        <v/>
      </c>
    </row>
    <row r="176">
      <c r="A176" s="22"/>
      <c r="B176" s="22" t="str">
        <f>IF(A176&lt;&gt;"",SUMIFS('💸 Transaction ซื้อ'!E:E,'💸 Transaction ซื้อ'!B:B,A176)-SUMIFS('💰 Transaction ขาย'!E:E,'💰 Transaction ขาย'!B:B,A176),"")</f>
        <v/>
      </c>
      <c r="C176" s="23" t="str">
        <f>IF(A176&lt;&gt;"",vlookup(A176,'📦 ชื่อสินค้า'!A:E,5,false),"")</f>
        <v/>
      </c>
      <c r="D176" s="23" t="str">
        <f>IF(A176&lt;&gt;"",VLOOKUP(A176,'📦 ชื่อสินค้า'!A:F,6,false),"")</f>
        <v/>
      </c>
      <c r="E176" s="16" t="str">
        <f>IFERROR(IF(VLOOKUP(A176,'📦 ชื่อสินค้า'!A:G,7,false)="InActive","InActive",IF(A176&lt;&gt;"",IF(B176&lt;=0,"สินค้าหมด",IF(B176&lt;=C176,"ควรเติมทันที","OK")),"")),)</f>
        <v/>
      </c>
      <c r="F176" s="24" t="str">
        <f>IFERROR(IF(A176&lt;&gt;"", SUMIF('💸 Transaction ซื้อ'!B:B,A176,'💸 Transaction ซื้อ'!G:G)/SUMIF('💸 Transaction ซื้อ'!B:B,A176,'💸 Transaction ซื้อ'!E:E),""),"-")</f>
        <v/>
      </c>
      <c r="G176" s="24" t="str">
        <f t="shared" si="1"/>
        <v/>
      </c>
      <c r="H176" s="25"/>
      <c r="I176" s="26"/>
      <c r="J176" s="26"/>
      <c r="K176" s="27" t="str">
        <f>IF(A176&lt;&gt;"",IF(E176="InActive","-",SUMIFS('💰 Transaction ขาย'!E:E,'💰 Transaction ขาย'!B:B,A176,'💰 Transaction ขาย'!A:A,"&gt;"&amp;'⚙️ Config'!$H$1-'⚙️ Config'!$H$2)),)</f>
        <v/>
      </c>
      <c r="L176" s="28" t="str">
        <f>IF(E176="InActive","-",IF(A176&lt;&gt;"",K176/'⚙️ Config'!$H$2,))</f>
        <v/>
      </c>
      <c r="M176" s="28" t="str">
        <f t="shared" si="2"/>
        <v/>
      </c>
      <c r="N176" s="28" t="str">
        <f>IF(A176&lt;&gt;"", SUMIFS('💰 Transaction ขาย'!F:F,'💰 Transaction ขาย'!B:B,A176,'💰 Transaction ขาย'!A:A,"&gt;="&amp;DATE(YEAR('⚙️ Config'!$H$1),1,1),'💰 Transaction ขาย'!A:A,"&lt;="&amp;DATE(YEAR('⚙️ Config'!$H$1),12,31)),)</f>
        <v/>
      </c>
    </row>
    <row r="177">
      <c r="A177" s="22"/>
      <c r="B177" s="22" t="str">
        <f>IF(A177&lt;&gt;"",SUMIFS('💸 Transaction ซื้อ'!E:E,'💸 Transaction ซื้อ'!B:B,A177)-SUMIFS('💰 Transaction ขาย'!E:E,'💰 Transaction ขาย'!B:B,A177),"")</f>
        <v/>
      </c>
      <c r="C177" s="23" t="str">
        <f>IF(A177&lt;&gt;"",vlookup(A177,'📦 ชื่อสินค้า'!A:E,5,false),"")</f>
        <v/>
      </c>
      <c r="D177" s="23" t="str">
        <f>IF(A177&lt;&gt;"",VLOOKUP(A177,'📦 ชื่อสินค้า'!A:F,6,false),"")</f>
        <v/>
      </c>
      <c r="E177" s="16" t="str">
        <f>IFERROR(IF(VLOOKUP(A177,'📦 ชื่อสินค้า'!A:G,7,false)="InActive","InActive",IF(A177&lt;&gt;"",IF(B177&lt;=0,"สินค้าหมด",IF(B177&lt;=C177,"ควรเติมทันที","OK")),"")),)</f>
        <v/>
      </c>
      <c r="F177" s="24" t="str">
        <f>IFERROR(IF(A177&lt;&gt;"", SUMIF('💸 Transaction ซื้อ'!B:B,A177,'💸 Transaction ซื้อ'!G:G)/SUMIF('💸 Transaction ซื้อ'!B:B,A177,'💸 Transaction ซื้อ'!E:E),""),"-")</f>
        <v/>
      </c>
      <c r="G177" s="24" t="str">
        <f t="shared" si="1"/>
        <v/>
      </c>
      <c r="H177" s="25"/>
      <c r="I177" s="26"/>
      <c r="J177" s="26"/>
      <c r="K177" s="27" t="str">
        <f>IF(A177&lt;&gt;"",IF(E177="InActive","-",SUMIFS('💰 Transaction ขาย'!E:E,'💰 Transaction ขาย'!B:B,A177,'💰 Transaction ขาย'!A:A,"&gt;"&amp;'⚙️ Config'!$H$1-'⚙️ Config'!$H$2)),)</f>
        <v/>
      </c>
      <c r="L177" s="28" t="str">
        <f>IF(E177="InActive","-",IF(A177&lt;&gt;"",K177/'⚙️ Config'!$H$2,))</f>
        <v/>
      </c>
      <c r="M177" s="28" t="str">
        <f t="shared" si="2"/>
        <v/>
      </c>
      <c r="N177" s="28" t="str">
        <f>IF(A177&lt;&gt;"", SUMIFS('💰 Transaction ขาย'!F:F,'💰 Transaction ขาย'!B:B,A177,'💰 Transaction ขาย'!A:A,"&gt;="&amp;DATE(YEAR('⚙️ Config'!$H$1),1,1),'💰 Transaction ขาย'!A:A,"&lt;="&amp;DATE(YEAR('⚙️ Config'!$H$1),12,31)),)</f>
        <v/>
      </c>
    </row>
    <row r="178">
      <c r="A178" s="22"/>
      <c r="B178" s="22" t="str">
        <f>IF(A178&lt;&gt;"",SUMIFS('💸 Transaction ซื้อ'!E:E,'💸 Transaction ซื้อ'!B:B,A178)-SUMIFS('💰 Transaction ขาย'!E:E,'💰 Transaction ขาย'!B:B,A178),"")</f>
        <v/>
      </c>
      <c r="C178" s="23" t="str">
        <f>IF(A178&lt;&gt;"",vlookup(A178,'📦 ชื่อสินค้า'!A:E,5,false),"")</f>
        <v/>
      </c>
      <c r="D178" s="23" t="str">
        <f>IF(A178&lt;&gt;"",VLOOKUP(A178,'📦 ชื่อสินค้า'!A:F,6,false),"")</f>
        <v/>
      </c>
      <c r="E178" s="16" t="str">
        <f>IFERROR(IF(VLOOKUP(A178,'📦 ชื่อสินค้า'!A:G,7,false)="InActive","InActive",IF(A178&lt;&gt;"",IF(B178&lt;=0,"สินค้าหมด",IF(B178&lt;=C178,"ควรเติมทันที","OK")),"")),)</f>
        <v/>
      </c>
      <c r="F178" s="24" t="str">
        <f>IFERROR(IF(A178&lt;&gt;"", SUMIF('💸 Transaction ซื้อ'!B:B,A178,'💸 Transaction ซื้อ'!G:G)/SUMIF('💸 Transaction ซื้อ'!B:B,A178,'💸 Transaction ซื้อ'!E:E),""),"-")</f>
        <v/>
      </c>
      <c r="G178" s="24" t="str">
        <f t="shared" si="1"/>
        <v/>
      </c>
      <c r="H178" s="25"/>
      <c r="I178" s="26"/>
      <c r="J178" s="26"/>
      <c r="K178" s="27" t="str">
        <f>IF(A178&lt;&gt;"",IF(E178="InActive","-",SUMIFS('💰 Transaction ขาย'!E:E,'💰 Transaction ขาย'!B:B,A178,'💰 Transaction ขาย'!A:A,"&gt;"&amp;'⚙️ Config'!$H$1-'⚙️ Config'!$H$2)),)</f>
        <v/>
      </c>
      <c r="L178" s="28" t="str">
        <f>IF(E178="InActive","-",IF(A178&lt;&gt;"",K178/'⚙️ Config'!$H$2,))</f>
        <v/>
      </c>
      <c r="M178" s="28" t="str">
        <f t="shared" si="2"/>
        <v/>
      </c>
      <c r="N178" s="28" t="str">
        <f>IF(A178&lt;&gt;"", SUMIFS('💰 Transaction ขาย'!F:F,'💰 Transaction ขาย'!B:B,A178,'💰 Transaction ขาย'!A:A,"&gt;="&amp;DATE(YEAR('⚙️ Config'!$H$1),1,1),'💰 Transaction ขาย'!A:A,"&lt;="&amp;DATE(YEAR('⚙️ Config'!$H$1),12,31)),)</f>
        <v/>
      </c>
    </row>
    <row r="179">
      <c r="A179" s="22"/>
      <c r="B179" s="22" t="str">
        <f>IF(A179&lt;&gt;"",SUMIFS('💸 Transaction ซื้อ'!E:E,'💸 Transaction ซื้อ'!B:B,A179)-SUMIFS('💰 Transaction ขาย'!E:E,'💰 Transaction ขาย'!B:B,A179),"")</f>
        <v/>
      </c>
      <c r="C179" s="23" t="str">
        <f>IF(A179&lt;&gt;"",vlookup(A179,'📦 ชื่อสินค้า'!A:E,5,false),"")</f>
        <v/>
      </c>
      <c r="D179" s="23" t="str">
        <f>IF(A179&lt;&gt;"",VLOOKUP(A179,'📦 ชื่อสินค้า'!A:F,6,false),"")</f>
        <v/>
      </c>
      <c r="E179" s="16" t="str">
        <f>IFERROR(IF(VLOOKUP(A179,'📦 ชื่อสินค้า'!A:G,7,false)="InActive","InActive",IF(A179&lt;&gt;"",IF(B179&lt;=0,"สินค้าหมด",IF(B179&lt;=C179,"ควรเติมทันที","OK")),"")),)</f>
        <v/>
      </c>
      <c r="F179" s="24" t="str">
        <f>IFERROR(IF(A179&lt;&gt;"", SUMIF('💸 Transaction ซื้อ'!B:B,A179,'💸 Transaction ซื้อ'!G:G)/SUMIF('💸 Transaction ซื้อ'!B:B,A179,'💸 Transaction ซื้อ'!E:E),""),"-")</f>
        <v/>
      </c>
      <c r="G179" s="24" t="str">
        <f t="shared" si="1"/>
        <v/>
      </c>
      <c r="H179" s="25"/>
      <c r="I179" s="26"/>
      <c r="J179" s="26"/>
      <c r="K179" s="27" t="str">
        <f>IF(A179&lt;&gt;"",IF(E179="InActive","-",SUMIFS('💰 Transaction ขาย'!E:E,'💰 Transaction ขาย'!B:B,A179,'💰 Transaction ขาย'!A:A,"&gt;"&amp;'⚙️ Config'!$H$1-'⚙️ Config'!$H$2)),)</f>
        <v/>
      </c>
      <c r="L179" s="28" t="str">
        <f>IF(E179="InActive","-",IF(A179&lt;&gt;"",K179/'⚙️ Config'!$H$2,))</f>
        <v/>
      </c>
      <c r="M179" s="28" t="str">
        <f t="shared" si="2"/>
        <v/>
      </c>
      <c r="N179" s="28" t="str">
        <f>IF(A179&lt;&gt;"", SUMIFS('💰 Transaction ขาย'!F:F,'💰 Transaction ขาย'!B:B,A179,'💰 Transaction ขาย'!A:A,"&gt;="&amp;DATE(YEAR('⚙️ Config'!$H$1),1,1),'💰 Transaction ขาย'!A:A,"&lt;="&amp;DATE(YEAR('⚙️ Config'!$H$1),12,31)),)</f>
        <v/>
      </c>
    </row>
    <row r="180">
      <c r="A180" s="22"/>
      <c r="B180" s="22" t="str">
        <f>IF(A180&lt;&gt;"",SUMIFS('💸 Transaction ซื้อ'!E:E,'💸 Transaction ซื้อ'!B:B,A180)-SUMIFS('💰 Transaction ขาย'!E:E,'💰 Transaction ขาย'!B:B,A180),"")</f>
        <v/>
      </c>
      <c r="C180" s="23" t="str">
        <f>IF(A180&lt;&gt;"",vlookup(A180,'📦 ชื่อสินค้า'!A:E,5,false),"")</f>
        <v/>
      </c>
      <c r="D180" s="23" t="str">
        <f>IF(A180&lt;&gt;"",VLOOKUP(A180,'📦 ชื่อสินค้า'!A:F,6,false),"")</f>
        <v/>
      </c>
      <c r="E180" s="16" t="str">
        <f>IFERROR(IF(VLOOKUP(A180,'📦 ชื่อสินค้า'!A:G,7,false)="InActive","InActive",IF(A180&lt;&gt;"",IF(B180&lt;=0,"สินค้าหมด",IF(B180&lt;=C180,"ควรเติมทันที","OK")),"")),)</f>
        <v/>
      </c>
      <c r="F180" s="24" t="str">
        <f>IFERROR(IF(A180&lt;&gt;"", SUMIF('💸 Transaction ซื้อ'!B:B,A180,'💸 Transaction ซื้อ'!G:G)/SUMIF('💸 Transaction ซื้อ'!B:B,A180,'💸 Transaction ซื้อ'!E:E),""),"-")</f>
        <v/>
      </c>
      <c r="G180" s="24" t="str">
        <f t="shared" si="1"/>
        <v/>
      </c>
      <c r="H180" s="25"/>
      <c r="I180" s="26"/>
      <c r="J180" s="26"/>
      <c r="K180" s="27" t="str">
        <f>IF(A180&lt;&gt;"",IF(E180="InActive","-",SUMIFS('💰 Transaction ขาย'!E:E,'💰 Transaction ขาย'!B:B,A180,'💰 Transaction ขาย'!A:A,"&gt;"&amp;'⚙️ Config'!$H$1-'⚙️ Config'!$H$2)),)</f>
        <v/>
      </c>
      <c r="L180" s="28" t="str">
        <f>IF(E180="InActive","-",IF(A180&lt;&gt;"",K180/'⚙️ Config'!$H$2,))</f>
        <v/>
      </c>
      <c r="M180" s="28" t="str">
        <f t="shared" si="2"/>
        <v/>
      </c>
      <c r="N180" s="28" t="str">
        <f>IF(A180&lt;&gt;"", SUMIFS('💰 Transaction ขาย'!F:F,'💰 Transaction ขาย'!B:B,A180,'💰 Transaction ขาย'!A:A,"&gt;="&amp;DATE(YEAR('⚙️ Config'!$H$1),1,1),'💰 Transaction ขาย'!A:A,"&lt;="&amp;DATE(YEAR('⚙️ Config'!$H$1),12,31)),)</f>
        <v/>
      </c>
    </row>
    <row r="181">
      <c r="A181" s="22"/>
      <c r="B181" s="22" t="str">
        <f>IF(A181&lt;&gt;"",SUMIFS('💸 Transaction ซื้อ'!E:E,'💸 Transaction ซื้อ'!B:B,A181)-SUMIFS('💰 Transaction ขาย'!E:E,'💰 Transaction ขาย'!B:B,A181),"")</f>
        <v/>
      </c>
      <c r="C181" s="23" t="str">
        <f>IF(A181&lt;&gt;"",vlookup(A181,'📦 ชื่อสินค้า'!A:E,5,false),"")</f>
        <v/>
      </c>
      <c r="D181" s="23" t="str">
        <f>IF(A181&lt;&gt;"",VLOOKUP(A181,'📦 ชื่อสินค้า'!A:F,6,false),"")</f>
        <v/>
      </c>
      <c r="E181" s="16" t="str">
        <f>IFERROR(IF(VLOOKUP(A181,'📦 ชื่อสินค้า'!A:G,7,false)="InActive","InActive",IF(A181&lt;&gt;"",IF(B181&lt;=0,"สินค้าหมด",IF(B181&lt;=C181,"ควรเติมทันที","OK")),"")),)</f>
        <v/>
      </c>
      <c r="F181" s="24" t="str">
        <f>IFERROR(IF(A181&lt;&gt;"", SUMIF('💸 Transaction ซื้อ'!B:B,A181,'💸 Transaction ซื้อ'!G:G)/SUMIF('💸 Transaction ซื้อ'!B:B,A181,'💸 Transaction ซื้อ'!E:E),""),"-")</f>
        <v/>
      </c>
      <c r="G181" s="24" t="str">
        <f t="shared" si="1"/>
        <v/>
      </c>
      <c r="H181" s="25"/>
      <c r="I181" s="26"/>
      <c r="J181" s="26"/>
      <c r="K181" s="27" t="str">
        <f>IF(A181&lt;&gt;"",IF(E181="InActive","-",SUMIFS('💰 Transaction ขาย'!E:E,'💰 Transaction ขาย'!B:B,A181,'💰 Transaction ขาย'!A:A,"&gt;"&amp;'⚙️ Config'!$H$1-'⚙️ Config'!$H$2)),)</f>
        <v/>
      </c>
      <c r="L181" s="28" t="str">
        <f>IF(E181="InActive","-",IF(A181&lt;&gt;"",K181/'⚙️ Config'!$H$2,))</f>
        <v/>
      </c>
      <c r="M181" s="28" t="str">
        <f t="shared" si="2"/>
        <v/>
      </c>
      <c r="N181" s="28" t="str">
        <f>IF(A181&lt;&gt;"", SUMIFS('💰 Transaction ขาย'!F:F,'💰 Transaction ขาย'!B:B,A181,'💰 Transaction ขาย'!A:A,"&gt;="&amp;DATE(YEAR('⚙️ Config'!$H$1),1,1),'💰 Transaction ขาย'!A:A,"&lt;="&amp;DATE(YEAR('⚙️ Config'!$H$1),12,31)),)</f>
        <v/>
      </c>
    </row>
    <row r="182">
      <c r="A182" s="22"/>
      <c r="B182" s="22" t="str">
        <f>IF(A182&lt;&gt;"",SUMIFS('💸 Transaction ซื้อ'!E:E,'💸 Transaction ซื้อ'!B:B,A182)-SUMIFS('💰 Transaction ขาย'!E:E,'💰 Transaction ขาย'!B:B,A182),"")</f>
        <v/>
      </c>
      <c r="C182" s="23" t="str">
        <f>IF(A182&lt;&gt;"",vlookup(A182,'📦 ชื่อสินค้า'!A:E,5,false),"")</f>
        <v/>
      </c>
      <c r="D182" s="23" t="str">
        <f>IF(A182&lt;&gt;"",VLOOKUP(A182,'📦 ชื่อสินค้า'!A:F,6,false),"")</f>
        <v/>
      </c>
      <c r="E182" s="16" t="str">
        <f>IFERROR(IF(VLOOKUP(A182,'📦 ชื่อสินค้า'!A:G,7,false)="InActive","InActive",IF(A182&lt;&gt;"",IF(B182&lt;=0,"สินค้าหมด",IF(B182&lt;=C182,"ควรเติมทันที","OK")),"")),)</f>
        <v/>
      </c>
      <c r="F182" s="24" t="str">
        <f>IFERROR(IF(A182&lt;&gt;"", SUMIF('💸 Transaction ซื้อ'!B:B,A182,'💸 Transaction ซื้อ'!G:G)/SUMIF('💸 Transaction ซื้อ'!B:B,A182,'💸 Transaction ซื้อ'!E:E),""),"-")</f>
        <v/>
      </c>
      <c r="G182" s="24" t="str">
        <f t="shared" si="1"/>
        <v/>
      </c>
      <c r="H182" s="25"/>
      <c r="I182" s="26"/>
      <c r="J182" s="26"/>
      <c r="K182" s="27" t="str">
        <f>IF(A182&lt;&gt;"",IF(E182="InActive","-",SUMIFS('💰 Transaction ขาย'!E:E,'💰 Transaction ขาย'!B:B,A182,'💰 Transaction ขาย'!A:A,"&gt;"&amp;'⚙️ Config'!$H$1-'⚙️ Config'!$H$2)),)</f>
        <v/>
      </c>
      <c r="L182" s="28" t="str">
        <f>IF(E182="InActive","-",IF(A182&lt;&gt;"",K182/'⚙️ Config'!$H$2,))</f>
        <v/>
      </c>
      <c r="M182" s="28" t="str">
        <f t="shared" si="2"/>
        <v/>
      </c>
      <c r="N182" s="28" t="str">
        <f>IF(A182&lt;&gt;"", SUMIFS('💰 Transaction ขาย'!F:F,'💰 Transaction ขาย'!B:B,A182,'💰 Transaction ขาย'!A:A,"&gt;="&amp;DATE(YEAR('⚙️ Config'!$H$1),1,1),'💰 Transaction ขาย'!A:A,"&lt;="&amp;DATE(YEAR('⚙️ Config'!$H$1),12,31)),)</f>
        <v/>
      </c>
    </row>
    <row r="183">
      <c r="A183" s="22"/>
      <c r="B183" s="22" t="str">
        <f>IF(A183&lt;&gt;"",SUMIFS('💸 Transaction ซื้อ'!E:E,'💸 Transaction ซื้อ'!B:B,A183)-SUMIFS('💰 Transaction ขาย'!E:E,'💰 Transaction ขาย'!B:B,A183),"")</f>
        <v/>
      </c>
      <c r="C183" s="23" t="str">
        <f>IF(A183&lt;&gt;"",vlookup(A183,'📦 ชื่อสินค้า'!A:E,5,false),"")</f>
        <v/>
      </c>
      <c r="D183" s="23" t="str">
        <f>IF(A183&lt;&gt;"",VLOOKUP(A183,'📦 ชื่อสินค้า'!A:F,6,false),"")</f>
        <v/>
      </c>
      <c r="E183" s="16" t="str">
        <f>IFERROR(IF(VLOOKUP(A183,'📦 ชื่อสินค้า'!A:G,7,false)="InActive","InActive",IF(A183&lt;&gt;"",IF(B183&lt;=0,"สินค้าหมด",IF(B183&lt;=C183,"ควรเติมทันที","OK")),"")),)</f>
        <v/>
      </c>
      <c r="F183" s="24" t="str">
        <f>IFERROR(IF(A183&lt;&gt;"", SUMIF('💸 Transaction ซื้อ'!B:B,A183,'💸 Transaction ซื้อ'!G:G)/SUMIF('💸 Transaction ซื้อ'!B:B,A183,'💸 Transaction ซื้อ'!E:E),""),"-")</f>
        <v/>
      </c>
      <c r="G183" s="24" t="str">
        <f t="shared" si="1"/>
        <v/>
      </c>
      <c r="H183" s="25"/>
      <c r="I183" s="26"/>
      <c r="J183" s="26"/>
      <c r="K183" s="27" t="str">
        <f>IF(A183&lt;&gt;"",IF(E183="InActive","-",SUMIFS('💰 Transaction ขาย'!E:E,'💰 Transaction ขาย'!B:B,A183,'💰 Transaction ขาย'!A:A,"&gt;"&amp;'⚙️ Config'!$H$1-'⚙️ Config'!$H$2)),)</f>
        <v/>
      </c>
      <c r="L183" s="28" t="str">
        <f>IF(E183="InActive","-",IF(A183&lt;&gt;"",K183/'⚙️ Config'!$H$2,))</f>
        <v/>
      </c>
      <c r="M183" s="28" t="str">
        <f t="shared" si="2"/>
        <v/>
      </c>
      <c r="N183" s="28" t="str">
        <f>IF(A183&lt;&gt;"", SUMIFS('💰 Transaction ขาย'!F:F,'💰 Transaction ขาย'!B:B,A183,'💰 Transaction ขาย'!A:A,"&gt;="&amp;DATE(YEAR('⚙️ Config'!$H$1),1,1),'💰 Transaction ขาย'!A:A,"&lt;="&amp;DATE(YEAR('⚙️ Config'!$H$1),12,31)),)</f>
        <v/>
      </c>
    </row>
    <row r="184">
      <c r="A184" s="22"/>
      <c r="B184" s="22" t="str">
        <f>IF(A184&lt;&gt;"",SUMIFS('💸 Transaction ซื้อ'!E:E,'💸 Transaction ซื้อ'!B:B,A184)-SUMIFS('💰 Transaction ขาย'!E:E,'💰 Transaction ขาย'!B:B,A184),"")</f>
        <v/>
      </c>
      <c r="C184" s="23" t="str">
        <f>IF(A184&lt;&gt;"",vlookup(A184,'📦 ชื่อสินค้า'!A:E,5,false),"")</f>
        <v/>
      </c>
      <c r="D184" s="23" t="str">
        <f>IF(A184&lt;&gt;"",VLOOKUP(A184,'📦 ชื่อสินค้า'!A:F,6,false),"")</f>
        <v/>
      </c>
      <c r="E184" s="16" t="str">
        <f>IFERROR(IF(VLOOKUP(A184,'📦 ชื่อสินค้า'!A:G,7,false)="InActive","InActive",IF(A184&lt;&gt;"",IF(B184&lt;=0,"สินค้าหมด",IF(B184&lt;=C184,"ควรเติมทันที","OK")),"")),)</f>
        <v/>
      </c>
      <c r="F184" s="24" t="str">
        <f>IFERROR(IF(A184&lt;&gt;"", SUMIF('💸 Transaction ซื้อ'!B:B,A184,'💸 Transaction ซื้อ'!G:G)/SUMIF('💸 Transaction ซื้อ'!B:B,A184,'💸 Transaction ซื้อ'!E:E),""),"-")</f>
        <v/>
      </c>
      <c r="G184" s="24" t="str">
        <f t="shared" si="1"/>
        <v/>
      </c>
      <c r="H184" s="25"/>
      <c r="I184" s="26"/>
      <c r="J184" s="26"/>
      <c r="K184" s="27" t="str">
        <f>IF(A184&lt;&gt;"",IF(E184="InActive","-",SUMIFS('💰 Transaction ขาย'!E:E,'💰 Transaction ขาย'!B:B,A184,'💰 Transaction ขาย'!A:A,"&gt;"&amp;'⚙️ Config'!$H$1-'⚙️ Config'!$H$2)),)</f>
        <v/>
      </c>
      <c r="L184" s="28" t="str">
        <f>IF(E184="InActive","-",IF(A184&lt;&gt;"",K184/'⚙️ Config'!$H$2,))</f>
        <v/>
      </c>
      <c r="M184" s="28" t="str">
        <f t="shared" si="2"/>
        <v/>
      </c>
      <c r="N184" s="28" t="str">
        <f>IF(A184&lt;&gt;"", SUMIFS('💰 Transaction ขาย'!F:F,'💰 Transaction ขาย'!B:B,A184,'💰 Transaction ขาย'!A:A,"&gt;="&amp;DATE(YEAR('⚙️ Config'!$H$1),1,1),'💰 Transaction ขาย'!A:A,"&lt;="&amp;DATE(YEAR('⚙️ Config'!$H$1),12,31)),)</f>
        <v/>
      </c>
    </row>
    <row r="185">
      <c r="A185" s="22"/>
      <c r="B185" s="22" t="str">
        <f>IF(A185&lt;&gt;"",SUMIFS('💸 Transaction ซื้อ'!E:E,'💸 Transaction ซื้อ'!B:B,A185)-SUMIFS('💰 Transaction ขาย'!E:E,'💰 Transaction ขาย'!B:B,A185),"")</f>
        <v/>
      </c>
      <c r="C185" s="23" t="str">
        <f>IF(A185&lt;&gt;"",vlookup(A185,'📦 ชื่อสินค้า'!A:E,5,false),"")</f>
        <v/>
      </c>
      <c r="D185" s="23" t="str">
        <f>IF(A185&lt;&gt;"",VLOOKUP(A185,'📦 ชื่อสินค้า'!A:F,6,false),"")</f>
        <v/>
      </c>
      <c r="E185" s="16" t="str">
        <f>IFERROR(IF(VLOOKUP(A185,'📦 ชื่อสินค้า'!A:G,7,false)="InActive","InActive",IF(A185&lt;&gt;"",IF(B185&lt;=0,"สินค้าหมด",IF(B185&lt;=C185,"ควรเติมทันที","OK")),"")),)</f>
        <v/>
      </c>
      <c r="F185" s="24" t="str">
        <f>IFERROR(IF(A185&lt;&gt;"", SUMIF('💸 Transaction ซื้อ'!B:B,A185,'💸 Transaction ซื้อ'!G:G)/SUMIF('💸 Transaction ซื้อ'!B:B,A185,'💸 Transaction ซื้อ'!E:E),""),"-")</f>
        <v/>
      </c>
      <c r="G185" s="24" t="str">
        <f t="shared" si="1"/>
        <v/>
      </c>
      <c r="H185" s="25"/>
      <c r="I185" s="26"/>
      <c r="J185" s="26"/>
      <c r="K185" s="27" t="str">
        <f>IF(A185&lt;&gt;"",IF(E185="InActive","-",SUMIFS('💰 Transaction ขาย'!E:E,'💰 Transaction ขาย'!B:B,A185,'💰 Transaction ขาย'!A:A,"&gt;"&amp;'⚙️ Config'!$H$1-'⚙️ Config'!$H$2)),)</f>
        <v/>
      </c>
      <c r="L185" s="28" t="str">
        <f>IF(E185="InActive","-",IF(A185&lt;&gt;"",K185/'⚙️ Config'!$H$2,))</f>
        <v/>
      </c>
      <c r="M185" s="28" t="str">
        <f t="shared" si="2"/>
        <v/>
      </c>
      <c r="N185" s="28" t="str">
        <f>IF(A185&lt;&gt;"", SUMIFS('💰 Transaction ขาย'!F:F,'💰 Transaction ขาย'!B:B,A185,'💰 Transaction ขาย'!A:A,"&gt;="&amp;DATE(YEAR('⚙️ Config'!$H$1),1,1),'💰 Transaction ขาย'!A:A,"&lt;="&amp;DATE(YEAR('⚙️ Config'!$H$1),12,31)),)</f>
        <v/>
      </c>
    </row>
    <row r="186">
      <c r="A186" s="22"/>
      <c r="B186" s="22" t="str">
        <f>IF(A186&lt;&gt;"",SUMIFS('💸 Transaction ซื้อ'!E:E,'💸 Transaction ซื้อ'!B:B,A186)-SUMIFS('💰 Transaction ขาย'!E:E,'💰 Transaction ขาย'!B:B,A186),"")</f>
        <v/>
      </c>
      <c r="C186" s="23" t="str">
        <f>IF(A186&lt;&gt;"",vlookup(A186,'📦 ชื่อสินค้า'!A:E,5,false),"")</f>
        <v/>
      </c>
      <c r="D186" s="23" t="str">
        <f>IF(A186&lt;&gt;"",VLOOKUP(A186,'📦 ชื่อสินค้า'!A:F,6,false),"")</f>
        <v/>
      </c>
      <c r="E186" s="16" t="str">
        <f>IFERROR(IF(VLOOKUP(A186,'📦 ชื่อสินค้า'!A:G,7,false)="InActive","InActive",IF(A186&lt;&gt;"",IF(B186&lt;=0,"สินค้าหมด",IF(B186&lt;=C186,"ควรเติมทันที","OK")),"")),)</f>
        <v/>
      </c>
      <c r="F186" s="24" t="str">
        <f>IFERROR(IF(A186&lt;&gt;"", SUMIF('💸 Transaction ซื้อ'!B:B,A186,'💸 Transaction ซื้อ'!G:G)/SUMIF('💸 Transaction ซื้อ'!B:B,A186,'💸 Transaction ซื้อ'!E:E),""),"-")</f>
        <v/>
      </c>
      <c r="G186" s="24" t="str">
        <f t="shared" si="1"/>
        <v/>
      </c>
      <c r="H186" s="25"/>
      <c r="I186" s="26"/>
      <c r="J186" s="26"/>
      <c r="K186" s="27" t="str">
        <f>IF(A186&lt;&gt;"",IF(E186="InActive","-",SUMIFS('💰 Transaction ขาย'!E:E,'💰 Transaction ขาย'!B:B,A186,'💰 Transaction ขาย'!A:A,"&gt;"&amp;'⚙️ Config'!$H$1-'⚙️ Config'!$H$2)),)</f>
        <v/>
      </c>
      <c r="L186" s="28" t="str">
        <f>IF(E186="InActive","-",IF(A186&lt;&gt;"",K186/'⚙️ Config'!$H$2,))</f>
        <v/>
      </c>
      <c r="M186" s="28" t="str">
        <f t="shared" si="2"/>
        <v/>
      </c>
      <c r="N186" s="28" t="str">
        <f>IF(A186&lt;&gt;"", SUMIFS('💰 Transaction ขาย'!F:F,'💰 Transaction ขาย'!B:B,A186,'💰 Transaction ขาย'!A:A,"&gt;="&amp;DATE(YEAR('⚙️ Config'!$H$1),1,1),'💰 Transaction ขาย'!A:A,"&lt;="&amp;DATE(YEAR('⚙️ Config'!$H$1),12,31)),)</f>
        <v/>
      </c>
    </row>
    <row r="187">
      <c r="A187" s="22"/>
      <c r="B187" s="22" t="str">
        <f>IF(A187&lt;&gt;"",SUMIFS('💸 Transaction ซื้อ'!E:E,'💸 Transaction ซื้อ'!B:B,A187)-SUMIFS('💰 Transaction ขาย'!E:E,'💰 Transaction ขาย'!B:B,A187),"")</f>
        <v/>
      </c>
      <c r="C187" s="23" t="str">
        <f>IF(A187&lt;&gt;"",vlookup(A187,'📦 ชื่อสินค้า'!A:E,5,false),"")</f>
        <v/>
      </c>
      <c r="D187" s="23" t="str">
        <f>IF(A187&lt;&gt;"",VLOOKUP(A187,'📦 ชื่อสินค้า'!A:F,6,false),"")</f>
        <v/>
      </c>
      <c r="E187" s="16" t="str">
        <f>IFERROR(IF(VLOOKUP(A187,'📦 ชื่อสินค้า'!A:G,7,false)="InActive","InActive",IF(A187&lt;&gt;"",IF(B187&lt;=0,"สินค้าหมด",IF(B187&lt;=C187,"ควรเติมทันที","OK")),"")),)</f>
        <v/>
      </c>
      <c r="F187" s="24" t="str">
        <f>IFERROR(IF(A187&lt;&gt;"", SUMIF('💸 Transaction ซื้อ'!B:B,A187,'💸 Transaction ซื้อ'!G:G)/SUMIF('💸 Transaction ซื้อ'!B:B,A187,'💸 Transaction ซื้อ'!E:E),""),"-")</f>
        <v/>
      </c>
      <c r="G187" s="24" t="str">
        <f t="shared" si="1"/>
        <v/>
      </c>
      <c r="H187" s="25"/>
      <c r="I187" s="26"/>
      <c r="J187" s="26"/>
      <c r="K187" s="27" t="str">
        <f>IF(A187&lt;&gt;"",IF(E187="InActive","-",SUMIFS('💰 Transaction ขาย'!E:E,'💰 Transaction ขาย'!B:B,A187,'💰 Transaction ขาย'!A:A,"&gt;"&amp;'⚙️ Config'!$H$1-'⚙️ Config'!$H$2)),)</f>
        <v/>
      </c>
      <c r="L187" s="28" t="str">
        <f>IF(E187="InActive","-",IF(A187&lt;&gt;"",K187/'⚙️ Config'!$H$2,))</f>
        <v/>
      </c>
      <c r="M187" s="28" t="str">
        <f t="shared" si="2"/>
        <v/>
      </c>
      <c r="N187" s="28" t="str">
        <f>IF(A187&lt;&gt;"", SUMIFS('💰 Transaction ขาย'!F:F,'💰 Transaction ขาย'!B:B,A187,'💰 Transaction ขาย'!A:A,"&gt;="&amp;DATE(YEAR('⚙️ Config'!$H$1),1,1),'💰 Transaction ขาย'!A:A,"&lt;="&amp;DATE(YEAR('⚙️ Config'!$H$1),12,31)),)</f>
        <v/>
      </c>
    </row>
    <row r="188">
      <c r="A188" s="22"/>
      <c r="B188" s="22" t="str">
        <f>IF(A188&lt;&gt;"",SUMIFS('💸 Transaction ซื้อ'!E:E,'💸 Transaction ซื้อ'!B:B,A188)-SUMIFS('💰 Transaction ขาย'!E:E,'💰 Transaction ขาย'!B:B,A188),"")</f>
        <v/>
      </c>
      <c r="C188" s="23" t="str">
        <f>IF(A188&lt;&gt;"",vlookup(A188,'📦 ชื่อสินค้า'!A:E,5,false),"")</f>
        <v/>
      </c>
      <c r="D188" s="23" t="str">
        <f>IF(A188&lt;&gt;"",VLOOKUP(A188,'📦 ชื่อสินค้า'!A:F,6,false),"")</f>
        <v/>
      </c>
      <c r="E188" s="16" t="str">
        <f>IFERROR(IF(VLOOKUP(A188,'📦 ชื่อสินค้า'!A:G,7,false)="InActive","InActive",IF(A188&lt;&gt;"",IF(B188&lt;=0,"สินค้าหมด",IF(B188&lt;=C188,"ควรเติมทันที","OK")),"")),)</f>
        <v/>
      </c>
      <c r="F188" s="24" t="str">
        <f>IFERROR(IF(A188&lt;&gt;"", SUMIF('💸 Transaction ซื้อ'!B:B,A188,'💸 Transaction ซื้อ'!G:G)/SUMIF('💸 Transaction ซื้อ'!B:B,A188,'💸 Transaction ซื้อ'!E:E),""),"-")</f>
        <v/>
      </c>
      <c r="G188" s="24" t="str">
        <f t="shared" si="1"/>
        <v/>
      </c>
      <c r="H188" s="25"/>
      <c r="I188" s="26"/>
      <c r="J188" s="26"/>
      <c r="K188" s="27" t="str">
        <f>IF(A188&lt;&gt;"",IF(E188="InActive","-",SUMIFS('💰 Transaction ขาย'!E:E,'💰 Transaction ขาย'!B:B,A188,'💰 Transaction ขาย'!A:A,"&gt;"&amp;'⚙️ Config'!$H$1-'⚙️ Config'!$H$2)),)</f>
        <v/>
      </c>
      <c r="L188" s="28" t="str">
        <f>IF(E188="InActive","-",IF(A188&lt;&gt;"",K188/'⚙️ Config'!$H$2,))</f>
        <v/>
      </c>
      <c r="M188" s="28" t="str">
        <f t="shared" si="2"/>
        <v/>
      </c>
      <c r="N188" s="28" t="str">
        <f>IF(A188&lt;&gt;"", SUMIFS('💰 Transaction ขาย'!F:F,'💰 Transaction ขาย'!B:B,A188,'💰 Transaction ขาย'!A:A,"&gt;="&amp;DATE(YEAR('⚙️ Config'!$H$1),1,1),'💰 Transaction ขาย'!A:A,"&lt;="&amp;DATE(YEAR('⚙️ Config'!$H$1),12,31)),)</f>
        <v/>
      </c>
    </row>
    <row r="189">
      <c r="A189" s="22"/>
      <c r="B189" s="22" t="str">
        <f>IF(A189&lt;&gt;"",SUMIFS('💸 Transaction ซื้อ'!E:E,'💸 Transaction ซื้อ'!B:B,A189)-SUMIFS('💰 Transaction ขาย'!E:E,'💰 Transaction ขาย'!B:B,A189),"")</f>
        <v/>
      </c>
      <c r="C189" s="23" t="str">
        <f>IF(A189&lt;&gt;"",vlookup(A189,'📦 ชื่อสินค้า'!A:E,5,false),"")</f>
        <v/>
      </c>
      <c r="D189" s="23" t="str">
        <f>IF(A189&lt;&gt;"",VLOOKUP(A189,'📦 ชื่อสินค้า'!A:F,6,false),"")</f>
        <v/>
      </c>
      <c r="E189" s="16" t="str">
        <f>IFERROR(IF(VLOOKUP(A189,'📦 ชื่อสินค้า'!A:G,7,false)="InActive","InActive",IF(A189&lt;&gt;"",IF(B189&lt;=0,"สินค้าหมด",IF(B189&lt;=C189,"ควรเติมทันที","OK")),"")),)</f>
        <v/>
      </c>
      <c r="F189" s="24" t="str">
        <f>IFERROR(IF(A189&lt;&gt;"", SUMIF('💸 Transaction ซื้อ'!B:B,A189,'💸 Transaction ซื้อ'!G:G)/SUMIF('💸 Transaction ซื้อ'!B:B,A189,'💸 Transaction ซื้อ'!E:E),""),"-")</f>
        <v/>
      </c>
      <c r="G189" s="24" t="str">
        <f t="shared" si="1"/>
        <v/>
      </c>
      <c r="H189" s="25"/>
      <c r="I189" s="26"/>
      <c r="J189" s="26"/>
      <c r="K189" s="27" t="str">
        <f>IF(A189&lt;&gt;"",IF(E189="InActive","-",SUMIFS('💰 Transaction ขาย'!E:E,'💰 Transaction ขาย'!B:B,A189,'💰 Transaction ขาย'!A:A,"&gt;"&amp;'⚙️ Config'!$H$1-'⚙️ Config'!$H$2)),)</f>
        <v/>
      </c>
      <c r="L189" s="28" t="str">
        <f>IF(E189="InActive","-",IF(A189&lt;&gt;"",K189/'⚙️ Config'!$H$2,))</f>
        <v/>
      </c>
      <c r="M189" s="28" t="str">
        <f t="shared" si="2"/>
        <v/>
      </c>
      <c r="N189" s="28" t="str">
        <f>IF(A189&lt;&gt;"", SUMIFS('💰 Transaction ขาย'!F:F,'💰 Transaction ขาย'!B:B,A189,'💰 Transaction ขาย'!A:A,"&gt;="&amp;DATE(YEAR('⚙️ Config'!$H$1),1,1),'💰 Transaction ขาย'!A:A,"&lt;="&amp;DATE(YEAR('⚙️ Config'!$H$1),12,31)),)</f>
        <v/>
      </c>
    </row>
    <row r="190">
      <c r="A190" s="22"/>
      <c r="B190" s="22" t="str">
        <f>IF(A190&lt;&gt;"",SUMIFS('💸 Transaction ซื้อ'!E:E,'💸 Transaction ซื้อ'!B:B,A190)-SUMIFS('💰 Transaction ขาย'!E:E,'💰 Transaction ขาย'!B:B,A190),"")</f>
        <v/>
      </c>
      <c r="C190" s="23" t="str">
        <f>IF(A190&lt;&gt;"",vlookup(A190,'📦 ชื่อสินค้า'!A:E,5,false),"")</f>
        <v/>
      </c>
      <c r="D190" s="23" t="str">
        <f>IF(A190&lt;&gt;"",VLOOKUP(A190,'📦 ชื่อสินค้า'!A:F,6,false),"")</f>
        <v/>
      </c>
      <c r="E190" s="16" t="str">
        <f>IFERROR(IF(VLOOKUP(A190,'📦 ชื่อสินค้า'!A:G,7,false)="InActive","InActive",IF(A190&lt;&gt;"",IF(B190&lt;=0,"สินค้าหมด",IF(B190&lt;=C190,"ควรเติมทันที","OK")),"")),)</f>
        <v/>
      </c>
      <c r="F190" s="24" t="str">
        <f>IFERROR(IF(A190&lt;&gt;"", SUMIF('💸 Transaction ซื้อ'!B:B,A190,'💸 Transaction ซื้อ'!G:G)/SUMIF('💸 Transaction ซื้อ'!B:B,A190,'💸 Transaction ซื้อ'!E:E),""),"-")</f>
        <v/>
      </c>
      <c r="G190" s="24" t="str">
        <f t="shared" si="1"/>
        <v/>
      </c>
      <c r="H190" s="25"/>
      <c r="I190" s="26"/>
      <c r="J190" s="26"/>
      <c r="K190" s="27" t="str">
        <f>IF(A190&lt;&gt;"",IF(E190="InActive","-",SUMIFS('💰 Transaction ขาย'!E:E,'💰 Transaction ขาย'!B:B,A190,'💰 Transaction ขาย'!A:A,"&gt;"&amp;'⚙️ Config'!$H$1-'⚙️ Config'!$H$2)),)</f>
        <v/>
      </c>
      <c r="L190" s="28" t="str">
        <f>IF(E190="InActive","-",IF(A190&lt;&gt;"",K190/'⚙️ Config'!$H$2,))</f>
        <v/>
      </c>
      <c r="M190" s="28" t="str">
        <f t="shared" si="2"/>
        <v/>
      </c>
      <c r="N190" s="28" t="str">
        <f>IF(A190&lt;&gt;"", SUMIFS('💰 Transaction ขาย'!F:F,'💰 Transaction ขาย'!B:B,A190,'💰 Transaction ขาย'!A:A,"&gt;="&amp;DATE(YEAR('⚙️ Config'!$H$1),1,1),'💰 Transaction ขาย'!A:A,"&lt;="&amp;DATE(YEAR('⚙️ Config'!$H$1),12,31)),)</f>
        <v/>
      </c>
    </row>
    <row r="191">
      <c r="A191" s="22"/>
      <c r="B191" s="22" t="str">
        <f>IF(A191&lt;&gt;"",SUMIFS('💸 Transaction ซื้อ'!E:E,'💸 Transaction ซื้อ'!B:B,A191)-SUMIFS('💰 Transaction ขาย'!E:E,'💰 Transaction ขาย'!B:B,A191),"")</f>
        <v/>
      </c>
      <c r="C191" s="23" t="str">
        <f>IF(A191&lt;&gt;"",vlookup(A191,'📦 ชื่อสินค้า'!A:E,5,false),"")</f>
        <v/>
      </c>
      <c r="D191" s="23" t="str">
        <f>IF(A191&lt;&gt;"",VLOOKUP(A191,'📦 ชื่อสินค้า'!A:F,6,false),"")</f>
        <v/>
      </c>
      <c r="E191" s="16" t="str">
        <f>IFERROR(IF(VLOOKUP(A191,'📦 ชื่อสินค้า'!A:G,7,false)="InActive","InActive",IF(A191&lt;&gt;"",IF(B191&lt;=0,"สินค้าหมด",IF(B191&lt;=C191,"ควรเติมทันที","OK")),"")),)</f>
        <v/>
      </c>
      <c r="F191" s="24" t="str">
        <f>IFERROR(IF(A191&lt;&gt;"", SUMIF('💸 Transaction ซื้อ'!B:B,A191,'💸 Transaction ซื้อ'!G:G)/SUMIF('💸 Transaction ซื้อ'!B:B,A191,'💸 Transaction ซื้อ'!E:E),""),"-")</f>
        <v/>
      </c>
      <c r="G191" s="24" t="str">
        <f t="shared" si="1"/>
        <v/>
      </c>
      <c r="H191" s="25"/>
      <c r="I191" s="26"/>
      <c r="J191" s="26"/>
      <c r="K191" s="27" t="str">
        <f>IF(A191&lt;&gt;"",IF(E191="InActive","-",SUMIFS('💰 Transaction ขาย'!E:E,'💰 Transaction ขาย'!B:B,A191,'💰 Transaction ขาย'!A:A,"&gt;"&amp;'⚙️ Config'!$H$1-'⚙️ Config'!$H$2)),)</f>
        <v/>
      </c>
      <c r="L191" s="28" t="str">
        <f>IF(E191="InActive","-",IF(A191&lt;&gt;"",K191/'⚙️ Config'!$H$2,))</f>
        <v/>
      </c>
      <c r="M191" s="28" t="str">
        <f t="shared" si="2"/>
        <v/>
      </c>
      <c r="N191" s="28" t="str">
        <f>IF(A191&lt;&gt;"", SUMIFS('💰 Transaction ขาย'!F:F,'💰 Transaction ขาย'!B:B,A191,'💰 Transaction ขาย'!A:A,"&gt;="&amp;DATE(YEAR('⚙️ Config'!$H$1),1,1),'💰 Transaction ขาย'!A:A,"&lt;="&amp;DATE(YEAR('⚙️ Config'!$H$1),12,31)),)</f>
        <v/>
      </c>
    </row>
    <row r="192">
      <c r="A192" s="22"/>
      <c r="B192" s="22" t="str">
        <f>IF(A192&lt;&gt;"",SUMIFS('💸 Transaction ซื้อ'!E:E,'💸 Transaction ซื้อ'!B:B,A192)-SUMIFS('💰 Transaction ขาย'!E:E,'💰 Transaction ขาย'!B:B,A192),"")</f>
        <v/>
      </c>
      <c r="C192" s="23" t="str">
        <f>IF(A192&lt;&gt;"",vlookup(A192,'📦 ชื่อสินค้า'!A:E,5,false),"")</f>
        <v/>
      </c>
      <c r="D192" s="23" t="str">
        <f>IF(A192&lt;&gt;"",VLOOKUP(A192,'📦 ชื่อสินค้า'!A:F,6,false),"")</f>
        <v/>
      </c>
      <c r="E192" s="16" t="str">
        <f>IFERROR(IF(VLOOKUP(A192,'📦 ชื่อสินค้า'!A:G,7,false)="InActive","InActive",IF(A192&lt;&gt;"",IF(B192&lt;=0,"สินค้าหมด",IF(B192&lt;=C192,"ควรเติมทันที","OK")),"")),)</f>
        <v/>
      </c>
      <c r="F192" s="24" t="str">
        <f>IFERROR(IF(A192&lt;&gt;"", SUMIF('💸 Transaction ซื้อ'!B:B,A192,'💸 Transaction ซื้อ'!G:G)/SUMIF('💸 Transaction ซื้อ'!B:B,A192,'💸 Transaction ซื้อ'!E:E),""),"-")</f>
        <v/>
      </c>
      <c r="G192" s="24" t="str">
        <f t="shared" si="1"/>
        <v/>
      </c>
      <c r="H192" s="25"/>
      <c r="I192" s="26"/>
      <c r="J192" s="26"/>
      <c r="K192" s="27" t="str">
        <f>IF(A192&lt;&gt;"",IF(E192="InActive","-",SUMIFS('💰 Transaction ขาย'!E:E,'💰 Transaction ขาย'!B:B,A192,'💰 Transaction ขาย'!A:A,"&gt;"&amp;'⚙️ Config'!$H$1-'⚙️ Config'!$H$2)),)</f>
        <v/>
      </c>
      <c r="L192" s="28" t="str">
        <f>IF(E192="InActive","-",IF(A192&lt;&gt;"",K192/'⚙️ Config'!$H$2,))</f>
        <v/>
      </c>
      <c r="M192" s="28" t="str">
        <f t="shared" si="2"/>
        <v/>
      </c>
      <c r="N192" s="28" t="str">
        <f>IF(A192&lt;&gt;"", SUMIFS('💰 Transaction ขาย'!F:F,'💰 Transaction ขาย'!B:B,A192,'💰 Transaction ขาย'!A:A,"&gt;="&amp;DATE(YEAR('⚙️ Config'!$H$1),1,1),'💰 Transaction ขาย'!A:A,"&lt;="&amp;DATE(YEAR('⚙️ Config'!$H$1),12,31)),)</f>
        <v/>
      </c>
    </row>
    <row r="193">
      <c r="A193" s="22"/>
      <c r="B193" s="22" t="str">
        <f>IF(A193&lt;&gt;"",SUMIFS('💸 Transaction ซื้อ'!E:E,'💸 Transaction ซื้อ'!B:B,A193)-SUMIFS('💰 Transaction ขาย'!E:E,'💰 Transaction ขาย'!B:B,A193),"")</f>
        <v/>
      </c>
      <c r="C193" s="23" t="str">
        <f>IF(A193&lt;&gt;"",vlookup(A193,'📦 ชื่อสินค้า'!A:E,5,false),"")</f>
        <v/>
      </c>
      <c r="D193" s="23" t="str">
        <f>IF(A193&lt;&gt;"",VLOOKUP(A193,'📦 ชื่อสินค้า'!A:F,6,false),"")</f>
        <v/>
      </c>
      <c r="E193" s="16" t="str">
        <f>IFERROR(IF(VLOOKUP(A193,'📦 ชื่อสินค้า'!A:G,7,false)="InActive","InActive",IF(A193&lt;&gt;"",IF(B193&lt;=0,"สินค้าหมด",IF(B193&lt;=C193,"ควรเติมทันที","OK")),"")),)</f>
        <v/>
      </c>
      <c r="F193" s="24" t="str">
        <f>IFERROR(IF(A193&lt;&gt;"", SUMIF('💸 Transaction ซื้อ'!B:B,A193,'💸 Transaction ซื้อ'!G:G)/SUMIF('💸 Transaction ซื้อ'!B:B,A193,'💸 Transaction ซื้อ'!E:E),""),"-")</f>
        <v/>
      </c>
      <c r="G193" s="24" t="str">
        <f t="shared" si="1"/>
        <v/>
      </c>
      <c r="H193" s="25"/>
      <c r="I193" s="26"/>
      <c r="J193" s="26"/>
      <c r="K193" s="27" t="str">
        <f>IF(A193&lt;&gt;"",IF(E193="InActive","-",SUMIFS('💰 Transaction ขาย'!E:E,'💰 Transaction ขาย'!B:B,A193,'💰 Transaction ขาย'!A:A,"&gt;"&amp;'⚙️ Config'!$H$1-'⚙️ Config'!$H$2)),)</f>
        <v/>
      </c>
      <c r="L193" s="28" t="str">
        <f>IF(E193="InActive","-",IF(A193&lt;&gt;"",K193/'⚙️ Config'!$H$2,))</f>
        <v/>
      </c>
      <c r="M193" s="28" t="str">
        <f t="shared" si="2"/>
        <v/>
      </c>
      <c r="N193" s="28" t="str">
        <f>IF(A193&lt;&gt;"", SUMIFS('💰 Transaction ขาย'!F:F,'💰 Transaction ขาย'!B:B,A193,'💰 Transaction ขาย'!A:A,"&gt;="&amp;DATE(YEAR('⚙️ Config'!$H$1),1,1),'💰 Transaction ขาย'!A:A,"&lt;="&amp;DATE(YEAR('⚙️ Config'!$H$1),12,31)),)</f>
        <v/>
      </c>
    </row>
    <row r="194">
      <c r="A194" s="22"/>
      <c r="B194" s="22" t="str">
        <f>IF(A194&lt;&gt;"",SUMIFS('💸 Transaction ซื้อ'!E:E,'💸 Transaction ซื้อ'!B:B,A194)-SUMIFS('💰 Transaction ขาย'!E:E,'💰 Transaction ขาย'!B:B,A194),"")</f>
        <v/>
      </c>
      <c r="C194" s="23" t="str">
        <f>IF(A194&lt;&gt;"",vlookup(A194,'📦 ชื่อสินค้า'!A:E,5,false),"")</f>
        <v/>
      </c>
      <c r="D194" s="23" t="str">
        <f>IF(A194&lt;&gt;"",VLOOKUP(A194,'📦 ชื่อสินค้า'!A:F,6,false),"")</f>
        <v/>
      </c>
      <c r="E194" s="16" t="str">
        <f>IFERROR(IF(VLOOKUP(A194,'📦 ชื่อสินค้า'!A:G,7,false)="InActive","InActive",IF(A194&lt;&gt;"",IF(B194&lt;=0,"สินค้าหมด",IF(B194&lt;=C194,"ควรเติมทันที","OK")),"")),)</f>
        <v/>
      </c>
      <c r="F194" s="24" t="str">
        <f>IFERROR(IF(A194&lt;&gt;"", SUMIF('💸 Transaction ซื้อ'!B:B,A194,'💸 Transaction ซื้อ'!G:G)/SUMIF('💸 Transaction ซื้อ'!B:B,A194,'💸 Transaction ซื้อ'!E:E),""),"-")</f>
        <v/>
      </c>
      <c r="G194" s="24" t="str">
        <f t="shared" si="1"/>
        <v/>
      </c>
      <c r="H194" s="25"/>
      <c r="I194" s="26"/>
      <c r="J194" s="26"/>
      <c r="K194" s="27" t="str">
        <f>IF(A194&lt;&gt;"",IF(E194="InActive","-",SUMIFS('💰 Transaction ขาย'!E:E,'💰 Transaction ขาย'!B:B,A194,'💰 Transaction ขาย'!A:A,"&gt;"&amp;'⚙️ Config'!$H$1-'⚙️ Config'!$H$2)),)</f>
        <v/>
      </c>
      <c r="L194" s="28" t="str">
        <f>IF(E194="InActive","-",IF(A194&lt;&gt;"",K194/'⚙️ Config'!$H$2,))</f>
        <v/>
      </c>
      <c r="M194" s="28" t="str">
        <f t="shared" si="2"/>
        <v/>
      </c>
      <c r="N194" s="28" t="str">
        <f>IF(A194&lt;&gt;"", SUMIFS('💰 Transaction ขาย'!F:F,'💰 Transaction ขาย'!B:B,A194,'💰 Transaction ขาย'!A:A,"&gt;="&amp;DATE(YEAR('⚙️ Config'!$H$1),1,1),'💰 Transaction ขาย'!A:A,"&lt;="&amp;DATE(YEAR('⚙️ Config'!$H$1),12,31)),)</f>
        <v/>
      </c>
    </row>
    <row r="195">
      <c r="A195" s="22"/>
      <c r="B195" s="22" t="str">
        <f>IF(A195&lt;&gt;"",SUMIFS('💸 Transaction ซื้อ'!E:E,'💸 Transaction ซื้อ'!B:B,A195)-SUMIFS('💰 Transaction ขาย'!E:E,'💰 Transaction ขาย'!B:B,A195),"")</f>
        <v/>
      </c>
      <c r="C195" s="23" t="str">
        <f>IF(A195&lt;&gt;"",vlookup(A195,'📦 ชื่อสินค้า'!A:E,5,false),"")</f>
        <v/>
      </c>
      <c r="D195" s="23" t="str">
        <f>IF(A195&lt;&gt;"",VLOOKUP(A195,'📦 ชื่อสินค้า'!A:F,6,false),"")</f>
        <v/>
      </c>
      <c r="E195" s="16" t="str">
        <f>IFERROR(IF(VLOOKUP(A195,'📦 ชื่อสินค้า'!A:G,7,false)="InActive","InActive",IF(A195&lt;&gt;"",IF(B195&lt;=0,"สินค้าหมด",IF(B195&lt;=C195,"ควรเติมทันที","OK")),"")),)</f>
        <v/>
      </c>
      <c r="F195" s="24" t="str">
        <f>IFERROR(IF(A195&lt;&gt;"", SUMIF('💸 Transaction ซื้อ'!B:B,A195,'💸 Transaction ซื้อ'!G:G)/SUMIF('💸 Transaction ซื้อ'!B:B,A195,'💸 Transaction ซื้อ'!E:E),""),"-")</f>
        <v/>
      </c>
      <c r="G195" s="24" t="str">
        <f t="shared" si="1"/>
        <v/>
      </c>
      <c r="H195" s="25"/>
      <c r="I195" s="26"/>
      <c r="J195" s="26"/>
      <c r="K195" s="27" t="str">
        <f>IF(A195&lt;&gt;"",IF(E195="InActive","-",SUMIFS('💰 Transaction ขาย'!E:E,'💰 Transaction ขาย'!B:B,A195,'💰 Transaction ขาย'!A:A,"&gt;"&amp;'⚙️ Config'!$H$1-'⚙️ Config'!$H$2)),)</f>
        <v/>
      </c>
      <c r="L195" s="28" t="str">
        <f>IF(E195="InActive","-",IF(A195&lt;&gt;"",K195/'⚙️ Config'!$H$2,))</f>
        <v/>
      </c>
      <c r="M195" s="28" t="str">
        <f t="shared" si="2"/>
        <v/>
      </c>
      <c r="N195" s="28" t="str">
        <f>IF(A195&lt;&gt;"", SUMIFS('💰 Transaction ขาย'!F:F,'💰 Transaction ขาย'!B:B,A195,'💰 Transaction ขาย'!A:A,"&gt;="&amp;DATE(YEAR('⚙️ Config'!$H$1),1,1),'💰 Transaction ขาย'!A:A,"&lt;="&amp;DATE(YEAR('⚙️ Config'!$H$1),12,31)),)</f>
        <v/>
      </c>
    </row>
    <row r="196">
      <c r="A196" s="22"/>
      <c r="B196" s="22" t="str">
        <f>IF(A196&lt;&gt;"",SUMIFS('💸 Transaction ซื้อ'!E:E,'💸 Transaction ซื้อ'!B:B,A196)-SUMIFS('💰 Transaction ขาย'!E:E,'💰 Transaction ขาย'!B:B,A196),"")</f>
        <v/>
      </c>
      <c r="C196" s="23" t="str">
        <f>IF(A196&lt;&gt;"",vlookup(A196,'📦 ชื่อสินค้า'!A:E,5,false),"")</f>
        <v/>
      </c>
      <c r="D196" s="23" t="str">
        <f>IF(A196&lt;&gt;"",VLOOKUP(A196,'📦 ชื่อสินค้า'!A:F,6,false),"")</f>
        <v/>
      </c>
      <c r="E196" s="16" t="str">
        <f>IFERROR(IF(VLOOKUP(A196,'📦 ชื่อสินค้า'!A:G,7,false)="InActive","InActive",IF(A196&lt;&gt;"",IF(B196&lt;=0,"สินค้าหมด",IF(B196&lt;=C196,"ควรเติมทันที","OK")),"")),)</f>
        <v/>
      </c>
      <c r="F196" s="24" t="str">
        <f>IFERROR(IF(A196&lt;&gt;"", SUMIF('💸 Transaction ซื้อ'!B:B,A196,'💸 Transaction ซื้อ'!G:G)/SUMIF('💸 Transaction ซื้อ'!B:B,A196,'💸 Transaction ซื้อ'!E:E),""),"-")</f>
        <v/>
      </c>
      <c r="G196" s="24" t="str">
        <f t="shared" si="1"/>
        <v/>
      </c>
      <c r="H196" s="25"/>
      <c r="I196" s="26"/>
      <c r="J196" s="26"/>
      <c r="K196" s="27" t="str">
        <f>IF(A196&lt;&gt;"",IF(E196="InActive","-",SUMIFS('💰 Transaction ขาย'!E:E,'💰 Transaction ขาย'!B:B,A196,'💰 Transaction ขาย'!A:A,"&gt;"&amp;'⚙️ Config'!$H$1-'⚙️ Config'!$H$2)),)</f>
        <v/>
      </c>
      <c r="L196" s="28" t="str">
        <f>IF(E196="InActive","-",IF(A196&lt;&gt;"",K196/'⚙️ Config'!$H$2,))</f>
        <v/>
      </c>
      <c r="M196" s="28" t="str">
        <f t="shared" si="2"/>
        <v/>
      </c>
      <c r="N196" s="28" t="str">
        <f>IF(A196&lt;&gt;"", SUMIFS('💰 Transaction ขาย'!F:F,'💰 Transaction ขาย'!B:B,A196,'💰 Transaction ขาย'!A:A,"&gt;="&amp;DATE(YEAR('⚙️ Config'!$H$1),1,1),'💰 Transaction ขาย'!A:A,"&lt;="&amp;DATE(YEAR('⚙️ Config'!$H$1),12,31)),)</f>
        <v/>
      </c>
    </row>
    <row r="197">
      <c r="A197" s="22"/>
      <c r="B197" s="22" t="str">
        <f>IF(A197&lt;&gt;"",SUMIFS('💸 Transaction ซื้อ'!E:E,'💸 Transaction ซื้อ'!B:B,A197)-SUMIFS('💰 Transaction ขาย'!E:E,'💰 Transaction ขาย'!B:B,A197),"")</f>
        <v/>
      </c>
      <c r="C197" s="23" t="str">
        <f>IF(A197&lt;&gt;"",vlookup(A197,'📦 ชื่อสินค้า'!A:E,5,false),"")</f>
        <v/>
      </c>
      <c r="D197" s="23" t="str">
        <f>IF(A197&lt;&gt;"",VLOOKUP(A197,'📦 ชื่อสินค้า'!A:F,6,false),"")</f>
        <v/>
      </c>
      <c r="E197" s="16" t="str">
        <f>IFERROR(IF(VLOOKUP(A197,'📦 ชื่อสินค้า'!A:G,7,false)="InActive","InActive",IF(A197&lt;&gt;"",IF(B197&lt;=0,"สินค้าหมด",IF(B197&lt;=C197,"ควรเติมทันที","OK")),"")),)</f>
        <v/>
      </c>
      <c r="F197" s="24" t="str">
        <f>IFERROR(IF(A197&lt;&gt;"", SUMIF('💸 Transaction ซื้อ'!B:B,A197,'💸 Transaction ซื้อ'!G:G)/SUMIF('💸 Transaction ซื้อ'!B:B,A197,'💸 Transaction ซื้อ'!E:E),""),"-")</f>
        <v/>
      </c>
      <c r="G197" s="24" t="str">
        <f t="shared" si="1"/>
        <v/>
      </c>
      <c r="H197" s="25"/>
      <c r="I197" s="26"/>
      <c r="J197" s="26"/>
      <c r="K197" s="27" t="str">
        <f>IF(A197&lt;&gt;"",IF(E197="InActive","-",SUMIFS('💰 Transaction ขาย'!E:E,'💰 Transaction ขาย'!B:B,A197,'💰 Transaction ขาย'!A:A,"&gt;"&amp;'⚙️ Config'!$H$1-'⚙️ Config'!$H$2)),)</f>
        <v/>
      </c>
      <c r="L197" s="28" t="str">
        <f>IF(E197="InActive","-",IF(A197&lt;&gt;"",K197/'⚙️ Config'!$H$2,))</f>
        <v/>
      </c>
      <c r="M197" s="28" t="str">
        <f t="shared" si="2"/>
        <v/>
      </c>
      <c r="N197" s="28" t="str">
        <f>IF(A197&lt;&gt;"", SUMIFS('💰 Transaction ขาย'!F:F,'💰 Transaction ขาย'!B:B,A197,'💰 Transaction ขาย'!A:A,"&gt;="&amp;DATE(YEAR('⚙️ Config'!$H$1),1,1),'💰 Transaction ขาย'!A:A,"&lt;="&amp;DATE(YEAR('⚙️ Config'!$H$1),12,31)),)</f>
        <v/>
      </c>
    </row>
    <row r="198">
      <c r="A198" s="22"/>
      <c r="B198" s="22" t="str">
        <f>IF(A198&lt;&gt;"",SUMIFS('💸 Transaction ซื้อ'!E:E,'💸 Transaction ซื้อ'!B:B,A198)-SUMIFS('💰 Transaction ขาย'!E:E,'💰 Transaction ขาย'!B:B,A198),"")</f>
        <v/>
      </c>
      <c r="C198" s="23" t="str">
        <f>IF(A198&lt;&gt;"",vlookup(A198,'📦 ชื่อสินค้า'!A:E,5,false),"")</f>
        <v/>
      </c>
      <c r="D198" s="23" t="str">
        <f>IF(A198&lt;&gt;"",VLOOKUP(A198,'📦 ชื่อสินค้า'!A:F,6,false),"")</f>
        <v/>
      </c>
      <c r="E198" s="16" t="str">
        <f>IFERROR(IF(VLOOKUP(A198,'📦 ชื่อสินค้า'!A:G,7,false)="InActive","InActive",IF(A198&lt;&gt;"",IF(B198&lt;=0,"สินค้าหมด",IF(B198&lt;=C198,"ควรเติมทันที","OK")),"")),)</f>
        <v/>
      </c>
      <c r="F198" s="24" t="str">
        <f>IFERROR(IF(A198&lt;&gt;"", SUMIF('💸 Transaction ซื้อ'!B:B,A198,'💸 Transaction ซื้อ'!G:G)/SUMIF('💸 Transaction ซื้อ'!B:B,A198,'💸 Transaction ซื้อ'!E:E),""),"-")</f>
        <v/>
      </c>
      <c r="G198" s="24" t="str">
        <f t="shared" si="1"/>
        <v/>
      </c>
      <c r="H198" s="25"/>
      <c r="I198" s="26"/>
      <c r="J198" s="26"/>
      <c r="K198" s="27" t="str">
        <f>IF(A198&lt;&gt;"",IF(E198="InActive","-",SUMIFS('💰 Transaction ขาย'!E:E,'💰 Transaction ขาย'!B:B,A198,'💰 Transaction ขาย'!A:A,"&gt;"&amp;'⚙️ Config'!$H$1-'⚙️ Config'!$H$2)),)</f>
        <v/>
      </c>
      <c r="L198" s="28" t="str">
        <f>IF(E198="InActive","-",IF(A198&lt;&gt;"",K198/'⚙️ Config'!$H$2,))</f>
        <v/>
      </c>
      <c r="M198" s="28" t="str">
        <f t="shared" si="2"/>
        <v/>
      </c>
      <c r="N198" s="28" t="str">
        <f>IF(A198&lt;&gt;"", SUMIFS('💰 Transaction ขาย'!F:F,'💰 Transaction ขาย'!B:B,A198,'💰 Transaction ขาย'!A:A,"&gt;="&amp;DATE(YEAR('⚙️ Config'!$H$1),1,1),'💰 Transaction ขาย'!A:A,"&lt;="&amp;DATE(YEAR('⚙️ Config'!$H$1),12,31)),)</f>
        <v/>
      </c>
    </row>
    <row r="199">
      <c r="A199" s="22"/>
      <c r="B199" s="22" t="str">
        <f>IF(A199&lt;&gt;"",SUMIFS('💸 Transaction ซื้อ'!E:E,'💸 Transaction ซื้อ'!B:B,A199)-SUMIFS('💰 Transaction ขาย'!E:E,'💰 Transaction ขาย'!B:B,A199),"")</f>
        <v/>
      </c>
      <c r="C199" s="23" t="str">
        <f>IF(A199&lt;&gt;"",vlookup(A199,'📦 ชื่อสินค้า'!A:E,5,false),"")</f>
        <v/>
      </c>
      <c r="D199" s="23" t="str">
        <f>IF(A199&lt;&gt;"",VLOOKUP(A199,'📦 ชื่อสินค้า'!A:F,6,false),"")</f>
        <v/>
      </c>
      <c r="E199" s="16" t="str">
        <f>IFERROR(IF(VLOOKUP(A199,'📦 ชื่อสินค้า'!A:G,7,false)="InActive","InActive",IF(A199&lt;&gt;"",IF(B199&lt;=0,"สินค้าหมด",IF(B199&lt;=C199,"ควรเติมทันที","OK")),"")),)</f>
        <v/>
      </c>
      <c r="F199" s="24" t="str">
        <f>IFERROR(IF(A199&lt;&gt;"", SUMIF('💸 Transaction ซื้อ'!B:B,A199,'💸 Transaction ซื้อ'!G:G)/SUMIF('💸 Transaction ซื้อ'!B:B,A199,'💸 Transaction ซื้อ'!E:E),""),"-")</f>
        <v/>
      </c>
      <c r="G199" s="24" t="str">
        <f t="shared" si="1"/>
        <v/>
      </c>
      <c r="H199" s="25"/>
      <c r="I199" s="26"/>
      <c r="J199" s="26"/>
      <c r="K199" s="27" t="str">
        <f>IF(A199&lt;&gt;"",IF(E199="InActive","-",SUMIFS('💰 Transaction ขาย'!E:E,'💰 Transaction ขาย'!B:B,A199,'💰 Transaction ขาย'!A:A,"&gt;"&amp;'⚙️ Config'!$H$1-'⚙️ Config'!$H$2)),)</f>
        <v/>
      </c>
      <c r="L199" s="28" t="str">
        <f>IF(E199="InActive","-",IF(A199&lt;&gt;"",K199/'⚙️ Config'!$H$2,))</f>
        <v/>
      </c>
      <c r="M199" s="28" t="str">
        <f t="shared" si="2"/>
        <v/>
      </c>
      <c r="N199" s="28" t="str">
        <f>IF(A199&lt;&gt;"", SUMIFS('💰 Transaction ขาย'!F:F,'💰 Transaction ขาย'!B:B,A199,'💰 Transaction ขาย'!A:A,"&gt;="&amp;DATE(YEAR('⚙️ Config'!$H$1),1,1),'💰 Transaction ขาย'!A:A,"&lt;="&amp;DATE(YEAR('⚙️ Config'!$H$1),12,31)),)</f>
        <v/>
      </c>
    </row>
    <row r="200">
      <c r="A200" s="22"/>
      <c r="B200" s="22" t="str">
        <f>IF(A200&lt;&gt;"",SUMIFS('💸 Transaction ซื้อ'!E:E,'💸 Transaction ซื้อ'!B:B,A200)-SUMIFS('💰 Transaction ขาย'!E:E,'💰 Transaction ขาย'!B:B,A200),"")</f>
        <v/>
      </c>
      <c r="C200" s="23" t="str">
        <f>IF(A200&lt;&gt;"",vlookup(A200,'📦 ชื่อสินค้า'!A:E,5,false),"")</f>
        <v/>
      </c>
      <c r="D200" s="23" t="str">
        <f>IF(A200&lt;&gt;"",VLOOKUP(A200,'📦 ชื่อสินค้า'!A:F,6,false),"")</f>
        <v/>
      </c>
      <c r="E200" s="16" t="str">
        <f>IFERROR(IF(VLOOKUP(A200,'📦 ชื่อสินค้า'!A:G,7,false)="InActive","InActive",IF(A200&lt;&gt;"",IF(B200&lt;=0,"สินค้าหมด",IF(B200&lt;=C200,"ควรเติมทันที","OK")),"")),)</f>
        <v/>
      </c>
      <c r="F200" s="24" t="str">
        <f>IFERROR(IF(A200&lt;&gt;"", SUMIF('💸 Transaction ซื้อ'!B:B,A200,'💸 Transaction ซื้อ'!G:G)/SUMIF('💸 Transaction ซื้อ'!B:B,A200,'💸 Transaction ซื้อ'!E:E),""),"-")</f>
        <v/>
      </c>
      <c r="G200" s="24" t="str">
        <f t="shared" si="1"/>
        <v/>
      </c>
      <c r="H200" s="25"/>
      <c r="I200" s="26"/>
      <c r="J200" s="26"/>
      <c r="K200" s="27" t="str">
        <f>IF(A200&lt;&gt;"",IF(E200="InActive","-",SUMIFS('💰 Transaction ขาย'!E:E,'💰 Transaction ขาย'!B:B,A200,'💰 Transaction ขาย'!A:A,"&gt;"&amp;'⚙️ Config'!$H$1-'⚙️ Config'!$H$2)),)</f>
        <v/>
      </c>
      <c r="L200" s="28" t="str">
        <f>IF(E200="InActive","-",IF(A200&lt;&gt;"",K200/'⚙️ Config'!$H$2,))</f>
        <v/>
      </c>
      <c r="M200" s="28" t="str">
        <f t="shared" si="2"/>
        <v/>
      </c>
      <c r="N200" s="28" t="str">
        <f>IF(A200&lt;&gt;"", SUMIFS('💰 Transaction ขาย'!F:F,'💰 Transaction ขาย'!B:B,A200,'💰 Transaction ขาย'!A:A,"&gt;="&amp;DATE(YEAR('⚙️ Config'!$H$1),1,1),'💰 Transaction ขาย'!A:A,"&lt;="&amp;DATE(YEAR('⚙️ Config'!$H$1),12,31)),)</f>
        <v/>
      </c>
    </row>
    <row r="201">
      <c r="A201" s="22"/>
      <c r="B201" s="22" t="str">
        <f>IF(A201&lt;&gt;"",SUMIFS('💸 Transaction ซื้อ'!E:E,'💸 Transaction ซื้อ'!B:B,A201)-SUMIFS('💰 Transaction ขาย'!E:E,'💰 Transaction ขาย'!B:B,A201),"")</f>
        <v/>
      </c>
      <c r="C201" s="23" t="str">
        <f>IF(A201&lt;&gt;"",vlookup(A201,'📦 ชื่อสินค้า'!A:E,5,false),"")</f>
        <v/>
      </c>
      <c r="D201" s="23" t="str">
        <f>IF(A201&lt;&gt;"",VLOOKUP(A201,'📦 ชื่อสินค้า'!A:F,6,false),"")</f>
        <v/>
      </c>
      <c r="E201" s="16" t="str">
        <f>IFERROR(IF(VLOOKUP(A201,'📦 ชื่อสินค้า'!A:G,7,false)="InActive","InActive",IF(A201&lt;&gt;"",IF(B201&lt;=0,"สินค้าหมด",IF(B201&lt;=C201,"ควรเติมทันที","OK")),"")),)</f>
        <v/>
      </c>
      <c r="F201" s="24" t="str">
        <f>IFERROR(IF(A201&lt;&gt;"", SUMIF('💸 Transaction ซื้อ'!B:B,A201,'💸 Transaction ซื้อ'!G:G)/SUMIF('💸 Transaction ซื้อ'!B:B,A201,'💸 Transaction ซื้อ'!E:E),""),"-")</f>
        <v/>
      </c>
      <c r="G201" s="24" t="str">
        <f t="shared" si="1"/>
        <v/>
      </c>
      <c r="H201" s="25"/>
      <c r="I201" s="26"/>
      <c r="J201" s="26"/>
      <c r="K201" s="27" t="str">
        <f>IF(A201&lt;&gt;"",IF(E201="InActive","-",SUMIFS('💰 Transaction ขาย'!E:E,'💰 Transaction ขาย'!B:B,A201,'💰 Transaction ขาย'!A:A,"&gt;"&amp;'⚙️ Config'!$H$1-'⚙️ Config'!$H$2)),)</f>
        <v/>
      </c>
      <c r="L201" s="28" t="str">
        <f>IF(E201="InActive","-",IF(A201&lt;&gt;"",K201/'⚙️ Config'!$H$2,))</f>
        <v/>
      </c>
      <c r="M201" s="28" t="str">
        <f t="shared" si="2"/>
        <v/>
      </c>
      <c r="N201" s="28" t="str">
        <f>IF(A201&lt;&gt;"", SUMIFS('💰 Transaction ขาย'!F:F,'💰 Transaction ขาย'!B:B,A201,'💰 Transaction ขาย'!A:A,"&gt;="&amp;DATE(YEAR('⚙️ Config'!$H$1),1,1),'💰 Transaction ขาย'!A:A,"&lt;="&amp;DATE(YEAR('⚙️ Config'!$H$1),12,31)),)</f>
        <v/>
      </c>
    </row>
    <row r="202">
      <c r="A202" s="22"/>
      <c r="B202" s="22" t="str">
        <f>IF(A202&lt;&gt;"",SUMIFS('💸 Transaction ซื้อ'!E:E,'💸 Transaction ซื้อ'!B:B,A202)-SUMIFS('💰 Transaction ขาย'!E:E,'💰 Transaction ขาย'!B:B,A202),"")</f>
        <v/>
      </c>
      <c r="C202" s="23" t="str">
        <f>IF(A202&lt;&gt;"",vlookup(A202,'📦 ชื่อสินค้า'!A:E,5,false),"")</f>
        <v/>
      </c>
      <c r="D202" s="23" t="str">
        <f>IF(A202&lt;&gt;"",VLOOKUP(A202,'📦 ชื่อสินค้า'!A:F,6,false),"")</f>
        <v/>
      </c>
      <c r="E202" s="16" t="str">
        <f>IFERROR(IF(VLOOKUP(A202,'📦 ชื่อสินค้า'!A:G,7,false)="InActive","InActive",IF(A202&lt;&gt;"",IF(B202&lt;=0,"สินค้าหมด",IF(B202&lt;=C202,"ควรเติมทันที","OK")),"")),)</f>
        <v/>
      </c>
      <c r="F202" s="24" t="str">
        <f>IFERROR(IF(A202&lt;&gt;"", SUMIF('💸 Transaction ซื้อ'!B:B,A202,'💸 Transaction ซื้อ'!G:G)/SUMIF('💸 Transaction ซื้อ'!B:B,A202,'💸 Transaction ซื้อ'!E:E),""),"-")</f>
        <v/>
      </c>
      <c r="G202" s="24" t="str">
        <f t="shared" si="1"/>
        <v/>
      </c>
      <c r="H202" s="25"/>
      <c r="I202" s="26"/>
      <c r="J202" s="26"/>
      <c r="K202" s="27" t="str">
        <f>IF(A202&lt;&gt;"",IF(E202="InActive","-",SUMIFS('💰 Transaction ขาย'!E:E,'💰 Transaction ขาย'!B:B,A202,'💰 Transaction ขาย'!A:A,"&gt;"&amp;'⚙️ Config'!$H$1-'⚙️ Config'!$H$2)),)</f>
        <v/>
      </c>
      <c r="L202" s="28" t="str">
        <f>IF(E202="InActive","-",IF(A202&lt;&gt;"",K202/'⚙️ Config'!$H$2,))</f>
        <v/>
      </c>
      <c r="M202" s="28" t="str">
        <f t="shared" si="2"/>
        <v/>
      </c>
      <c r="N202" s="28" t="str">
        <f>IF(A202&lt;&gt;"", SUMIFS('💰 Transaction ขาย'!F:F,'💰 Transaction ขาย'!B:B,A202,'💰 Transaction ขาย'!A:A,"&gt;="&amp;DATE(YEAR('⚙️ Config'!$H$1),1,1),'💰 Transaction ขาย'!A:A,"&lt;="&amp;DATE(YEAR('⚙️ Config'!$H$1),12,31)),)</f>
        <v/>
      </c>
    </row>
    <row r="203">
      <c r="A203" s="22"/>
      <c r="B203" s="22" t="str">
        <f>IF(A203&lt;&gt;"",SUMIFS('💸 Transaction ซื้อ'!E:E,'💸 Transaction ซื้อ'!B:B,A203)-SUMIFS('💰 Transaction ขาย'!E:E,'💰 Transaction ขาย'!B:B,A203),"")</f>
        <v/>
      </c>
      <c r="C203" s="23" t="str">
        <f>IF(A203&lt;&gt;"",vlookup(A203,'📦 ชื่อสินค้า'!A:E,5,false),"")</f>
        <v/>
      </c>
      <c r="D203" s="23" t="str">
        <f>IF(A203&lt;&gt;"",VLOOKUP(A203,'📦 ชื่อสินค้า'!A:F,6,false),"")</f>
        <v/>
      </c>
      <c r="E203" s="16" t="str">
        <f>IFERROR(IF(VLOOKUP(A203,'📦 ชื่อสินค้า'!A:G,7,false)="InActive","InActive",IF(A203&lt;&gt;"",IF(B203&lt;=0,"สินค้าหมด",IF(B203&lt;=C203,"ควรเติมทันที","OK")),"")),)</f>
        <v/>
      </c>
      <c r="F203" s="24" t="str">
        <f>IFERROR(IF(A203&lt;&gt;"", SUMIF('💸 Transaction ซื้อ'!B:B,A203,'💸 Transaction ซื้อ'!G:G)/SUMIF('💸 Transaction ซื้อ'!B:B,A203,'💸 Transaction ซื้อ'!E:E),""),"-")</f>
        <v/>
      </c>
      <c r="G203" s="24" t="str">
        <f t="shared" si="1"/>
        <v/>
      </c>
      <c r="H203" s="25"/>
      <c r="I203" s="26"/>
      <c r="J203" s="26"/>
      <c r="K203" s="27" t="str">
        <f>IF(A203&lt;&gt;"",IF(E203="InActive","-",SUMIFS('💰 Transaction ขาย'!E:E,'💰 Transaction ขาย'!B:B,A203,'💰 Transaction ขาย'!A:A,"&gt;"&amp;'⚙️ Config'!$H$1-'⚙️ Config'!$H$2)),)</f>
        <v/>
      </c>
      <c r="L203" s="28" t="str">
        <f>IF(E203="InActive","-",IF(A203&lt;&gt;"",K203/'⚙️ Config'!$H$2,))</f>
        <v/>
      </c>
      <c r="M203" s="28" t="str">
        <f t="shared" si="2"/>
        <v/>
      </c>
      <c r="N203" s="28" t="str">
        <f>IF(A203&lt;&gt;"", SUMIFS('💰 Transaction ขาย'!F:F,'💰 Transaction ขาย'!B:B,A203,'💰 Transaction ขาย'!A:A,"&gt;="&amp;DATE(YEAR('⚙️ Config'!$H$1),1,1),'💰 Transaction ขาย'!A:A,"&lt;="&amp;DATE(YEAR('⚙️ Config'!$H$1),12,31)),)</f>
        <v/>
      </c>
    </row>
    <row r="204">
      <c r="A204" s="22"/>
      <c r="B204" s="22" t="str">
        <f>IF(A204&lt;&gt;"",SUMIFS('💸 Transaction ซื้อ'!E:E,'💸 Transaction ซื้อ'!B:B,A204)-SUMIFS('💰 Transaction ขาย'!E:E,'💰 Transaction ขาย'!B:B,A204),"")</f>
        <v/>
      </c>
      <c r="C204" s="23" t="str">
        <f>IF(A204&lt;&gt;"",vlookup(A204,'📦 ชื่อสินค้า'!A:E,5,false),"")</f>
        <v/>
      </c>
      <c r="D204" s="23" t="str">
        <f>IF(A204&lt;&gt;"",VLOOKUP(A204,'📦 ชื่อสินค้า'!A:F,6,false),"")</f>
        <v/>
      </c>
      <c r="E204" s="16" t="str">
        <f>IFERROR(IF(VLOOKUP(A204,'📦 ชื่อสินค้า'!A:G,7,false)="InActive","InActive",IF(A204&lt;&gt;"",IF(B204&lt;=0,"สินค้าหมด",IF(B204&lt;=C204,"ควรเติมทันที","OK")),"")),)</f>
        <v/>
      </c>
      <c r="F204" s="24" t="str">
        <f>IFERROR(IF(A204&lt;&gt;"", SUMIF('💸 Transaction ซื้อ'!B:B,A204,'💸 Transaction ซื้อ'!G:G)/SUMIF('💸 Transaction ซื้อ'!B:B,A204,'💸 Transaction ซื้อ'!E:E),""),"-")</f>
        <v/>
      </c>
      <c r="G204" s="24" t="str">
        <f t="shared" si="1"/>
        <v/>
      </c>
      <c r="H204" s="25"/>
      <c r="I204" s="26"/>
      <c r="J204" s="26"/>
      <c r="K204" s="27" t="str">
        <f>IF(A204&lt;&gt;"",IF(E204="InActive","-",SUMIFS('💰 Transaction ขาย'!E:E,'💰 Transaction ขาย'!B:B,A204,'💰 Transaction ขาย'!A:A,"&gt;"&amp;'⚙️ Config'!$H$1-'⚙️ Config'!$H$2)),)</f>
        <v/>
      </c>
      <c r="L204" s="28" t="str">
        <f>IF(E204="InActive","-",IF(A204&lt;&gt;"",K204/'⚙️ Config'!$H$2,))</f>
        <v/>
      </c>
      <c r="M204" s="28" t="str">
        <f t="shared" si="2"/>
        <v/>
      </c>
      <c r="N204" s="28" t="str">
        <f>IF(A204&lt;&gt;"", SUMIFS('💰 Transaction ขาย'!F:F,'💰 Transaction ขาย'!B:B,A204,'💰 Transaction ขาย'!A:A,"&gt;="&amp;DATE(YEAR('⚙️ Config'!$H$1),1,1),'💰 Transaction ขาย'!A:A,"&lt;="&amp;DATE(YEAR('⚙️ Config'!$H$1),12,31)),)</f>
        <v/>
      </c>
    </row>
    <row r="205">
      <c r="A205" s="22"/>
      <c r="B205" s="22" t="str">
        <f>IF(A205&lt;&gt;"",SUMIFS('💸 Transaction ซื้อ'!E:E,'💸 Transaction ซื้อ'!B:B,A205)-SUMIFS('💰 Transaction ขาย'!E:E,'💰 Transaction ขาย'!B:B,A205),"")</f>
        <v/>
      </c>
      <c r="C205" s="23" t="str">
        <f>IF(A205&lt;&gt;"",vlookup(A205,'📦 ชื่อสินค้า'!A:E,5,false),"")</f>
        <v/>
      </c>
      <c r="D205" s="23" t="str">
        <f>IF(A205&lt;&gt;"",VLOOKUP(A205,'📦 ชื่อสินค้า'!A:F,6,false),"")</f>
        <v/>
      </c>
      <c r="E205" s="16" t="str">
        <f>IFERROR(IF(VLOOKUP(A205,'📦 ชื่อสินค้า'!A:G,7,false)="InActive","InActive",IF(A205&lt;&gt;"",IF(B205&lt;=0,"สินค้าหมด",IF(B205&lt;=C205,"ควรเติมทันที","OK")),"")),)</f>
        <v/>
      </c>
      <c r="F205" s="24" t="str">
        <f>IFERROR(IF(A205&lt;&gt;"", SUMIF('💸 Transaction ซื้อ'!B:B,A205,'💸 Transaction ซื้อ'!G:G)/SUMIF('💸 Transaction ซื้อ'!B:B,A205,'💸 Transaction ซื้อ'!E:E),""),"-")</f>
        <v/>
      </c>
      <c r="G205" s="24" t="str">
        <f t="shared" si="1"/>
        <v/>
      </c>
      <c r="H205" s="25"/>
      <c r="I205" s="26"/>
      <c r="J205" s="26"/>
      <c r="K205" s="27" t="str">
        <f>IF(A205&lt;&gt;"",IF(E205="InActive","-",SUMIFS('💰 Transaction ขาย'!E:E,'💰 Transaction ขาย'!B:B,A205,'💰 Transaction ขาย'!A:A,"&gt;"&amp;'⚙️ Config'!$H$1-'⚙️ Config'!$H$2)),)</f>
        <v/>
      </c>
      <c r="L205" s="28" t="str">
        <f>IF(E205="InActive","-",IF(A205&lt;&gt;"",K205/'⚙️ Config'!$H$2,))</f>
        <v/>
      </c>
      <c r="M205" s="28" t="str">
        <f t="shared" si="2"/>
        <v/>
      </c>
      <c r="N205" s="28" t="str">
        <f>IF(A205&lt;&gt;"", SUMIFS('💰 Transaction ขาย'!F:F,'💰 Transaction ขาย'!B:B,A205,'💰 Transaction ขาย'!A:A,"&gt;="&amp;DATE(YEAR('⚙️ Config'!$H$1),1,1),'💰 Transaction ขาย'!A:A,"&lt;="&amp;DATE(YEAR('⚙️ Config'!$H$1),12,31)),)</f>
        <v/>
      </c>
    </row>
    <row r="206">
      <c r="A206" s="22"/>
      <c r="B206" s="22" t="str">
        <f>IF(A206&lt;&gt;"",SUMIFS('💸 Transaction ซื้อ'!E:E,'💸 Transaction ซื้อ'!B:B,A206)-SUMIFS('💰 Transaction ขาย'!E:E,'💰 Transaction ขาย'!B:B,A206),"")</f>
        <v/>
      </c>
      <c r="C206" s="23" t="str">
        <f>IF(A206&lt;&gt;"",vlookup(A206,'📦 ชื่อสินค้า'!A:E,5,false),"")</f>
        <v/>
      </c>
      <c r="D206" s="23" t="str">
        <f>IF(A206&lt;&gt;"",VLOOKUP(A206,'📦 ชื่อสินค้า'!A:F,6,false),"")</f>
        <v/>
      </c>
      <c r="E206" s="16" t="str">
        <f>IFERROR(IF(VLOOKUP(A206,'📦 ชื่อสินค้า'!A:G,7,false)="InActive","InActive",IF(A206&lt;&gt;"",IF(B206&lt;=0,"สินค้าหมด",IF(B206&lt;=C206,"ควรเติมทันที","OK")),"")),)</f>
        <v/>
      </c>
      <c r="F206" s="24" t="str">
        <f>IFERROR(IF(A206&lt;&gt;"", SUMIF('💸 Transaction ซื้อ'!B:B,A206,'💸 Transaction ซื้อ'!G:G)/SUMIF('💸 Transaction ซื้อ'!B:B,A206,'💸 Transaction ซื้อ'!E:E),""),"-")</f>
        <v/>
      </c>
      <c r="G206" s="24" t="str">
        <f t="shared" si="1"/>
        <v/>
      </c>
      <c r="H206" s="25"/>
      <c r="I206" s="26"/>
      <c r="J206" s="26"/>
      <c r="K206" s="27" t="str">
        <f>IF(A206&lt;&gt;"",IF(E206="InActive","-",SUMIFS('💰 Transaction ขาย'!E:E,'💰 Transaction ขาย'!B:B,A206,'💰 Transaction ขาย'!A:A,"&gt;"&amp;'⚙️ Config'!$H$1-'⚙️ Config'!$H$2)),)</f>
        <v/>
      </c>
      <c r="L206" s="28" t="str">
        <f>IF(E206="InActive","-",IF(A206&lt;&gt;"",K206/'⚙️ Config'!$H$2,))</f>
        <v/>
      </c>
      <c r="M206" s="28" t="str">
        <f t="shared" si="2"/>
        <v/>
      </c>
      <c r="N206" s="28" t="str">
        <f>IF(A206&lt;&gt;"", SUMIFS('💰 Transaction ขาย'!F:F,'💰 Transaction ขาย'!B:B,A206,'💰 Transaction ขาย'!A:A,"&gt;="&amp;DATE(YEAR('⚙️ Config'!$H$1),1,1),'💰 Transaction ขาย'!A:A,"&lt;="&amp;DATE(YEAR('⚙️ Config'!$H$1),12,31)),)</f>
        <v/>
      </c>
    </row>
    <row r="207">
      <c r="A207" s="22"/>
      <c r="B207" s="22" t="str">
        <f>IF(A207&lt;&gt;"",SUMIFS('💸 Transaction ซื้อ'!E:E,'💸 Transaction ซื้อ'!B:B,A207)-SUMIFS('💰 Transaction ขาย'!E:E,'💰 Transaction ขาย'!B:B,A207),"")</f>
        <v/>
      </c>
      <c r="C207" s="23" t="str">
        <f>IF(A207&lt;&gt;"",vlookup(A207,'📦 ชื่อสินค้า'!A:E,5,false),"")</f>
        <v/>
      </c>
      <c r="D207" s="23" t="str">
        <f>IF(A207&lt;&gt;"",VLOOKUP(A207,'📦 ชื่อสินค้า'!A:F,6,false),"")</f>
        <v/>
      </c>
      <c r="E207" s="16" t="str">
        <f>IFERROR(IF(VLOOKUP(A207,'📦 ชื่อสินค้า'!A:G,7,false)="InActive","InActive",IF(A207&lt;&gt;"",IF(B207&lt;=0,"สินค้าหมด",IF(B207&lt;=C207,"ควรเติมทันที","OK")),"")),)</f>
        <v/>
      </c>
      <c r="F207" s="24" t="str">
        <f>IFERROR(IF(A207&lt;&gt;"", SUMIF('💸 Transaction ซื้อ'!B:B,A207,'💸 Transaction ซื้อ'!G:G)/SUMIF('💸 Transaction ซื้อ'!B:B,A207,'💸 Transaction ซื้อ'!E:E),""),"-")</f>
        <v/>
      </c>
      <c r="G207" s="24" t="str">
        <f t="shared" si="1"/>
        <v/>
      </c>
      <c r="H207" s="25"/>
      <c r="I207" s="26"/>
      <c r="J207" s="26"/>
      <c r="K207" s="27" t="str">
        <f>IF(A207&lt;&gt;"",IF(E207="InActive","-",SUMIFS('💰 Transaction ขาย'!E:E,'💰 Transaction ขาย'!B:B,A207,'💰 Transaction ขาย'!A:A,"&gt;"&amp;'⚙️ Config'!$H$1-'⚙️ Config'!$H$2)),)</f>
        <v/>
      </c>
      <c r="L207" s="28" t="str">
        <f>IF(E207="InActive","-",IF(A207&lt;&gt;"",K207/'⚙️ Config'!$H$2,))</f>
        <v/>
      </c>
      <c r="M207" s="28" t="str">
        <f t="shared" si="2"/>
        <v/>
      </c>
      <c r="N207" s="28" t="str">
        <f>IF(A207&lt;&gt;"", SUMIFS('💰 Transaction ขาย'!F:F,'💰 Transaction ขาย'!B:B,A207,'💰 Transaction ขาย'!A:A,"&gt;="&amp;DATE(YEAR('⚙️ Config'!$H$1),1,1),'💰 Transaction ขาย'!A:A,"&lt;="&amp;DATE(YEAR('⚙️ Config'!$H$1),12,31)),)</f>
        <v/>
      </c>
    </row>
    <row r="208">
      <c r="A208" s="22"/>
      <c r="B208" s="22" t="str">
        <f>IF(A208&lt;&gt;"",SUMIFS('💸 Transaction ซื้อ'!E:E,'💸 Transaction ซื้อ'!B:B,A208)-SUMIFS('💰 Transaction ขาย'!E:E,'💰 Transaction ขาย'!B:B,A208),"")</f>
        <v/>
      </c>
      <c r="C208" s="23" t="str">
        <f>IF(A208&lt;&gt;"",vlookup(A208,'📦 ชื่อสินค้า'!A:E,5,false),"")</f>
        <v/>
      </c>
      <c r="D208" s="23" t="str">
        <f>IF(A208&lt;&gt;"",VLOOKUP(A208,'📦 ชื่อสินค้า'!A:F,6,false),"")</f>
        <v/>
      </c>
      <c r="E208" s="16" t="str">
        <f>IFERROR(IF(VLOOKUP(A208,'📦 ชื่อสินค้า'!A:G,7,false)="InActive","InActive",IF(A208&lt;&gt;"",IF(B208&lt;=0,"สินค้าหมด",IF(B208&lt;=C208,"ควรเติมทันที","OK")),"")),)</f>
        <v/>
      </c>
      <c r="F208" s="24" t="str">
        <f>IFERROR(IF(A208&lt;&gt;"", SUMIF('💸 Transaction ซื้อ'!B:B,A208,'💸 Transaction ซื้อ'!G:G)/SUMIF('💸 Transaction ซื้อ'!B:B,A208,'💸 Transaction ซื้อ'!E:E),""),"-")</f>
        <v/>
      </c>
      <c r="G208" s="24" t="str">
        <f t="shared" si="1"/>
        <v/>
      </c>
      <c r="H208" s="25"/>
      <c r="I208" s="26"/>
      <c r="J208" s="26"/>
      <c r="K208" s="27" t="str">
        <f>IF(A208&lt;&gt;"",IF(E208="InActive","-",SUMIFS('💰 Transaction ขาย'!E:E,'💰 Transaction ขาย'!B:B,A208,'💰 Transaction ขาย'!A:A,"&gt;"&amp;'⚙️ Config'!$H$1-'⚙️ Config'!$H$2)),)</f>
        <v/>
      </c>
      <c r="L208" s="28" t="str">
        <f>IF(E208="InActive","-",IF(A208&lt;&gt;"",K208/'⚙️ Config'!$H$2,))</f>
        <v/>
      </c>
      <c r="M208" s="28" t="str">
        <f t="shared" si="2"/>
        <v/>
      </c>
      <c r="N208" s="28" t="str">
        <f>IF(A208&lt;&gt;"", SUMIFS('💰 Transaction ขาย'!F:F,'💰 Transaction ขาย'!B:B,A208,'💰 Transaction ขาย'!A:A,"&gt;="&amp;DATE(YEAR('⚙️ Config'!$H$1),1,1),'💰 Transaction ขาย'!A:A,"&lt;="&amp;DATE(YEAR('⚙️ Config'!$H$1),12,31)),)</f>
        <v/>
      </c>
    </row>
    <row r="209">
      <c r="A209" s="22"/>
      <c r="B209" s="22" t="str">
        <f>IF(A209&lt;&gt;"",SUMIFS('💸 Transaction ซื้อ'!E:E,'💸 Transaction ซื้อ'!B:B,A209)-SUMIFS('💰 Transaction ขาย'!E:E,'💰 Transaction ขาย'!B:B,A209),"")</f>
        <v/>
      </c>
      <c r="C209" s="23" t="str">
        <f>IF(A209&lt;&gt;"",vlookup(A209,'📦 ชื่อสินค้า'!A:E,5,false),"")</f>
        <v/>
      </c>
      <c r="D209" s="23" t="str">
        <f>IF(A209&lt;&gt;"",VLOOKUP(A209,'📦 ชื่อสินค้า'!A:F,6,false),"")</f>
        <v/>
      </c>
      <c r="E209" s="16" t="str">
        <f>IFERROR(IF(VLOOKUP(A209,'📦 ชื่อสินค้า'!A:G,7,false)="InActive","InActive",IF(A209&lt;&gt;"",IF(B209&lt;=0,"สินค้าหมด",IF(B209&lt;=C209,"ควรเติมทันที","OK")),"")),)</f>
        <v/>
      </c>
      <c r="F209" s="24" t="str">
        <f>IFERROR(IF(A209&lt;&gt;"", SUMIF('💸 Transaction ซื้อ'!B:B,A209,'💸 Transaction ซื้อ'!G:G)/SUMIF('💸 Transaction ซื้อ'!B:B,A209,'💸 Transaction ซื้อ'!E:E),""),"-")</f>
        <v/>
      </c>
      <c r="G209" s="24" t="str">
        <f t="shared" si="1"/>
        <v/>
      </c>
      <c r="H209" s="25"/>
      <c r="I209" s="26"/>
      <c r="J209" s="26"/>
      <c r="K209" s="27" t="str">
        <f>IF(A209&lt;&gt;"",IF(E209="InActive","-",SUMIFS('💰 Transaction ขาย'!E:E,'💰 Transaction ขาย'!B:B,A209,'💰 Transaction ขาย'!A:A,"&gt;"&amp;'⚙️ Config'!$H$1-'⚙️ Config'!$H$2)),)</f>
        <v/>
      </c>
      <c r="L209" s="28" t="str">
        <f>IF(E209="InActive","-",IF(A209&lt;&gt;"",K209/'⚙️ Config'!$H$2,))</f>
        <v/>
      </c>
      <c r="M209" s="28" t="str">
        <f t="shared" si="2"/>
        <v/>
      </c>
      <c r="N209" s="28" t="str">
        <f>IF(A209&lt;&gt;"", SUMIFS('💰 Transaction ขาย'!F:F,'💰 Transaction ขาย'!B:B,A209,'💰 Transaction ขาย'!A:A,"&gt;="&amp;DATE(YEAR('⚙️ Config'!$H$1),1,1),'💰 Transaction ขาย'!A:A,"&lt;="&amp;DATE(YEAR('⚙️ Config'!$H$1),12,31)),)</f>
        <v/>
      </c>
    </row>
    <row r="210">
      <c r="A210" s="22"/>
      <c r="B210" s="22" t="str">
        <f>IF(A210&lt;&gt;"",SUMIFS('💸 Transaction ซื้อ'!E:E,'💸 Transaction ซื้อ'!B:B,A210)-SUMIFS('💰 Transaction ขาย'!E:E,'💰 Transaction ขาย'!B:B,A210),"")</f>
        <v/>
      </c>
      <c r="C210" s="23" t="str">
        <f>IF(A210&lt;&gt;"",vlookup(A210,'📦 ชื่อสินค้า'!A:E,5,false),"")</f>
        <v/>
      </c>
      <c r="D210" s="23" t="str">
        <f>IF(A210&lt;&gt;"",VLOOKUP(A210,'📦 ชื่อสินค้า'!A:F,6,false),"")</f>
        <v/>
      </c>
      <c r="E210" s="16" t="str">
        <f>IFERROR(IF(VLOOKUP(A210,'📦 ชื่อสินค้า'!A:G,7,false)="InActive","InActive",IF(A210&lt;&gt;"",IF(B210&lt;=0,"สินค้าหมด",IF(B210&lt;=C210,"ควรเติมทันที","OK")),"")),)</f>
        <v/>
      </c>
      <c r="F210" s="24" t="str">
        <f>IFERROR(IF(A210&lt;&gt;"", SUMIF('💸 Transaction ซื้อ'!B:B,A210,'💸 Transaction ซื้อ'!G:G)/SUMIF('💸 Transaction ซื้อ'!B:B,A210,'💸 Transaction ซื้อ'!E:E),""),"-")</f>
        <v/>
      </c>
      <c r="G210" s="24" t="str">
        <f t="shared" si="1"/>
        <v/>
      </c>
      <c r="H210" s="25"/>
      <c r="I210" s="26"/>
      <c r="J210" s="26"/>
      <c r="K210" s="27" t="str">
        <f>IF(A210&lt;&gt;"",IF(E210="InActive","-",SUMIFS('💰 Transaction ขาย'!E:E,'💰 Transaction ขาย'!B:B,A210,'💰 Transaction ขาย'!A:A,"&gt;"&amp;'⚙️ Config'!$H$1-'⚙️ Config'!$H$2)),)</f>
        <v/>
      </c>
      <c r="L210" s="28" t="str">
        <f>IF(E210="InActive","-",IF(A210&lt;&gt;"",K210/'⚙️ Config'!$H$2,))</f>
        <v/>
      </c>
      <c r="M210" s="28" t="str">
        <f t="shared" si="2"/>
        <v/>
      </c>
      <c r="N210" s="28" t="str">
        <f>IF(A210&lt;&gt;"", SUMIFS('💰 Transaction ขาย'!F:F,'💰 Transaction ขาย'!B:B,A210,'💰 Transaction ขาย'!A:A,"&gt;="&amp;DATE(YEAR('⚙️ Config'!$H$1),1,1),'💰 Transaction ขาย'!A:A,"&lt;="&amp;DATE(YEAR('⚙️ Config'!$H$1),12,31)),)</f>
        <v/>
      </c>
    </row>
    <row r="211">
      <c r="A211" s="22"/>
      <c r="B211" s="22" t="str">
        <f>IF(A211&lt;&gt;"",SUMIFS('💸 Transaction ซื้อ'!E:E,'💸 Transaction ซื้อ'!B:B,A211)-SUMIFS('💰 Transaction ขาย'!E:E,'💰 Transaction ขาย'!B:B,A211),"")</f>
        <v/>
      </c>
      <c r="C211" s="23" t="str">
        <f>IF(A211&lt;&gt;"",vlookup(A211,'📦 ชื่อสินค้า'!A:E,5,false),"")</f>
        <v/>
      </c>
      <c r="D211" s="23" t="str">
        <f>IF(A211&lt;&gt;"",VLOOKUP(A211,'📦 ชื่อสินค้า'!A:F,6,false),"")</f>
        <v/>
      </c>
      <c r="E211" s="16" t="str">
        <f>IFERROR(IF(VLOOKUP(A211,'📦 ชื่อสินค้า'!A:G,7,false)="InActive","InActive",IF(A211&lt;&gt;"",IF(B211&lt;=0,"สินค้าหมด",IF(B211&lt;=C211,"ควรเติมทันที","OK")),"")),)</f>
        <v/>
      </c>
      <c r="F211" s="24" t="str">
        <f>IFERROR(IF(A211&lt;&gt;"", SUMIF('💸 Transaction ซื้อ'!B:B,A211,'💸 Transaction ซื้อ'!G:G)/SUMIF('💸 Transaction ซื้อ'!B:B,A211,'💸 Transaction ซื้อ'!E:E),""),"-")</f>
        <v/>
      </c>
      <c r="G211" s="24" t="str">
        <f t="shared" si="1"/>
        <v/>
      </c>
      <c r="H211" s="25"/>
      <c r="I211" s="26"/>
      <c r="J211" s="26"/>
      <c r="K211" s="27" t="str">
        <f>IF(A211&lt;&gt;"",IF(E211="InActive","-",SUMIFS('💰 Transaction ขาย'!E:E,'💰 Transaction ขาย'!B:B,A211,'💰 Transaction ขาย'!A:A,"&gt;"&amp;'⚙️ Config'!$H$1-'⚙️ Config'!$H$2)),)</f>
        <v/>
      </c>
      <c r="L211" s="28" t="str">
        <f>IF(E211="InActive","-",IF(A211&lt;&gt;"",K211/'⚙️ Config'!$H$2,))</f>
        <v/>
      </c>
      <c r="M211" s="28" t="str">
        <f t="shared" si="2"/>
        <v/>
      </c>
      <c r="N211" s="28" t="str">
        <f>IF(A211&lt;&gt;"", SUMIFS('💰 Transaction ขาย'!F:F,'💰 Transaction ขาย'!B:B,A211,'💰 Transaction ขาย'!A:A,"&gt;="&amp;DATE(YEAR('⚙️ Config'!$H$1),1,1),'💰 Transaction ขาย'!A:A,"&lt;="&amp;DATE(YEAR('⚙️ Config'!$H$1),12,31)),)</f>
        <v/>
      </c>
    </row>
    <row r="212">
      <c r="A212" s="22"/>
      <c r="B212" s="22" t="str">
        <f>IF(A212&lt;&gt;"",SUMIFS('💸 Transaction ซื้อ'!E:E,'💸 Transaction ซื้อ'!B:B,A212)-SUMIFS('💰 Transaction ขาย'!E:E,'💰 Transaction ขาย'!B:B,A212),"")</f>
        <v/>
      </c>
      <c r="C212" s="23" t="str">
        <f>IF(A212&lt;&gt;"",vlookup(A212,'📦 ชื่อสินค้า'!A:E,5,false),"")</f>
        <v/>
      </c>
      <c r="D212" s="23" t="str">
        <f>IF(A212&lt;&gt;"",VLOOKUP(A212,'📦 ชื่อสินค้า'!A:F,6,false),"")</f>
        <v/>
      </c>
      <c r="E212" s="16" t="str">
        <f>IFERROR(IF(VLOOKUP(A212,'📦 ชื่อสินค้า'!A:G,7,false)="InActive","InActive",IF(A212&lt;&gt;"",IF(B212&lt;=0,"สินค้าหมด",IF(B212&lt;=C212,"ควรเติมทันที","OK")),"")),)</f>
        <v/>
      </c>
      <c r="F212" s="24" t="str">
        <f>IFERROR(IF(A212&lt;&gt;"", SUMIF('💸 Transaction ซื้อ'!B:B,A212,'💸 Transaction ซื้อ'!G:G)/SUMIF('💸 Transaction ซื้อ'!B:B,A212,'💸 Transaction ซื้อ'!E:E),""),"-")</f>
        <v/>
      </c>
      <c r="G212" s="24" t="str">
        <f t="shared" si="1"/>
        <v/>
      </c>
      <c r="H212" s="25"/>
      <c r="I212" s="26"/>
      <c r="J212" s="26"/>
      <c r="K212" s="27" t="str">
        <f>IF(A212&lt;&gt;"",IF(E212="InActive","-",SUMIFS('💰 Transaction ขาย'!E:E,'💰 Transaction ขาย'!B:B,A212,'💰 Transaction ขาย'!A:A,"&gt;"&amp;'⚙️ Config'!$H$1-'⚙️ Config'!$H$2)),)</f>
        <v/>
      </c>
      <c r="L212" s="28" t="str">
        <f>IF(E212="InActive","-",IF(A212&lt;&gt;"",K212/'⚙️ Config'!$H$2,))</f>
        <v/>
      </c>
      <c r="M212" s="28" t="str">
        <f t="shared" si="2"/>
        <v/>
      </c>
      <c r="N212" s="28" t="str">
        <f>IF(A212&lt;&gt;"", SUMIFS('💰 Transaction ขาย'!F:F,'💰 Transaction ขาย'!B:B,A212,'💰 Transaction ขาย'!A:A,"&gt;="&amp;DATE(YEAR('⚙️ Config'!$H$1),1,1),'💰 Transaction ขาย'!A:A,"&lt;="&amp;DATE(YEAR('⚙️ Config'!$H$1),12,31)),)</f>
        <v/>
      </c>
    </row>
    <row r="213">
      <c r="A213" s="22"/>
      <c r="B213" s="22" t="str">
        <f>IF(A213&lt;&gt;"",SUMIFS('💸 Transaction ซื้อ'!E:E,'💸 Transaction ซื้อ'!B:B,A213)-SUMIFS('💰 Transaction ขาย'!E:E,'💰 Transaction ขาย'!B:B,A213),"")</f>
        <v/>
      </c>
      <c r="C213" s="23" t="str">
        <f>IF(A213&lt;&gt;"",vlookup(A213,'📦 ชื่อสินค้า'!A:E,5,false),"")</f>
        <v/>
      </c>
      <c r="D213" s="23" t="str">
        <f>IF(A213&lt;&gt;"",VLOOKUP(A213,'📦 ชื่อสินค้า'!A:F,6,false),"")</f>
        <v/>
      </c>
      <c r="E213" s="16" t="str">
        <f>IFERROR(IF(VLOOKUP(A213,'📦 ชื่อสินค้า'!A:G,7,false)="InActive","InActive",IF(A213&lt;&gt;"",IF(B213&lt;=0,"สินค้าหมด",IF(B213&lt;=C213,"ควรเติมทันที","OK")),"")),)</f>
        <v/>
      </c>
      <c r="F213" s="24" t="str">
        <f>IFERROR(IF(A213&lt;&gt;"", SUMIF('💸 Transaction ซื้อ'!B:B,A213,'💸 Transaction ซื้อ'!G:G)/SUMIF('💸 Transaction ซื้อ'!B:B,A213,'💸 Transaction ซื้อ'!E:E),""),"-")</f>
        <v/>
      </c>
      <c r="G213" s="24" t="str">
        <f t="shared" si="1"/>
        <v/>
      </c>
      <c r="H213" s="25"/>
      <c r="I213" s="26"/>
      <c r="J213" s="26"/>
      <c r="K213" s="27" t="str">
        <f>IF(A213&lt;&gt;"",IF(E213="InActive","-",SUMIFS('💰 Transaction ขาย'!E:E,'💰 Transaction ขาย'!B:B,A213,'💰 Transaction ขาย'!A:A,"&gt;"&amp;'⚙️ Config'!$H$1-'⚙️ Config'!$H$2)),)</f>
        <v/>
      </c>
      <c r="L213" s="28" t="str">
        <f>IF(E213="InActive","-",IF(A213&lt;&gt;"",K213/'⚙️ Config'!$H$2,))</f>
        <v/>
      </c>
      <c r="M213" s="28" t="str">
        <f t="shared" si="2"/>
        <v/>
      </c>
      <c r="N213" s="28" t="str">
        <f>IF(A213&lt;&gt;"", SUMIFS('💰 Transaction ขาย'!F:F,'💰 Transaction ขาย'!B:B,A213,'💰 Transaction ขาย'!A:A,"&gt;="&amp;DATE(YEAR('⚙️ Config'!$H$1),1,1),'💰 Transaction ขาย'!A:A,"&lt;="&amp;DATE(YEAR('⚙️ Config'!$H$1),12,31)),)</f>
        <v/>
      </c>
    </row>
    <row r="214">
      <c r="A214" s="22"/>
      <c r="B214" s="22" t="str">
        <f>IF(A214&lt;&gt;"",SUMIFS('💸 Transaction ซื้อ'!E:E,'💸 Transaction ซื้อ'!B:B,A214)-SUMIFS('💰 Transaction ขาย'!E:E,'💰 Transaction ขาย'!B:B,A214),"")</f>
        <v/>
      </c>
      <c r="C214" s="23" t="str">
        <f>IF(A214&lt;&gt;"",vlookup(A214,'📦 ชื่อสินค้า'!A:E,5,false),"")</f>
        <v/>
      </c>
      <c r="D214" s="23" t="str">
        <f>IF(A214&lt;&gt;"",VLOOKUP(A214,'📦 ชื่อสินค้า'!A:F,6,false),"")</f>
        <v/>
      </c>
      <c r="E214" s="16" t="str">
        <f>IFERROR(IF(VLOOKUP(A214,'📦 ชื่อสินค้า'!A:G,7,false)="InActive","InActive",IF(A214&lt;&gt;"",IF(B214&lt;=0,"สินค้าหมด",IF(B214&lt;=C214,"ควรเติมทันที","OK")),"")),)</f>
        <v/>
      </c>
      <c r="F214" s="24" t="str">
        <f>IFERROR(IF(A214&lt;&gt;"", SUMIF('💸 Transaction ซื้อ'!B:B,A214,'💸 Transaction ซื้อ'!G:G)/SUMIF('💸 Transaction ซื้อ'!B:B,A214,'💸 Transaction ซื้อ'!E:E),""),"-")</f>
        <v/>
      </c>
      <c r="G214" s="24" t="str">
        <f t="shared" si="1"/>
        <v/>
      </c>
      <c r="H214" s="25"/>
      <c r="I214" s="26"/>
      <c r="J214" s="26"/>
      <c r="K214" s="27" t="str">
        <f>IF(A214&lt;&gt;"",IF(E214="InActive","-",SUMIFS('💰 Transaction ขาย'!E:E,'💰 Transaction ขาย'!B:B,A214,'💰 Transaction ขาย'!A:A,"&gt;"&amp;'⚙️ Config'!$H$1-'⚙️ Config'!$H$2)),)</f>
        <v/>
      </c>
      <c r="L214" s="28" t="str">
        <f>IF(E214="InActive","-",IF(A214&lt;&gt;"",K214/'⚙️ Config'!$H$2,))</f>
        <v/>
      </c>
      <c r="M214" s="28" t="str">
        <f t="shared" si="2"/>
        <v/>
      </c>
      <c r="N214" s="28" t="str">
        <f>IF(A214&lt;&gt;"", SUMIFS('💰 Transaction ขาย'!F:F,'💰 Transaction ขาย'!B:B,A214,'💰 Transaction ขาย'!A:A,"&gt;="&amp;DATE(YEAR('⚙️ Config'!$H$1),1,1),'💰 Transaction ขาย'!A:A,"&lt;="&amp;DATE(YEAR('⚙️ Config'!$H$1),12,31)),)</f>
        <v/>
      </c>
    </row>
    <row r="215">
      <c r="A215" s="22"/>
      <c r="B215" s="22" t="str">
        <f>IF(A215&lt;&gt;"",SUMIFS('💸 Transaction ซื้อ'!E:E,'💸 Transaction ซื้อ'!B:B,A215)-SUMIFS('💰 Transaction ขาย'!E:E,'💰 Transaction ขาย'!B:B,A215),"")</f>
        <v/>
      </c>
      <c r="C215" s="23" t="str">
        <f>IF(A215&lt;&gt;"",vlookup(A215,'📦 ชื่อสินค้า'!A:E,5,false),"")</f>
        <v/>
      </c>
      <c r="D215" s="23" t="str">
        <f>IF(A215&lt;&gt;"",VLOOKUP(A215,'📦 ชื่อสินค้า'!A:F,6,false),"")</f>
        <v/>
      </c>
      <c r="E215" s="16" t="str">
        <f>IFERROR(IF(VLOOKUP(A215,'📦 ชื่อสินค้า'!A:G,7,false)="InActive","InActive",IF(A215&lt;&gt;"",IF(B215&lt;=0,"สินค้าหมด",IF(B215&lt;=C215,"ควรเติมทันที","OK")),"")),)</f>
        <v/>
      </c>
      <c r="F215" s="24" t="str">
        <f>IFERROR(IF(A215&lt;&gt;"", SUMIF('💸 Transaction ซื้อ'!B:B,A215,'💸 Transaction ซื้อ'!G:G)/SUMIF('💸 Transaction ซื้อ'!B:B,A215,'💸 Transaction ซื้อ'!E:E),""),"-")</f>
        <v/>
      </c>
      <c r="G215" s="24" t="str">
        <f t="shared" si="1"/>
        <v/>
      </c>
      <c r="H215" s="25"/>
      <c r="I215" s="26"/>
      <c r="J215" s="26"/>
      <c r="K215" s="27" t="str">
        <f>IF(A215&lt;&gt;"",IF(E215="InActive","-",SUMIFS('💰 Transaction ขาย'!E:E,'💰 Transaction ขาย'!B:B,A215,'💰 Transaction ขาย'!A:A,"&gt;"&amp;'⚙️ Config'!$H$1-'⚙️ Config'!$H$2)),)</f>
        <v/>
      </c>
      <c r="L215" s="28" t="str">
        <f>IF(E215="InActive","-",IF(A215&lt;&gt;"",K215/'⚙️ Config'!$H$2,))</f>
        <v/>
      </c>
      <c r="M215" s="28" t="str">
        <f t="shared" si="2"/>
        <v/>
      </c>
      <c r="N215" s="28" t="str">
        <f>IF(A215&lt;&gt;"", SUMIFS('💰 Transaction ขาย'!F:F,'💰 Transaction ขาย'!B:B,A215,'💰 Transaction ขาย'!A:A,"&gt;="&amp;DATE(YEAR('⚙️ Config'!$H$1),1,1),'💰 Transaction ขาย'!A:A,"&lt;="&amp;DATE(YEAR('⚙️ Config'!$H$1),12,31)),)</f>
        <v/>
      </c>
    </row>
    <row r="216">
      <c r="A216" s="22"/>
      <c r="B216" s="22" t="str">
        <f>IF(A216&lt;&gt;"",SUMIFS('💸 Transaction ซื้อ'!E:E,'💸 Transaction ซื้อ'!B:B,A216)-SUMIFS('💰 Transaction ขาย'!E:E,'💰 Transaction ขาย'!B:B,A216),"")</f>
        <v/>
      </c>
      <c r="C216" s="23" t="str">
        <f>IF(A216&lt;&gt;"",vlookup(A216,'📦 ชื่อสินค้า'!A:E,5,false),"")</f>
        <v/>
      </c>
      <c r="D216" s="23" t="str">
        <f>IF(A216&lt;&gt;"",VLOOKUP(A216,'📦 ชื่อสินค้า'!A:F,6,false),"")</f>
        <v/>
      </c>
      <c r="E216" s="16" t="str">
        <f>IFERROR(IF(VLOOKUP(A216,'📦 ชื่อสินค้า'!A:G,7,false)="InActive","InActive",IF(A216&lt;&gt;"",IF(B216&lt;=0,"สินค้าหมด",IF(B216&lt;=C216,"ควรเติมทันที","OK")),"")),)</f>
        <v/>
      </c>
      <c r="F216" s="24" t="str">
        <f>IFERROR(IF(A216&lt;&gt;"", SUMIF('💸 Transaction ซื้อ'!B:B,A216,'💸 Transaction ซื้อ'!G:G)/SUMIF('💸 Transaction ซื้อ'!B:B,A216,'💸 Transaction ซื้อ'!E:E),""),"-")</f>
        <v/>
      </c>
      <c r="G216" s="24" t="str">
        <f t="shared" si="1"/>
        <v/>
      </c>
      <c r="H216" s="25"/>
      <c r="I216" s="26"/>
      <c r="J216" s="26"/>
      <c r="K216" s="27" t="str">
        <f>IF(A216&lt;&gt;"",IF(E216="InActive","-",SUMIFS('💰 Transaction ขาย'!E:E,'💰 Transaction ขาย'!B:B,A216,'💰 Transaction ขาย'!A:A,"&gt;"&amp;'⚙️ Config'!$H$1-'⚙️ Config'!$H$2)),)</f>
        <v/>
      </c>
      <c r="L216" s="28" t="str">
        <f>IF(E216="InActive","-",IF(A216&lt;&gt;"",K216/'⚙️ Config'!$H$2,))</f>
        <v/>
      </c>
      <c r="M216" s="28" t="str">
        <f t="shared" si="2"/>
        <v/>
      </c>
      <c r="N216" s="28" t="str">
        <f>IF(A216&lt;&gt;"", SUMIFS('💰 Transaction ขาย'!F:F,'💰 Transaction ขาย'!B:B,A216,'💰 Transaction ขาย'!A:A,"&gt;="&amp;DATE(YEAR('⚙️ Config'!$H$1),1,1),'💰 Transaction ขาย'!A:A,"&lt;="&amp;DATE(YEAR('⚙️ Config'!$H$1),12,31)),)</f>
        <v/>
      </c>
    </row>
    <row r="217">
      <c r="A217" s="22"/>
      <c r="B217" s="22" t="str">
        <f>IF(A217&lt;&gt;"",SUMIFS('💸 Transaction ซื้อ'!E:E,'💸 Transaction ซื้อ'!B:B,A217)-SUMIFS('💰 Transaction ขาย'!E:E,'💰 Transaction ขาย'!B:B,A217),"")</f>
        <v/>
      </c>
      <c r="C217" s="23" t="str">
        <f>IF(A217&lt;&gt;"",vlookup(A217,'📦 ชื่อสินค้า'!A:E,5,false),"")</f>
        <v/>
      </c>
      <c r="D217" s="23" t="str">
        <f>IF(A217&lt;&gt;"",VLOOKUP(A217,'📦 ชื่อสินค้า'!A:F,6,false),"")</f>
        <v/>
      </c>
      <c r="E217" s="16" t="str">
        <f>IFERROR(IF(VLOOKUP(A217,'📦 ชื่อสินค้า'!A:G,7,false)="InActive","InActive",IF(A217&lt;&gt;"",IF(B217&lt;=0,"สินค้าหมด",IF(B217&lt;=C217,"ควรเติมทันที","OK")),"")),)</f>
        <v/>
      </c>
      <c r="F217" s="24" t="str">
        <f>IFERROR(IF(A217&lt;&gt;"", SUMIF('💸 Transaction ซื้อ'!B:B,A217,'💸 Transaction ซื้อ'!G:G)/SUMIF('💸 Transaction ซื้อ'!B:B,A217,'💸 Transaction ซื้อ'!E:E),""),"-")</f>
        <v/>
      </c>
      <c r="G217" s="24" t="str">
        <f t="shared" si="1"/>
        <v/>
      </c>
      <c r="H217" s="25"/>
      <c r="I217" s="26"/>
      <c r="J217" s="26"/>
      <c r="K217" s="27" t="str">
        <f>IF(A217&lt;&gt;"",IF(E217="InActive","-",SUMIFS('💰 Transaction ขาย'!E:E,'💰 Transaction ขาย'!B:B,A217,'💰 Transaction ขาย'!A:A,"&gt;"&amp;'⚙️ Config'!$H$1-'⚙️ Config'!$H$2)),)</f>
        <v/>
      </c>
      <c r="L217" s="28" t="str">
        <f>IF(E217="InActive","-",IF(A217&lt;&gt;"",K217/'⚙️ Config'!$H$2,))</f>
        <v/>
      </c>
      <c r="M217" s="28" t="str">
        <f t="shared" si="2"/>
        <v/>
      </c>
      <c r="N217" s="28" t="str">
        <f>IF(A217&lt;&gt;"", SUMIFS('💰 Transaction ขาย'!F:F,'💰 Transaction ขาย'!B:B,A217,'💰 Transaction ขาย'!A:A,"&gt;="&amp;DATE(YEAR('⚙️ Config'!$H$1),1,1),'💰 Transaction ขาย'!A:A,"&lt;="&amp;DATE(YEAR('⚙️ Config'!$H$1),12,31)),)</f>
        <v/>
      </c>
    </row>
    <row r="218">
      <c r="A218" s="22"/>
      <c r="B218" s="22" t="str">
        <f>IF(A218&lt;&gt;"",SUMIFS('💸 Transaction ซื้อ'!E:E,'💸 Transaction ซื้อ'!B:B,A218)-SUMIFS('💰 Transaction ขาย'!E:E,'💰 Transaction ขาย'!B:B,A218),"")</f>
        <v/>
      </c>
      <c r="C218" s="23" t="str">
        <f>IF(A218&lt;&gt;"",vlookup(A218,'📦 ชื่อสินค้า'!A:E,5,false),"")</f>
        <v/>
      </c>
      <c r="D218" s="23" t="str">
        <f>IF(A218&lt;&gt;"",VLOOKUP(A218,'📦 ชื่อสินค้า'!A:F,6,false),"")</f>
        <v/>
      </c>
      <c r="E218" s="16" t="str">
        <f>IFERROR(IF(VLOOKUP(A218,'📦 ชื่อสินค้า'!A:G,7,false)="InActive","InActive",IF(A218&lt;&gt;"",IF(B218&lt;=0,"สินค้าหมด",IF(B218&lt;=C218,"ควรเติมทันที","OK")),"")),)</f>
        <v/>
      </c>
      <c r="F218" s="24" t="str">
        <f>IFERROR(IF(A218&lt;&gt;"", SUMIF('💸 Transaction ซื้อ'!B:B,A218,'💸 Transaction ซื้อ'!G:G)/SUMIF('💸 Transaction ซื้อ'!B:B,A218,'💸 Transaction ซื้อ'!E:E),""),"-")</f>
        <v/>
      </c>
      <c r="G218" s="24" t="str">
        <f t="shared" si="1"/>
        <v/>
      </c>
      <c r="H218" s="25"/>
      <c r="I218" s="26"/>
      <c r="J218" s="26"/>
      <c r="K218" s="27" t="str">
        <f>IF(A218&lt;&gt;"",IF(E218="InActive","-",SUMIFS('💰 Transaction ขาย'!E:E,'💰 Transaction ขาย'!B:B,A218,'💰 Transaction ขาย'!A:A,"&gt;"&amp;'⚙️ Config'!$H$1-'⚙️ Config'!$H$2)),)</f>
        <v/>
      </c>
      <c r="L218" s="28" t="str">
        <f>IF(E218="InActive","-",IF(A218&lt;&gt;"",K218/'⚙️ Config'!$H$2,))</f>
        <v/>
      </c>
      <c r="M218" s="28" t="str">
        <f t="shared" si="2"/>
        <v/>
      </c>
      <c r="N218" s="28" t="str">
        <f>IF(A218&lt;&gt;"", SUMIFS('💰 Transaction ขาย'!F:F,'💰 Transaction ขาย'!B:B,A218,'💰 Transaction ขาย'!A:A,"&gt;="&amp;DATE(YEAR('⚙️ Config'!$H$1),1,1),'💰 Transaction ขาย'!A:A,"&lt;="&amp;DATE(YEAR('⚙️ Config'!$H$1),12,31)),)</f>
        <v/>
      </c>
    </row>
    <row r="219">
      <c r="A219" s="22"/>
      <c r="B219" s="22" t="str">
        <f>IF(A219&lt;&gt;"",SUMIFS('💸 Transaction ซื้อ'!E:E,'💸 Transaction ซื้อ'!B:B,A219)-SUMIFS('💰 Transaction ขาย'!E:E,'💰 Transaction ขาย'!B:B,A219),"")</f>
        <v/>
      </c>
      <c r="C219" s="23" t="str">
        <f>IF(A219&lt;&gt;"",vlookup(A219,'📦 ชื่อสินค้า'!A:E,5,false),"")</f>
        <v/>
      </c>
      <c r="D219" s="23" t="str">
        <f>IF(A219&lt;&gt;"",VLOOKUP(A219,'📦 ชื่อสินค้า'!A:F,6,false),"")</f>
        <v/>
      </c>
      <c r="E219" s="16" t="str">
        <f>IFERROR(IF(VLOOKUP(A219,'📦 ชื่อสินค้า'!A:G,7,false)="InActive","InActive",IF(A219&lt;&gt;"",IF(B219&lt;=0,"สินค้าหมด",IF(B219&lt;=C219,"ควรเติมทันที","OK")),"")),)</f>
        <v/>
      </c>
      <c r="F219" s="24" t="str">
        <f>IFERROR(IF(A219&lt;&gt;"", SUMIF('💸 Transaction ซื้อ'!B:B,A219,'💸 Transaction ซื้อ'!G:G)/SUMIF('💸 Transaction ซื้อ'!B:B,A219,'💸 Transaction ซื้อ'!E:E),""),"-")</f>
        <v/>
      </c>
      <c r="G219" s="24" t="str">
        <f t="shared" si="1"/>
        <v/>
      </c>
      <c r="H219" s="25"/>
      <c r="I219" s="26"/>
      <c r="J219" s="26"/>
      <c r="K219" s="27" t="str">
        <f>IF(A219&lt;&gt;"",IF(E219="InActive","-",SUMIFS('💰 Transaction ขาย'!E:E,'💰 Transaction ขาย'!B:B,A219,'💰 Transaction ขาย'!A:A,"&gt;"&amp;'⚙️ Config'!$H$1-'⚙️ Config'!$H$2)),)</f>
        <v/>
      </c>
      <c r="L219" s="28" t="str">
        <f>IF(E219="InActive","-",IF(A219&lt;&gt;"",K219/'⚙️ Config'!$H$2,))</f>
        <v/>
      </c>
      <c r="M219" s="28" t="str">
        <f t="shared" si="2"/>
        <v/>
      </c>
      <c r="N219" s="28" t="str">
        <f>IF(A219&lt;&gt;"", SUMIFS('💰 Transaction ขาย'!F:F,'💰 Transaction ขาย'!B:B,A219,'💰 Transaction ขาย'!A:A,"&gt;="&amp;DATE(YEAR('⚙️ Config'!$H$1),1,1),'💰 Transaction ขาย'!A:A,"&lt;="&amp;DATE(YEAR('⚙️ Config'!$H$1),12,31)),)</f>
        <v/>
      </c>
    </row>
    <row r="220">
      <c r="A220" s="22"/>
      <c r="B220" s="22" t="str">
        <f>IF(A220&lt;&gt;"",SUMIFS('💸 Transaction ซื้อ'!E:E,'💸 Transaction ซื้อ'!B:B,A220)-SUMIFS('💰 Transaction ขาย'!E:E,'💰 Transaction ขาย'!B:B,A220),"")</f>
        <v/>
      </c>
      <c r="C220" s="23" t="str">
        <f>IF(A220&lt;&gt;"",vlookup(A220,'📦 ชื่อสินค้า'!A:E,5,false),"")</f>
        <v/>
      </c>
      <c r="D220" s="23" t="str">
        <f>IF(A220&lt;&gt;"",VLOOKUP(A220,'📦 ชื่อสินค้า'!A:F,6,false),"")</f>
        <v/>
      </c>
      <c r="E220" s="16" t="str">
        <f>IFERROR(IF(VLOOKUP(A220,'📦 ชื่อสินค้า'!A:G,7,false)="InActive","InActive",IF(A220&lt;&gt;"",IF(B220&lt;=0,"สินค้าหมด",IF(B220&lt;=C220,"ควรเติมทันที","OK")),"")),)</f>
        <v/>
      </c>
      <c r="F220" s="24" t="str">
        <f>IFERROR(IF(A220&lt;&gt;"", SUMIF('💸 Transaction ซื้อ'!B:B,A220,'💸 Transaction ซื้อ'!G:G)/SUMIF('💸 Transaction ซื้อ'!B:B,A220,'💸 Transaction ซื้อ'!E:E),""),"-")</f>
        <v/>
      </c>
      <c r="G220" s="24" t="str">
        <f t="shared" si="1"/>
        <v/>
      </c>
      <c r="H220" s="25"/>
      <c r="I220" s="26"/>
      <c r="J220" s="26"/>
      <c r="K220" s="27" t="str">
        <f>IF(A220&lt;&gt;"",IF(E220="InActive","-",SUMIFS('💰 Transaction ขาย'!E:E,'💰 Transaction ขาย'!B:B,A220,'💰 Transaction ขาย'!A:A,"&gt;"&amp;'⚙️ Config'!$H$1-'⚙️ Config'!$H$2)),)</f>
        <v/>
      </c>
      <c r="L220" s="28" t="str">
        <f>IF(E220="InActive","-",IF(A220&lt;&gt;"",K220/'⚙️ Config'!$H$2,))</f>
        <v/>
      </c>
      <c r="M220" s="28" t="str">
        <f t="shared" si="2"/>
        <v/>
      </c>
      <c r="N220" s="28" t="str">
        <f>IF(A220&lt;&gt;"", SUMIFS('💰 Transaction ขาย'!F:F,'💰 Transaction ขาย'!B:B,A220,'💰 Transaction ขาย'!A:A,"&gt;="&amp;DATE(YEAR('⚙️ Config'!$H$1),1,1),'💰 Transaction ขาย'!A:A,"&lt;="&amp;DATE(YEAR('⚙️ Config'!$H$1),12,31)),)</f>
        <v/>
      </c>
    </row>
    <row r="221">
      <c r="A221" s="22"/>
      <c r="B221" s="22" t="str">
        <f>IF(A221&lt;&gt;"",SUMIFS('💸 Transaction ซื้อ'!E:E,'💸 Transaction ซื้อ'!B:B,A221)-SUMIFS('💰 Transaction ขาย'!E:E,'💰 Transaction ขาย'!B:B,A221),"")</f>
        <v/>
      </c>
      <c r="C221" s="23" t="str">
        <f>IF(A221&lt;&gt;"",vlookup(A221,'📦 ชื่อสินค้า'!A:E,5,false),"")</f>
        <v/>
      </c>
      <c r="D221" s="23" t="str">
        <f>IF(A221&lt;&gt;"",VLOOKUP(A221,'📦 ชื่อสินค้า'!A:F,6,false),"")</f>
        <v/>
      </c>
      <c r="E221" s="16" t="str">
        <f>IFERROR(IF(VLOOKUP(A221,'📦 ชื่อสินค้า'!A:G,7,false)="InActive","InActive",IF(A221&lt;&gt;"",IF(B221&lt;=0,"สินค้าหมด",IF(B221&lt;=C221,"ควรเติมทันที","OK")),"")),)</f>
        <v/>
      </c>
      <c r="F221" s="24" t="str">
        <f>IFERROR(IF(A221&lt;&gt;"", SUMIF('💸 Transaction ซื้อ'!B:B,A221,'💸 Transaction ซื้อ'!G:G)/SUMIF('💸 Transaction ซื้อ'!B:B,A221,'💸 Transaction ซื้อ'!E:E),""),"-")</f>
        <v/>
      </c>
      <c r="G221" s="24" t="str">
        <f t="shared" si="1"/>
        <v/>
      </c>
      <c r="H221" s="25"/>
      <c r="I221" s="26"/>
      <c r="J221" s="26"/>
      <c r="K221" s="27" t="str">
        <f>IF(A221&lt;&gt;"",IF(E221="InActive","-",SUMIFS('💰 Transaction ขาย'!E:E,'💰 Transaction ขาย'!B:B,A221,'💰 Transaction ขาย'!A:A,"&gt;"&amp;'⚙️ Config'!$H$1-'⚙️ Config'!$H$2)),)</f>
        <v/>
      </c>
      <c r="L221" s="28" t="str">
        <f>IF(E221="InActive","-",IF(A221&lt;&gt;"",K221/'⚙️ Config'!$H$2,))</f>
        <v/>
      </c>
      <c r="M221" s="28" t="str">
        <f t="shared" si="2"/>
        <v/>
      </c>
      <c r="N221" s="28" t="str">
        <f>IF(A221&lt;&gt;"", SUMIFS('💰 Transaction ขาย'!F:F,'💰 Transaction ขาย'!B:B,A221,'💰 Transaction ขาย'!A:A,"&gt;="&amp;DATE(YEAR('⚙️ Config'!$H$1),1,1),'💰 Transaction ขาย'!A:A,"&lt;="&amp;DATE(YEAR('⚙️ Config'!$H$1),12,31)),)</f>
        <v/>
      </c>
    </row>
    <row r="222">
      <c r="A222" s="22"/>
      <c r="B222" s="22" t="str">
        <f>IF(A222&lt;&gt;"",SUMIFS('💸 Transaction ซื้อ'!E:E,'💸 Transaction ซื้อ'!B:B,A222)-SUMIFS('💰 Transaction ขาย'!E:E,'💰 Transaction ขาย'!B:B,A222),"")</f>
        <v/>
      </c>
      <c r="C222" s="23" t="str">
        <f>IF(A222&lt;&gt;"",vlookup(A222,'📦 ชื่อสินค้า'!A:E,5,false),"")</f>
        <v/>
      </c>
      <c r="D222" s="23" t="str">
        <f>IF(A222&lt;&gt;"",VLOOKUP(A222,'📦 ชื่อสินค้า'!A:F,6,false),"")</f>
        <v/>
      </c>
      <c r="E222" s="16" t="str">
        <f>IFERROR(IF(VLOOKUP(A222,'📦 ชื่อสินค้า'!A:G,7,false)="InActive","InActive",IF(A222&lt;&gt;"",IF(B222&lt;=0,"สินค้าหมด",IF(B222&lt;=C222,"ควรเติมทันที","OK")),"")),)</f>
        <v/>
      </c>
      <c r="F222" s="24" t="str">
        <f>IFERROR(IF(A222&lt;&gt;"", SUMIF('💸 Transaction ซื้อ'!B:B,A222,'💸 Transaction ซื้อ'!G:G)/SUMIF('💸 Transaction ซื้อ'!B:B,A222,'💸 Transaction ซื้อ'!E:E),""),"-")</f>
        <v/>
      </c>
      <c r="G222" s="24" t="str">
        <f t="shared" si="1"/>
        <v/>
      </c>
      <c r="H222" s="25"/>
      <c r="I222" s="26"/>
      <c r="J222" s="26"/>
      <c r="K222" s="27" t="str">
        <f>IF(A222&lt;&gt;"",IF(E222="InActive","-",SUMIFS('💰 Transaction ขาย'!E:E,'💰 Transaction ขาย'!B:B,A222,'💰 Transaction ขาย'!A:A,"&gt;"&amp;'⚙️ Config'!$H$1-'⚙️ Config'!$H$2)),)</f>
        <v/>
      </c>
      <c r="L222" s="28" t="str">
        <f>IF(E222="InActive","-",IF(A222&lt;&gt;"",K222/'⚙️ Config'!$H$2,))</f>
        <v/>
      </c>
      <c r="M222" s="28" t="str">
        <f t="shared" si="2"/>
        <v/>
      </c>
      <c r="N222" s="28" t="str">
        <f>IF(A222&lt;&gt;"", SUMIFS('💰 Transaction ขาย'!F:F,'💰 Transaction ขาย'!B:B,A222,'💰 Transaction ขาย'!A:A,"&gt;="&amp;DATE(YEAR('⚙️ Config'!$H$1),1,1),'💰 Transaction ขาย'!A:A,"&lt;="&amp;DATE(YEAR('⚙️ Config'!$H$1),12,31)),)</f>
        <v/>
      </c>
    </row>
    <row r="223">
      <c r="A223" s="22"/>
      <c r="B223" s="22" t="str">
        <f>IF(A223&lt;&gt;"",SUMIFS('💸 Transaction ซื้อ'!E:E,'💸 Transaction ซื้อ'!B:B,A223)-SUMIFS('💰 Transaction ขาย'!E:E,'💰 Transaction ขาย'!B:B,A223),"")</f>
        <v/>
      </c>
      <c r="C223" s="23" t="str">
        <f>IF(A223&lt;&gt;"",vlookup(A223,'📦 ชื่อสินค้า'!A:E,5,false),"")</f>
        <v/>
      </c>
      <c r="D223" s="23" t="str">
        <f>IF(A223&lt;&gt;"",VLOOKUP(A223,'📦 ชื่อสินค้า'!A:F,6,false),"")</f>
        <v/>
      </c>
      <c r="E223" s="16" t="str">
        <f>IFERROR(IF(VLOOKUP(A223,'📦 ชื่อสินค้า'!A:G,7,false)="InActive","InActive",IF(A223&lt;&gt;"",IF(B223&lt;=0,"สินค้าหมด",IF(B223&lt;=C223,"ควรเติมทันที","OK")),"")),)</f>
        <v/>
      </c>
      <c r="F223" s="24" t="str">
        <f>IFERROR(IF(A223&lt;&gt;"", SUMIF('💸 Transaction ซื้อ'!B:B,A223,'💸 Transaction ซื้อ'!G:G)/SUMIF('💸 Transaction ซื้อ'!B:B,A223,'💸 Transaction ซื้อ'!E:E),""),"-")</f>
        <v/>
      </c>
      <c r="G223" s="24" t="str">
        <f t="shared" si="1"/>
        <v/>
      </c>
      <c r="H223" s="25"/>
      <c r="I223" s="26"/>
      <c r="J223" s="26"/>
      <c r="K223" s="27" t="str">
        <f>IF(A223&lt;&gt;"",IF(E223="InActive","-",SUMIFS('💰 Transaction ขาย'!E:E,'💰 Transaction ขาย'!B:B,A223,'💰 Transaction ขาย'!A:A,"&gt;"&amp;'⚙️ Config'!$H$1-'⚙️ Config'!$H$2)),)</f>
        <v/>
      </c>
      <c r="L223" s="28" t="str">
        <f>IF(E223="InActive","-",IF(A223&lt;&gt;"",K223/'⚙️ Config'!$H$2,))</f>
        <v/>
      </c>
      <c r="M223" s="28" t="str">
        <f t="shared" si="2"/>
        <v/>
      </c>
      <c r="N223" s="28" t="str">
        <f>IF(A223&lt;&gt;"", SUMIFS('💰 Transaction ขาย'!F:F,'💰 Transaction ขาย'!B:B,A223,'💰 Transaction ขาย'!A:A,"&gt;="&amp;DATE(YEAR('⚙️ Config'!$H$1),1,1),'💰 Transaction ขาย'!A:A,"&lt;="&amp;DATE(YEAR('⚙️ Config'!$H$1),12,31)),)</f>
        <v/>
      </c>
    </row>
    <row r="224">
      <c r="A224" s="22"/>
      <c r="B224" s="22" t="str">
        <f>IF(A224&lt;&gt;"",SUMIFS('💸 Transaction ซื้อ'!E:E,'💸 Transaction ซื้อ'!B:B,A224)-SUMIFS('💰 Transaction ขาย'!E:E,'💰 Transaction ขาย'!B:B,A224),"")</f>
        <v/>
      </c>
      <c r="C224" s="23" t="str">
        <f>IF(A224&lt;&gt;"",vlookup(A224,'📦 ชื่อสินค้า'!A:E,5,false),"")</f>
        <v/>
      </c>
      <c r="D224" s="23" t="str">
        <f>IF(A224&lt;&gt;"",VLOOKUP(A224,'📦 ชื่อสินค้า'!A:F,6,false),"")</f>
        <v/>
      </c>
      <c r="E224" s="16" t="str">
        <f>IFERROR(IF(VLOOKUP(A224,'📦 ชื่อสินค้า'!A:G,7,false)="InActive","InActive",IF(A224&lt;&gt;"",IF(B224&lt;=0,"สินค้าหมด",IF(B224&lt;=C224,"ควรเติมทันที","OK")),"")),)</f>
        <v/>
      </c>
      <c r="F224" s="24" t="str">
        <f>IFERROR(IF(A224&lt;&gt;"", SUMIF('💸 Transaction ซื้อ'!B:B,A224,'💸 Transaction ซื้อ'!G:G)/SUMIF('💸 Transaction ซื้อ'!B:B,A224,'💸 Transaction ซื้อ'!E:E),""),"-")</f>
        <v/>
      </c>
      <c r="G224" s="24" t="str">
        <f t="shared" si="1"/>
        <v/>
      </c>
      <c r="H224" s="25"/>
      <c r="I224" s="26"/>
      <c r="J224" s="26"/>
      <c r="K224" s="27" t="str">
        <f>IF(A224&lt;&gt;"",IF(E224="InActive","-",SUMIFS('💰 Transaction ขาย'!E:E,'💰 Transaction ขาย'!B:B,A224,'💰 Transaction ขาย'!A:A,"&gt;"&amp;'⚙️ Config'!$H$1-'⚙️ Config'!$H$2)),)</f>
        <v/>
      </c>
      <c r="L224" s="28" t="str">
        <f>IF(E224="InActive","-",IF(A224&lt;&gt;"",K224/'⚙️ Config'!$H$2,))</f>
        <v/>
      </c>
      <c r="M224" s="28" t="str">
        <f t="shared" si="2"/>
        <v/>
      </c>
      <c r="N224" s="28" t="str">
        <f>IF(A224&lt;&gt;"", SUMIFS('💰 Transaction ขาย'!F:F,'💰 Transaction ขาย'!B:B,A224,'💰 Transaction ขาย'!A:A,"&gt;="&amp;DATE(YEAR('⚙️ Config'!$H$1),1,1),'💰 Transaction ขาย'!A:A,"&lt;="&amp;DATE(YEAR('⚙️ Config'!$H$1),12,31)),)</f>
        <v/>
      </c>
    </row>
    <row r="225">
      <c r="A225" s="22"/>
      <c r="B225" s="22" t="str">
        <f>IF(A225&lt;&gt;"",SUMIFS('💸 Transaction ซื้อ'!E:E,'💸 Transaction ซื้อ'!B:B,A225)-SUMIFS('💰 Transaction ขาย'!E:E,'💰 Transaction ขาย'!B:B,A225),"")</f>
        <v/>
      </c>
      <c r="C225" s="23" t="str">
        <f>IF(A225&lt;&gt;"",vlookup(A225,'📦 ชื่อสินค้า'!A:E,5,false),"")</f>
        <v/>
      </c>
      <c r="D225" s="23" t="str">
        <f>IF(A225&lt;&gt;"",VLOOKUP(A225,'📦 ชื่อสินค้า'!A:F,6,false),"")</f>
        <v/>
      </c>
      <c r="E225" s="16" t="str">
        <f>IFERROR(IF(VLOOKUP(A225,'📦 ชื่อสินค้า'!A:G,7,false)="InActive","InActive",IF(A225&lt;&gt;"",IF(B225&lt;=0,"สินค้าหมด",IF(B225&lt;=C225,"ควรเติมทันที","OK")),"")),)</f>
        <v/>
      </c>
      <c r="F225" s="24" t="str">
        <f>IFERROR(IF(A225&lt;&gt;"", SUMIF('💸 Transaction ซื้อ'!B:B,A225,'💸 Transaction ซื้อ'!G:G)/SUMIF('💸 Transaction ซื้อ'!B:B,A225,'💸 Transaction ซื้อ'!E:E),""),"-")</f>
        <v/>
      </c>
      <c r="G225" s="24" t="str">
        <f t="shared" si="1"/>
        <v/>
      </c>
      <c r="H225" s="25"/>
      <c r="I225" s="26"/>
      <c r="J225" s="26"/>
      <c r="K225" s="27" t="str">
        <f>IF(A225&lt;&gt;"",IF(E225="InActive","-",SUMIFS('💰 Transaction ขาย'!E:E,'💰 Transaction ขาย'!B:B,A225,'💰 Transaction ขาย'!A:A,"&gt;"&amp;'⚙️ Config'!$H$1-'⚙️ Config'!$H$2)),)</f>
        <v/>
      </c>
      <c r="L225" s="28" t="str">
        <f>IF(E225="InActive","-",IF(A225&lt;&gt;"",K225/'⚙️ Config'!$H$2,))</f>
        <v/>
      </c>
      <c r="M225" s="28" t="str">
        <f t="shared" si="2"/>
        <v/>
      </c>
      <c r="N225" s="28" t="str">
        <f>IF(A225&lt;&gt;"", SUMIFS('💰 Transaction ขาย'!F:F,'💰 Transaction ขาย'!B:B,A225,'💰 Transaction ขาย'!A:A,"&gt;="&amp;DATE(YEAR('⚙️ Config'!$H$1),1,1),'💰 Transaction ขาย'!A:A,"&lt;="&amp;DATE(YEAR('⚙️ Config'!$H$1),12,31)),)</f>
        <v/>
      </c>
    </row>
    <row r="226">
      <c r="A226" s="22"/>
      <c r="B226" s="22" t="str">
        <f>IF(A226&lt;&gt;"",SUMIFS('💸 Transaction ซื้อ'!E:E,'💸 Transaction ซื้อ'!B:B,A226)-SUMIFS('💰 Transaction ขาย'!E:E,'💰 Transaction ขาย'!B:B,A226),"")</f>
        <v/>
      </c>
      <c r="C226" s="23" t="str">
        <f>IF(A226&lt;&gt;"",vlookup(A226,'📦 ชื่อสินค้า'!A:E,5,false),"")</f>
        <v/>
      </c>
      <c r="D226" s="23" t="str">
        <f>IF(A226&lt;&gt;"",VLOOKUP(A226,'📦 ชื่อสินค้า'!A:F,6,false),"")</f>
        <v/>
      </c>
      <c r="E226" s="16" t="str">
        <f>IFERROR(IF(VLOOKUP(A226,'📦 ชื่อสินค้า'!A:G,7,false)="InActive","InActive",IF(A226&lt;&gt;"",IF(B226&lt;=0,"สินค้าหมด",IF(B226&lt;=C226,"ควรเติมทันที","OK")),"")),)</f>
        <v/>
      </c>
      <c r="F226" s="24" t="str">
        <f>IFERROR(IF(A226&lt;&gt;"", SUMIF('💸 Transaction ซื้อ'!B:B,A226,'💸 Transaction ซื้อ'!G:G)/SUMIF('💸 Transaction ซื้อ'!B:B,A226,'💸 Transaction ซื้อ'!E:E),""),"-")</f>
        <v/>
      </c>
      <c r="G226" s="24" t="str">
        <f t="shared" si="1"/>
        <v/>
      </c>
      <c r="H226" s="25"/>
      <c r="I226" s="26"/>
      <c r="J226" s="26"/>
      <c r="K226" s="27" t="str">
        <f>IF(A226&lt;&gt;"",IF(E226="InActive","-",SUMIFS('💰 Transaction ขาย'!E:E,'💰 Transaction ขาย'!B:B,A226,'💰 Transaction ขาย'!A:A,"&gt;"&amp;'⚙️ Config'!$H$1-'⚙️ Config'!$H$2)),)</f>
        <v/>
      </c>
      <c r="L226" s="28" t="str">
        <f>IF(E226="InActive","-",IF(A226&lt;&gt;"",K226/'⚙️ Config'!$H$2,))</f>
        <v/>
      </c>
      <c r="M226" s="28" t="str">
        <f t="shared" si="2"/>
        <v/>
      </c>
      <c r="N226" s="28" t="str">
        <f>IF(A226&lt;&gt;"", SUMIFS('💰 Transaction ขาย'!F:F,'💰 Transaction ขาย'!B:B,A226,'💰 Transaction ขาย'!A:A,"&gt;="&amp;DATE(YEAR('⚙️ Config'!$H$1),1,1),'💰 Transaction ขาย'!A:A,"&lt;="&amp;DATE(YEAR('⚙️ Config'!$H$1),12,31)),)</f>
        <v/>
      </c>
    </row>
    <row r="227">
      <c r="A227" s="22"/>
      <c r="B227" s="22" t="str">
        <f>IF(A227&lt;&gt;"",SUMIFS('💸 Transaction ซื้อ'!E:E,'💸 Transaction ซื้อ'!B:B,A227)-SUMIFS('💰 Transaction ขาย'!E:E,'💰 Transaction ขาย'!B:B,A227),"")</f>
        <v/>
      </c>
      <c r="C227" s="23" t="str">
        <f>IF(A227&lt;&gt;"",vlookup(A227,'📦 ชื่อสินค้า'!A:E,5,false),"")</f>
        <v/>
      </c>
      <c r="D227" s="23" t="str">
        <f>IF(A227&lt;&gt;"",VLOOKUP(A227,'📦 ชื่อสินค้า'!A:F,6,false),"")</f>
        <v/>
      </c>
      <c r="E227" s="16" t="str">
        <f>IFERROR(IF(VLOOKUP(A227,'📦 ชื่อสินค้า'!A:G,7,false)="InActive","InActive",IF(A227&lt;&gt;"",IF(B227&lt;=0,"สินค้าหมด",IF(B227&lt;=C227,"ควรเติมทันที","OK")),"")),)</f>
        <v/>
      </c>
      <c r="F227" s="24" t="str">
        <f>IFERROR(IF(A227&lt;&gt;"", SUMIF('💸 Transaction ซื้อ'!B:B,A227,'💸 Transaction ซื้อ'!G:G)/SUMIF('💸 Transaction ซื้อ'!B:B,A227,'💸 Transaction ซื้อ'!E:E),""),"-")</f>
        <v/>
      </c>
      <c r="G227" s="24" t="str">
        <f t="shared" si="1"/>
        <v/>
      </c>
      <c r="H227" s="25"/>
      <c r="I227" s="26"/>
      <c r="J227" s="26"/>
      <c r="K227" s="27" t="str">
        <f>IF(A227&lt;&gt;"",IF(E227="InActive","-",SUMIFS('💰 Transaction ขาย'!E:E,'💰 Transaction ขาย'!B:B,A227,'💰 Transaction ขาย'!A:A,"&gt;"&amp;'⚙️ Config'!$H$1-'⚙️ Config'!$H$2)),)</f>
        <v/>
      </c>
      <c r="L227" s="28" t="str">
        <f>IF(E227="InActive","-",IF(A227&lt;&gt;"",K227/'⚙️ Config'!$H$2,))</f>
        <v/>
      </c>
      <c r="M227" s="28" t="str">
        <f t="shared" si="2"/>
        <v/>
      </c>
      <c r="N227" s="28" t="str">
        <f>IF(A227&lt;&gt;"", SUMIFS('💰 Transaction ขาย'!F:F,'💰 Transaction ขาย'!B:B,A227,'💰 Transaction ขาย'!A:A,"&gt;="&amp;DATE(YEAR('⚙️ Config'!$H$1),1,1),'💰 Transaction ขาย'!A:A,"&lt;="&amp;DATE(YEAR('⚙️ Config'!$H$1),12,31)),)</f>
        <v/>
      </c>
    </row>
    <row r="228">
      <c r="A228" s="22"/>
      <c r="B228" s="22" t="str">
        <f>IF(A228&lt;&gt;"",SUMIFS('💸 Transaction ซื้อ'!E:E,'💸 Transaction ซื้อ'!B:B,A228)-SUMIFS('💰 Transaction ขาย'!E:E,'💰 Transaction ขาย'!B:B,A228),"")</f>
        <v/>
      </c>
      <c r="C228" s="23" t="str">
        <f>IF(A228&lt;&gt;"",vlookup(A228,'📦 ชื่อสินค้า'!A:E,5,false),"")</f>
        <v/>
      </c>
      <c r="D228" s="23" t="str">
        <f>IF(A228&lt;&gt;"",VLOOKUP(A228,'📦 ชื่อสินค้า'!A:F,6,false),"")</f>
        <v/>
      </c>
      <c r="E228" s="16" t="str">
        <f>IFERROR(IF(VLOOKUP(A228,'📦 ชื่อสินค้า'!A:G,7,false)="InActive","InActive",IF(A228&lt;&gt;"",IF(B228&lt;=0,"สินค้าหมด",IF(B228&lt;=C228,"ควรเติมทันที","OK")),"")),)</f>
        <v/>
      </c>
      <c r="F228" s="24" t="str">
        <f>IFERROR(IF(A228&lt;&gt;"", SUMIF('💸 Transaction ซื้อ'!B:B,A228,'💸 Transaction ซื้อ'!G:G)/SUMIF('💸 Transaction ซื้อ'!B:B,A228,'💸 Transaction ซื้อ'!E:E),""),"-")</f>
        <v/>
      </c>
      <c r="G228" s="24" t="str">
        <f t="shared" si="1"/>
        <v/>
      </c>
      <c r="H228" s="25"/>
      <c r="I228" s="26"/>
      <c r="J228" s="26"/>
      <c r="K228" s="27" t="str">
        <f>IF(A228&lt;&gt;"",IF(E228="InActive","-",SUMIFS('💰 Transaction ขาย'!E:E,'💰 Transaction ขาย'!B:B,A228,'💰 Transaction ขาย'!A:A,"&gt;"&amp;'⚙️ Config'!$H$1-'⚙️ Config'!$H$2)),)</f>
        <v/>
      </c>
      <c r="L228" s="28" t="str">
        <f>IF(E228="InActive","-",IF(A228&lt;&gt;"",K228/'⚙️ Config'!$H$2,))</f>
        <v/>
      </c>
      <c r="M228" s="28" t="str">
        <f t="shared" si="2"/>
        <v/>
      </c>
      <c r="N228" s="28" t="str">
        <f>IF(A228&lt;&gt;"", SUMIFS('💰 Transaction ขาย'!F:F,'💰 Transaction ขาย'!B:B,A228,'💰 Transaction ขาย'!A:A,"&gt;="&amp;DATE(YEAR('⚙️ Config'!$H$1),1,1),'💰 Transaction ขาย'!A:A,"&lt;="&amp;DATE(YEAR('⚙️ Config'!$H$1),12,31)),)</f>
        <v/>
      </c>
    </row>
    <row r="229">
      <c r="A229" s="22"/>
      <c r="B229" s="22" t="str">
        <f>IF(A229&lt;&gt;"",SUMIFS('💸 Transaction ซื้อ'!E:E,'💸 Transaction ซื้อ'!B:B,A229)-SUMIFS('💰 Transaction ขาย'!E:E,'💰 Transaction ขาย'!B:B,A229),"")</f>
        <v/>
      </c>
      <c r="C229" s="23" t="str">
        <f>IF(A229&lt;&gt;"",vlookup(A229,'📦 ชื่อสินค้า'!A:E,5,false),"")</f>
        <v/>
      </c>
      <c r="D229" s="23" t="str">
        <f>IF(A229&lt;&gt;"",VLOOKUP(A229,'📦 ชื่อสินค้า'!A:F,6,false),"")</f>
        <v/>
      </c>
      <c r="E229" s="16" t="str">
        <f>IFERROR(IF(VLOOKUP(A229,'📦 ชื่อสินค้า'!A:G,7,false)="InActive","InActive",IF(A229&lt;&gt;"",IF(B229&lt;=0,"สินค้าหมด",IF(B229&lt;=C229,"ควรเติมทันที","OK")),"")),)</f>
        <v/>
      </c>
      <c r="F229" s="24" t="str">
        <f>IFERROR(IF(A229&lt;&gt;"", SUMIF('💸 Transaction ซื้อ'!B:B,A229,'💸 Transaction ซื้อ'!G:G)/SUMIF('💸 Transaction ซื้อ'!B:B,A229,'💸 Transaction ซื้อ'!E:E),""),"-")</f>
        <v/>
      </c>
      <c r="G229" s="24" t="str">
        <f t="shared" si="1"/>
        <v/>
      </c>
      <c r="H229" s="25"/>
      <c r="I229" s="26"/>
      <c r="J229" s="26"/>
      <c r="K229" s="27" t="str">
        <f>IF(A229&lt;&gt;"",IF(E229="InActive","-",SUMIFS('💰 Transaction ขาย'!E:E,'💰 Transaction ขาย'!B:B,A229,'💰 Transaction ขาย'!A:A,"&gt;"&amp;'⚙️ Config'!$H$1-'⚙️ Config'!$H$2)),)</f>
        <v/>
      </c>
      <c r="L229" s="28" t="str">
        <f>IF(E229="InActive","-",IF(A229&lt;&gt;"",K229/'⚙️ Config'!$H$2,))</f>
        <v/>
      </c>
      <c r="M229" s="28" t="str">
        <f t="shared" si="2"/>
        <v/>
      </c>
      <c r="N229" s="28" t="str">
        <f>IF(A229&lt;&gt;"", SUMIFS('💰 Transaction ขาย'!F:F,'💰 Transaction ขาย'!B:B,A229,'💰 Transaction ขาย'!A:A,"&gt;="&amp;DATE(YEAR('⚙️ Config'!$H$1),1,1),'💰 Transaction ขาย'!A:A,"&lt;="&amp;DATE(YEAR('⚙️ Config'!$H$1),12,31)),)</f>
        <v/>
      </c>
    </row>
    <row r="230">
      <c r="A230" s="22"/>
      <c r="B230" s="22" t="str">
        <f>IF(A230&lt;&gt;"",SUMIFS('💸 Transaction ซื้อ'!E:E,'💸 Transaction ซื้อ'!B:B,A230)-SUMIFS('💰 Transaction ขาย'!E:E,'💰 Transaction ขาย'!B:B,A230),"")</f>
        <v/>
      </c>
      <c r="C230" s="23" t="str">
        <f>IF(A230&lt;&gt;"",vlookup(A230,'📦 ชื่อสินค้า'!A:E,5,false),"")</f>
        <v/>
      </c>
      <c r="D230" s="23" t="str">
        <f>IF(A230&lt;&gt;"",VLOOKUP(A230,'📦 ชื่อสินค้า'!A:F,6,false),"")</f>
        <v/>
      </c>
      <c r="E230" s="16" t="str">
        <f>IFERROR(IF(VLOOKUP(A230,'📦 ชื่อสินค้า'!A:G,7,false)="InActive","InActive",IF(A230&lt;&gt;"",IF(B230&lt;=0,"สินค้าหมด",IF(B230&lt;=C230,"ควรเติมทันที","OK")),"")),)</f>
        <v/>
      </c>
      <c r="F230" s="24" t="str">
        <f>IFERROR(IF(A230&lt;&gt;"", SUMIF('💸 Transaction ซื้อ'!B:B,A230,'💸 Transaction ซื้อ'!G:G)/SUMIF('💸 Transaction ซื้อ'!B:B,A230,'💸 Transaction ซื้อ'!E:E),""),"-")</f>
        <v/>
      </c>
      <c r="G230" s="24" t="str">
        <f t="shared" si="1"/>
        <v/>
      </c>
      <c r="H230" s="25"/>
      <c r="I230" s="26"/>
      <c r="J230" s="26"/>
      <c r="K230" s="27" t="str">
        <f>IF(A230&lt;&gt;"",IF(E230="InActive","-",SUMIFS('💰 Transaction ขาย'!E:E,'💰 Transaction ขาย'!B:B,A230,'💰 Transaction ขาย'!A:A,"&gt;"&amp;'⚙️ Config'!$H$1-'⚙️ Config'!$H$2)),)</f>
        <v/>
      </c>
      <c r="L230" s="28" t="str">
        <f>IF(E230="InActive","-",IF(A230&lt;&gt;"",K230/'⚙️ Config'!$H$2,))</f>
        <v/>
      </c>
      <c r="M230" s="28" t="str">
        <f t="shared" si="2"/>
        <v/>
      </c>
      <c r="N230" s="28" t="str">
        <f>IF(A230&lt;&gt;"", SUMIFS('💰 Transaction ขาย'!F:F,'💰 Transaction ขาย'!B:B,A230,'💰 Transaction ขาย'!A:A,"&gt;="&amp;DATE(YEAR('⚙️ Config'!$H$1),1,1),'💰 Transaction ขาย'!A:A,"&lt;="&amp;DATE(YEAR('⚙️ Config'!$H$1),12,31)),)</f>
        <v/>
      </c>
    </row>
    <row r="231">
      <c r="A231" s="22"/>
      <c r="B231" s="22" t="str">
        <f>IF(A231&lt;&gt;"",SUMIFS('💸 Transaction ซื้อ'!E:E,'💸 Transaction ซื้อ'!B:B,A231)-SUMIFS('💰 Transaction ขาย'!E:E,'💰 Transaction ขาย'!B:B,A231),"")</f>
        <v/>
      </c>
      <c r="C231" s="23" t="str">
        <f>IF(A231&lt;&gt;"",vlookup(A231,'📦 ชื่อสินค้า'!A:E,5,false),"")</f>
        <v/>
      </c>
      <c r="D231" s="23" t="str">
        <f>IF(A231&lt;&gt;"",VLOOKUP(A231,'📦 ชื่อสินค้า'!A:F,6,false),"")</f>
        <v/>
      </c>
      <c r="E231" s="16" t="str">
        <f>IFERROR(IF(VLOOKUP(A231,'📦 ชื่อสินค้า'!A:G,7,false)="InActive","InActive",IF(A231&lt;&gt;"",IF(B231&lt;=0,"สินค้าหมด",IF(B231&lt;=C231,"ควรเติมทันที","OK")),"")),)</f>
        <v/>
      </c>
      <c r="F231" s="24" t="str">
        <f>IFERROR(IF(A231&lt;&gt;"", SUMIF('💸 Transaction ซื้อ'!B:B,A231,'💸 Transaction ซื้อ'!G:G)/SUMIF('💸 Transaction ซื้อ'!B:B,A231,'💸 Transaction ซื้อ'!E:E),""),"-")</f>
        <v/>
      </c>
      <c r="G231" s="24" t="str">
        <f t="shared" si="1"/>
        <v/>
      </c>
      <c r="H231" s="25"/>
      <c r="I231" s="26"/>
      <c r="J231" s="26"/>
      <c r="K231" s="27" t="str">
        <f>IF(A231&lt;&gt;"",IF(E231="InActive","-",SUMIFS('💰 Transaction ขาย'!E:E,'💰 Transaction ขาย'!B:B,A231,'💰 Transaction ขาย'!A:A,"&gt;"&amp;'⚙️ Config'!$H$1-'⚙️ Config'!$H$2)),)</f>
        <v/>
      </c>
      <c r="L231" s="28" t="str">
        <f>IF(E231="InActive","-",IF(A231&lt;&gt;"",K231/'⚙️ Config'!$H$2,))</f>
        <v/>
      </c>
      <c r="M231" s="28" t="str">
        <f t="shared" si="2"/>
        <v/>
      </c>
      <c r="N231" s="28" t="str">
        <f>IF(A231&lt;&gt;"", SUMIFS('💰 Transaction ขาย'!F:F,'💰 Transaction ขาย'!B:B,A231,'💰 Transaction ขาย'!A:A,"&gt;="&amp;DATE(YEAR('⚙️ Config'!$H$1),1,1),'💰 Transaction ขาย'!A:A,"&lt;="&amp;DATE(YEAR('⚙️ Config'!$H$1),12,31)),)</f>
        <v/>
      </c>
    </row>
    <row r="232">
      <c r="A232" s="22"/>
      <c r="B232" s="22" t="str">
        <f>IF(A232&lt;&gt;"",SUMIFS('💸 Transaction ซื้อ'!E:E,'💸 Transaction ซื้อ'!B:B,A232)-SUMIFS('💰 Transaction ขาย'!E:E,'💰 Transaction ขาย'!B:B,A232),"")</f>
        <v/>
      </c>
      <c r="C232" s="23" t="str">
        <f>IF(A232&lt;&gt;"",vlookup(A232,'📦 ชื่อสินค้า'!A:E,5,false),"")</f>
        <v/>
      </c>
      <c r="D232" s="23" t="str">
        <f>IF(A232&lt;&gt;"",VLOOKUP(A232,'📦 ชื่อสินค้า'!A:F,6,false),"")</f>
        <v/>
      </c>
      <c r="E232" s="16" t="str">
        <f>IFERROR(IF(VLOOKUP(A232,'📦 ชื่อสินค้า'!A:G,7,false)="InActive","InActive",IF(A232&lt;&gt;"",IF(B232&lt;=0,"สินค้าหมด",IF(B232&lt;=C232,"ควรเติมทันที","OK")),"")),)</f>
        <v/>
      </c>
      <c r="F232" s="24" t="str">
        <f>IFERROR(IF(A232&lt;&gt;"", SUMIF('💸 Transaction ซื้อ'!B:B,A232,'💸 Transaction ซื้อ'!G:G)/SUMIF('💸 Transaction ซื้อ'!B:B,A232,'💸 Transaction ซื้อ'!E:E),""),"-")</f>
        <v/>
      </c>
      <c r="G232" s="24" t="str">
        <f t="shared" si="1"/>
        <v/>
      </c>
      <c r="H232" s="25"/>
      <c r="I232" s="26"/>
      <c r="J232" s="26"/>
      <c r="K232" s="27" t="str">
        <f>IF(A232&lt;&gt;"",IF(E232="InActive","-",SUMIFS('💰 Transaction ขาย'!E:E,'💰 Transaction ขาย'!B:B,A232,'💰 Transaction ขาย'!A:A,"&gt;"&amp;'⚙️ Config'!$H$1-'⚙️ Config'!$H$2)),)</f>
        <v/>
      </c>
      <c r="L232" s="28" t="str">
        <f>IF(E232="InActive","-",IF(A232&lt;&gt;"",K232/'⚙️ Config'!$H$2,))</f>
        <v/>
      </c>
      <c r="M232" s="28" t="str">
        <f t="shared" si="2"/>
        <v/>
      </c>
      <c r="N232" s="28" t="str">
        <f>IF(A232&lt;&gt;"", SUMIFS('💰 Transaction ขาย'!F:F,'💰 Transaction ขาย'!B:B,A232,'💰 Transaction ขาย'!A:A,"&gt;="&amp;DATE(YEAR('⚙️ Config'!$H$1),1,1),'💰 Transaction ขาย'!A:A,"&lt;="&amp;DATE(YEAR('⚙️ Config'!$H$1),12,31)),)</f>
        <v/>
      </c>
    </row>
    <row r="233">
      <c r="A233" s="22"/>
      <c r="B233" s="22" t="str">
        <f>IF(A233&lt;&gt;"",SUMIFS('💸 Transaction ซื้อ'!E:E,'💸 Transaction ซื้อ'!B:B,A233)-SUMIFS('💰 Transaction ขาย'!E:E,'💰 Transaction ขาย'!B:B,A233),"")</f>
        <v/>
      </c>
      <c r="C233" s="23" t="str">
        <f>IF(A233&lt;&gt;"",vlookup(A233,'📦 ชื่อสินค้า'!A:E,5,false),"")</f>
        <v/>
      </c>
      <c r="D233" s="23" t="str">
        <f>IF(A233&lt;&gt;"",VLOOKUP(A233,'📦 ชื่อสินค้า'!A:F,6,false),"")</f>
        <v/>
      </c>
      <c r="E233" s="16" t="str">
        <f>IFERROR(IF(VLOOKUP(A233,'📦 ชื่อสินค้า'!A:G,7,false)="InActive","InActive",IF(A233&lt;&gt;"",IF(B233&lt;=0,"สินค้าหมด",IF(B233&lt;=C233,"ควรเติมทันที","OK")),"")),)</f>
        <v/>
      </c>
      <c r="F233" s="24" t="str">
        <f>IFERROR(IF(A233&lt;&gt;"", SUMIF('💸 Transaction ซื้อ'!B:B,A233,'💸 Transaction ซื้อ'!G:G)/SUMIF('💸 Transaction ซื้อ'!B:B,A233,'💸 Transaction ซื้อ'!E:E),""),"-")</f>
        <v/>
      </c>
      <c r="G233" s="24" t="str">
        <f t="shared" si="1"/>
        <v/>
      </c>
      <c r="H233" s="25"/>
      <c r="I233" s="26"/>
      <c r="J233" s="26"/>
      <c r="K233" s="27" t="str">
        <f>IF(A233&lt;&gt;"",IF(E233="InActive","-",SUMIFS('💰 Transaction ขาย'!E:E,'💰 Transaction ขาย'!B:B,A233,'💰 Transaction ขาย'!A:A,"&gt;"&amp;'⚙️ Config'!$H$1-'⚙️ Config'!$H$2)),)</f>
        <v/>
      </c>
      <c r="L233" s="28" t="str">
        <f>IF(E233="InActive","-",IF(A233&lt;&gt;"",K233/'⚙️ Config'!$H$2,))</f>
        <v/>
      </c>
      <c r="M233" s="28" t="str">
        <f t="shared" si="2"/>
        <v/>
      </c>
      <c r="N233" s="28" t="str">
        <f>IF(A233&lt;&gt;"", SUMIFS('💰 Transaction ขาย'!F:F,'💰 Transaction ขาย'!B:B,A233,'💰 Transaction ขาย'!A:A,"&gt;="&amp;DATE(YEAR('⚙️ Config'!$H$1),1,1),'💰 Transaction ขาย'!A:A,"&lt;="&amp;DATE(YEAR('⚙️ Config'!$H$1),12,31)),)</f>
        <v/>
      </c>
    </row>
    <row r="234">
      <c r="A234" s="22"/>
      <c r="B234" s="22" t="str">
        <f>IF(A234&lt;&gt;"",SUMIFS('💸 Transaction ซื้อ'!E:E,'💸 Transaction ซื้อ'!B:B,A234)-SUMIFS('💰 Transaction ขาย'!E:E,'💰 Transaction ขาย'!B:B,A234),"")</f>
        <v/>
      </c>
      <c r="C234" s="23" t="str">
        <f>IF(A234&lt;&gt;"",vlookup(A234,'📦 ชื่อสินค้า'!A:E,5,false),"")</f>
        <v/>
      </c>
      <c r="D234" s="23" t="str">
        <f>IF(A234&lt;&gt;"",VLOOKUP(A234,'📦 ชื่อสินค้า'!A:F,6,false),"")</f>
        <v/>
      </c>
      <c r="E234" s="16" t="str">
        <f>IFERROR(IF(VLOOKUP(A234,'📦 ชื่อสินค้า'!A:G,7,false)="InActive","InActive",IF(A234&lt;&gt;"",IF(B234&lt;=0,"สินค้าหมด",IF(B234&lt;=C234,"ควรเติมทันที","OK")),"")),)</f>
        <v/>
      </c>
      <c r="F234" s="24" t="str">
        <f>IFERROR(IF(A234&lt;&gt;"", SUMIF('💸 Transaction ซื้อ'!B:B,A234,'💸 Transaction ซื้อ'!G:G)/SUMIF('💸 Transaction ซื้อ'!B:B,A234,'💸 Transaction ซื้อ'!E:E),""),"-")</f>
        <v/>
      </c>
      <c r="G234" s="24" t="str">
        <f t="shared" si="1"/>
        <v/>
      </c>
      <c r="H234" s="25"/>
      <c r="I234" s="26"/>
      <c r="J234" s="26"/>
      <c r="K234" s="27" t="str">
        <f>IF(A234&lt;&gt;"",IF(E234="InActive","-",SUMIFS('💰 Transaction ขาย'!E:E,'💰 Transaction ขาย'!B:B,A234,'💰 Transaction ขาย'!A:A,"&gt;"&amp;'⚙️ Config'!$H$1-'⚙️ Config'!$H$2)),)</f>
        <v/>
      </c>
      <c r="L234" s="28" t="str">
        <f>IF(E234="InActive","-",IF(A234&lt;&gt;"",K234/'⚙️ Config'!$H$2,))</f>
        <v/>
      </c>
      <c r="M234" s="28" t="str">
        <f t="shared" si="2"/>
        <v/>
      </c>
      <c r="N234" s="28" t="str">
        <f>IF(A234&lt;&gt;"", SUMIFS('💰 Transaction ขาย'!F:F,'💰 Transaction ขาย'!B:B,A234,'💰 Transaction ขาย'!A:A,"&gt;="&amp;DATE(YEAR('⚙️ Config'!$H$1),1,1),'💰 Transaction ขาย'!A:A,"&lt;="&amp;DATE(YEAR('⚙️ Config'!$H$1),12,31)),)</f>
        <v/>
      </c>
    </row>
    <row r="235">
      <c r="A235" s="22"/>
      <c r="B235" s="22" t="str">
        <f>IF(A235&lt;&gt;"",SUMIFS('💸 Transaction ซื้อ'!E:E,'💸 Transaction ซื้อ'!B:B,A235)-SUMIFS('💰 Transaction ขาย'!E:E,'💰 Transaction ขาย'!B:B,A235),"")</f>
        <v/>
      </c>
      <c r="C235" s="23" t="str">
        <f>IF(A235&lt;&gt;"",vlookup(A235,'📦 ชื่อสินค้า'!A:E,5,false),"")</f>
        <v/>
      </c>
      <c r="D235" s="23" t="str">
        <f>IF(A235&lt;&gt;"",VLOOKUP(A235,'📦 ชื่อสินค้า'!A:F,6,false),"")</f>
        <v/>
      </c>
      <c r="E235" s="16" t="str">
        <f>IFERROR(IF(VLOOKUP(A235,'📦 ชื่อสินค้า'!A:G,7,false)="InActive","InActive",IF(A235&lt;&gt;"",IF(B235&lt;=0,"สินค้าหมด",IF(B235&lt;=C235,"ควรเติมทันที","OK")),"")),)</f>
        <v/>
      </c>
      <c r="F235" s="24" t="str">
        <f>IFERROR(IF(A235&lt;&gt;"", SUMIF('💸 Transaction ซื้อ'!B:B,A235,'💸 Transaction ซื้อ'!G:G)/SUMIF('💸 Transaction ซื้อ'!B:B,A235,'💸 Transaction ซื้อ'!E:E),""),"-")</f>
        <v/>
      </c>
      <c r="G235" s="24" t="str">
        <f t="shared" si="1"/>
        <v/>
      </c>
      <c r="H235" s="25"/>
      <c r="I235" s="26"/>
      <c r="J235" s="26"/>
      <c r="K235" s="27" t="str">
        <f>IF(A235&lt;&gt;"",IF(E235="InActive","-",SUMIFS('💰 Transaction ขาย'!E:E,'💰 Transaction ขาย'!B:B,A235,'💰 Transaction ขาย'!A:A,"&gt;"&amp;'⚙️ Config'!$H$1-'⚙️ Config'!$H$2)),)</f>
        <v/>
      </c>
      <c r="L235" s="28" t="str">
        <f>IF(E235="InActive","-",IF(A235&lt;&gt;"",K235/'⚙️ Config'!$H$2,))</f>
        <v/>
      </c>
      <c r="M235" s="28" t="str">
        <f t="shared" si="2"/>
        <v/>
      </c>
      <c r="N235" s="28" t="str">
        <f>IF(A235&lt;&gt;"", SUMIFS('💰 Transaction ขาย'!F:F,'💰 Transaction ขาย'!B:B,A235,'💰 Transaction ขาย'!A:A,"&gt;="&amp;DATE(YEAR('⚙️ Config'!$H$1),1,1),'💰 Transaction ขาย'!A:A,"&lt;="&amp;DATE(YEAR('⚙️ Config'!$H$1),12,31)),)</f>
        <v/>
      </c>
    </row>
    <row r="236">
      <c r="A236" s="22"/>
      <c r="B236" s="22" t="str">
        <f>IF(A236&lt;&gt;"",SUMIFS('💸 Transaction ซื้อ'!E:E,'💸 Transaction ซื้อ'!B:B,A236)-SUMIFS('💰 Transaction ขาย'!E:E,'💰 Transaction ขาย'!B:B,A236),"")</f>
        <v/>
      </c>
      <c r="C236" s="23" t="str">
        <f>IF(A236&lt;&gt;"",vlookup(A236,'📦 ชื่อสินค้า'!A:E,5,false),"")</f>
        <v/>
      </c>
      <c r="D236" s="23" t="str">
        <f>IF(A236&lt;&gt;"",VLOOKUP(A236,'📦 ชื่อสินค้า'!A:F,6,false),"")</f>
        <v/>
      </c>
      <c r="E236" s="16" t="str">
        <f>IFERROR(IF(VLOOKUP(A236,'📦 ชื่อสินค้า'!A:G,7,false)="InActive","InActive",IF(A236&lt;&gt;"",IF(B236&lt;=0,"สินค้าหมด",IF(B236&lt;=C236,"ควรเติมทันที","OK")),"")),)</f>
        <v/>
      </c>
      <c r="F236" s="24" t="str">
        <f>IFERROR(IF(A236&lt;&gt;"", SUMIF('💸 Transaction ซื้อ'!B:B,A236,'💸 Transaction ซื้อ'!G:G)/SUMIF('💸 Transaction ซื้อ'!B:B,A236,'💸 Transaction ซื้อ'!E:E),""),"-")</f>
        <v/>
      </c>
      <c r="G236" s="24" t="str">
        <f t="shared" si="1"/>
        <v/>
      </c>
      <c r="H236" s="25"/>
      <c r="I236" s="26"/>
      <c r="J236" s="26"/>
      <c r="K236" s="27" t="str">
        <f>IF(A236&lt;&gt;"",IF(E236="InActive","-",SUMIFS('💰 Transaction ขาย'!E:E,'💰 Transaction ขาย'!B:B,A236,'💰 Transaction ขาย'!A:A,"&gt;"&amp;'⚙️ Config'!$H$1-'⚙️ Config'!$H$2)),)</f>
        <v/>
      </c>
      <c r="L236" s="28" t="str">
        <f>IF(E236="InActive","-",IF(A236&lt;&gt;"",K236/'⚙️ Config'!$H$2,))</f>
        <v/>
      </c>
      <c r="M236" s="28" t="str">
        <f t="shared" si="2"/>
        <v/>
      </c>
      <c r="N236" s="28" t="str">
        <f>IF(A236&lt;&gt;"", SUMIFS('💰 Transaction ขาย'!F:F,'💰 Transaction ขาย'!B:B,A236,'💰 Transaction ขาย'!A:A,"&gt;="&amp;DATE(YEAR('⚙️ Config'!$H$1),1,1),'💰 Transaction ขาย'!A:A,"&lt;="&amp;DATE(YEAR('⚙️ Config'!$H$1),12,31)),)</f>
        <v/>
      </c>
    </row>
    <row r="237">
      <c r="A237" s="22"/>
      <c r="B237" s="22" t="str">
        <f>IF(A237&lt;&gt;"",SUMIFS('💸 Transaction ซื้อ'!E:E,'💸 Transaction ซื้อ'!B:B,A237)-SUMIFS('💰 Transaction ขาย'!E:E,'💰 Transaction ขาย'!B:B,A237),"")</f>
        <v/>
      </c>
      <c r="C237" s="23" t="str">
        <f>IF(A237&lt;&gt;"",vlookup(A237,'📦 ชื่อสินค้า'!A:E,5,false),"")</f>
        <v/>
      </c>
      <c r="D237" s="23" t="str">
        <f>IF(A237&lt;&gt;"",VLOOKUP(A237,'📦 ชื่อสินค้า'!A:F,6,false),"")</f>
        <v/>
      </c>
      <c r="E237" s="16" t="str">
        <f>IFERROR(IF(VLOOKUP(A237,'📦 ชื่อสินค้า'!A:G,7,false)="InActive","InActive",IF(A237&lt;&gt;"",IF(B237&lt;=0,"สินค้าหมด",IF(B237&lt;=C237,"ควรเติมทันที","OK")),"")),)</f>
        <v/>
      </c>
      <c r="F237" s="24" t="str">
        <f>IFERROR(IF(A237&lt;&gt;"", SUMIF('💸 Transaction ซื้อ'!B:B,A237,'💸 Transaction ซื้อ'!G:G)/SUMIF('💸 Transaction ซื้อ'!B:B,A237,'💸 Transaction ซื้อ'!E:E),""),"-")</f>
        <v/>
      </c>
      <c r="G237" s="24" t="str">
        <f t="shared" si="1"/>
        <v/>
      </c>
      <c r="H237" s="25"/>
      <c r="I237" s="26"/>
      <c r="J237" s="26"/>
      <c r="K237" s="27" t="str">
        <f>IF(A237&lt;&gt;"",IF(E237="InActive","-",SUMIFS('💰 Transaction ขาย'!E:E,'💰 Transaction ขาย'!B:B,A237,'💰 Transaction ขาย'!A:A,"&gt;"&amp;'⚙️ Config'!$H$1-'⚙️ Config'!$H$2)),)</f>
        <v/>
      </c>
      <c r="L237" s="28" t="str">
        <f>IF(E237="InActive","-",IF(A237&lt;&gt;"",K237/'⚙️ Config'!$H$2,))</f>
        <v/>
      </c>
      <c r="M237" s="28" t="str">
        <f t="shared" si="2"/>
        <v/>
      </c>
      <c r="N237" s="28" t="str">
        <f>IF(A237&lt;&gt;"", SUMIFS('💰 Transaction ขาย'!F:F,'💰 Transaction ขาย'!B:B,A237,'💰 Transaction ขาย'!A:A,"&gt;="&amp;DATE(YEAR('⚙️ Config'!$H$1),1,1),'💰 Transaction ขาย'!A:A,"&lt;="&amp;DATE(YEAR('⚙️ Config'!$H$1),12,31)),)</f>
        <v/>
      </c>
    </row>
    <row r="238">
      <c r="A238" s="22"/>
      <c r="B238" s="22" t="str">
        <f>IF(A238&lt;&gt;"",SUMIFS('💸 Transaction ซื้อ'!E:E,'💸 Transaction ซื้อ'!B:B,A238)-SUMIFS('💰 Transaction ขาย'!E:E,'💰 Transaction ขาย'!B:B,A238),"")</f>
        <v/>
      </c>
      <c r="C238" s="23" t="str">
        <f>IF(A238&lt;&gt;"",vlookup(A238,'📦 ชื่อสินค้า'!A:E,5,false),"")</f>
        <v/>
      </c>
      <c r="D238" s="23" t="str">
        <f>IF(A238&lt;&gt;"",VLOOKUP(A238,'📦 ชื่อสินค้า'!A:F,6,false),"")</f>
        <v/>
      </c>
      <c r="E238" s="16" t="str">
        <f>IFERROR(IF(VLOOKUP(A238,'📦 ชื่อสินค้า'!A:G,7,false)="InActive","InActive",IF(A238&lt;&gt;"",IF(B238&lt;=0,"สินค้าหมด",IF(B238&lt;=C238,"ควรเติมทันที","OK")),"")),)</f>
        <v/>
      </c>
      <c r="F238" s="24" t="str">
        <f>IFERROR(IF(A238&lt;&gt;"", SUMIF('💸 Transaction ซื้อ'!B:B,A238,'💸 Transaction ซื้อ'!G:G)/SUMIF('💸 Transaction ซื้อ'!B:B,A238,'💸 Transaction ซื้อ'!E:E),""),"-")</f>
        <v/>
      </c>
      <c r="G238" s="24" t="str">
        <f t="shared" si="1"/>
        <v/>
      </c>
      <c r="H238" s="25"/>
      <c r="I238" s="26"/>
      <c r="J238" s="26"/>
      <c r="K238" s="27" t="str">
        <f>IF(A238&lt;&gt;"",IF(E238="InActive","-",SUMIFS('💰 Transaction ขาย'!E:E,'💰 Transaction ขาย'!B:B,A238,'💰 Transaction ขาย'!A:A,"&gt;"&amp;'⚙️ Config'!$H$1-'⚙️ Config'!$H$2)),)</f>
        <v/>
      </c>
      <c r="L238" s="28" t="str">
        <f>IF(E238="InActive","-",IF(A238&lt;&gt;"",K238/'⚙️ Config'!$H$2,))</f>
        <v/>
      </c>
      <c r="M238" s="28" t="str">
        <f t="shared" si="2"/>
        <v/>
      </c>
      <c r="N238" s="28" t="str">
        <f>IF(A238&lt;&gt;"", SUMIFS('💰 Transaction ขาย'!F:F,'💰 Transaction ขาย'!B:B,A238,'💰 Transaction ขาย'!A:A,"&gt;="&amp;DATE(YEAR('⚙️ Config'!$H$1),1,1),'💰 Transaction ขาย'!A:A,"&lt;="&amp;DATE(YEAR('⚙️ Config'!$H$1),12,31)),)</f>
        <v/>
      </c>
    </row>
    <row r="239">
      <c r="A239" s="22"/>
      <c r="B239" s="22" t="str">
        <f>IF(A239&lt;&gt;"",SUMIFS('💸 Transaction ซื้อ'!E:E,'💸 Transaction ซื้อ'!B:B,A239)-SUMIFS('💰 Transaction ขาย'!E:E,'💰 Transaction ขาย'!B:B,A239),"")</f>
        <v/>
      </c>
      <c r="C239" s="23" t="str">
        <f>IF(A239&lt;&gt;"",vlookup(A239,'📦 ชื่อสินค้า'!A:E,5,false),"")</f>
        <v/>
      </c>
      <c r="D239" s="23" t="str">
        <f>IF(A239&lt;&gt;"",VLOOKUP(A239,'📦 ชื่อสินค้า'!A:F,6,false),"")</f>
        <v/>
      </c>
      <c r="E239" s="16" t="str">
        <f>IFERROR(IF(VLOOKUP(A239,'📦 ชื่อสินค้า'!A:G,7,false)="InActive","InActive",IF(A239&lt;&gt;"",IF(B239&lt;=0,"สินค้าหมด",IF(B239&lt;=C239,"ควรเติมทันที","OK")),"")),)</f>
        <v/>
      </c>
      <c r="F239" s="24" t="str">
        <f>IFERROR(IF(A239&lt;&gt;"", SUMIF('💸 Transaction ซื้อ'!B:B,A239,'💸 Transaction ซื้อ'!G:G)/SUMIF('💸 Transaction ซื้อ'!B:B,A239,'💸 Transaction ซื้อ'!E:E),""),"-")</f>
        <v/>
      </c>
      <c r="G239" s="24" t="str">
        <f t="shared" si="1"/>
        <v/>
      </c>
      <c r="H239" s="25"/>
      <c r="I239" s="26"/>
      <c r="J239" s="26"/>
      <c r="K239" s="27" t="str">
        <f>IF(A239&lt;&gt;"",IF(E239="InActive","-",SUMIFS('💰 Transaction ขาย'!E:E,'💰 Transaction ขาย'!B:B,A239,'💰 Transaction ขาย'!A:A,"&gt;"&amp;'⚙️ Config'!$H$1-'⚙️ Config'!$H$2)),)</f>
        <v/>
      </c>
      <c r="L239" s="28" t="str">
        <f>IF(E239="InActive","-",IF(A239&lt;&gt;"",K239/'⚙️ Config'!$H$2,))</f>
        <v/>
      </c>
      <c r="M239" s="28" t="str">
        <f t="shared" si="2"/>
        <v/>
      </c>
      <c r="N239" s="28" t="str">
        <f>IF(A239&lt;&gt;"", SUMIFS('💰 Transaction ขาย'!F:F,'💰 Transaction ขาย'!B:B,A239,'💰 Transaction ขาย'!A:A,"&gt;="&amp;DATE(YEAR('⚙️ Config'!$H$1),1,1),'💰 Transaction ขาย'!A:A,"&lt;="&amp;DATE(YEAR('⚙️ Config'!$H$1),12,31)),)</f>
        <v/>
      </c>
    </row>
    <row r="240">
      <c r="A240" s="22"/>
      <c r="B240" s="22" t="str">
        <f>IF(A240&lt;&gt;"",SUMIFS('💸 Transaction ซื้อ'!E:E,'💸 Transaction ซื้อ'!B:B,A240)-SUMIFS('💰 Transaction ขาย'!E:E,'💰 Transaction ขาย'!B:B,A240),"")</f>
        <v/>
      </c>
      <c r="C240" s="23" t="str">
        <f>IF(A240&lt;&gt;"",vlookup(A240,'📦 ชื่อสินค้า'!A:E,5,false),"")</f>
        <v/>
      </c>
      <c r="D240" s="23" t="str">
        <f>IF(A240&lt;&gt;"",VLOOKUP(A240,'📦 ชื่อสินค้า'!A:F,6,false),"")</f>
        <v/>
      </c>
      <c r="E240" s="16" t="str">
        <f>IFERROR(IF(VLOOKUP(A240,'📦 ชื่อสินค้า'!A:G,7,false)="InActive","InActive",IF(A240&lt;&gt;"",IF(B240&lt;=0,"สินค้าหมด",IF(B240&lt;=C240,"ควรเติมทันที","OK")),"")),)</f>
        <v/>
      </c>
      <c r="F240" s="24" t="str">
        <f>IFERROR(IF(A240&lt;&gt;"", SUMIF('💸 Transaction ซื้อ'!B:B,A240,'💸 Transaction ซื้อ'!G:G)/SUMIF('💸 Transaction ซื้อ'!B:B,A240,'💸 Transaction ซื้อ'!E:E),""),"-")</f>
        <v/>
      </c>
      <c r="G240" s="24" t="str">
        <f t="shared" si="1"/>
        <v/>
      </c>
      <c r="H240" s="25"/>
      <c r="I240" s="26"/>
      <c r="J240" s="26"/>
      <c r="K240" s="27" t="str">
        <f>IF(A240&lt;&gt;"",IF(E240="InActive","-",SUMIFS('💰 Transaction ขาย'!E:E,'💰 Transaction ขาย'!B:B,A240,'💰 Transaction ขาย'!A:A,"&gt;"&amp;'⚙️ Config'!$H$1-'⚙️ Config'!$H$2)),)</f>
        <v/>
      </c>
      <c r="L240" s="28" t="str">
        <f>IF(E240="InActive","-",IF(A240&lt;&gt;"",K240/'⚙️ Config'!$H$2,))</f>
        <v/>
      </c>
      <c r="M240" s="28" t="str">
        <f t="shared" si="2"/>
        <v/>
      </c>
      <c r="N240" s="28" t="str">
        <f>IF(A240&lt;&gt;"", SUMIFS('💰 Transaction ขาย'!F:F,'💰 Transaction ขาย'!B:B,A240,'💰 Transaction ขาย'!A:A,"&gt;="&amp;DATE(YEAR('⚙️ Config'!$H$1),1,1),'💰 Transaction ขาย'!A:A,"&lt;="&amp;DATE(YEAR('⚙️ Config'!$H$1),12,31)),)</f>
        <v/>
      </c>
    </row>
    <row r="241">
      <c r="A241" s="22"/>
      <c r="B241" s="22" t="str">
        <f>IF(A241&lt;&gt;"",SUMIFS('💸 Transaction ซื้อ'!E:E,'💸 Transaction ซื้อ'!B:B,A241)-SUMIFS('💰 Transaction ขาย'!E:E,'💰 Transaction ขาย'!B:B,A241),"")</f>
        <v/>
      </c>
      <c r="C241" s="23" t="str">
        <f>IF(A241&lt;&gt;"",vlookup(A241,'📦 ชื่อสินค้า'!A:E,5,false),"")</f>
        <v/>
      </c>
      <c r="D241" s="23" t="str">
        <f>IF(A241&lt;&gt;"",VLOOKUP(A241,'📦 ชื่อสินค้า'!A:F,6,false),"")</f>
        <v/>
      </c>
      <c r="E241" s="16" t="str">
        <f>IFERROR(IF(VLOOKUP(A241,'📦 ชื่อสินค้า'!A:G,7,false)="InActive","InActive",IF(A241&lt;&gt;"",IF(B241&lt;=0,"สินค้าหมด",IF(B241&lt;=C241,"ควรเติมทันที","OK")),"")),)</f>
        <v/>
      </c>
      <c r="F241" s="24" t="str">
        <f>IFERROR(IF(A241&lt;&gt;"", SUMIF('💸 Transaction ซื้อ'!B:B,A241,'💸 Transaction ซื้อ'!G:G)/SUMIF('💸 Transaction ซื้อ'!B:B,A241,'💸 Transaction ซื้อ'!E:E),""),"-")</f>
        <v/>
      </c>
      <c r="G241" s="24" t="str">
        <f t="shared" si="1"/>
        <v/>
      </c>
      <c r="H241" s="25"/>
      <c r="I241" s="26"/>
      <c r="J241" s="26"/>
      <c r="K241" s="27" t="str">
        <f>IF(A241&lt;&gt;"",IF(E241="InActive","-",SUMIFS('💰 Transaction ขาย'!E:E,'💰 Transaction ขาย'!B:B,A241,'💰 Transaction ขาย'!A:A,"&gt;"&amp;'⚙️ Config'!$H$1-'⚙️ Config'!$H$2)),)</f>
        <v/>
      </c>
      <c r="L241" s="28" t="str">
        <f>IF(E241="InActive","-",IF(A241&lt;&gt;"",K241/'⚙️ Config'!$H$2,))</f>
        <v/>
      </c>
      <c r="M241" s="28" t="str">
        <f t="shared" si="2"/>
        <v/>
      </c>
      <c r="N241" s="28" t="str">
        <f>IF(A241&lt;&gt;"", SUMIFS('💰 Transaction ขาย'!F:F,'💰 Transaction ขาย'!B:B,A241,'💰 Transaction ขาย'!A:A,"&gt;="&amp;DATE(YEAR('⚙️ Config'!$H$1),1,1),'💰 Transaction ขาย'!A:A,"&lt;="&amp;DATE(YEAR('⚙️ Config'!$H$1),12,31)),)</f>
        <v/>
      </c>
    </row>
    <row r="242">
      <c r="A242" s="22"/>
      <c r="B242" s="22" t="str">
        <f>IF(A242&lt;&gt;"",SUMIFS('💸 Transaction ซื้อ'!E:E,'💸 Transaction ซื้อ'!B:B,A242)-SUMIFS('💰 Transaction ขาย'!E:E,'💰 Transaction ขาย'!B:B,A242),"")</f>
        <v/>
      </c>
      <c r="C242" s="23" t="str">
        <f>IF(A242&lt;&gt;"",vlookup(A242,'📦 ชื่อสินค้า'!A:E,5,false),"")</f>
        <v/>
      </c>
      <c r="D242" s="23" t="str">
        <f>IF(A242&lt;&gt;"",VLOOKUP(A242,'📦 ชื่อสินค้า'!A:F,6,false),"")</f>
        <v/>
      </c>
      <c r="E242" s="16" t="str">
        <f>IFERROR(IF(VLOOKUP(A242,'📦 ชื่อสินค้า'!A:G,7,false)="InActive","InActive",IF(A242&lt;&gt;"",IF(B242&lt;=0,"สินค้าหมด",IF(B242&lt;=C242,"ควรเติมทันที","OK")),"")),)</f>
        <v/>
      </c>
      <c r="F242" s="24" t="str">
        <f>IFERROR(IF(A242&lt;&gt;"", SUMIF('💸 Transaction ซื้อ'!B:B,A242,'💸 Transaction ซื้อ'!G:G)/SUMIF('💸 Transaction ซื้อ'!B:B,A242,'💸 Transaction ซื้อ'!E:E),""),"-")</f>
        <v/>
      </c>
      <c r="G242" s="24" t="str">
        <f t="shared" si="1"/>
        <v/>
      </c>
      <c r="H242" s="25"/>
      <c r="I242" s="26"/>
      <c r="J242" s="26"/>
      <c r="K242" s="27" t="str">
        <f>IF(A242&lt;&gt;"",IF(E242="InActive","-",SUMIFS('💰 Transaction ขาย'!E:E,'💰 Transaction ขาย'!B:B,A242,'💰 Transaction ขาย'!A:A,"&gt;"&amp;'⚙️ Config'!$H$1-'⚙️ Config'!$H$2)),)</f>
        <v/>
      </c>
      <c r="L242" s="28" t="str">
        <f>IF(E242="InActive","-",IF(A242&lt;&gt;"",K242/'⚙️ Config'!$H$2,))</f>
        <v/>
      </c>
      <c r="M242" s="28" t="str">
        <f t="shared" si="2"/>
        <v/>
      </c>
      <c r="N242" s="28" t="str">
        <f>IF(A242&lt;&gt;"", SUMIFS('💰 Transaction ขาย'!F:F,'💰 Transaction ขาย'!B:B,A242,'💰 Transaction ขาย'!A:A,"&gt;="&amp;DATE(YEAR('⚙️ Config'!$H$1),1,1),'💰 Transaction ขาย'!A:A,"&lt;="&amp;DATE(YEAR('⚙️ Config'!$H$1),12,31)),)</f>
        <v/>
      </c>
    </row>
    <row r="243">
      <c r="A243" s="22"/>
      <c r="B243" s="22" t="str">
        <f>IF(A243&lt;&gt;"",SUMIFS('💸 Transaction ซื้อ'!E:E,'💸 Transaction ซื้อ'!B:B,A243)-SUMIFS('💰 Transaction ขาย'!E:E,'💰 Transaction ขาย'!B:B,A243),"")</f>
        <v/>
      </c>
      <c r="C243" s="23" t="str">
        <f>IF(A243&lt;&gt;"",vlookup(A243,'📦 ชื่อสินค้า'!A:E,5,false),"")</f>
        <v/>
      </c>
      <c r="D243" s="23" t="str">
        <f>IF(A243&lt;&gt;"",VLOOKUP(A243,'📦 ชื่อสินค้า'!A:F,6,false),"")</f>
        <v/>
      </c>
      <c r="E243" s="16" t="str">
        <f>IFERROR(IF(VLOOKUP(A243,'📦 ชื่อสินค้า'!A:G,7,false)="InActive","InActive",IF(A243&lt;&gt;"",IF(B243&lt;=0,"สินค้าหมด",IF(B243&lt;=C243,"ควรเติมทันที","OK")),"")),)</f>
        <v/>
      </c>
      <c r="F243" s="24" t="str">
        <f>IFERROR(IF(A243&lt;&gt;"", SUMIF('💸 Transaction ซื้อ'!B:B,A243,'💸 Transaction ซื้อ'!G:G)/SUMIF('💸 Transaction ซื้อ'!B:B,A243,'💸 Transaction ซื้อ'!E:E),""),"-")</f>
        <v/>
      </c>
      <c r="G243" s="24" t="str">
        <f t="shared" si="1"/>
        <v/>
      </c>
      <c r="H243" s="25"/>
      <c r="I243" s="26"/>
      <c r="J243" s="26"/>
      <c r="K243" s="27" t="str">
        <f>IF(A243&lt;&gt;"",IF(E243="InActive","-",SUMIFS('💰 Transaction ขาย'!E:E,'💰 Transaction ขาย'!B:B,A243,'💰 Transaction ขาย'!A:A,"&gt;"&amp;'⚙️ Config'!$H$1-'⚙️ Config'!$H$2)),)</f>
        <v/>
      </c>
      <c r="L243" s="28" t="str">
        <f>IF(E243="InActive","-",IF(A243&lt;&gt;"",K243/'⚙️ Config'!$H$2,))</f>
        <v/>
      </c>
      <c r="M243" s="28" t="str">
        <f t="shared" si="2"/>
        <v/>
      </c>
      <c r="N243" s="28" t="str">
        <f>IF(A243&lt;&gt;"", SUMIFS('💰 Transaction ขาย'!F:F,'💰 Transaction ขาย'!B:B,A243,'💰 Transaction ขาย'!A:A,"&gt;="&amp;DATE(YEAR('⚙️ Config'!$H$1),1,1),'💰 Transaction ขาย'!A:A,"&lt;="&amp;DATE(YEAR('⚙️ Config'!$H$1),12,31)),)</f>
        <v/>
      </c>
    </row>
    <row r="244">
      <c r="A244" s="22"/>
      <c r="B244" s="22" t="str">
        <f>IF(A244&lt;&gt;"",SUMIFS('💸 Transaction ซื้อ'!E:E,'💸 Transaction ซื้อ'!B:B,A244)-SUMIFS('💰 Transaction ขาย'!E:E,'💰 Transaction ขาย'!B:B,A244),"")</f>
        <v/>
      </c>
      <c r="C244" s="23" t="str">
        <f>IF(A244&lt;&gt;"",vlookup(A244,'📦 ชื่อสินค้า'!A:E,5,false),"")</f>
        <v/>
      </c>
      <c r="D244" s="23" t="str">
        <f>IF(A244&lt;&gt;"",VLOOKUP(A244,'📦 ชื่อสินค้า'!A:F,6,false),"")</f>
        <v/>
      </c>
      <c r="E244" s="16" t="str">
        <f>IFERROR(IF(VLOOKUP(A244,'📦 ชื่อสินค้า'!A:G,7,false)="InActive","InActive",IF(A244&lt;&gt;"",IF(B244&lt;=0,"สินค้าหมด",IF(B244&lt;=C244,"ควรเติมทันที","OK")),"")),)</f>
        <v/>
      </c>
      <c r="F244" s="24" t="str">
        <f>IFERROR(IF(A244&lt;&gt;"", SUMIF('💸 Transaction ซื้อ'!B:B,A244,'💸 Transaction ซื้อ'!G:G)/SUMIF('💸 Transaction ซื้อ'!B:B,A244,'💸 Transaction ซื้อ'!E:E),""),"-")</f>
        <v/>
      </c>
      <c r="G244" s="24" t="str">
        <f t="shared" si="1"/>
        <v/>
      </c>
      <c r="H244" s="25"/>
      <c r="I244" s="26"/>
      <c r="J244" s="26"/>
      <c r="K244" s="27" t="str">
        <f>IF(A244&lt;&gt;"",IF(E244="InActive","-",SUMIFS('💰 Transaction ขาย'!E:E,'💰 Transaction ขาย'!B:B,A244,'💰 Transaction ขาย'!A:A,"&gt;"&amp;'⚙️ Config'!$H$1-'⚙️ Config'!$H$2)),)</f>
        <v/>
      </c>
      <c r="L244" s="28" t="str">
        <f>IF(E244="InActive","-",IF(A244&lt;&gt;"",K244/'⚙️ Config'!$H$2,))</f>
        <v/>
      </c>
      <c r="M244" s="28" t="str">
        <f t="shared" si="2"/>
        <v/>
      </c>
      <c r="N244" s="28" t="str">
        <f>IF(A244&lt;&gt;"", SUMIFS('💰 Transaction ขาย'!F:F,'💰 Transaction ขาย'!B:B,A244,'💰 Transaction ขาย'!A:A,"&gt;="&amp;DATE(YEAR('⚙️ Config'!$H$1),1,1),'💰 Transaction ขาย'!A:A,"&lt;="&amp;DATE(YEAR('⚙️ Config'!$H$1),12,31)),)</f>
        <v/>
      </c>
    </row>
    <row r="245">
      <c r="A245" s="22"/>
      <c r="B245" s="22" t="str">
        <f>IF(A245&lt;&gt;"",SUMIFS('💸 Transaction ซื้อ'!E:E,'💸 Transaction ซื้อ'!B:B,A245)-SUMIFS('💰 Transaction ขาย'!E:E,'💰 Transaction ขาย'!B:B,A245),"")</f>
        <v/>
      </c>
      <c r="C245" s="23" t="str">
        <f>IF(A245&lt;&gt;"",vlookup(A245,'📦 ชื่อสินค้า'!A:E,5,false),"")</f>
        <v/>
      </c>
      <c r="D245" s="23" t="str">
        <f>IF(A245&lt;&gt;"",VLOOKUP(A245,'📦 ชื่อสินค้า'!A:F,6,false),"")</f>
        <v/>
      </c>
      <c r="E245" s="16" t="str">
        <f>IFERROR(IF(VLOOKUP(A245,'📦 ชื่อสินค้า'!A:G,7,false)="InActive","InActive",IF(A245&lt;&gt;"",IF(B245&lt;=0,"สินค้าหมด",IF(B245&lt;=C245,"ควรเติมทันที","OK")),"")),)</f>
        <v/>
      </c>
      <c r="F245" s="24" t="str">
        <f>IFERROR(IF(A245&lt;&gt;"", SUMIF('💸 Transaction ซื้อ'!B:B,A245,'💸 Transaction ซื้อ'!G:G)/SUMIF('💸 Transaction ซื้อ'!B:B,A245,'💸 Transaction ซื้อ'!E:E),""),"-")</f>
        <v/>
      </c>
      <c r="G245" s="24" t="str">
        <f t="shared" si="1"/>
        <v/>
      </c>
      <c r="H245" s="25"/>
      <c r="I245" s="26"/>
      <c r="J245" s="26"/>
      <c r="K245" s="27" t="str">
        <f>IF(A245&lt;&gt;"",IF(E245="InActive","-",SUMIFS('💰 Transaction ขาย'!E:E,'💰 Transaction ขาย'!B:B,A245,'💰 Transaction ขาย'!A:A,"&gt;"&amp;'⚙️ Config'!$H$1-'⚙️ Config'!$H$2)),)</f>
        <v/>
      </c>
      <c r="L245" s="28" t="str">
        <f>IF(E245="InActive","-",IF(A245&lt;&gt;"",K245/'⚙️ Config'!$H$2,))</f>
        <v/>
      </c>
      <c r="M245" s="28" t="str">
        <f t="shared" si="2"/>
        <v/>
      </c>
      <c r="N245" s="28" t="str">
        <f>IF(A245&lt;&gt;"", SUMIFS('💰 Transaction ขาย'!F:F,'💰 Transaction ขาย'!B:B,A245,'💰 Transaction ขาย'!A:A,"&gt;="&amp;DATE(YEAR('⚙️ Config'!$H$1),1,1),'💰 Transaction ขาย'!A:A,"&lt;="&amp;DATE(YEAR('⚙️ Config'!$H$1),12,31)),)</f>
        <v/>
      </c>
    </row>
    <row r="246">
      <c r="A246" s="22"/>
      <c r="B246" s="22" t="str">
        <f>IF(A246&lt;&gt;"",SUMIFS('💸 Transaction ซื้อ'!E:E,'💸 Transaction ซื้อ'!B:B,A246)-SUMIFS('💰 Transaction ขาย'!E:E,'💰 Transaction ขาย'!B:B,A246),"")</f>
        <v/>
      </c>
      <c r="C246" s="23" t="str">
        <f>IF(A246&lt;&gt;"",vlookup(A246,'📦 ชื่อสินค้า'!A:E,5,false),"")</f>
        <v/>
      </c>
      <c r="D246" s="23" t="str">
        <f>IF(A246&lt;&gt;"",VLOOKUP(A246,'📦 ชื่อสินค้า'!A:F,6,false),"")</f>
        <v/>
      </c>
      <c r="E246" s="16" t="str">
        <f>IFERROR(IF(VLOOKUP(A246,'📦 ชื่อสินค้า'!A:G,7,false)="InActive","InActive",IF(A246&lt;&gt;"",IF(B246&lt;=0,"สินค้าหมด",IF(B246&lt;=C246,"ควรเติมทันที","OK")),"")),)</f>
        <v/>
      </c>
      <c r="F246" s="24" t="str">
        <f>IFERROR(IF(A246&lt;&gt;"", SUMIF('💸 Transaction ซื้อ'!B:B,A246,'💸 Transaction ซื้อ'!G:G)/SUMIF('💸 Transaction ซื้อ'!B:B,A246,'💸 Transaction ซื้อ'!E:E),""),"-")</f>
        <v/>
      </c>
      <c r="G246" s="24" t="str">
        <f t="shared" si="1"/>
        <v/>
      </c>
      <c r="H246" s="25"/>
      <c r="I246" s="26"/>
      <c r="J246" s="26"/>
      <c r="K246" s="27" t="str">
        <f>IF(A246&lt;&gt;"",IF(E246="InActive","-",SUMIFS('💰 Transaction ขาย'!E:E,'💰 Transaction ขาย'!B:B,A246,'💰 Transaction ขาย'!A:A,"&gt;"&amp;'⚙️ Config'!$H$1-'⚙️ Config'!$H$2)),)</f>
        <v/>
      </c>
      <c r="L246" s="28" t="str">
        <f>IF(E246="InActive","-",IF(A246&lt;&gt;"",K246/'⚙️ Config'!$H$2,))</f>
        <v/>
      </c>
      <c r="M246" s="28" t="str">
        <f t="shared" si="2"/>
        <v/>
      </c>
      <c r="N246" s="28" t="str">
        <f>IF(A246&lt;&gt;"", SUMIFS('💰 Transaction ขาย'!F:F,'💰 Transaction ขาย'!B:B,A246,'💰 Transaction ขาย'!A:A,"&gt;="&amp;DATE(YEAR('⚙️ Config'!$H$1),1,1),'💰 Transaction ขาย'!A:A,"&lt;="&amp;DATE(YEAR('⚙️ Config'!$H$1),12,31)),)</f>
        <v/>
      </c>
    </row>
    <row r="247">
      <c r="A247" s="22"/>
      <c r="B247" s="22" t="str">
        <f>IF(A247&lt;&gt;"",SUMIFS('💸 Transaction ซื้อ'!E:E,'💸 Transaction ซื้อ'!B:B,A247)-SUMIFS('💰 Transaction ขาย'!E:E,'💰 Transaction ขาย'!B:B,A247),"")</f>
        <v/>
      </c>
      <c r="C247" s="23" t="str">
        <f>IF(A247&lt;&gt;"",vlookup(A247,'📦 ชื่อสินค้า'!A:E,5,false),"")</f>
        <v/>
      </c>
      <c r="D247" s="23" t="str">
        <f>IF(A247&lt;&gt;"",VLOOKUP(A247,'📦 ชื่อสินค้า'!A:F,6,false),"")</f>
        <v/>
      </c>
      <c r="E247" s="16" t="str">
        <f>IFERROR(IF(VLOOKUP(A247,'📦 ชื่อสินค้า'!A:G,7,false)="InActive","InActive",IF(A247&lt;&gt;"",IF(B247&lt;=0,"สินค้าหมด",IF(B247&lt;=C247,"ควรเติมทันที","OK")),"")),)</f>
        <v/>
      </c>
      <c r="F247" s="24" t="str">
        <f>IFERROR(IF(A247&lt;&gt;"", SUMIF('💸 Transaction ซื้อ'!B:B,A247,'💸 Transaction ซื้อ'!G:G)/SUMIF('💸 Transaction ซื้อ'!B:B,A247,'💸 Transaction ซื้อ'!E:E),""),"-")</f>
        <v/>
      </c>
      <c r="G247" s="24" t="str">
        <f t="shared" si="1"/>
        <v/>
      </c>
      <c r="H247" s="25"/>
      <c r="I247" s="26"/>
      <c r="J247" s="26"/>
      <c r="K247" s="27" t="str">
        <f>IF(A247&lt;&gt;"",IF(E247="InActive","-",SUMIFS('💰 Transaction ขาย'!E:E,'💰 Transaction ขาย'!B:B,A247,'💰 Transaction ขาย'!A:A,"&gt;"&amp;'⚙️ Config'!$H$1-'⚙️ Config'!$H$2)),)</f>
        <v/>
      </c>
      <c r="L247" s="28" t="str">
        <f>IF(E247="InActive","-",IF(A247&lt;&gt;"",K247/'⚙️ Config'!$H$2,))</f>
        <v/>
      </c>
      <c r="M247" s="28" t="str">
        <f t="shared" si="2"/>
        <v/>
      </c>
      <c r="N247" s="28" t="str">
        <f>IF(A247&lt;&gt;"", SUMIFS('💰 Transaction ขาย'!F:F,'💰 Transaction ขาย'!B:B,A247,'💰 Transaction ขาย'!A:A,"&gt;="&amp;DATE(YEAR('⚙️ Config'!$H$1),1,1),'💰 Transaction ขาย'!A:A,"&lt;="&amp;DATE(YEAR('⚙️ Config'!$H$1),12,31)),)</f>
        <v/>
      </c>
    </row>
    <row r="248">
      <c r="A248" s="22"/>
      <c r="B248" s="22" t="str">
        <f>IF(A248&lt;&gt;"",SUMIFS('💸 Transaction ซื้อ'!E:E,'💸 Transaction ซื้อ'!B:B,A248)-SUMIFS('💰 Transaction ขาย'!E:E,'💰 Transaction ขาย'!B:B,A248),"")</f>
        <v/>
      </c>
      <c r="C248" s="23" t="str">
        <f>IF(A248&lt;&gt;"",vlookup(A248,'📦 ชื่อสินค้า'!A:E,5,false),"")</f>
        <v/>
      </c>
      <c r="D248" s="23" t="str">
        <f>IF(A248&lt;&gt;"",VLOOKUP(A248,'📦 ชื่อสินค้า'!A:F,6,false),"")</f>
        <v/>
      </c>
      <c r="E248" s="16" t="str">
        <f>IFERROR(IF(VLOOKUP(A248,'📦 ชื่อสินค้า'!A:G,7,false)="InActive","InActive",IF(A248&lt;&gt;"",IF(B248&lt;=0,"สินค้าหมด",IF(B248&lt;=C248,"ควรเติมทันที","OK")),"")),)</f>
        <v/>
      </c>
      <c r="F248" s="24" t="str">
        <f>IFERROR(IF(A248&lt;&gt;"", SUMIF('💸 Transaction ซื้อ'!B:B,A248,'💸 Transaction ซื้อ'!G:G)/SUMIF('💸 Transaction ซื้อ'!B:B,A248,'💸 Transaction ซื้อ'!E:E),""),"-")</f>
        <v/>
      </c>
      <c r="G248" s="24" t="str">
        <f t="shared" si="1"/>
        <v/>
      </c>
      <c r="H248" s="25"/>
      <c r="I248" s="26"/>
      <c r="J248" s="26"/>
      <c r="K248" s="27" t="str">
        <f>IF(A248&lt;&gt;"",IF(E248="InActive","-",SUMIFS('💰 Transaction ขาย'!E:E,'💰 Transaction ขาย'!B:B,A248,'💰 Transaction ขาย'!A:A,"&gt;"&amp;'⚙️ Config'!$H$1-'⚙️ Config'!$H$2)),)</f>
        <v/>
      </c>
      <c r="L248" s="28" t="str">
        <f>IF(E248="InActive","-",IF(A248&lt;&gt;"",K248/'⚙️ Config'!$H$2,))</f>
        <v/>
      </c>
      <c r="M248" s="28" t="str">
        <f t="shared" si="2"/>
        <v/>
      </c>
      <c r="N248" s="28" t="str">
        <f>IF(A248&lt;&gt;"", SUMIFS('💰 Transaction ขาย'!F:F,'💰 Transaction ขาย'!B:B,A248,'💰 Transaction ขาย'!A:A,"&gt;="&amp;DATE(YEAR('⚙️ Config'!$H$1),1,1),'💰 Transaction ขาย'!A:A,"&lt;="&amp;DATE(YEAR('⚙️ Config'!$H$1),12,31)),)</f>
        <v/>
      </c>
    </row>
    <row r="249">
      <c r="A249" s="22"/>
      <c r="B249" s="22" t="str">
        <f>IF(A249&lt;&gt;"",SUMIFS('💸 Transaction ซื้อ'!E:E,'💸 Transaction ซื้อ'!B:B,A249)-SUMIFS('💰 Transaction ขาย'!E:E,'💰 Transaction ขาย'!B:B,A249),"")</f>
        <v/>
      </c>
      <c r="C249" s="23" t="str">
        <f>IF(A249&lt;&gt;"",vlookup(A249,'📦 ชื่อสินค้า'!A:E,5,false),"")</f>
        <v/>
      </c>
      <c r="D249" s="23" t="str">
        <f>IF(A249&lt;&gt;"",VLOOKUP(A249,'📦 ชื่อสินค้า'!A:F,6,false),"")</f>
        <v/>
      </c>
      <c r="E249" s="16" t="str">
        <f>IFERROR(IF(VLOOKUP(A249,'📦 ชื่อสินค้า'!A:G,7,false)="InActive","InActive",IF(A249&lt;&gt;"",IF(B249&lt;=0,"สินค้าหมด",IF(B249&lt;=C249,"ควรเติมทันที","OK")),"")),)</f>
        <v/>
      </c>
      <c r="F249" s="24" t="str">
        <f>IFERROR(IF(A249&lt;&gt;"", SUMIF('💸 Transaction ซื้อ'!B:B,A249,'💸 Transaction ซื้อ'!G:G)/SUMIF('💸 Transaction ซื้อ'!B:B,A249,'💸 Transaction ซื้อ'!E:E),""),"-")</f>
        <v/>
      </c>
      <c r="G249" s="24" t="str">
        <f t="shared" si="1"/>
        <v/>
      </c>
      <c r="H249" s="25"/>
      <c r="I249" s="26"/>
      <c r="J249" s="26"/>
      <c r="K249" s="27" t="str">
        <f>IF(A249&lt;&gt;"",IF(E249="InActive","-",SUMIFS('💰 Transaction ขาย'!E:E,'💰 Transaction ขาย'!B:B,A249,'💰 Transaction ขาย'!A:A,"&gt;"&amp;'⚙️ Config'!$H$1-'⚙️ Config'!$H$2)),)</f>
        <v/>
      </c>
      <c r="L249" s="28" t="str">
        <f>IF(E249="InActive","-",IF(A249&lt;&gt;"",K249/'⚙️ Config'!$H$2,))</f>
        <v/>
      </c>
      <c r="M249" s="28" t="str">
        <f t="shared" si="2"/>
        <v/>
      </c>
      <c r="N249" s="28" t="str">
        <f>IF(A249&lt;&gt;"", SUMIFS('💰 Transaction ขาย'!F:F,'💰 Transaction ขาย'!B:B,A249,'💰 Transaction ขาย'!A:A,"&gt;="&amp;DATE(YEAR('⚙️ Config'!$H$1),1,1),'💰 Transaction ขาย'!A:A,"&lt;="&amp;DATE(YEAR('⚙️ Config'!$H$1),12,31)),)</f>
        <v/>
      </c>
    </row>
    <row r="250">
      <c r="A250" s="22"/>
      <c r="B250" s="22" t="str">
        <f>IF(A250&lt;&gt;"",SUMIFS('💸 Transaction ซื้อ'!E:E,'💸 Transaction ซื้อ'!B:B,A250)-SUMIFS('💰 Transaction ขาย'!E:E,'💰 Transaction ขาย'!B:B,A250),"")</f>
        <v/>
      </c>
      <c r="C250" s="23" t="str">
        <f>IF(A250&lt;&gt;"",vlookup(A250,'📦 ชื่อสินค้า'!A:E,5,false),"")</f>
        <v/>
      </c>
      <c r="D250" s="23" t="str">
        <f>IF(A250&lt;&gt;"",VLOOKUP(A250,'📦 ชื่อสินค้า'!A:F,6,false),"")</f>
        <v/>
      </c>
      <c r="E250" s="16" t="str">
        <f>IFERROR(IF(VLOOKUP(A250,'📦 ชื่อสินค้า'!A:G,7,false)="InActive","InActive",IF(A250&lt;&gt;"",IF(B250&lt;=0,"สินค้าหมด",IF(B250&lt;=C250,"ควรเติมทันที","OK")),"")),)</f>
        <v/>
      </c>
      <c r="F250" s="24" t="str">
        <f>IFERROR(IF(A250&lt;&gt;"", SUMIF('💸 Transaction ซื้อ'!B:B,A250,'💸 Transaction ซื้อ'!G:G)/SUMIF('💸 Transaction ซื้อ'!B:B,A250,'💸 Transaction ซื้อ'!E:E),""),"-")</f>
        <v/>
      </c>
      <c r="G250" s="24" t="str">
        <f t="shared" si="1"/>
        <v/>
      </c>
      <c r="H250" s="25"/>
      <c r="I250" s="26"/>
      <c r="J250" s="26"/>
      <c r="K250" s="27" t="str">
        <f>IF(A250&lt;&gt;"",IF(E250="InActive","-",SUMIFS('💰 Transaction ขาย'!E:E,'💰 Transaction ขาย'!B:B,A250,'💰 Transaction ขาย'!A:A,"&gt;"&amp;'⚙️ Config'!$H$1-'⚙️ Config'!$H$2)),)</f>
        <v/>
      </c>
      <c r="L250" s="28" t="str">
        <f>IF(E250="InActive","-",IF(A250&lt;&gt;"",K250/'⚙️ Config'!$H$2,))</f>
        <v/>
      </c>
      <c r="M250" s="28" t="str">
        <f t="shared" si="2"/>
        <v/>
      </c>
      <c r="N250" s="28" t="str">
        <f>IF(A250&lt;&gt;"", SUMIFS('💰 Transaction ขาย'!F:F,'💰 Transaction ขาย'!B:B,A250,'💰 Transaction ขาย'!A:A,"&gt;="&amp;DATE(YEAR('⚙️ Config'!$H$1),1,1),'💰 Transaction ขาย'!A:A,"&lt;="&amp;DATE(YEAR('⚙️ Config'!$H$1),12,31)),)</f>
        <v/>
      </c>
    </row>
    <row r="251">
      <c r="A251" s="22"/>
      <c r="B251" s="22" t="str">
        <f>IF(A251&lt;&gt;"",SUMIFS('💸 Transaction ซื้อ'!E:E,'💸 Transaction ซื้อ'!B:B,A251)-SUMIFS('💰 Transaction ขาย'!E:E,'💰 Transaction ขาย'!B:B,A251),"")</f>
        <v/>
      </c>
      <c r="C251" s="23" t="str">
        <f>IF(A251&lt;&gt;"",vlookup(A251,'📦 ชื่อสินค้า'!A:E,5,false),"")</f>
        <v/>
      </c>
      <c r="D251" s="23" t="str">
        <f>IF(A251&lt;&gt;"",VLOOKUP(A251,'📦 ชื่อสินค้า'!A:F,6,false),"")</f>
        <v/>
      </c>
      <c r="E251" s="16" t="str">
        <f>IFERROR(IF(VLOOKUP(A251,'📦 ชื่อสินค้า'!A:G,7,false)="InActive","InActive",IF(A251&lt;&gt;"",IF(B251&lt;=0,"สินค้าหมด",IF(B251&lt;=C251,"ควรเติมทันที","OK")),"")),)</f>
        <v/>
      </c>
      <c r="F251" s="24" t="str">
        <f>IFERROR(IF(A251&lt;&gt;"", SUMIF('💸 Transaction ซื้อ'!B:B,A251,'💸 Transaction ซื้อ'!G:G)/SUMIF('💸 Transaction ซื้อ'!B:B,A251,'💸 Transaction ซื้อ'!E:E),""),"-")</f>
        <v/>
      </c>
      <c r="G251" s="24" t="str">
        <f t="shared" si="1"/>
        <v/>
      </c>
      <c r="H251" s="25"/>
      <c r="I251" s="26"/>
      <c r="J251" s="26"/>
      <c r="K251" s="27" t="str">
        <f>IF(A251&lt;&gt;"",IF(E251="InActive","-",SUMIFS('💰 Transaction ขาย'!E:E,'💰 Transaction ขาย'!B:B,A251,'💰 Transaction ขาย'!A:A,"&gt;"&amp;'⚙️ Config'!$H$1-'⚙️ Config'!$H$2)),)</f>
        <v/>
      </c>
      <c r="L251" s="28" t="str">
        <f>IF(E251="InActive","-",IF(A251&lt;&gt;"",K251/'⚙️ Config'!$H$2,))</f>
        <v/>
      </c>
      <c r="M251" s="28" t="str">
        <f t="shared" si="2"/>
        <v/>
      </c>
      <c r="N251" s="28" t="str">
        <f>IF(A251&lt;&gt;"", SUMIFS('💰 Transaction ขาย'!F:F,'💰 Transaction ขาย'!B:B,A251,'💰 Transaction ขาย'!A:A,"&gt;="&amp;DATE(YEAR('⚙️ Config'!$H$1),1,1),'💰 Transaction ขาย'!A:A,"&lt;="&amp;DATE(YEAR('⚙️ Config'!$H$1),12,31)),)</f>
        <v/>
      </c>
    </row>
    <row r="252">
      <c r="A252" s="22"/>
      <c r="B252" s="22" t="str">
        <f>IF(A252&lt;&gt;"",SUMIFS('💸 Transaction ซื้อ'!E:E,'💸 Transaction ซื้อ'!B:B,A252)-SUMIFS('💰 Transaction ขาย'!E:E,'💰 Transaction ขาย'!B:B,A252),"")</f>
        <v/>
      </c>
      <c r="C252" s="23" t="str">
        <f>IF(A252&lt;&gt;"",vlookup(A252,'📦 ชื่อสินค้า'!A:E,5,false),"")</f>
        <v/>
      </c>
      <c r="D252" s="23" t="str">
        <f>IF(A252&lt;&gt;"",VLOOKUP(A252,'📦 ชื่อสินค้า'!A:F,6,false),"")</f>
        <v/>
      </c>
      <c r="E252" s="16" t="str">
        <f>IFERROR(IF(VLOOKUP(A252,'📦 ชื่อสินค้า'!A:G,7,false)="InActive","InActive",IF(A252&lt;&gt;"",IF(B252&lt;=0,"สินค้าหมด",IF(B252&lt;=C252,"ควรเติมทันที","OK")),"")),)</f>
        <v/>
      </c>
      <c r="F252" s="24" t="str">
        <f>IFERROR(IF(A252&lt;&gt;"", SUMIF('💸 Transaction ซื้อ'!B:B,A252,'💸 Transaction ซื้อ'!G:G)/SUMIF('💸 Transaction ซื้อ'!B:B,A252,'💸 Transaction ซื้อ'!E:E),""),"-")</f>
        <v/>
      </c>
      <c r="G252" s="24" t="str">
        <f t="shared" si="1"/>
        <v/>
      </c>
      <c r="H252" s="25"/>
      <c r="I252" s="26"/>
      <c r="J252" s="26"/>
      <c r="K252" s="27" t="str">
        <f>IF(A252&lt;&gt;"",IF(E252="InActive","-",SUMIFS('💰 Transaction ขาย'!E:E,'💰 Transaction ขาย'!B:B,A252,'💰 Transaction ขาย'!A:A,"&gt;"&amp;'⚙️ Config'!$H$1-'⚙️ Config'!$H$2)),)</f>
        <v/>
      </c>
      <c r="L252" s="28" t="str">
        <f>IF(E252="InActive","-",IF(A252&lt;&gt;"",K252/'⚙️ Config'!$H$2,))</f>
        <v/>
      </c>
      <c r="M252" s="28" t="str">
        <f t="shared" si="2"/>
        <v/>
      </c>
      <c r="N252" s="28" t="str">
        <f>IF(A252&lt;&gt;"", SUMIFS('💰 Transaction ขาย'!F:F,'💰 Transaction ขาย'!B:B,A252,'💰 Transaction ขาย'!A:A,"&gt;="&amp;DATE(YEAR('⚙️ Config'!$H$1),1,1),'💰 Transaction ขาย'!A:A,"&lt;="&amp;DATE(YEAR('⚙️ Config'!$H$1),12,31)),)</f>
        <v/>
      </c>
    </row>
    <row r="253">
      <c r="A253" s="22"/>
      <c r="B253" s="22" t="str">
        <f>IF(A253&lt;&gt;"",SUMIFS('💸 Transaction ซื้อ'!E:E,'💸 Transaction ซื้อ'!B:B,A253)-SUMIFS('💰 Transaction ขาย'!E:E,'💰 Transaction ขาย'!B:B,A253),"")</f>
        <v/>
      </c>
      <c r="C253" s="23" t="str">
        <f>IF(A253&lt;&gt;"",vlookup(A253,'📦 ชื่อสินค้า'!A:E,5,false),"")</f>
        <v/>
      </c>
      <c r="D253" s="23" t="str">
        <f>IF(A253&lt;&gt;"",VLOOKUP(A253,'📦 ชื่อสินค้า'!A:F,6,false),"")</f>
        <v/>
      </c>
      <c r="E253" s="16" t="str">
        <f>IFERROR(IF(VLOOKUP(A253,'📦 ชื่อสินค้า'!A:G,7,false)="InActive","InActive",IF(A253&lt;&gt;"",IF(B253&lt;=0,"สินค้าหมด",IF(B253&lt;=C253,"ควรเติมทันที","OK")),"")),)</f>
        <v/>
      </c>
      <c r="F253" s="24" t="str">
        <f>IFERROR(IF(A253&lt;&gt;"", SUMIF('💸 Transaction ซื้อ'!B:B,A253,'💸 Transaction ซื้อ'!G:G)/SUMIF('💸 Transaction ซื้อ'!B:B,A253,'💸 Transaction ซื้อ'!E:E),""),"-")</f>
        <v/>
      </c>
      <c r="G253" s="24" t="str">
        <f t="shared" si="1"/>
        <v/>
      </c>
      <c r="H253" s="25"/>
      <c r="I253" s="26"/>
      <c r="J253" s="26"/>
      <c r="K253" s="27" t="str">
        <f>IF(A253&lt;&gt;"",IF(E253="InActive","-",SUMIFS('💰 Transaction ขาย'!E:E,'💰 Transaction ขาย'!B:B,A253,'💰 Transaction ขาย'!A:A,"&gt;"&amp;'⚙️ Config'!$H$1-'⚙️ Config'!$H$2)),)</f>
        <v/>
      </c>
      <c r="L253" s="28" t="str">
        <f>IF(E253="InActive","-",IF(A253&lt;&gt;"",K253/'⚙️ Config'!$H$2,))</f>
        <v/>
      </c>
      <c r="M253" s="28" t="str">
        <f t="shared" si="2"/>
        <v/>
      </c>
      <c r="N253" s="28" t="str">
        <f>IF(A253&lt;&gt;"", SUMIFS('💰 Transaction ขาย'!F:F,'💰 Transaction ขาย'!B:B,A253,'💰 Transaction ขาย'!A:A,"&gt;="&amp;DATE(YEAR('⚙️ Config'!$H$1),1,1),'💰 Transaction ขาย'!A:A,"&lt;="&amp;DATE(YEAR('⚙️ Config'!$H$1),12,31)),)</f>
        <v/>
      </c>
    </row>
    <row r="254">
      <c r="A254" s="22"/>
      <c r="B254" s="22" t="str">
        <f>IF(A254&lt;&gt;"",SUMIFS('💸 Transaction ซื้อ'!E:E,'💸 Transaction ซื้อ'!B:B,A254)-SUMIFS('💰 Transaction ขาย'!E:E,'💰 Transaction ขาย'!B:B,A254),"")</f>
        <v/>
      </c>
      <c r="C254" s="23" t="str">
        <f>IF(A254&lt;&gt;"",vlookup(A254,'📦 ชื่อสินค้า'!A:E,5,false),"")</f>
        <v/>
      </c>
      <c r="D254" s="23" t="str">
        <f>IF(A254&lt;&gt;"",VLOOKUP(A254,'📦 ชื่อสินค้า'!A:F,6,false),"")</f>
        <v/>
      </c>
      <c r="E254" s="16" t="str">
        <f>IFERROR(IF(VLOOKUP(A254,'📦 ชื่อสินค้า'!A:G,7,false)="InActive","InActive",IF(A254&lt;&gt;"",IF(B254&lt;=0,"สินค้าหมด",IF(B254&lt;=C254,"ควรเติมทันที","OK")),"")),)</f>
        <v/>
      </c>
      <c r="F254" s="24" t="str">
        <f>IFERROR(IF(A254&lt;&gt;"", SUMIF('💸 Transaction ซื้อ'!B:B,A254,'💸 Transaction ซื้อ'!G:G)/SUMIF('💸 Transaction ซื้อ'!B:B,A254,'💸 Transaction ซื้อ'!E:E),""),"-")</f>
        <v/>
      </c>
      <c r="G254" s="24" t="str">
        <f t="shared" si="1"/>
        <v/>
      </c>
      <c r="H254" s="25"/>
      <c r="I254" s="26"/>
      <c r="J254" s="26"/>
      <c r="K254" s="27" t="str">
        <f>IF(A254&lt;&gt;"",IF(E254="InActive","-",SUMIFS('💰 Transaction ขาย'!E:E,'💰 Transaction ขาย'!B:B,A254,'💰 Transaction ขาย'!A:A,"&gt;"&amp;'⚙️ Config'!$H$1-'⚙️ Config'!$H$2)),)</f>
        <v/>
      </c>
      <c r="L254" s="28" t="str">
        <f>IF(E254="InActive","-",IF(A254&lt;&gt;"",K254/'⚙️ Config'!$H$2,))</f>
        <v/>
      </c>
      <c r="M254" s="28" t="str">
        <f t="shared" si="2"/>
        <v/>
      </c>
      <c r="N254" s="28" t="str">
        <f>IF(A254&lt;&gt;"", SUMIFS('💰 Transaction ขาย'!F:F,'💰 Transaction ขาย'!B:B,A254,'💰 Transaction ขาย'!A:A,"&gt;="&amp;DATE(YEAR('⚙️ Config'!$H$1),1,1),'💰 Transaction ขาย'!A:A,"&lt;="&amp;DATE(YEAR('⚙️ Config'!$H$1),12,31)),)</f>
        <v/>
      </c>
    </row>
    <row r="255">
      <c r="A255" s="22"/>
      <c r="B255" s="22" t="str">
        <f>IF(A255&lt;&gt;"",SUMIFS('💸 Transaction ซื้อ'!E:E,'💸 Transaction ซื้อ'!B:B,A255)-SUMIFS('💰 Transaction ขาย'!E:E,'💰 Transaction ขาย'!B:B,A255),"")</f>
        <v/>
      </c>
      <c r="C255" s="23" t="str">
        <f>IF(A255&lt;&gt;"",vlookup(A255,'📦 ชื่อสินค้า'!A:E,5,false),"")</f>
        <v/>
      </c>
      <c r="D255" s="23" t="str">
        <f>IF(A255&lt;&gt;"",VLOOKUP(A255,'📦 ชื่อสินค้า'!A:F,6,false),"")</f>
        <v/>
      </c>
      <c r="E255" s="16" t="str">
        <f>IFERROR(IF(VLOOKUP(A255,'📦 ชื่อสินค้า'!A:G,7,false)="InActive","InActive",IF(A255&lt;&gt;"",IF(B255&lt;=0,"สินค้าหมด",IF(B255&lt;=C255,"ควรเติมทันที","OK")),"")),)</f>
        <v/>
      </c>
      <c r="F255" s="24" t="str">
        <f>IFERROR(IF(A255&lt;&gt;"", SUMIF('💸 Transaction ซื้อ'!B:B,A255,'💸 Transaction ซื้อ'!G:G)/SUMIF('💸 Transaction ซื้อ'!B:B,A255,'💸 Transaction ซื้อ'!E:E),""),"-")</f>
        <v/>
      </c>
      <c r="G255" s="24" t="str">
        <f t="shared" si="1"/>
        <v/>
      </c>
      <c r="H255" s="25"/>
      <c r="I255" s="26"/>
      <c r="J255" s="26"/>
      <c r="K255" s="27" t="str">
        <f>IF(A255&lt;&gt;"",IF(E255="InActive","-",SUMIFS('💰 Transaction ขาย'!E:E,'💰 Transaction ขาย'!B:B,A255,'💰 Transaction ขาย'!A:A,"&gt;"&amp;'⚙️ Config'!$H$1-'⚙️ Config'!$H$2)),)</f>
        <v/>
      </c>
      <c r="L255" s="28" t="str">
        <f>IF(E255="InActive","-",IF(A255&lt;&gt;"",K255/'⚙️ Config'!$H$2,))</f>
        <v/>
      </c>
      <c r="M255" s="28" t="str">
        <f t="shared" si="2"/>
        <v/>
      </c>
      <c r="N255" s="28" t="str">
        <f>IF(A255&lt;&gt;"", SUMIFS('💰 Transaction ขาย'!F:F,'💰 Transaction ขาย'!B:B,A255,'💰 Transaction ขาย'!A:A,"&gt;="&amp;DATE(YEAR('⚙️ Config'!$H$1),1,1),'💰 Transaction ขาย'!A:A,"&lt;="&amp;DATE(YEAR('⚙️ Config'!$H$1),12,31)),)</f>
        <v/>
      </c>
    </row>
    <row r="256">
      <c r="A256" s="22"/>
      <c r="B256" s="22" t="str">
        <f>IF(A256&lt;&gt;"",SUMIFS('💸 Transaction ซื้อ'!E:E,'💸 Transaction ซื้อ'!B:B,A256)-SUMIFS('💰 Transaction ขาย'!E:E,'💰 Transaction ขาย'!B:B,A256),"")</f>
        <v/>
      </c>
      <c r="C256" s="23" t="str">
        <f>IF(A256&lt;&gt;"",vlookup(A256,'📦 ชื่อสินค้า'!A:E,5,false),"")</f>
        <v/>
      </c>
      <c r="D256" s="23" t="str">
        <f>IF(A256&lt;&gt;"",VLOOKUP(A256,'📦 ชื่อสินค้า'!A:F,6,false),"")</f>
        <v/>
      </c>
      <c r="E256" s="16" t="str">
        <f>IFERROR(IF(VLOOKUP(A256,'📦 ชื่อสินค้า'!A:G,7,false)="InActive","InActive",IF(A256&lt;&gt;"",IF(B256&lt;=0,"สินค้าหมด",IF(B256&lt;=C256,"ควรเติมทันที","OK")),"")),)</f>
        <v/>
      </c>
      <c r="F256" s="24" t="str">
        <f>IFERROR(IF(A256&lt;&gt;"", SUMIF('💸 Transaction ซื้อ'!B:B,A256,'💸 Transaction ซื้อ'!G:G)/SUMIF('💸 Transaction ซื้อ'!B:B,A256,'💸 Transaction ซื้อ'!E:E),""),"-")</f>
        <v/>
      </c>
      <c r="G256" s="24" t="str">
        <f t="shared" si="1"/>
        <v/>
      </c>
      <c r="H256" s="25"/>
      <c r="I256" s="26"/>
      <c r="J256" s="26"/>
      <c r="K256" s="27" t="str">
        <f>IF(A256&lt;&gt;"",IF(E256="InActive","-",SUMIFS('💰 Transaction ขาย'!E:E,'💰 Transaction ขาย'!B:B,A256,'💰 Transaction ขาย'!A:A,"&gt;"&amp;'⚙️ Config'!$H$1-'⚙️ Config'!$H$2)),)</f>
        <v/>
      </c>
      <c r="L256" s="28" t="str">
        <f>IF(E256="InActive","-",IF(A256&lt;&gt;"",K256/'⚙️ Config'!$H$2,))</f>
        <v/>
      </c>
      <c r="M256" s="28" t="str">
        <f t="shared" si="2"/>
        <v/>
      </c>
      <c r="N256" s="28" t="str">
        <f>IF(A256&lt;&gt;"", SUMIFS('💰 Transaction ขาย'!F:F,'💰 Transaction ขาย'!B:B,A256,'💰 Transaction ขาย'!A:A,"&gt;="&amp;DATE(YEAR('⚙️ Config'!$H$1),1,1),'💰 Transaction ขาย'!A:A,"&lt;="&amp;DATE(YEAR('⚙️ Config'!$H$1),12,31)),)</f>
        <v/>
      </c>
    </row>
    <row r="257">
      <c r="A257" s="22"/>
      <c r="B257" s="22" t="str">
        <f>IF(A257&lt;&gt;"",SUMIFS('💸 Transaction ซื้อ'!E:E,'💸 Transaction ซื้อ'!B:B,A257)-SUMIFS('💰 Transaction ขาย'!E:E,'💰 Transaction ขาย'!B:B,A257),"")</f>
        <v/>
      </c>
      <c r="C257" s="23" t="str">
        <f>IF(A257&lt;&gt;"",vlookup(A257,'📦 ชื่อสินค้า'!A:E,5,false),"")</f>
        <v/>
      </c>
      <c r="D257" s="23" t="str">
        <f>IF(A257&lt;&gt;"",VLOOKUP(A257,'📦 ชื่อสินค้า'!A:F,6,false),"")</f>
        <v/>
      </c>
      <c r="E257" s="16" t="str">
        <f>IFERROR(IF(VLOOKUP(A257,'📦 ชื่อสินค้า'!A:G,7,false)="InActive","InActive",IF(A257&lt;&gt;"",IF(B257&lt;=0,"สินค้าหมด",IF(B257&lt;=C257,"ควรเติมทันที","OK")),"")),)</f>
        <v/>
      </c>
      <c r="F257" s="24" t="str">
        <f>IFERROR(IF(A257&lt;&gt;"", SUMIF('💸 Transaction ซื้อ'!B:B,A257,'💸 Transaction ซื้อ'!G:G)/SUMIF('💸 Transaction ซื้อ'!B:B,A257,'💸 Transaction ซื้อ'!E:E),""),"-")</f>
        <v/>
      </c>
      <c r="G257" s="24" t="str">
        <f t="shared" si="1"/>
        <v/>
      </c>
      <c r="H257" s="25"/>
      <c r="I257" s="26"/>
      <c r="J257" s="26"/>
      <c r="K257" s="27" t="str">
        <f>IF(A257&lt;&gt;"",IF(E257="InActive","-",SUMIFS('💰 Transaction ขาย'!E:E,'💰 Transaction ขาย'!B:B,A257,'💰 Transaction ขาย'!A:A,"&gt;"&amp;'⚙️ Config'!$H$1-'⚙️ Config'!$H$2)),)</f>
        <v/>
      </c>
      <c r="L257" s="28" t="str">
        <f>IF(E257="InActive","-",IF(A257&lt;&gt;"",K257/'⚙️ Config'!$H$2,))</f>
        <v/>
      </c>
      <c r="M257" s="28" t="str">
        <f t="shared" si="2"/>
        <v/>
      </c>
      <c r="N257" s="28" t="str">
        <f>IF(A257&lt;&gt;"", SUMIFS('💰 Transaction ขาย'!F:F,'💰 Transaction ขาย'!B:B,A257,'💰 Transaction ขาย'!A:A,"&gt;="&amp;DATE(YEAR('⚙️ Config'!$H$1),1,1),'💰 Transaction ขาย'!A:A,"&lt;="&amp;DATE(YEAR('⚙️ Config'!$H$1),12,31)),)</f>
        <v/>
      </c>
    </row>
    <row r="258">
      <c r="A258" s="22"/>
      <c r="B258" s="22" t="str">
        <f>IF(A258&lt;&gt;"",SUMIFS('💸 Transaction ซื้อ'!E:E,'💸 Transaction ซื้อ'!B:B,A258)-SUMIFS('💰 Transaction ขาย'!E:E,'💰 Transaction ขาย'!B:B,A258),"")</f>
        <v/>
      </c>
      <c r="C258" s="23" t="str">
        <f>IF(A258&lt;&gt;"",vlookup(A258,'📦 ชื่อสินค้า'!A:E,5,false),"")</f>
        <v/>
      </c>
      <c r="D258" s="23" t="str">
        <f>IF(A258&lt;&gt;"",VLOOKUP(A258,'📦 ชื่อสินค้า'!A:F,6,false),"")</f>
        <v/>
      </c>
      <c r="E258" s="16" t="str">
        <f>IFERROR(IF(VLOOKUP(A258,'📦 ชื่อสินค้า'!A:G,7,false)="InActive","InActive",IF(A258&lt;&gt;"",IF(B258&lt;=0,"สินค้าหมด",IF(B258&lt;=C258,"ควรเติมทันที","OK")),"")),)</f>
        <v/>
      </c>
      <c r="F258" s="24" t="str">
        <f>IFERROR(IF(A258&lt;&gt;"", SUMIF('💸 Transaction ซื้อ'!B:B,A258,'💸 Transaction ซื้อ'!G:G)/SUMIF('💸 Transaction ซื้อ'!B:B,A258,'💸 Transaction ซื้อ'!E:E),""),"-")</f>
        <v/>
      </c>
      <c r="G258" s="24" t="str">
        <f t="shared" si="1"/>
        <v/>
      </c>
      <c r="H258" s="25"/>
      <c r="I258" s="26"/>
      <c r="J258" s="26"/>
      <c r="K258" s="27" t="str">
        <f>IF(A258&lt;&gt;"",IF(E258="InActive","-",SUMIFS('💰 Transaction ขาย'!E:E,'💰 Transaction ขาย'!B:B,A258,'💰 Transaction ขาย'!A:A,"&gt;"&amp;'⚙️ Config'!$H$1-'⚙️ Config'!$H$2)),)</f>
        <v/>
      </c>
      <c r="L258" s="28" t="str">
        <f>IF(E258="InActive","-",IF(A258&lt;&gt;"",K258/'⚙️ Config'!$H$2,))</f>
        <v/>
      </c>
      <c r="M258" s="28" t="str">
        <f t="shared" si="2"/>
        <v/>
      </c>
      <c r="N258" s="28" t="str">
        <f>IF(A258&lt;&gt;"", SUMIFS('💰 Transaction ขาย'!F:F,'💰 Transaction ขาย'!B:B,A258,'💰 Transaction ขาย'!A:A,"&gt;="&amp;DATE(YEAR('⚙️ Config'!$H$1),1,1),'💰 Transaction ขาย'!A:A,"&lt;="&amp;DATE(YEAR('⚙️ Config'!$H$1),12,31)),)</f>
        <v/>
      </c>
    </row>
    <row r="259">
      <c r="A259" s="22"/>
      <c r="B259" s="22" t="str">
        <f>IF(A259&lt;&gt;"",SUMIFS('💸 Transaction ซื้อ'!E:E,'💸 Transaction ซื้อ'!B:B,A259)-SUMIFS('💰 Transaction ขาย'!E:E,'💰 Transaction ขาย'!B:B,A259),"")</f>
        <v/>
      </c>
      <c r="C259" s="23" t="str">
        <f>IF(A259&lt;&gt;"",vlookup(A259,'📦 ชื่อสินค้า'!A:E,5,false),"")</f>
        <v/>
      </c>
      <c r="D259" s="23" t="str">
        <f>IF(A259&lt;&gt;"",VLOOKUP(A259,'📦 ชื่อสินค้า'!A:F,6,false),"")</f>
        <v/>
      </c>
      <c r="E259" s="16" t="str">
        <f>IFERROR(IF(VLOOKUP(A259,'📦 ชื่อสินค้า'!A:G,7,false)="InActive","InActive",IF(A259&lt;&gt;"",IF(B259&lt;=0,"สินค้าหมด",IF(B259&lt;=C259,"ควรเติมทันที","OK")),"")),)</f>
        <v/>
      </c>
      <c r="F259" s="24" t="str">
        <f>IFERROR(IF(A259&lt;&gt;"", SUMIF('💸 Transaction ซื้อ'!B:B,A259,'💸 Transaction ซื้อ'!G:G)/SUMIF('💸 Transaction ซื้อ'!B:B,A259,'💸 Transaction ซื้อ'!E:E),""),"-")</f>
        <v/>
      </c>
      <c r="G259" s="24" t="str">
        <f t="shared" si="1"/>
        <v/>
      </c>
      <c r="H259" s="25"/>
      <c r="I259" s="26"/>
      <c r="J259" s="26"/>
      <c r="K259" s="27" t="str">
        <f>IF(A259&lt;&gt;"",IF(E259="InActive","-",SUMIFS('💰 Transaction ขาย'!E:E,'💰 Transaction ขาย'!B:B,A259,'💰 Transaction ขาย'!A:A,"&gt;"&amp;'⚙️ Config'!$H$1-'⚙️ Config'!$H$2)),)</f>
        <v/>
      </c>
      <c r="L259" s="28" t="str">
        <f>IF(E259="InActive","-",IF(A259&lt;&gt;"",K259/'⚙️ Config'!$H$2,))</f>
        <v/>
      </c>
      <c r="M259" s="28" t="str">
        <f t="shared" si="2"/>
        <v/>
      </c>
      <c r="N259" s="28" t="str">
        <f>IF(A259&lt;&gt;"", SUMIFS('💰 Transaction ขาย'!F:F,'💰 Transaction ขาย'!B:B,A259,'💰 Transaction ขาย'!A:A,"&gt;="&amp;DATE(YEAR('⚙️ Config'!$H$1),1,1),'💰 Transaction ขาย'!A:A,"&lt;="&amp;DATE(YEAR('⚙️ Config'!$H$1),12,31)),)</f>
        <v/>
      </c>
    </row>
    <row r="260">
      <c r="A260" s="22"/>
      <c r="B260" s="22" t="str">
        <f>IF(A260&lt;&gt;"",SUMIFS('💸 Transaction ซื้อ'!E:E,'💸 Transaction ซื้อ'!B:B,A260)-SUMIFS('💰 Transaction ขาย'!E:E,'💰 Transaction ขาย'!B:B,A260),"")</f>
        <v/>
      </c>
      <c r="C260" s="23" t="str">
        <f>IF(A260&lt;&gt;"",vlookup(A260,'📦 ชื่อสินค้า'!A:E,5,false),"")</f>
        <v/>
      </c>
      <c r="D260" s="23" t="str">
        <f>IF(A260&lt;&gt;"",VLOOKUP(A260,'📦 ชื่อสินค้า'!A:F,6,false),"")</f>
        <v/>
      </c>
      <c r="E260" s="16" t="str">
        <f>IFERROR(IF(VLOOKUP(A260,'📦 ชื่อสินค้า'!A:G,7,false)="InActive","InActive",IF(A260&lt;&gt;"",IF(B260&lt;=0,"สินค้าหมด",IF(B260&lt;=C260,"ควรเติมทันที","OK")),"")),)</f>
        <v/>
      </c>
      <c r="F260" s="24" t="str">
        <f>IFERROR(IF(A260&lt;&gt;"", SUMIF('💸 Transaction ซื้อ'!B:B,A260,'💸 Transaction ซื้อ'!G:G)/SUMIF('💸 Transaction ซื้อ'!B:B,A260,'💸 Transaction ซื้อ'!E:E),""),"-")</f>
        <v/>
      </c>
      <c r="G260" s="24" t="str">
        <f t="shared" si="1"/>
        <v/>
      </c>
      <c r="H260" s="25"/>
      <c r="I260" s="26"/>
      <c r="J260" s="26"/>
      <c r="K260" s="27" t="str">
        <f>IF(A260&lt;&gt;"",IF(E260="InActive","-",SUMIFS('💰 Transaction ขาย'!E:E,'💰 Transaction ขาย'!B:B,A260,'💰 Transaction ขาย'!A:A,"&gt;"&amp;'⚙️ Config'!$H$1-'⚙️ Config'!$H$2)),)</f>
        <v/>
      </c>
      <c r="L260" s="28" t="str">
        <f>IF(E260="InActive","-",IF(A260&lt;&gt;"",K260/'⚙️ Config'!$H$2,))</f>
        <v/>
      </c>
      <c r="M260" s="28" t="str">
        <f t="shared" si="2"/>
        <v/>
      </c>
      <c r="N260" s="28" t="str">
        <f>IF(A260&lt;&gt;"", SUMIFS('💰 Transaction ขาย'!F:F,'💰 Transaction ขาย'!B:B,A260,'💰 Transaction ขาย'!A:A,"&gt;="&amp;DATE(YEAR('⚙️ Config'!$H$1),1,1),'💰 Transaction ขาย'!A:A,"&lt;="&amp;DATE(YEAR('⚙️ Config'!$H$1),12,31)),)</f>
        <v/>
      </c>
    </row>
    <row r="261">
      <c r="A261" s="22"/>
      <c r="B261" s="22" t="str">
        <f>IF(A261&lt;&gt;"",SUMIFS('💸 Transaction ซื้อ'!E:E,'💸 Transaction ซื้อ'!B:B,A261)-SUMIFS('💰 Transaction ขาย'!E:E,'💰 Transaction ขาย'!B:B,A261),"")</f>
        <v/>
      </c>
      <c r="C261" s="23" t="str">
        <f>IF(A261&lt;&gt;"",vlookup(A261,'📦 ชื่อสินค้า'!A:E,5,false),"")</f>
        <v/>
      </c>
      <c r="D261" s="23" t="str">
        <f>IF(A261&lt;&gt;"",VLOOKUP(A261,'📦 ชื่อสินค้า'!A:F,6,false),"")</f>
        <v/>
      </c>
      <c r="E261" s="16" t="str">
        <f>IFERROR(IF(VLOOKUP(A261,'📦 ชื่อสินค้า'!A:G,7,false)="InActive","InActive",IF(A261&lt;&gt;"",IF(B261&lt;=0,"สินค้าหมด",IF(B261&lt;=C261,"ควรเติมทันที","OK")),"")),)</f>
        <v/>
      </c>
      <c r="F261" s="24" t="str">
        <f>IFERROR(IF(A261&lt;&gt;"", SUMIF('💸 Transaction ซื้อ'!B:B,A261,'💸 Transaction ซื้อ'!G:G)/SUMIF('💸 Transaction ซื้อ'!B:B,A261,'💸 Transaction ซื้อ'!E:E),""),"-")</f>
        <v/>
      </c>
      <c r="G261" s="24" t="str">
        <f t="shared" si="1"/>
        <v/>
      </c>
      <c r="H261" s="25"/>
      <c r="I261" s="26"/>
      <c r="J261" s="26"/>
      <c r="K261" s="27" t="str">
        <f>IF(A261&lt;&gt;"",IF(E261="InActive","-",SUMIFS('💰 Transaction ขาย'!E:E,'💰 Transaction ขาย'!B:B,A261,'💰 Transaction ขาย'!A:A,"&gt;"&amp;'⚙️ Config'!$H$1-'⚙️ Config'!$H$2)),)</f>
        <v/>
      </c>
      <c r="L261" s="28" t="str">
        <f>IF(E261="InActive","-",IF(A261&lt;&gt;"",K261/'⚙️ Config'!$H$2,))</f>
        <v/>
      </c>
      <c r="M261" s="28" t="str">
        <f t="shared" si="2"/>
        <v/>
      </c>
      <c r="N261" s="28" t="str">
        <f>IF(A261&lt;&gt;"", SUMIFS('💰 Transaction ขาย'!F:F,'💰 Transaction ขาย'!B:B,A261,'💰 Transaction ขาย'!A:A,"&gt;="&amp;DATE(YEAR('⚙️ Config'!$H$1),1,1),'💰 Transaction ขาย'!A:A,"&lt;="&amp;DATE(YEAR('⚙️ Config'!$H$1),12,31)),)</f>
        <v/>
      </c>
    </row>
    <row r="262">
      <c r="A262" s="22"/>
      <c r="B262" s="22" t="str">
        <f>IF(A262&lt;&gt;"",SUMIFS('💸 Transaction ซื้อ'!E:E,'💸 Transaction ซื้อ'!B:B,A262)-SUMIFS('💰 Transaction ขาย'!E:E,'💰 Transaction ขาย'!B:B,A262),"")</f>
        <v/>
      </c>
      <c r="C262" s="23" t="str">
        <f>IF(A262&lt;&gt;"",vlookup(A262,'📦 ชื่อสินค้า'!A:E,5,false),"")</f>
        <v/>
      </c>
      <c r="D262" s="23" t="str">
        <f>IF(A262&lt;&gt;"",VLOOKUP(A262,'📦 ชื่อสินค้า'!A:F,6,false),"")</f>
        <v/>
      </c>
      <c r="E262" s="16" t="str">
        <f>IFERROR(IF(VLOOKUP(A262,'📦 ชื่อสินค้า'!A:G,7,false)="InActive","InActive",IF(A262&lt;&gt;"",IF(B262&lt;=0,"สินค้าหมด",IF(B262&lt;=C262,"ควรเติมทันที","OK")),"")),)</f>
        <v/>
      </c>
      <c r="F262" s="24" t="str">
        <f>IFERROR(IF(A262&lt;&gt;"", SUMIF('💸 Transaction ซื้อ'!B:B,A262,'💸 Transaction ซื้อ'!G:G)/SUMIF('💸 Transaction ซื้อ'!B:B,A262,'💸 Transaction ซื้อ'!E:E),""),"-")</f>
        <v/>
      </c>
      <c r="G262" s="24" t="str">
        <f t="shared" si="1"/>
        <v/>
      </c>
      <c r="H262" s="25"/>
      <c r="I262" s="26"/>
      <c r="J262" s="26"/>
      <c r="K262" s="27" t="str">
        <f>IF(A262&lt;&gt;"",IF(E262="InActive","-",SUMIFS('💰 Transaction ขาย'!E:E,'💰 Transaction ขาย'!B:B,A262,'💰 Transaction ขาย'!A:A,"&gt;"&amp;'⚙️ Config'!$H$1-'⚙️ Config'!$H$2)),)</f>
        <v/>
      </c>
      <c r="L262" s="28" t="str">
        <f>IF(E262="InActive","-",IF(A262&lt;&gt;"",K262/'⚙️ Config'!$H$2,))</f>
        <v/>
      </c>
      <c r="M262" s="28" t="str">
        <f t="shared" si="2"/>
        <v/>
      </c>
      <c r="N262" s="28" t="str">
        <f>IF(A262&lt;&gt;"", SUMIFS('💰 Transaction ขาย'!F:F,'💰 Transaction ขาย'!B:B,A262,'💰 Transaction ขาย'!A:A,"&gt;="&amp;DATE(YEAR('⚙️ Config'!$H$1),1,1),'💰 Transaction ขาย'!A:A,"&lt;="&amp;DATE(YEAR('⚙️ Config'!$H$1),12,31)),)</f>
        <v/>
      </c>
    </row>
    <row r="263">
      <c r="A263" s="22"/>
      <c r="B263" s="22" t="str">
        <f>IF(A263&lt;&gt;"",SUMIFS('💸 Transaction ซื้อ'!E:E,'💸 Transaction ซื้อ'!B:B,A263)-SUMIFS('💰 Transaction ขาย'!E:E,'💰 Transaction ขาย'!B:B,A263),"")</f>
        <v/>
      </c>
      <c r="C263" s="23" t="str">
        <f>IF(A263&lt;&gt;"",vlookup(A263,'📦 ชื่อสินค้า'!A:E,5,false),"")</f>
        <v/>
      </c>
      <c r="D263" s="23" t="str">
        <f>IF(A263&lt;&gt;"",VLOOKUP(A263,'📦 ชื่อสินค้า'!A:F,6,false),"")</f>
        <v/>
      </c>
      <c r="E263" s="16" t="str">
        <f>IFERROR(IF(VLOOKUP(A263,'📦 ชื่อสินค้า'!A:G,7,false)="InActive","InActive",IF(A263&lt;&gt;"",IF(B263&lt;=0,"สินค้าหมด",IF(B263&lt;=C263,"ควรเติมทันที","OK")),"")),)</f>
        <v/>
      </c>
      <c r="F263" s="24" t="str">
        <f>IFERROR(IF(A263&lt;&gt;"", SUMIF('💸 Transaction ซื้อ'!B:B,A263,'💸 Transaction ซื้อ'!G:G)/SUMIF('💸 Transaction ซื้อ'!B:B,A263,'💸 Transaction ซื้อ'!E:E),""),"-")</f>
        <v/>
      </c>
      <c r="G263" s="24" t="str">
        <f t="shared" si="1"/>
        <v/>
      </c>
      <c r="H263" s="25"/>
      <c r="I263" s="26"/>
      <c r="J263" s="26"/>
      <c r="K263" s="27" t="str">
        <f>IF(A263&lt;&gt;"",IF(E263="InActive","-",SUMIFS('💰 Transaction ขาย'!E:E,'💰 Transaction ขาย'!B:B,A263,'💰 Transaction ขาย'!A:A,"&gt;"&amp;'⚙️ Config'!$H$1-'⚙️ Config'!$H$2)),)</f>
        <v/>
      </c>
      <c r="L263" s="28" t="str">
        <f>IF(E263="InActive","-",IF(A263&lt;&gt;"",K263/'⚙️ Config'!$H$2,))</f>
        <v/>
      </c>
      <c r="M263" s="28" t="str">
        <f t="shared" si="2"/>
        <v/>
      </c>
      <c r="N263" s="28" t="str">
        <f>IF(A263&lt;&gt;"", SUMIFS('💰 Transaction ขาย'!F:F,'💰 Transaction ขาย'!B:B,A263,'💰 Transaction ขาย'!A:A,"&gt;="&amp;DATE(YEAR('⚙️ Config'!$H$1),1,1),'💰 Transaction ขาย'!A:A,"&lt;="&amp;DATE(YEAR('⚙️ Config'!$H$1),12,31)),)</f>
        <v/>
      </c>
    </row>
    <row r="264">
      <c r="A264" s="22"/>
      <c r="B264" s="22" t="str">
        <f>IF(A264&lt;&gt;"",SUMIFS('💸 Transaction ซื้อ'!E:E,'💸 Transaction ซื้อ'!B:B,A264)-SUMIFS('💰 Transaction ขาย'!E:E,'💰 Transaction ขาย'!B:B,A264),"")</f>
        <v/>
      </c>
      <c r="C264" s="23" t="str">
        <f>IF(A264&lt;&gt;"",vlookup(A264,'📦 ชื่อสินค้า'!A:E,5,false),"")</f>
        <v/>
      </c>
      <c r="D264" s="23" t="str">
        <f>IF(A264&lt;&gt;"",VLOOKUP(A264,'📦 ชื่อสินค้า'!A:F,6,false),"")</f>
        <v/>
      </c>
      <c r="E264" s="16" t="str">
        <f>IFERROR(IF(VLOOKUP(A264,'📦 ชื่อสินค้า'!A:G,7,false)="InActive","InActive",IF(A264&lt;&gt;"",IF(B264&lt;=0,"สินค้าหมด",IF(B264&lt;=C264,"ควรเติมทันที","OK")),"")),)</f>
        <v/>
      </c>
      <c r="F264" s="24" t="str">
        <f>IFERROR(IF(A264&lt;&gt;"", SUMIF('💸 Transaction ซื้อ'!B:B,A264,'💸 Transaction ซื้อ'!G:G)/SUMIF('💸 Transaction ซื้อ'!B:B,A264,'💸 Transaction ซื้อ'!E:E),""),"-")</f>
        <v/>
      </c>
      <c r="G264" s="24" t="str">
        <f t="shared" si="1"/>
        <v/>
      </c>
      <c r="H264" s="25"/>
      <c r="I264" s="26"/>
      <c r="J264" s="26"/>
      <c r="K264" s="27" t="str">
        <f>IF(A264&lt;&gt;"",IF(E264="InActive","-",SUMIFS('💰 Transaction ขาย'!E:E,'💰 Transaction ขาย'!B:B,A264,'💰 Transaction ขาย'!A:A,"&gt;"&amp;'⚙️ Config'!$H$1-'⚙️ Config'!$H$2)),)</f>
        <v/>
      </c>
      <c r="L264" s="28" t="str">
        <f>IF(E264="InActive","-",IF(A264&lt;&gt;"",K264/'⚙️ Config'!$H$2,))</f>
        <v/>
      </c>
      <c r="M264" s="28" t="str">
        <f t="shared" si="2"/>
        <v/>
      </c>
      <c r="N264" s="28" t="str">
        <f>IF(A264&lt;&gt;"", SUMIFS('💰 Transaction ขาย'!F:F,'💰 Transaction ขาย'!B:B,A264,'💰 Transaction ขาย'!A:A,"&gt;="&amp;DATE(YEAR('⚙️ Config'!$H$1),1,1),'💰 Transaction ขาย'!A:A,"&lt;="&amp;DATE(YEAR('⚙️ Config'!$H$1),12,31)),)</f>
        <v/>
      </c>
    </row>
    <row r="265">
      <c r="A265" s="22"/>
      <c r="B265" s="22" t="str">
        <f>IF(A265&lt;&gt;"",SUMIFS('💸 Transaction ซื้อ'!E:E,'💸 Transaction ซื้อ'!B:B,A265)-SUMIFS('💰 Transaction ขาย'!E:E,'💰 Transaction ขาย'!B:B,A265),"")</f>
        <v/>
      </c>
      <c r="C265" s="23" t="str">
        <f>IF(A265&lt;&gt;"",vlookup(A265,'📦 ชื่อสินค้า'!A:E,5,false),"")</f>
        <v/>
      </c>
      <c r="D265" s="23" t="str">
        <f>IF(A265&lt;&gt;"",VLOOKUP(A265,'📦 ชื่อสินค้า'!A:F,6,false),"")</f>
        <v/>
      </c>
      <c r="E265" s="16" t="str">
        <f>IFERROR(IF(VLOOKUP(A265,'📦 ชื่อสินค้า'!A:G,7,false)="InActive","InActive",IF(A265&lt;&gt;"",IF(B265&lt;=0,"สินค้าหมด",IF(B265&lt;=C265,"ควรเติมทันที","OK")),"")),)</f>
        <v/>
      </c>
      <c r="F265" s="24" t="str">
        <f>IFERROR(IF(A265&lt;&gt;"", SUMIF('💸 Transaction ซื้อ'!B:B,A265,'💸 Transaction ซื้อ'!G:G)/SUMIF('💸 Transaction ซื้อ'!B:B,A265,'💸 Transaction ซื้อ'!E:E),""),"-")</f>
        <v/>
      </c>
      <c r="G265" s="24" t="str">
        <f t="shared" si="1"/>
        <v/>
      </c>
      <c r="H265" s="25"/>
      <c r="I265" s="26"/>
      <c r="J265" s="26"/>
      <c r="K265" s="27" t="str">
        <f>IF(A265&lt;&gt;"",IF(E265="InActive","-",SUMIFS('💰 Transaction ขาย'!E:E,'💰 Transaction ขาย'!B:B,A265,'💰 Transaction ขาย'!A:A,"&gt;"&amp;'⚙️ Config'!$H$1-'⚙️ Config'!$H$2)),)</f>
        <v/>
      </c>
      <c r="L265" s="28" t="str">
        <f>IF(E265="InActive","-",IF(A265&lt;&gt;"",K265/'⚙️ Config'!$H$2,))</f>
        <v/>
      </c>
      <c r="M265" s="28" t="str">
        <f t="shared" si="2"/>
        <v/>
      </c>
      <c r="N265" s="28" t="str">
        <f>IF(A265&lt;&gt;"", SUMIFS('💰 Transaction ขาย'!F:F,'💰 Transaction ขาย'!B:B,A265,'💰 Transaction ขาย'!A:A,"&gt;="&amp;DATE(YEAR('⚙️ Config'!$H$1),1,1),'💰 Transaction ขาย'!A:A,"&lt;="&amp;DATE(YEAR('⚙️ Config'!$H$1),12,31)),)</f>
        <v/>
      </c>
    </row>
    <row r="266">
      <c r="A266" s="22"/>
      <c r="B266" s="22" t="str">
        <f>IF(A266&lt;&gt;"",SUMIFS('💸 Transaction ซื้อ'!E:E,'💸 Transaction ซื้อ'!B:B,A266)-SUMIFS('💰 Transaction ขาย'!E:E,'💰 Transaction ขาย'!B:B,A266),"")</f>
        <v/>
      </c>
      <c r="C266" s="23" t="str">
        <f>IF(A266&lt;&gt;"",vlookup(A266,'📦 ชื่อสินค้า'!A:E,5,false),"")</f>
        <v/>
      </c>
      <c r="D266" s="23" t="str">
        <f>IF(A266&lt;&gt;"",VLOOKUP(A266,'📦 ชื่อสินค้า'!A:F,6,false),"")</f>
        <v/>
      </c>
      <c r="E266" s="16" t="str">
        <f>IFERROR(IF(VLOOKUP(A266,'📦 ชื่อสินค้า'!A:G,7,false)="InActive","InActive",IF(A266&lt;&gt;"",IF(B266&lt;=0,"สินค้าหมด",IF(B266&lt;=C266,"ควรเติมทันที","OK")),"")),)</f>
        <v/>
      </c>
      <c r="F266" s="24" t="str">
        <f>IFERROR(IF(A266&lt;&gt;"", SUMIF('💸 Transaction ซื้อ'!B:B,A266,'💸 Transaction ซื้อ'!G:G)/SUMIF('💸 Transaction ซื้อ'!B:B,A266,'💸 Transaction ซื้อ'!E:E),""),"-")</f>
        <v/>
      </c>
      <c r="G266" s="24" t="str">
        <f t="shared" si="1"/>
        <v/>
      </c>
      <c r="H266" s="25"/>
      <c r="I266" s="26"/>
      <c r="J266" s="26"/>
      <c r="K266" s="27" t="str">
        <f>IF(A266&lt;&gt;"",IF(E266="InActive","-",SUMIFS('💰 Transaction ขาย'!E:E,'💰 Transaction ขาย'!B:B,A266,'💰 Transaction ขาย'!A:A,"&gt;"&amp;'⚙️ Config'!$H$1-'⚙️ Config'!$H$2)),)</f>
        <v/>
      </c>
      <c r="L266" s="28" t="str">
        <f>IF(E266="InActive","-",IF(A266&lt;&gt;"",K266/'⚙️ Config'!$H$2,))</f>
        <v/>
      </c>
      <c r="M266" s="28" t="str">
        <f t="shared" si="2"/>
        <v/>
      </c>
      <c r="N266" s="28" t="str">
        <f>IF(A266&lt;&gt;"", SUMIFS('💰 Transaction ขาย'!F:F,'💰 Transaction ขาย'!B:B,A266,'💰 Transaction ขาย'!A:A,"&gt;="&amp;DATE(YEAR('⚙️ Config'!$H$1),1,1),'💰 Transaction ขาย'!A:A,"&lt;="&amp;DATE(YEAR('⚙️ Config'!$H$1),12,31)),)</f>
        <v/>
      </c>
    </row>
    <row r="267">
      <c r="A267" s="22"/>
      <c r="B267" s="22" t="str">
        <f>IF(A267&lt;&gt;"",SUMIFS('💸 Transaction ซื้อ'!E:E,'💸 Transaction ซื้อ'!B:B,A267)-SUMIFS('💰 Transaction ขาย'!E:E,'💰 Transaction ขาย'!B:B,A267),"")</f>
        <v/>
      </c>
      <c r="C267" s="23" t="str">
        <f>IF(A267&lt;&gt;"",vlookup(A267,'📦 ชื่อสินค้า'!A:E,5,false),"")</f>
        <v/>
      </c>
      <c r="D267" s="23" t="str">
        <f>IF(A267&lt;&gt;"",VLOOKUP(A267,'📦 ชื่อสินค้า'!A:F,6,false),"")</f>
        <v/>
      </c>
      <c r="E267" s="16" t="str">
        <f>IFERROR(IF(VLOOKUP(A267,'📦 ชื่อสินค้า'!A:G,7,false)="InActive","InActive",IF(A267&lt;&gt;"",IF(B267&lt;=0,"สินค้าหมด",IF(B267&lt;=C267,"ควรเติมทันที","OK")),"")),)</f>
        <v/>
      </c>
      <c r="F267" s="24" t="str">
        <f>IFERROR(IF(A267&lt;&gt;"", SUMIF('💸 Transaction ซื้อ'!B:B,A267,'💸 Transaction ซื้อ'!G:G)/SUMIF('💸 Transaction ซื้อ'!B:B,A267,'💸 Transaction ซื้อ'!E:E),""),"-")</f>
        <v/>
      </c>
      <c r="G267" s="24" t="str">
        <f t="shared" si="1"/>
        <v/>
      </c>
      <c r="H267" s="25"/>
      <c r="I267" s="26"/>
      <c r="J267" s="26"/>
      <c r="K267" s="27" t="str">
        <f>IF(A267&lt;&gt;"",IF(E267="InActive","-",SUMIFS('💰 Transaction ขาย'!E:E,'💰 Transaction ขาย'!B:B,A267,'💰 Transaction ขาย'!A:A,"&gt;"&amp;'⚙️ Config'!$H$1-'⚙️ Config'!$H$2)),)</f>
        <v/>
      </c>
      <c r="L267" s="28" t="str">
        <f>IF(E267="InActive","-",IF(A267&lt;&gt;"",K267/'⚙️ Config'!$H$2,))</f>
        <v/>
      </c>
      <c r="M267" s="28" t="str">
        <f t="shared" si="2"/>
        <v/>
      </c>
      <c r="N267" s="28" t="str">
        <f>IF(A267&lt;&gt;"", SUMIFS('💰 Transaction ขาย'!F:F,'💰 Transaction ขาย'!B:B,A267,'💰 Transaction ขาย'!A:A,"&gt;="&amp;DATE(YEAR('⚙️ Config'!$H$1),1,1),'💰 Transaction ขาย'!A:A,"&lt;="&amp;DATE(YEAR('⚙️ Config'!$H$1),12,31)),)</f>
        <v/>
      </c>
    </row>
    <row r="268">
      <c r="A268" s="22"/>
      <c r="B268" s="22" t="str">
        <f>IF(A268&lt;&gt;"",SUMIFS('💸 Transaction ซื้อ'!E:E,'💸 Transaction ซื้อ'!B:B,A268)-SUMIFS('💰 Transaction ขาย'!E:E,'💰 Transaction ขาย'!B:B,A268),"")</f>
        <v/>
      </c>
      <c r="C268" s="23" t="str">
        <f>IF(A268&lt;&gt;"",vlookup(A268,'📦 ชื่อสินค้า'!A:E,5,false),"")</f>
        <v/>
      </c>
      <c r="D268" s="23" t="str">
        <f>IF(A268&lt;&gt;"",VLOOKUP(A268,'📦 ชื่อสินค้า'!A:F,6,false),"")</f>
        <v/>
      </c>
      <c r="E268" s="16" t="str">
        <f>IFERROR(IF(VLOOKUP(A268,'📦 ชื่อสินค้า'!A:G,7,false)="InActive","InActive",IF(A268&lt;&gt;"",IF(B268&lt;=0,"สินค้าหมด",IF(B268&lt;=C268,"ควรเติมทันที","OK")),"")),)</f>
        <v/>
      </c>
      <c r="F268" s="24" t="str">
        <f>IFERROR(IF(A268&lt;&gt;"", SUMIF('💸 Transaction ซื้อ'!B:B,A268,'💸 Transaction ซื้อ'!G:G)/SUMIF('💸 Transaction ซื้อ'!B:B,A268,'💸 Transaction ซื้อ'!E:E),""),"-")</f>
        <v/>
      </c>
      <c r="G268" s="24" t="str">
        <f t="shared" si="1"/>
        <v/>
      </c>
      <c r="H268" s="25"/>
      <c r="I268" s="26"/>
      <c r="J268" s="26"/>
      <c r="K268" s="27" t="str">
        <f>IF(A268&lt;&gt;"",IF(E268="InActive","-",SUMIFS('💰 Transaction ขาย'!E:E,'💰 Transaction ขาย'!B:B,A268,'💰 Transaction ขาย'!A:A,"&gt;"&amp;'⚙️ Config'!$H$1-'⚙️ Config'!$H$2)),)</f>
        <v/>
      </c>
      <c r="L268" s="28" t="str">
        <f>IF(E268="InActive","-",IF(A268&lt;&gt;"",K268/'⚙️ Config'!$H$2,))</f>
        <v/>
      </c>
      <c r="M268" s="28" t="str">
        <f t="shared" si="2"/>
        <v/>
      </c>
      <c r="N268" s="28" t="str">
        <f>IF(A268&lt;&gt;"", SUMIFS('💰 Transaction ขาย'!F:F,'💰 Transaction ขาย'!B:B,A268,'💰 Transaction ขาย'!A:A,"&gt;="&amp;DATE(YEAR('⚙️ Config'!$H$1),1,1),'💰 Transaction ขาย'!A:A,"&lt;="&amp;DATE(YEAR('⚙️ Config'!$H$1),12,31)),)</f>
        <v/>
      </c>
    </row>
    <row r="269">
      <c r="A269" s="22"/>
      <c r="B269" s="22" t="str">
        <f>IF(A269&lt;&gt;"",SUMIFS('💸 Transaction ซื้อ'!E:E,'💸 Transaction ซื้อ'!B:B,A269)-SUMIFS('💰 Transaction ขาย'!E:E,'💰 Transaction ขาย'!B:B,A269),"")</f>
        <v/>
      </c>
      <c r="C269" s="23" t="str">
        <f>IF(A269&lt;&gt;"",vlookup(A269,'📦 ชื่อสินค้า'!A:E,5,false),"")</f>
        <v/>
      </c>
      <c r="D269" s="23" t="str">
        <f>IF(A269&lt;&gt;"",VLOOKUP(A269,'📦 ชื่อสินค้า'!A:F,6,false),"")</f>
        <v/>
      </c>
      <c r="E269" s="16" t="str">
        <f>IFERROR(IF(VLOOKUP(A269,'📦 ชื่อสินค้า'!A:G,7,false)="InActive","InActive",IF(A269&lt;&gt;"",IF(B269&lt;=0,"สินค้าหมด",IF(B269&lt;=C269,"ควรเติมทันที","OK")),"")),)</f>
        <v/>
      </c>
      <c r="F269" s="24" t="str">
        <f>IFERROR(IF(A269&lt;&gt;"", SUMIF('💸 Transaction ซื้อ'!B:B,A269,'💸 Transaction ซื้อ'!G:G)/SUMIF('💸 Transaction ซื้อ'!B:B,A269,'💸 Transaction ซื้อ'!E:E),""),"-")</f>
        <v/>
      </c>
      <c r="G269" s="24" t="str">
        <f t="shared" si="1"/>
        <v/>
      </c>
      <c r="H269" s="25"/>
      <c r="I269" s="26"/>
      <c r="J269" s="26"/>
      <c r="K269" s="27" t="str">
        <f>IF(A269&lt;&gt;"",IF(E269="InActive","-",SUMIFS('💰 Transaction ขาย'!E:E,'💰 Transaction ขาย'!B:B,A269,'💰 Transaction ขาย'!A:A,"&gt;"&amp;'⚙️ Config'!$H$1-'⚙️ Config'!$H$2)),)</f>
        <v/>
      </c>
      <c r="L269" s="28" t="str">
        <f>IF(E269="InActive","-",IF(A269&lt;&gt;"",K269/'⚙️ Config'!$H$2,))</f>
        <v/>
      </c>
      <c r="M269" s="28" t="str">
        <f t="shared" si="2"/>
        <v/>
      </c>
      <c r="N269" s="28" t="str">
        <f>IF(A269&lt;&gt;"", SUMIFS('💰 Transaction ขาย'!F:F,'💰 Transaction ขาย'!B:B,A269,'💰 Transaction ขาย'!A:A,"&gt;="&amp;DATE(YEAR('⚙️ Config'!$H$1),1,1),'💰 Transaction ขาย'!A:A,"&lt;="&amp;DATE(YEAR('⚙️ Config'!$H$1),12,31)),)</f>
        <v/>
      </c>
    </row>
    <row r="270">
      <c r="A270" s="22"/>
      <c r="B270" s="22" t="str">
        <f>IF(A270&lt;&gt;"",SUMIFS('💸 Transaction ซื้อ'!E:E,'💸 Transaction ซื้อ'!B:B,A270)-SUMIFS('💰 Transaction ขาย'!E:E,'💰 Transaction ขาย'!B:B,A270),"")</f>
        <v/>
      </c>
      <c r="C270" s="23" t="str">
        <f>IF(A270&lt;&gt;"",vlookup(A270,'📦 ชื่อสินค้า'!A:E,5,false),"")</f>
        <v/>
      </c>
      <c r="D270" s="23" t="str">
        <f>IF(A270&lt;&gt;"",VLOOKUP(A270,'📦 ชื่อสินค้า'!A:F,6,false),"")</f>
        <v/>
      </c>
      <c r="E270" s="16" t="str">
        <f>IFERROR(IF(VLOOKUP(A270,'📦 ชื่อสินค้า'!A:G,7,false)="InActive","InActive",IF(A270&lt;&gt;"",IF(B270&lt;=0,"สินค้าหมด",IF(B270&lt;=C270,"ควรเติมทันที","OK")),"")),)</f>
        <v/>
      </c>
      <c r="F270" s="24" t="str">
        <f>IFERROR(IF(A270&lt;&gt;"", SUMIF('💸 Transaction ซื้อ'!B:B,A270,'💸 Transaction ซื้อ'!G:G)/SUMIF('💸 Transaction ซื้อ'!B:B,A270,'💸 Transaction ซื้อ'!E:E),""),"-")</f>
        <v/>
      </c>
      <c r="G270" s="24" t="str">
        <f t="shared" si="1"/>
        <v/>
      </c>
      <c r="H270" s="25"/>
      <c r="I270" s="26"/>
      <c r="J270" s="26"/>
      <c r="K270" s="27" t="str">
        <f>IF(A270&lt;&gt;"",IF(E270="InActive","-",SUMIFS('💰 Transaction ขาย'!E:E,'💰 Transaction ขาย'!B:B,A270,'💰 Transaction ขาย'!A:A,"&gt;"&amp;'⚙️ Config'!$H$1-'⚙️ Config'!$H$2)),)</f>
        <v/>
      </c>
      <c r="L270" s="28" t="str">
        <f>IF(E270="InActive","-",IF(A270&lt;&gt;"",K270/'⚙️ Config'!$H$2,))</f>
        <v/>
      </c>
      <c r="M270" s="28" t="str">
        <f t="shared" si="2"/>
        <v/>
      </c>
      <c r="N270" s="28" t="str">
        <f>IF(A270&lt;&gt;"", SUMIFS('💰 Transaction ขาย'!F:F,'💰 Transaction ขาย'!B:B,A270,'💰 Transaction ขาย'!A:A,"&gt;="&amp;DATE(YEAR('⚙️ Config'!$H$1),1,1),'💰 Transaction ขาย'!A:A,"&lt;="&amp;DATE(YEAR('⚙️ Config'!$H$1),12,31)),)</f>
        <v/>
      </c>
    </row>
    <row r="271">
      <c r="A271" s="22"/>
      <c r="B271" s="22" t="str">
        <f>IF(A271&lt;&gt;"",SUMIFS('💸 Transaction ซื้อ'!E:E,'💸 Transaction ซื้อ'!B:B,A271)-SUMIFS('💰 Transaction ขาย'!E:E,'💰 Transaction ขาย'!B:B,A271),"")</f>
        <v/>
      </c>
      <c r="C271" s="23" t="str">
        <f>IF(A271&lt;&gt;"",vlookup(A271,'📦 ชื่อสินค้า'!A:E,5,false),"")</f>
        <v/>
      </c>
      <c r="D271" s="23" t="str">
        <f>IF(A271&lt;&gt;"",VLOOKUP(A271,'📦 ชื่อสินค้า'!A:F,6,false),"")</f>
        <v/>
      </c>
      <c r="E271" s="16" t="str">
        <f>IFERROR(IF(VLOOKUP(A271,'📦 ชื่อสินค้า'!A:G,7,false)="InActive","InActive",IF(A271&lt;&gt;"",IF(B271&lt;=0,"สินค้าหมด",IF(B271&lt;=C271,"ควรเติมทันที","OK")),"")),)</f>
        <v/>
      </c>
      <c r="F271" s="24" t="str">
        <f>IFERROR(IF(A271&lt;&gt;"", SUMIF('💸 Transaction ซื้อ'!B:B,A271,'💸 Transaction ซื้อ'!G:G)/SUMIF('💸 Transaction ซื้อ'!B:B,A271,'💸 Transaction ซื้อ'!E:E),""),"-")</f>
        <v/>
      </c>
      <c r="G271" s="24" t="str">
        <f t="shared" si="1"/>
        <v/>
      </c>
      <c r="H271" s="25"/>
      <c r="I271" s="26"/>
      <c r="J271" s="26"/>
      <c r="K271" s="27" t="str">
        <f>IF(A271&lt;&gt;"",IF(E271="InActive","-",SUMIFS('💰 Transaction ขาย'!E:E,'💰 Transaction ขาย'!B:B,A271,'💰 Transaction ขาย'!A:A,"&gt;"&amp;'⚙️ Config'!$H$1-'⚙️ Config'!$H$2)),)</f>
        <v/>
      </c>
      <c r="L271" s="28" t="str">
        <f>IF(E271="InActive","-",IF(A271&lt;&gt;"",K271/'⚙️ Config'!$H$2,))</f>
        <v/>
      </c>
      <c r="M271" s="28" t="str">
        <f t="shared" si="2"/>
        <v/>
      </c>
      <c r="N271" s="28" t="str">
        <f>IF(A271&lt;&gt;"", SUMIFS('💰 Transaction ขาย'!F:F,'💰 Transaction ขาย'!B:B,A271,'💰 Transaction ขาย'!A:A,"&gt;="&amp;DATE(YEAR('⚙️ Config'!$H$1),1,1),'💰 Transaction ขาย'!A:A,"&lt;="&amp;DATE(YEAR('⚙️ Config'!$H$1),12,31)),)</f>
        <v/>
      </c>
    </row>
    <row r="272">
      <c r="A272" s="22"/>
      <c r="B272" s="22" t="str">
        <f>IF(A272&lt;&gt;"",SUMIFS('💸 Transaction ซื้อ'!E:E,'💸 Transaction ซื้อ'!B:B,A272)-SUMIFS('💰 Transaction ขาย'!E:E,'💰 Transaction ขาย'!B:B,A272),"")</f>
        <v/>
      </c>
      <c r="C272" s="23" t="str">
        <f>IF(A272&lt;&gt;"",vlookup(A272,'📦 ชื่อสินค้า'!A:E,5,false),"")</f>
        <v/>
      </c>
      <c r="D272" s="23" t="str">
        <f>IF(A272&lt;&gt;"",VLOOKUP(A272,'📦 ชื่อสินค้า'!A:F,6,false),"")</f>
        <v/>
      </c>
      <c r="E272" s="16" t="str">
        <f>IFERROR(IF(VLOOKUP(A272,'📦 ชื่อสินค้า'!A:G,7,false)="InActive","InActive",IF(A272&lt;&gt;"",IF(B272&lt;=0,"สินค้าหมด",IF(B272&lt;=C272,"ควรเติมทันที","OK")),"")),)</f>
        <v/>
      </c>
      <c r="F272" s="24" t="str">
        <f>IFERROR(IF(A272&lt;&gt;"", SUMIF('💸 Transaction ซื้อ'!B:B,A272,'💸 Transaction ซื้อ'!G:G)/SUMIF('💸 Transaction ซื้อ'!B:B,A272,'💸 Transaction ซื้อ'!E:E),""),"-")</f>
        <v/>
      </c>
      <c r="G272" s="24" t="str">
        <f t="shared" si="1"/>
        <v/>
      </c>
      <c r="H272" s="25"/>
      <c r="I272" s="26"/>
      <c r="J272" s="26"/>
      <c r="K272" s="27" t="str">
        <f>IF(A272&lt;&gt;"",IF(E272="InActive","-",SUMIFS('💰 Transaction ขาย'!E:E,'💰 Transaction ขาย'!B:B,A272,'💰 Transaction ขาย'!A:A,"&gt;"&amp;'⚙️ Config'!$H$1-'⚙️ Config'!$H$2)),)</f>
        <v/>
      </c>
      <c r="L272" s="28" t="str">
        <f>IF(E272="InActive","-",IF(A272&lt;&gt;"",K272/'⚙️ Config'!$H$2,))</f>
        <v/>
      </c>
      <c r="M272" s="28" t="str">
        <f t="shared" si="2"/>
        <v/>
      </c>
      <c r="N272" s="28" t="str">
        <f>IF(A272&lt;&gt;"", SUMIFS('💰 Transaction ขาย'!F:F,'💰 Transaction ขาย'!B:B,A272,'💰 Transaction ขาย'!A:A,"&gt;="&amp;DATE(YEAR('⚙️ Config'!$H$1),1,1),'💰 Transaction ขาย'!A:A,"&lt;="&amp;DATE(YEAR('⚙️ Config'!$H$1),12,31)),)</f>
        <v/>
      </c>
    </row>
    <row r="273">
      <c r="A273" s="22"/>
      <c r="B273" s="22" t="str">
        <f>IF(A273&lt;&gt;"",SUMIFS('💸 Transaction ซื้อ'!E:E,'💸 Transaction ซื้อ'!B:B,A273)-SUMIFS('💰 Transaction ขาย'!E:E,'💰 Transaction ขาย'!B:B,A273),"")</f>
        <v/>
      </c>
      <c r="C273" s="23" t="str">
        <f>IF(A273&lt;&gt;"",vlookup(A273,'📦 ชื่อสินค้า'!A:E,5,false),"")</f>
        <v/>
      </c>
      <c r="D273" s="23" t="str">
        <f>IF(A273&lt;&gt;"",VLOOKUP(A273,'📦 ชื่อสินค้า'!A:F,6,false),"")</f>
        <v/>
      </c>
      <c r="E273" s="16" t="str">
        <f>IFERROR(IF(VLOOKUP(A273,'📦 ชื่อสินค้า'!A:G,7,false)="InActive","InActive",IF(A273&lt;&gt;"",IF(B273&lt;=0,"สินค้าหมด",IF(B273&lt;=C273,"ควรเติมทันที","OK")),"")),)</f>
        <v/>
      </c>
      <c r="F273" s="24" t="str">
        <f>IFERROR(IF(A273&lt;&gt;"", SUMIF('💸 Transaction ซื้อ'!B:B,A273,'💸 Transaction ซื้อ'!G:G)/SUMIF('💸 Transaction ซื้อ'!B:B,A273,'💸 Transaction ซื้อ'!E:E),""),"-")</f>
        <v/>
      </c>
      <c r="G273" s="24" t="str">
        <f t="shared" si="1"/>
        <v/>
      </c>
      <c r="H273" s="25"/>
      <c r="I273" s="26"/>
      <c r="J273" s="26"/>
      <c r="K273" s="27" t="str">
        <f>IF(A273&lt;&gt;"",IF(E273="InActive","-",SUMIFS('💰 Transaction ขาย'!E:E,'💰 Transaction ขาย'!B:B,A273,'💰 Transaction ขาย'!A:A,"&gt;"&amp;'⚙️ Config'!$H$1-'⚙️ Config'!$H$2)),)</f>
        <v/>
      </c>
      <c r="L273" s="28" t="str">
        <f>IF(E273="InActive","-",IF(A273&lt;&gt;"",K273/'⚙️ Config'!$H$2,))</f>
        <v/>
      </c>
      <c r="M273" s="28" t="str">
        <f t="shared" si="2"/>
        <v/>
      </c>
      <c r="N273" s="28" t="str">
        <f>IF(A273&lt;&gt;"", SUMIFS('💰 Transaction ขาย'!F:F,'💰 Transaction ขาย'!B:B,A273,'💰 Transaction ขาย'!A:A,"&gt;="&amp;DATE(YEAR('⚙️ Config'!$H$1),1,1),'💰 Transaction ขาย'!A:A,"&lt;="&amp;DATE(YEAR('⚙️ Config'!$H$1),12,31)),)</f>
        <v/>
      </c>
    </row>
    <row r="274">
      <c r="A274" s="22"/>
      <c r="B274" s="22" t="str">
        <f>IF(A274&lt;&gt;"",SUMIFS('💸 Transaction ซื้อ'!E:E,'💸 Transaction ซื้อ'!B:B,A274)-SUMIFS('💰 Transaction ขาย'!E:E,'💰 Transaction ขาย'!B:B,A274),"")</f>
        <v/>
      </c>
      <c r="C274" s="23" t="str">
        <f>IF(A274&lt;&gt;"",vlookup(A274,'📦 ชื่อสินค้า'!A:E,5,false),"")</f>
        <v/>
      </c>
      <c r="D274" s="23" t="str">
        <f>IF(A274&lt;&gt;"",VLOOKUP(A274,'📦 ชื่อสินค้า'!A:F,6,false),"")</f>
        <v/>
      </c>
      <c r="E274" s="16" t="str">
        <f>IFERROR(IF(VLOOKUP(A274,'📦 ชื่อสินค้า'!A:G,7,false)="InActive","InActive",IF(A274&lt;&gt;"",IF(B274&lt;=0,"สินค้าหมด",IF(B274&lt;=C274,"ควรเติมทันที","OK")),"")),)</f>
        <v/>
      </c>
      <c r="F274" s="24" t="str">
        <f>IFERROR(IF(A274&lt;&gt;"", SUMIF('💸 Transaction ซื้อ'!B:B,A274,'💸 Transaction ซื้อ'!G:G)/SUMIF('💸 Transaction ซื้อ'!B:B,A274,'💸 Transaction ซื้อ'!E:E),""),"-")</f>
        <v/>
      </c>
      <c r="G274" s="24" t="str">
        <f t="shared" si="1"/>
        <v/>
      </c>
      <c r="H274" s="25"/>
      <c r="I274" s="26"/>
      <c r="J274" s="26"/>
      <c r="K274" s="27" t="str">
        <f>IF(A274&lt;&gt;"",IF(E274="InActive","-",SUMIFS('💰 Transaction ขาย'!E:E,'💰 Transaction ขาย'!B:B,A274,'💰 Transaction ขาย'!A:A,"&gt;"&amp;'⚙️ Config'!$H$1-'⚙️ Config'!$H$2)),)</f>
        <v/>
      </c>
      <c r="L274" s="28" t="str">
        <f>IF(E274="InActive","-",IF(A274&lt;&gt;"",K274/'⚙️ Config'!$H$2,))</f>
        <v/>
      </c>
      <c r="M274" s="28" t="str">
        <f t="shared" si="2"/>
        <v/>
      </c>
      <c r="N274" s="28" t="str">
        <f>IF(A274&lt;&gt;"", SUMIFS('💰 Transaction ขาย'!F:F,'💰 Transaction ขาย'!B:B,A274,'💰 Transaction ขาย'!A:A,"&gt;="&amp;DATE(YEAR('⚙️ Config'!$H$1),1,1),'💰 Transaction ขาย'!A:A,"&lt;="&amp;DATE(YEAR('⚙️ Config'!$H$1),12,31)),)</f>
        <v/>
      </c>
    </row>
    <row r="275">
      <c r="A275" s="22"/>
      <c r="B275" s="22" t="str">
        <f>IF(A275&lt;&gt;"",SUMIFS('💸 Transaction ซื้อ'!E:E,'💸 Transaction ซื้อ'!B:B,A275)-SUMIFS('💰 Transaction ขาย'!E:E,'💰 Transaction ขาย'!B:B,A275),"")</f>
        <v/>
      </c>
      <c r="C275" s="23" t="str">
        <f>IF(A275&lt;&gt;"",vlookup(A275,'📦 ชื่อสินค้า'!A:E,5,false),"")</f>
        <v/>
      </c>
      <c r="D275" s="23" t="str">
        <f>IF(A275&lt;&gt;"",VLOOKUP(A275,'📦 ชื่อสินค้า'!A:F,6,false),"")</f>
        <v/>
      </c>
      <c r="E275" s="16" t="str">
        <f>IFERROR(IF(VLOOKUP(A275,'📦 ชื่อสินค้า'!A:G,7,false)="InActive","InActive",IF(A275&lt;&gt;"",IF(B275&lt;=0,"สินค้าหมด",IF(B275&lt;=C275,"ควรเติมทันที","OK")),"")),)</f>
        <v/>
      </c>
      <c r="F275" s="24" t="str">
        <f>IFERROR(IF(A275&lt;&gt;"", SUMIF('💸 Transaction ซื้อ'!B:B,A275,'💸 Transaction ซื้อ'!G:G)/SUMIF('💸 Transaction ซื้อ'!B:B,A275,'💸 Transaction ซื้อ'!E:E),""),"-")</f>
        <v/>
      </c>
      <c r="G275" s="24" t="str">
        <f t="shared" si="1"/>
        <v/>
      </c>
      <c r="H275" s="25"/>
      <c r="I275" s="26"/>
      <c r="J275" s="26"/>
      <c r="K275" s="27" t="str">
        <f>IF(A275&lt;&gt;"",IF(E275="InActive","-",SUMIFS('💰 Transaction ขาย'!E:E,'💰 Transaction ขาย'!B:B,A275,'💰 Transaction ขาย'!A:A,"&gt;"&amp;'⚙️ Config'!$H$1-'⚙️ Config'!$H$2)),)</f>
        <v/>
      </c>
      <c r="L275" s="28" t="str">
        <f>IF(E275="InActive","-",IF(A275&lt;&gt;"",K275/'⚙️ Config'!$H$2,))</f>
        <v/>
      </c>
      <c r="M275" s="28" t="str">
        <f t="shared" si="2"/>
        <v/>
      </c>
      <c r="N275" s="28" t="str">
        <f>IF(A275&lt;&gt;"", SUMIFS('💰 Transaction ขาย'!F:F,'💰 Transaction ขาย'!B:B,A275,'💰 Transaction ขาย'!A:A,"&gt;="&amp;DATE(YEAR('⚙️ Config'!$H$1),1,1),'💰 Transaction ขาย'!A:A,"&lt;="&amp;DATE(YEAR('⚙️ Config'!$H$1),12,31)),)</f>
        <v/>
      </c>
    </row>
    <row r="276">
      <c r="A276" s="22"/>
      <c r="B276" s="22" t="str">
        <f>IF(A276&lt;&gt;"",SUMIFS('💸 Transaction ซื้อ'!E:E,'💸 Transaction ซื้อ'!B:B,A276)-SUMIFS('💰 Transaction ขาย'!E:E,'💰 Transaction ขาย'!B:B,A276),"")</f>
        <v/>
      </c>
      <c r="C276" s="23" t="str">
        <f>IF(A276&lt;&gt;"",vlookup(A276,'📦 ชื่อสินค้า'!A:E,5,false),"")</f>
        <v/>
      </c>
      <c r="D276" s="23" t="str">
        <f>IF(A276&lt;&gt;"",VLOOKUP(A276,'📦 ชื่อสินค้า'!A:F,6,false),"")</f>
        <v/>
      </c>
      <c r="E276" s="16" t="str">
        <f>IFERROR(IF(VLOOKUP(A276,'📦 ชื่อสินค้า'!A:G,7,false)="InActive","InActive",IF(A276&lt;&gt;"",IF(B276&lt;=0,"สินค้าหมด",IF(B276&lt;=C276,"ควรเติมทันที","OK")),"")),)</f>
        <v/>
      </c>
      <c r="F276" s="24" t="str">
        <f>IFERROR(IF(A276&lt;&gt;"", SUMIF('💸 Transaction ซื้อ'!B:B,A276,'💸 Transaction ซื้อ'!G:G)/SUMIF('💸 Transaction ซื้อ'!B:B,A276,'💸 Transaction ซื้อ'!E:E),""),"-")</f>
        <v/>
      </c>
      <c r="G276" s="24" t="str">
        <f t="shared" si="1"/>
        <v/>
      </c>
      <c r="H276" s="25"/>
      <c r="I276" s="26"/>
      <c r="J276" s="26"/>
      <c r="K276" s="27" t="str">
        <f>IF(A276&lt;&gt;"",IF(E276="InActive","-",SUMIFS('💰 Transaction ขาย'!E:E,'💰 Transaction ขาย'!B:B,A276,'💰 Transaction ขาย'!A:A,"&gt;"&amp;'⚙️ Config'!$H$1-'⚙️ Config'!$H$2)),)</f>
        <v/>
      </c>
      <c r="L276" s="28" t="str">
        <f>IF(E276="InActive","-",IF(A276&lt;&gt;"",K276/'⚙️ Config'!$H$2,))</f>
        <v/>
      </c>
      <c r="M276" s="28" t="str">
        <f t="shared" si="2"/>
        <v/>
      </c>
      <c r="N276" s="28" t="str">
        <f>IF(A276&lt;&gt;"", SUMIFS('💰 Transaction ขาย'!F:F,'💰 Transaction ขาย'!B:B,A276,'💰 Transaction ขาย'!A:A,"&gt;="&amp;DATE(YEAR('⚙️ Config'!$H$1),1,1),'💰 Transaction ขาย'!A:A,"&lt;="&amp;DATE(YEAR('⚙️ Config'!$H$1),12,31)),)</f>
        <v/>
      </c>
    </row>
    <row r="277">
      <c r="A277" s="22"/>
      <c r="B277" s="22" t="str">
        <f>IF(A277&lt;&gt;"",SUMIFS('💸 Transaction ซื้อ'!E:E,'💸 Transaction ซื้อ'!B:B,A277)-SUMIFS('💰 Transaction ขาย'!E:E,'💰 Transaction ขาย'!B:B,A277),"")</f>
        <v/>
      </c>
      <c r="C277" s="23" t="str">
        <f>IF(A277&lt;&gt;"",vlookup(A277,'📦 ชื่อสินค้า'!A:E,5,false),"")</f>
        <v/>
      </c>
      <c r="D277" s="23" t="str">
        <f>IF(A277&lt;&gt;"",VLOOKUP(A277,'📦 ชื่อสินค้า'!A:F,6,false),"")</f>
        <v/>
      </c>
      <c r="E277" s="16" t="str">
        <f>IFERROR(IF(VLOOKUP(A277,'📦 ชื่อสินค้า'!A:G,7,false)="InActive","InActive",IF(A277&lt;&gt;"",IF(B277&lt;=0,"สินค้าหมด",IF(B277&lt;=C277,"ควรเติมทันที","OK")),"")),)</f>
        <v/>
      </c>
      <c r="F277" s="24" t="str">
        <f>IFERROR(IF(A277&lt;&gt;"", SUMIF('💸 Transaction ซื้อ'!B:B,A277,'💸 Transaction ซื้อ'!G:G)/SUMIF('💸 Transaction ซื้อ'!B:B,A277,'💸 Transaction ซื้อ'!E:E),""),"-")</f>
        <v/>
      </c>
      <c r="G277" s="24" t="str">
        <f t="shared" si="1"/>
        <v/>
      </c>
      <c r="H277" s="25"/>
      <c r="I277" s="26"/>
      <c r="J277" s="26"/>
      <c r="K277" s="27" t="str">
        <f>IF(A277&lt;&gt;"",IF(E277="InActive","-",SUMIFS('💰 Transaction ขาย'!E:E,'💰 Transaction ขาย'!B:B,A277,'💰 Transaction ขาย'!A:A,"&gt;"&amp;'⚙️ Config'!$H$1-'⚙️ Config'!$H$2)),)</f>
        <v/>
      </c>
      <c r="L277" s="28" t="str">
        <f>IF(E277="InActive","-",IF(A277&lt;&gt;"",K277/'⚙️ Config'!$H$2,))</f>
        <v/>
      </c>
      <c r="M277" s="28" t="str">
        <f t="shared" si="2"/>
        <v/>
      </c>
      <c r="N277" s="28" t="str">
        <f>IF(A277&lt;&gt;"", SUMIFS('💰 Transaction ขาย'!F:F,'💰 Transaction ขาย'!B:B,A277,'💰 Transaction ขาย'!A:A,"&gt;="&amp;DATE(YEAR('⚙️ Config'!$H$1),1,1),'💰 Transaction ขาย'!A:A,"&lt;="&amp;DATE(YEAR('⚙️ Config'!$H$1),12,31)),)</f>
        <v/>
      </c>
    </row>
    <row r="278">
      <c r="A278" s="22"/>
      <c r="B278" s="22" t="str">
        <f>IF(A278&lt;&gt;"",SUMIFS('💸 Transaction ซื้อ'!E:E,'💸 Transaction ซื้อ'!B:B,A278)-SUMIFS('💰 Transaction ขาย'!E:E,'💰 Transaction ขาย'!B:B,A278),"")</f>
        <v/>
      </c>
      <c r="C278" s="23" t="str">
        <f>IF(A278&lt;&gt;"",vlookup(A278,'📦 ชื่อสินค้า'!A:E,5,false),"")</f>
        <v/>
      </c>
      <c r="D278" s="23" t="str">
        <f>IF(A278&lt;&gt;"",VLOOKUP(A278,'📦 ชื่อสินค้า'!A:F,6,false),"")</f>
        <v/>
      </c>
      <c r="E278" s="16" t="str">
        <f>IFERROR(IF(VLOOKUP(A278,'📦 ชื่อสินค้า'!A:G,7,false)="InActive","InActive",IF(A278&lt;&gt;"",IF(B278&lt;=0,"สินค้าหมด",IF(B278&lt;=C278,"ควรเติมทันที","OK")),"")),)</f>
        <v/>
      </c>
      <c r="F278" s="24" t="str">
        <f>IFERROR(IF(A278&lt;&gt;"", SUMIF('💸 Transaction ซื้อ'!B:B,A278,'💸 Transaction ซื้อ'!G:G)/SUMIF('💸 Transaction ซื้อ'!B:B,A278,'💸 Transaction ซื้อ'!E:E),""),"-")</f>
        <v/>
      </c>
      <c r="G278" s="24" t="str">
        <f t="shared" si="1"/>
        <v/>
      </c>
      <c r="H278" s="25"/>
      <c r="I278" s="26"/>
      <c r="J278" s="26"/>
      <c r="K278" s="27" t="str">
        <f>IF(A278&lt;&gt;"",IF(E278="InActive","-",SUMIFS('💰 Transaction ขาย'!E:E,'💰 Transaction ขาย'!B:B,A278,'💰 Transaction ขาย'!A:A,"&gt;"&amp;'⚙️ Config'!$H$1-'⚙️ Config'!$H$2)),)</f>
        <v/>
      </c>
      <c r="L278" s="28" t="str">
        <f>IF(E278="InActive","-",IF(A278&lt;&gt;"",K278/'⚙️ Config'!$H$2,))</f>
        <v/>
      </c>
      <c r="M278" s="28" t="str">
        <f t="shared" si="2"/>
        <v/>
      </c>
      <c r="N278" s="28" t="str">
        <f>IF(A278&lt;&gt;"", SUMIFS('💰 Transaction ขาย'!F:F,'💰 Transaction ขาย'!B:B,A278,'💰 Transaction ขาย'!A:A,"&gt;="&amp;DATE(YEAR('⚙️ Config'!$H$1),1,1),'💰 Transaction ขาย'!A:A,"&lt;="&amp;DATE(YEAR('⚙️ Config'!$H$1),12,31)),)</f>
        <v/>
      </c>
    </row>
    <row r="279">
      <c r="A279" s="22"/>
      <c r="B279" s="22" t="str">
        <f>IF(A279&lt;&gt;"",SUMIFS('💸 Transaction ซื้อ'!E:E,'💸 Transaction ซื้อ'!B:B,A279)-SUMIFS('💰 Transaction ขาย'!E:E,'💰 Transaction ขาย'!B:B,A279),"")</f>
        <v/>
      </c>
      <c r="C279" s="23" t="str">
        <f>IF(A279&lt;&gt;"",vlookup(A279,'📦 ชื่อสินค้า'!A:E,5,false),"")</f>
        <v/>
      </c>
      <c r="D279" s="23" t="str">
        <f>IF(A279&lt;&gt;"",VLOOKUP(A279,'📦 ชื่อสินค้า'!A:F,6,false),"")</f>
        <v/>
      </c>
      <c r="E279" s="16" t="str">
        <f>IFERROR(IF(VLOOKUP(A279,'📦 ชื่อสินค้า'!A:G,7,false)="InActive","InActive",IF(A279&lt;&gt;"",IF(B279&lt;=0,"สินค้าหมด",IF(B279&lt;=C279,"ควรเติมทันที","OK")),"")),)</f>
        <v/>
      </c>
      <c r="F279" s="24" t="str">
        <f>IFERROR(IF(A279&lt;&gt;"", SUMIF('💸 Transaction ซื้อ'!B:B,A279,'💸 Transaction ซื้อ'!G:G)/SUMIF('💸 Transaction ซื้อ'!B:B,A279,'💸 Transaction ซื้อ'!E:E),""),"-")</f>
        <v/>
      </c>
      <c r="G279" s="24" t="str">
        <f t="shared" si="1"/>
        <v/>
      </c>
      <c r="H279" s="25"/>
      <c r="I279" s="26"/>
      <c r="J279" s="26"/>
      <c r="K279" s="27" t="str">
        <f>IF(A279&lt;&gt;"",IF(E279="InActive","-",SUMIFS('💰 Transaction ขาย'!E:E,'💰 Transaction ขาย'!B:B,A279,'💰 Transaction ขาย'!A:A,"&gt;"&amp;'⚙️ Config'!$H$1-'⚙️ Config'!$H$2)),)</f>
        <v/>
      </c>
      <c r="L279" s="28" t="str">
        <f>IF(E279="InActive","-",IF(A279&lt;&gt;"",K279/'⚙️ Config'!$H$2,))</f>
        <v/>
      </c>
      <c r="M279" s="28" t="str">
        <f t="shared" si="2"/>
        <v/>
      </c>
      <c r="N279" s="28" t="str">
        <f>IF(A279&lt;&gt;"", SUMIFS('💰 Transaction ขาย'!F:F,'💰 Transaction ขาย'!B:B,A279,'💰 Transaction ขาย'!A:A,"&gt;="&amp;DATE(YEAR('⚙️ Config'!$H$1),1,1),'💰 Transaction ขาย'!A:A,"&lt;="&amp;DATE(YEAR('⚙️ Config'!$H$1),12,31)),)</f>
        <v/>
      </c>
    </row>
    <row r="280">
      <c r="A280" s="22"/>
      <c r="B280" s="22" t="str">
        <f>IF(A280&lt;&gt;"",SUMIFS('💸 Transaction ซื้อ'!E:E,'💸 Transaction ซื้อ'!B:B,A280)-SUMIFS('💰 Transaction ขาย'!E:E,'💰 Transaction ขาย'!B:B,A280),"")</f>
        <v/>
      </c>
      <c r="C280" s="23" t="str">
        <f>IF(A280&lt;&gt;"",vlookup(A280,'📦 ชื่อสินค้า'!A:E,5,false),"")</f>
        <v/>
      </c>
      <c r="D280" s="23" t="str">
        <f>IF(A280&lt;&gt;"",VLOOKUP(A280,'📦 ชื่อสินค้า'!A:F,6,false),"")</f>
        <v/>
      </c>
      <c r="E280" s="16" t="str">
        <f>IFERROR(IF(VLOOKUP(A280,'📦 ชื่อสินค้า'!A:G,7,false)="InActive","InActive",IF(A280&lt;&gt;"",IF(B280&lt;=0,"สินค้าหมด",IF(B280&lt;=C280,"ควรเติมทันที","OK")),"")),)</f>
        <v/>
      </c>
      <c r="F280" s="24" t="str">
        <f>IFERROR(IF(A280&lt;&gt;"", SUMIF('💸 Transaction ซื้อ'!B:B,A280,'💸 Transaction ซื้อ'!G:G)/SUMIF('💸 Transaction ซื้อ'!B:B,A280,'💸 Transaction ซื้อ'!E:E),""),"-")</f>
        <v/>
      </c>
      <c r="G280" s="24" t="str">
        <f t="shared" si="1"/>
        <v/>
      </c>
      <c r="H280" s="25"/>
      <c r="I280" s="26"/>
      <c r="J280" s="26"/>
      <c r="K280" s="27" t="str">
        <f>IF(A280&lt;&gt;"",IF(E280="InActive","-",SUMIFS('💰 Transaction ขาย'!E:E,'💰 Transaction ขาย'!B:B,A280,'💰 Transaction ขาย'!A:A,"&gt;"&amp;'⚙️ Config'!$H$1-'⚙️ Config'!$H$2)),)</f>
        <v/>
      </c>
      <c r="L280" s="28" t="str">
        <f>IF(E280="InActive","-",IF(A280&lt;&gt;"",K280/'⚙️ Config'!$H$2,))</f>
        <v/>
      </c>
      <c r="M280" s="28" t="str">
        <f t="shared" si="2"/>
        <v/>
      </c>
      <c r="N280" s="28" t="str">
        <f>IF(A280&lt;&gt;"", SUMIFS('💰 Transaction ขาย'!F:F,'💰 Transaction ขาย'!B:B,A280,'💰 Transaction ขาย'!A:A,"&gt;="&amp;DATE(YEAR('⚙️ Config'!$H$1),1,1),'💰 Transaction ขาย'!A:A,"&lt;="&amp;DATE(YEAR('⚙️ Config'!$H$1),12,31)),)</f>
        <v/>
      </c>
    </row>
    <row r="281">
      <c r="A281" s="22"/>
      <c r="B281" s="22" t="str">
        <f>IF(A281&lt;&gt;"",SUMIFS('💸 Transaction ซื้อ'!E:E,'💸 Transaction ซื้อ'!B:B,A281)-SUMIFS('💰 Transaction ขาย'!E:E,'💰 Transaction ขาย'!B:B,A281),"")</f>
        <v/>
      </c>
      <c r="C281" s="23" t="str">
        <f>IF(A281&lt;&gt;"",vlookup(A281,'📦 ชื่อสินค้า'!A:E,5,false),"")</f>
        <v/>
      </c>
      <c r="D281" s="23" t="str">
        <f>IF(A281&lt;&gt;"",VLOOKUP(A281,'📦 ชื่อสินค้า'!A:F,6,false),"")</f>
        <v/>
      </c>
      <c r="E281" s="16" t="str">
        <f>IFERROR(IF(VLOOKUP(A281,'📦 ชื่อสินค้า'!A:G,7,false)="InActive","InActive",IF(A281&lt;&gt;"",IF(B281&lt;=0,"สินค้าหมด",IF(B281&lt;=C281,"ควรเติมทันที","OK")),"")),)</f>
        <v/>
      </c>
      <c r="F281" s="24" t="str">
        <f>IFERROR(IF(A281&lt;&gt;"", SUMIF('💸 Transaction ซื้อ'!B:B,A281,'💸 Transaction ซื้อ'!G:G)/SUMIF('💸 Transaction ซื้อ'!B:B,A281,'💸 Transaction ซื้อ'!E:E),""),"-")</f>
        <v/>
      </c>
      <c r="G281" s="24" t="str">
        <f t="shared" si="1"/>
        <v/>
      </c>
      <c r="H281" s="25"/>
      <c r="I281" s="26"/>
      <c r="J281" s="26"/>
      <c r="K281" s="27" t="str">
        <f>IF(A281&lt;&gt;"",IF(E281="InActive","-",SUMIFS('💰 Transaction ขาย'!E:E,'💰 Transaction ขาย'!B:B,A281,'💰 Transaction ขาย'!A:A,"&gt;"&amp;'⚙️ Config'!$H$1-'⚙️ Config'!$H$2)),)</f>
        <v/>
      </c>
      <c r="L281" s="28" t="str">
        <f>IF(E281="InActive","-",IF(A281&lt;&gt;"",K281/'⚙️ Config'!$H$2,))</f>
        <v/>
      </c>
      <c r="M281" s="28" t="str">
        <f t="shared" si="2"/>
        <v/>
      </c>
      <c r="N281" s="28" t="str">
        <f>IF(A281&lt;&gt;"", SUMIFS('💰 Transaction ขาย'!F:F,'💰 Transaction ขาย'!B:B,A281,'💰 Transaction ขาย'!A:A,"&gt;="&amp;DATE(YEAR('⚙️ Config'!$H$1),1,1),'💰 Transaction ขาย'!A:A,"&lt;="&amp;DATE(YEAR('⚙️ Config'!$H$1),12,31)),)</f>
        <v/>
      </c>
    </row>
    <row r="282">
      <c r="A282" s="22"/>
      <c r="B282" s="22" t="str">
        <f>IF(A282&lt;&gt;"",SUMIFS('💸 Transaction ซื้อ'!E:E,'💸 Transaction ซื้อ'!B:B,A282)-SUMIFS('💰 Transaction ขาย'!E:E,'💰 Transaction ขาย'!B:B,A282),"")</f>
        <v/>
      </c>
      <c r="C282" s="23" t="str">
        <f>IF(A282&lt;&gt;"",vlookup(A282,'📦 ชื่อสินค้า'!A:E,5,false),"")</f>
        <v/>
      </c>
      <c r="D282" s="23" t="str">
        <f>IF(A282&lt;&gt;"",VLOOKUP(A282,'📦 ชื่อสินค้า'!A:F,6,false),"")</f>
        <v/>
      </c>
      <c r="E282" s="16" t="str">
        <f>IFERROR(IF(VLOOKUP(A282,'📦 ชื่อสินค้า'!A:G,7,false)="InActive","InActive",IF(A282&lt;&gt;"",IF(B282&lt;=0,"สินค้าหมด",IF(B282&lt;=C282,"ควรเติมทันที","OK")),"")),)</f>
        <v/>
      </c>
      <c r="F282" s="24" t="str">
        <f>IFERROR(IF(A282&lt;&gt;"", SUMIF('💸 Transaction ซื้อ'!B:B,A282,'💸 Transaction ซื้อ'!G:G)/SUMIF('💸 Transaction ซื้อ'!B:B,A282,'💸 Transaction ซื้อ'!E:E),""),"-")</f>
        <v/>
      </c>
      <c r="G282" s="24" t="str">
        <f t="shared" si="1"/>
        <v/>
      </c>
      <c r="H282" s="25"/>
      <c r="I282" s="26"/>
      <c r="J282" s="26"/>
      <c r="K282" s="27" t="str">
        <f>IF(A282&lt;&gt;"",IF(E282="InActive","-",SUMIFS('💰 Transaction ขาย'!E:E,'💰 Transaction ขาย'!B:B,A282,'💰 Transaction ขาย'!A:A,"&gt;"&amp;'⚙️ Config'!$H$1-'⚙️ Config'!$H$2)),)</f>
        <v/>
      </c>
      <c r="L282" s="28" t="str">
        <f>IF(E282="InActive","-",IF(A282&lt;&gt;"",K282/'⚙️ Config'!$H$2,))</f>
        <v/>
      </c>
      <c r="M282" s="28" t="str">
        <f t="shared" si="2"/>
        <v/>
      </c>
      <c r="N282" s="28" t="str">
        <f>IF(A282&lt;&gt;"", SUMIFS('💰 Transaction ขาย'!F:F,'💰 Transaction ขาย'!B:B,A282,'💰 Transaction ขาย'!A:A,"&gt;="&amp;DATE(YEAR('⚙️ Config'!$H$1),1,1),'💰 Transaction ขาย'!A:A,"&lt;="&amp;DATE(YEAR('⚙️ Config'!$H$1),12,31)),)</f>
        <v/>
      </c>
    </row>
    <row r="283">
      <c r="A283" s="22"/>
      <c r="B283" s="22" t="str">
        <f>IF(A283&lt;&gt;"",SUMIFS('💸 Transaction ซื้อ'!E:E,'💸 Transaction ซื้อ'!B:B,A283)-SUMIFS('💰 Transaction ขาย'!E:E,'💰 Transaction ขาย'!B:B,A283),"")</f>
        <v/>
      </c>
      <c r="C283" s="23" t="str">
        <f>IF(A283&lt;&gt;"",vlookup(A283,'📦 ชื่อสินค้า'!A:E,5,false),"")</f>
        <v/>
      </c>
      <c r="D283" s="23" t="str">
        <f>IF(A283&lt;&gt;"",VLOOKUP(A283,'📦 ชื่อสินค้า'!A:F,6,false),"")</f>
        <v/>
      </c>
      <c r="E283" s="16" t="str">
        <f>IFERROR(IF(VLOOKUP(A283,'📦 ชื่อสินค้า'!A:G,7,false)="InActive","InActive",IF(A283&lt;&gt;"",IF(B283&lt;=0,"สินค้าหมด",IF(B283&lt;=C283,"ควรเติมทันที","OK")),"")),)</f>
        <v/>
      </c>
      <c r="F283" s="24" t="str">
        <f>IFERROR(IF(A283&lt;&gt;"", SUMIF('💸 Transaction ซื้อ'!B:B,A283,'💸 Transaction ซื้อ'!G:G)/SUMIF('💸 Transaction ซื้อ'!B:B,A283,'💸 Transaction ซื้อ'!E:E),""),"-")</f>
        <v/>
      </c>
      <c r="G283" s="24" t="str">
        <f t="shared" si="1"/>
        <v/>
      </c>
      <c r="H283" s="25"/>
      <c r="I283" s="26"/>
      <c r="J283" s="26"/>
      <c r="K283" s="27" t="str">
        <f>IF(A283&lt;&gt;"",IF(E283="InActive","-",SUMIFS('💰 Transaction ขาย'!E:E,'💰 Transaction ขาย'!B:B,A283,'💰 Transaction ขาย'!A:A,"&gt;"&amp;'⚙️ Config'!$H$1-'⚙️ Config'!$H$2)),)</f>
        <v/>
      </c>
      <c r="L283" s="28" t="str">
        <f>IF(E283="InActive","-",IF(A283&lt;&gt;"",K283/'⚙️ Config'!$H$2,))</f>
        <v/>
      </c>
      <c r="M283" s="28" t="str">
        <f t="shared" si="2"/>
        <v/>
      </c>
      <c r="N283" s="28" t="str">
        <f>IF(A283&lt;&gt;"", SUMIFS('💰 Transaction ขาย'!F:F,'💰 Transaction ขาย'!B:B,A283,'💰 Transaction ขาย'!A:A,"&gt;="&amp;DATE(YEAR('⚙️ Config'!$H$1),1,1),'💰 Transaction ขาย'!A:A,"&lt;="&amp;DATE(YEAR('⚙️ Config'!$H$1),12,31)),)</f>
        <v/>
      </c>
    </row>
    <row r="284">
      <c r="A284" s="22"/>
      <c r="B284" s="22" t="str">
        <f>IF(A284&lt;&gt;"",SUMIFS('💸 Transaction ซื้อ'!E:E,'💸 Transaction ซื้อ'!B:B,A284)-SUMIFS('💰 Transaction ขาย'!E:E,'💰 Transaction ขาย'!B:B,A284),"")</f>
        <v/>
      </c>
      <c r="C284" s="23" t="str">
        <f>IF(A284&lt;&gt;"",vlookup(A284,'📦 ชื่อสินค้า'!A:E,5,false),"")</f>
        <v/>
      </c>
      <c r="D284" s="23" t="str">
        <f>IF(A284&lt;&gt;"",VLOOKUP(A284,'📦 ชื่อสินค้า'!A:F,6,false),"")</f>
        <v/>
      </c>
      <c r="E284" s="16" t="str">
        <f>IFERROR(IF(VLOOKUP(A284,'📦 ชื่อสินค้า'!A:G,7,false)="InActive","InActive",IF(A284&lt;&gt;"",IF(B284&lt;=0,"สินค้าหมด",IF(B284&lt;=C284,"ควรเติมทันที","OK")),"")),)</f>
        <v/>
      </c>
      <c r="F284" s="24" t="str">
        <f>IFERROR(IF(A284&lt;&gt;"", SUMIF('💸 Transaction ซื้อ'!B:B,A284,'💸 Transaction ซื้อ'!G:G)/SUMIF('💸 Transaction ซื้อ'!B:B,A284,'💸 Transaction ซื้อ'!E:E),""),"-")</f>
        <v/>
      </c>
      <c r="G284" s="24" t="str">
        <f t="shared" si="1"/>
        <v/>
      </c>
      <c r="H284" s="25"/>
      <c r="I284" s="26"/>
      <c r="J284" s="26"/>
      <c r="K284" s="27" t="str">
        <f>IF(A284&lt;&gt;"",IF(E284="InActive","-",SUMIFS('💰 Transaction ขาย'!E:E,'💰 Transaction ขาย'!B:B,A284,'💰 Transaction ขาย'!A:A,"&gt;"&amp;'⚙️ Config'!$H$1-'⚙️ Config'!$H$2)),)</f>
        <v/>
      </c>
      <c r="L284" s="28" t="str">
        <f>IF(E284="InActive","-",IF(A284&lt;&gt;"",K284/'⚙️ Config'!$H$2,))</f>
        <v/>
      </c>
      <c r="M284" s="28" t="str">
        <f t="shared" si="2"/>
        <v/>
      </c>
      <c r="N284" s="28" t="str">
        <f>IF(A284&lt;&gt;"", SUMIFS('💰 Transaction ขาย'!F:F,'💰 Transaction ขาย'!B:B,A284,'💰 Transaction ขาย'!A:A,"&gt;="&amp;DATE(YEAR('⚙️ Config'!$H$1),1,1),'💰 Transaction ขาย'!A:A,"&lt;="&amp;DATE(YEAR('⚙️ Config'!$H$1),12,31)),)</f>
        <v/>
      </c>
    </row>
    <row r="285">
      <c r="A285" s="22"/>
      <c r="B285" s="22" t="str">
        <f>IF(A285&lt;&gt;"",SUMIFS('💸 Transaction ซื้อ'!E:E,'💸 Transaction ซื้อ'!B:B,A285)-SUMIFS('💰 Transaction ขาย'!E:E,'💰 Transaction ขาย'!B:B,A285),"")</f>
        <v/>
      </c>
      <c r="C285" s="23" t="str">
        <f>IF(A285&lt;&gt;"",vlookup(A285,'📦 ชื่อสินค้า'!A:E,5,false),"")</f>
        <v/>
      </c>
      <c r="D285" s="23" t="str">
        <f>IF(A285&lt;&gt;"",VLOOKUP(A285,'📦 ชื่อสินค้า'!A:F,6,false),"")</f>
        <v/>
      </c>
      <c r="E285" s="16" t="str">
        <f>IFERROR(IF(VLOOKUP(A285,'📦 ชื่อสินค้า'!A:G,7,false)="InActive","InActive",IF(A285&lt;&gt;"",IF(B285&lt;=0,"สินค้าหมด",IF(B285&lt;=C285,"ควรเติมทันที","OK")),"")),)</f>
        <v/>
      </c>
      <c r="F285" s="24" t="str">
        <f>IFERROR(IF(A285&lt;&gt;"", SUMIF('💸 Transaction ซื้อ'!B:B,A285,'💸 Transaction ซื้อ'!G:G)/SUMIF('💸 Transaction ซื้อ'!B:B,A285,'💸 Transaction ซื้อ'!E:E),""),"-")</f>
        <v/>
      </c>
      <c r="G285" s="24" t="str">
        <f t="shared" si="1"/>
        <v/>
      </c>
      <c r="H285" s="25"/>
      <c r="I285" s="26"/>
      <c r="J285" s="26"/>
      <c r="K285" s="27" t="str">
        <f>IF(A285&lt;&gt;"",IF(E285="InActive","-",SUMIFS('💰 Transaction ขาย'!E:E,'💰 Transaction ขาย'!B:B,A285,'💰 Transaction ขาย'!A:A,"&gt;"&amp;'⚙️ Config'!$H$1-'⚙️ Config'!$H$2)),)</f>
        <v/>
      </c>
      <c r="L285" s="28" t="str">
        <f>IF(E285="InActive","-",IF(A285&lt;&gt;"",K285/'⚙️ Config'!$H$2,))</f>
        <v/>
      </c>
      <c r="M285" s="28" t="str">
        <f t="shared" si="2"/>
        <v/>
      </c>
      <c r="N285" s="28" t="str">
        <f>IF(A285&lt;&gt;"", SUMIFS('💰 Transaction ขาย'!F:F,'💰 Transaction ขาย'!B:B,A285,'💰 Transaction ขาย'!A:A,"&gt;="&amp;DATE(YEAR('⚙️ Config'!$H$1),1,1),'💰 Transaction ขาย'!A:A,"&lt;="&amp;DATE(YEAR('⚙️ Config'!$H$1),12,31)),)</f>
        <v/>
      </c>
    </row>
    <row r="286">
      <c r="A286" s="22"/>
      <c r="B286" s="22" t="str">
        <f>IF(A286&lt;&gt;"",SUMIFS('💸 Transaction ซื้อ'!E:E,'💸 Transaction ซื้อ'!B:B,A286)-SUMIFS('💰 Transaction ขาย'!E:E,'💰 Transaction ขาย'!B:B,A286),"")</f>
        <v/>
      </c>
      <c r="C286" s="23" t="str">
        <f>IF(A286&lt;&gt;"",vlookup(A286,'📦 ชื่อสินค้า'!A:E,5,false),"")</f>
        <v/>
      </c>
      <c r="D286" s="23" t="str">
        <f>IF(A286&lt;&gt;"",VLOOKUP(A286,'📦 ชื่อสินค้า'!A:F,6,false),"")</f>
        <v/>
      </c>
      <c r="E286" s="16" t="str">
        <f>IFERROR(IF(VLOOKUP(A286,'📦 ชื่อสินค้า'!A:G,7,false)="InActive","InActive",IF(A286&lt;&gt;"",IF(B286&lt;=0,"สินค้าหมด",IF(B286&lt;=C286,"ควรเติมทันที","OK")),"")),)</f>
        <v/>
      </c>
      <c r="F286" s="24" t="str">
        <f>IFERROR(IF(A286&lt;&gt;"", SUMIF('💸 Transaction ซื้อ'!B:B,A286,'💸 Transaction ซื้อ'!G:G)/SUMIF('💸 Transaction ซื้อ'!B:B,A286,'💸 Transaction ซื้อ'!E:E),""),"-")</f>
        <v/>
      </c>
      <c r="G286" s="24" t="str">
        <f t="shared" si="1"/>
        <v/>
      </c>
      <c r="H286" s="25"/>
      <c r="I286" s="26"/>
      <c r="J286" s="26"/>
      <c r="K286" s="27" t="str">
        <f>IF(A286&lt;&gt;"",IF(E286="InActive","-",SUMIFS('💰 Transaction ขาย'!E:E,'💰 Transaction ขาย'!B:B,A286,'💰 Transaction ขาย'!A:A,"&gt;"&amp;'⚙️ Config'!$H$1-'⚙️ Config'!$H$2)),)</f>
        <v/>
      </c>
      <c r="L286" s="28" t="str">
        <f>IF(E286="InActive","-",IF(A286&lt;&gt;"",K286/'⚙️ Config'!$H$2,))</f>
        <v/>
      </c>
      <c r="M286" s="28" t="str">
        <f t="shared" si="2"/>
        <v/>
      </c>
      <c r="N286" s="28" t="str">
        <f>IF(A286&lt;&gt;"", SUMIFS('💰 Transaction ขาย'!F:F,'💰 Transaction ขาย'!B:B,A286,'💰 Transaction ขาย'!A:A,"&gt;="&amp;DATE(YEAR('⚙️ Config'!$H$1),1,1),'💰 Transaction ขาย'!A:A,"&lt;="&amp;DATE(YEAR('⚙️ Config'!$H$1),12,31)),)</f>
        <v/>
      </c>
    </row>
    <row r="287">
      <c r="A287" s="22"/>
      <c r="B287" s="22" t="str">
        <f>IF(A287&lt;&gt;"",SUMIFS('💸 Transaction ซื้อ'!E:E,'💸 Transaction ซื้อ'!B:B,A287)-SUMIFS('💰 Transaction ขาย'!E:E,'💰 Transaction ขาย'!B:B,A287),"")</f>
        <v/>
      </c>
      <c r="C287" s="23" t="str">
        <f>IF(A287&lt;&gt;"",vlookup(A287,'📦 ชื่อสินค้า'!A:E,5,false),"")</f>
        <v/>
      </c>
      <c r="D287" s="23" t="str">
        <f>IF(A287&lt;&gt;"",VLOOKUP(A287,'📦 ชื่อสินค้า'!A:F,6,false),"")</f>
        <v/>
      </c>
      <c r="E287" s="16" t="str">
        <f>IFERROR(IF(VLOOKUP(A287,'📦 ชื่อสินค้า'!A:G,7,false)="InActive","InActive",IF(A287&lt;&gt;"",IF(B287&lt;=0,"สินค้าหมด",IF(B287&lt;=C287,"ควรเติมทันที","OK")),"")),)</f>
        <v/>
      </c>
      <c r="F287" s="24" t="str">
        <f>IFERROR(IF(A287&lt;&gt;"", SUMIF('💸 Transaction ซื้อ'!B:B,A287,'💸 Transaction ซื้อ'!G:G)/SUMIF('💸 Transaction ซื้อ'!B:B,A287,'💸 Transaction ซื้อ'!E:E),""),"-")</f>
        <v/>
      </c>
      <c r="G287" s="24" t="str">
        <f t="shared" si="1"/>
        <v/>
      </c>
      <c r="H287" s="25"/>
      <c r="I287" s="26"/>
      <c r="J287" s="26"/>
      <c r="K287" s="27" t="str">
        <f>IF(A287&lt;&gt;"",IF(E287="InActive","-",SUMIFS('💰 Transaction ขาย'!E:E,'💰 Transaction ขาย'!B:B,A287,'💰 Transaction ขาย'!A:A,"&gt;"&amp;'⚙️ Config'!$H$1-'⚙️ Config'!$H$2)),)</f>
        <v/>
      </c>
      <c r="L287" s="28" t="str">
        <f>IF(E287="InActive","-",IF(A287&lt;&gt;"",K287/'⚙️ Config'!$H$2,))</f>
        <v/>
      </c>
      <c r="M287" s="28" t="str">
        <f t="shared" si="2"/>
        <v/>
      </c>
      <c r="N287" s="28" t="str">
        <f>IF(A287&lt;&gt;"", SUMIFS('💰 Transaction ขาย'!F:F,'💰 Transaction ขาย'!B:B,A287,'💰 Transaction ขาย'!A:A,"&gt;="&amp;DATE(YEAR('⚙️ Config'!$H$1),1,1),'💰 Transaction ขาย'!A:A,"&lt;="&amp;DATE(YEAR('⚙️ Config'!$H$1),12,31)),)</f>
        <v/>
      </c>
    </row>
    <row r="288">
      <c r="A288" s="22"/>
      <c r="B288" s="22" t="str">
        <f>IF(A288&lt;&gt;"",SUMIFS('💸 Transaction ซื้อ'!E:E,'💸 Transaction ซื้อ'!B:B,A288)-SUMIFS('💰 Transaction ขาย'!E:E,'💰 Transaction ขาย'!B:B,A288),"")</f>
        <v/>
      </c>
      <c r="C288" s="23" t="str">
        <f>IF(A288&lt;&gt;"",vlookup(A288,'📦 ชื่อสินค้า'!A:E,5,false),"")</f>
        <v/>
      </c>
      <c r="D288" s="23" t="str">
        <f>IF(A288&lt;&gt;"",VLOOKUP(A288,'📦 ชื่อสินค้า'!A:F,6,false),"")</f>
        <v/>
      </c>
      <c r="E288" s="16" t="str">
        <f>IFERROR(IF(VLOOKUP(A288,'📦 ชื่อสินค้า'!A:G,7,false)="InActive","InActive",IF(A288&lt;&gt;"",IF(B288&lt;=0,"สินค้าหมด",IF(B288&lt;=C288,"ควรเติมทันที","OK")),"")),)</f>
        <v/>
      </c>
      <c r="F288" s="24" t="str">
        <f>IFERROR(IF(A288&lt;&gt;"", SUMIF('💸 Transaction ซื้อ'!B:B,A288,'💸 Transaction ซื้อ'!G:G)/SUMIF('💸 Transaction ซื้อ'!B:B,A288,'💸 Transaction ซื้อ'!E:E),""),"-")</f>
        <v/>
      </c>
      <c r="G288" s="24" t="str">
        <f t="shared" si="1"/>
        <v/>
      </c>
      <c r="H288" s="25"/>
      <c r="I288" s="26"/>
      <c r="J288" s="26"/>
      <c r="K288" s="27" t="str">
        <f>IF(A288&lt;&gt;"",IF(E288="InActive","-",SUMIFS('💰 Transaction ขาย'!E:E,'💰 Transaction ขาย'!B:B,A288,'💰 Transaction ขาย'!A:A,"&gt;"&amp;'⚙️ Config'!$H$1-'⚙️ Config'!$H$2)),)</f>
        <v/>
      </c>
      <c r="L288" s="28" t="str">
        <f>IF(E288="InActive","-",IF(A288&lt;&gt;"",K288/'⚙️ Config'!$H$2,))</f>
        <v/>
      </c>
      <c r="M288" s="28" t="str">
        <f t="shared" si="2"/>
        <v/>
      </c>
      <c r="N288" s="28" t="str">
        <f>IF(A288&lt;&gt;"", SUMIFS('💰 Transaction ขาย'!F:F,'💰 Transaction ขาย'!B:B,A288,'💰 Transaction ขาย'!A:A,"&gt;="&amp;DATE(YEAR('⚙️ Config'!$H$1),1,1),'💰 Transaction ขาย'!A:A,"&lt;="&amp;DATE(YEAR('⚙️ Config'!$H$1),12,31)),)</f>
        <v/>
      </c>
    </row>
    <row r="289">
      <c r="A289" s="22"/>
      <c r="B289" s="22" t="str">
        <f>IF(A289&lt;&gt;"",SUMIFS('💸 Transaction ซื้อ'!E:E,'💸 Transaction ซื้อ'!B:B,A289)-SUMIFS('💰 Transaction ขาย'!E:E,'💰 Transaction ขาย'!B:B,A289),"")</f>
        <v/>
      </c>
      <c r="C289" s="23" t="str">
        <f>IF(A289&lt;&gt;"",vlookup(A289,'📦 ชื่อสินค้า'!A:E,5,false),"")</f>
        <v/>
      </c>
      <c r="D289" s="23" t="str">
        <f>IF(A289&lt;&gt;"",VLOOKUP(A289,'📦 ชื่อสินค้า'!A:F,6,false),"")</f>
        <v/>
      </c>
      <c r="E289" s="16" t="str">
        <f>IFERROR(IF(VLOOKUP(A289,'📦 ชื่อสินค้า'!A:G,7,false)="InActive","InActive",IF(A289&lt;&gt;"",IF(B289&lt;=0,"สินค้าหมด",IF(B289&lt;=C289,"ควรเติมทันที","OK")),"")),)</f>
        <v/>
      </c>
      <c r="F289" s="24" t="str">
        <f>IFERROR(IF(A289&lt;&gt;"", SUMIF('💸 Transaction ซื้อ'!B:B,A289,'💸 Transaction ซื้อ'!G:G)/SUMIF('💸 Transaction ซื้อ'!B:B,A289,'💸 Transaction ซื้อ'!E:E),""),"-")</f>
        <v/>
      </c>
      <c r="G289" s="24" t="str">
        <f t="shared" si="1"/>
        <v/>
      </c>
      <c r="H289" s="25"/>
      <c r="I289" s="26"/>
      <c r="J289" s="26"/>
      <c r="K289" s="27" t="str">
        <f>IF(A289&lt;&gt;"",IF(E289="InActive","-",SUMIFS('💰 Transaction ขาย'!E:E,'💰 Transaction ขาย'!B:B,A289,'💰 Transaction ขาย'!A:A,"&gt;"&amp;'⚙️ Config'!$H$1-'⚙️ Config'!$H$2)),)</f>
        <v/>
      </c>
      <c r="L289" s="28" t="str">
        <f>IF(E289="InActive","-",IF(A289&lt;&gt;"",K289/'⚙️ Config'!$H$2,))</f>
        <v/>
      </c>
      <c r="M289" s="28" t="str">
        <f t="shared" si="2"/>
        <v/>
      </c>
      <c r="N289" s="28" t="str">
        <f>IF(A289&lt;&gt;"", SUMIFS('💰 Transaction ขาย'!F:F,'💰 Transaction ขาย'!B:B,A289,'💰 Transaction ขาย'!A:A,"&gt;="&amp;DATE(YEAR('⚙️ Config'!$H$1),1,1),'💰 Transaction ขาย'!A:A,"&lt;="&amp;DATE(YEAR('⚙️ Config'!$H$1),12,31)),)</f>
        <v/>
      </c>
    </row>
    <row r="290">
      <c r="A290" s="22"/>
      <c r="B290" s="22" t="str">
        <f>IF(A290&lt;&gt;"",SUMIFS('💸 Transaction ซื้อ'!E:E,'💸 Transaction ซื้อ'!B:B,A290)-SUMIFS('💰 Transaction ขาย'!E:E,'💰 Transaction ขาย'!B:B,A290),"")</f>
        <v/>
      </c>
      <c r="C290" s="23" t="str">
        <f>IF(A290&lt;&gt;"",vlookup(A290,'📦 ชื่อสินค้า'!A:E,5,false),"")</f>
        <v/>
      </c>
      <c r="D290" s="23" t="str">
        <f>IF(A290&lt;&gt;"",VLOOKUP(A290,'📦 ชื่อสินค้า'!A:F,6,false),"")</f>
        <v/>
      </c>
      <c r="E290" s="16" t="str">
        <f>IFERROR(IF(VLOOKUP(A290,'📦 ชื่อสินค้า'!A:G,7,false)="InActive","InActive",IF(A290&lt;&gt;"",IF(B290&lt;=0,"สินค้าหมด",IF(B290&lt;=C290,"ควรเติมทันที","OK")),"")),)</f>
        <v/>
      </c>
      <c r="F290" s="24" t="str">
        <f>IFERROR(IF(A290&lt;&gt;"", SUMIF('💸 Transaction ซื้อ'!B:B,A290,'💸 Transaction ซื้อ'!G:G)/SUMIF('💸 Transaction ซื้อ'!B:B,A290,'💸 Transaction ซื้อ'!E:E),""),"-")</f>
        <v/>
      </c>
      <c r="G290" s="24" t="str">
        <f t="shared" si="1"/>
        <v/>
      </c>
      <c r="H290" s="25"/>
      <c r="I290" s="26"/>
      <c r="J290" s="26"/>
      <c r="K290" s="27" t="str">
        <f>IF(A290&lt;&gt;"",IF(E290="InActive","-",SUMIFS('💰 Transaction ขาย'!E:E,'💰 Transaction ขาย'!B:B,A290,'💰 Transaction ขาย'!A:A,"&gt;"&amp;'⚙️ Config'!$H$1-'⚙️ Config'!$H$2)),)</f>
        <v/>
      </c>
      <c r="L290" s="28" t="str">
        <f>IF(E290="InActive","-",IF(A290&lt;&gt;"",K290/'⚙️ Config'!$H$2,))</f>
        <v/>
      </c>
      <c r="M290" s="28" t="str">
        <f t="shared" si="2"/>
        <v/>
      </c>
      <c r="N290" s="28" t="str">
        <f>IF(A290&lt;&gt;"", SUMIFS('💰 Transaction ขาย'!F:F,'💰 Transaction ขาย'!B:B,A290,'💰 Transaction ขาย'!A:A,"&gt;="&amp;DATE(YEAR('⚙️ Config'!$H$1),1,1),'💰 Transaction ขาย'!A:A,"&lt;="&amp;DATE(YEAR('⚙️ Config'!$H$1),12,31)),)</f>
        <v/>
      </c>
    </row>
    <row r="291">
      <c r="A291" s="22"/>
      <c r="B291" s="22" t="str">
        <f>IF(A291&lt;&gt;"",SUMIFS('💸 Transaction ซื้อ'!E:E,'💸 Transaction ซื้อ'!B:B,A291)-SUMIFS('💰 Transaction ขาย'!E:E,'💰 Transaction ขาย'!B:B,A291),"")</f>
        <v/>
      </c>
      <c r="C291" s="23" t="str">
        <f>IF(A291&lt;&gt;"",vlookup(A291,'📦 ชื่อสินค้า'!A:E,5,false),"")</f>
        <v/>
      </c>
      <c r="D291" s="23" t="str">
        <f>IF(A291&lt;&gt;"",VLOOKUP(A291,'📦 ชื่อสินค้า'!A:F,6,false),"")</f>
        <v/>
      </c>
      <c r="E291" s="16" t="str">
        <f>IFERROR(IF(VLOOKUP(A291,'📦 ชื่อสินค้า'!A:G,7,false)="InActive","InActive",IF(A291&lt;&gt;"",IF(B291&lt;=0,"สินค้าหมด",IF(B291&lt;=C291,"ควรเติมทันที","OK")),"")),)</f>
        <v/>
      </c>
      <c r="F291" s="24" t="str">
        <f>IFERROR(IF(A291&lt;&gt;"", SUMIF('💸 Transaction ซื้อ'!B:B,A291,'💸 Transaction ซื้อ'!G:G)/SUMIF('💸 Transaction ซื้อ'!B:B,A291,'💸 Transaction ซื้อ'!E:E),""),"-")</f>
        <v/>
      </c>
      <c r="G291" s="24" t="str">
        <f t="shared" si="1"/>
        <v/>
      </c>
      <c r="H291" s="25"/>
      <c r="I291" s="26"/>
      <c r="J291" s="26"/>
      <c r="K291" s="27" t="str">
        <f>IF(A291&lt;&gt;"",IF(E291="InActive","-",SUMIFS('💰 Transaction ขาย'!E:E,'💰 Transaction ขาย'!B:B,A291,'💰 Transaction ขาย'!A:A,"&gt;"&amp;'⚙️ Config'!$H$1-'⚙️ Config'!$H$2)),)</f>
        <v/>
      </c>
      <c r="L291" s="28" t="str">
        <f>IF(E291="InActive","-",IF(A291&lt;&gt;"",K291/'⚙️ Config'!$H$2,))</f>
        <v/>
      </c>
      <c r="M291" s="28" t="str">
        <f t="shared" si="2"/>
        <v/>
      </c>
      <c r="N291" s="28" t="str">
        <f>IF(A291&lt;&gt;"", SUMIFS('💰 Transaction ขาย'!F:F,'💰 Transaction ขาย'!B:B,A291,'💰 Transaction ขาย'!A:A,"&gt;="&amp;DATE(YEAR('⚙️ Config'!$H$1),1,1),'💰 Transaction ขาย'!A:A,"&lt;="&amp;DATE(YEAR('⚙️ Config'!$H$1),12,31)),)</f>
        <v/>
      </c>
    </row>
    <row r="292">
      <c r="A292" s="22"/>
      <c r="B292" s="22" t="str">
        <f>IF(A292&lt;&gt;"",SUMIFS('💸 Transaction ซื้อ'!E:E,'💸 Transaction ซื้อ'!B:B,A292)-SUMIFS('💰 Transaction ขาย'!E:E,'💰 Transaction ขาย'!B:B,A292),"")</f>
        <v/>
      </c>
      <c r="C292" s="23" t="str">
        <f>IF(A292&lt;&gt;"",vlookup(A292,'📦 ชื่อสินค้า'!A:E,5,false),"")</f>
        <v/>
      </c>
      <c r="D292" s="23" t="str">
        <f>IF(A292&lt;&gt;"",VLOOKUP(A292,'📦 ชื่อสินค้า'!A:F,6,false),"")</f>
        <v/>
      </c>
      <c r="E292" s="16" t="str">
        <f>IFERROR(IF(VLOOKUP(A292,'📦 ชื่อสินค้า'!A:G,7,false)="InActive","InActive",IF(A292&lt;&gt;"",IF(B292&lt;=0,"สินค้าหมด",IF(B292&lt;=C292,"ควรเติมทันที","OK")),"")),)</f>
        <v/>
      </c>
      <c r="F292" s="24" t="str">
        <f>IFERROR(IF(A292&lt;&gt;"", SUMIF('💸 Transaction ซื้อ'!B:B,A292,'💸 Transaction ซื้อ'!G:G)/SUMIF('💸 Transaction ซื้อ'!B:B,A292,'💸 Transaction ซื้อ'!E:E),""),"-")</f>
        <v/>
      </c>
      <c r="G292" s="24" t="str">
        <f t="shared" si="1"/>
        <v/>
      </c>
      <c r="H292" s="25"/>
      <c r="I292" s="26"/>
      <c r="J292" s="26"/>
      <c r="K292" s="27" t="str">
        <f>IF(A292&lt;&gt;"",IF(E292="InActive","-",SUMIFS('💰 Transaction ขาย'!E:E,'💰 Transaction ขาย'!B:B,A292,'💰 Transaction ขาย'!A:A,"&gt;"&amp;'⚙️ Config'!$H$1-'⚙️ Config'!$H$2)),)</f>
        <v/>
      </c>
      <c r="L292" s="28" t="str">
        <f>IF(E292="InActive","-",IF(A292&lt;&gt;"",K292/'⚙️ Config'!$H$2,))</f>
        <v/>
      </c>
      <c r="M292" s="28" t="str">
        <f t="shared" si="2"/>
        <v/>
      </c>
      <c r="N292" s="28" t="str">
        <f>IF(A292&lt;&gt;"", SUMIFS('💰 Transaction ขาย'!F:F,'💰 Transaction ขาย'!B:B,A292,'💰 Transaction ขาย'!A:A,"&gt;="&amp;DATE(YEAR('⚙️ Config'!$H$1),1,1),'💰 Transaction ขาย'!A:A,"&lt;="&amp;DATE(YEAR('⚙️ Config'!$H$1),12,31)),)</f>
        <v/>
      </c>
    </row>
    <row r="293">
      <c r="A293" s="22"/>
      <c r="B293" s="22" t="str">
        <f>IF(A293&lt;&gt;"",SUMIFS('💸 Transaction ซื้อ'!E:E,'💸 Transaction ซื้อ'!B:B,A293)-SUMIFS('💰 Transaction ขาย'!E:E,'💰 Transaction ขาย'!B:B,A293),"")</f>
        <v/>
      </c>
      <c r="C293" s="23" t="str">
        <f>IF(A293&lt;&gt;"",vlookup(A293,'📦 ชื่อสินค้า'!A:E,5,false),"")</f>
        <v/>
      </c>
      <c r="D293" s="23" t="str">
        <f>IF(A293&lt;&gt;"",VLOOKUP(A293,'📦 ชื่อสินค้า'!A:F,6,false),"")</f>
        <v/>
      </c>
      <c r="E293" s="16" t="str">
        <f>IFERROR(IF(VLOOKUP(A293,'📦 ชื่อสินค้า'!A:G,7,false)="InActive","InActive",IF(A293&lt;&gt;"",IF(B293&lt;=0,"สินค้าหมด",IF(B293&lt;=C293,"ควรเติมทันที","OK")),"")),)</f>
        <v/>
      </c>
      <c r="F293" s="24" t="str">
        <f>IFERROR(IF(A293&lt;&gt;"", SUMIF('💸 Transaction ซื้อ'!B:B,A293,'💸 Transaction ซื้อ'!G:G)/SUMIF('💸 Transaction ซื้อ'!B:B,A293,'💸 Transaction ซื้อ'!E:E),""),"-")</f>
        <v/>
      </c>
      <c r="G293" s="24" t="str">
        <f t="shared" si="1"/>
        <v/>
      </c>
      <c r="H293" s="25"/>
      <c r="I293" s="26"/>
      <c r="J293" s="26"/>
      <c r="K293" s="27" t="str">
        <f>IF(A293&lt;&gt;"",IF(E293="InActive","-",SUMIFS('💰 Transaction ขาย'!E:E,'💰 Transaction ขาย'!B:B,A293,'💰 Transaction ขาย'!A:A,"&gt;"&amp;'⚙️ Config'!$H$1-'⚙️ Config'!$H$2)),)</f>
        <v/>
      </c>
      <c r="L293" s="28" t="str">
        <f>IF(E293="InActive","-",IF(A293&lt;&gt;"",K293/'⚙️ Config'!$H$2,))</f>
        <v/>
      </c>
      <c r="M293" s="28" t="str">
        <f t="shared" si="2"/>
        <v/>
      </c>
      <c r="N293" s="28" t="str">
        <f>IF(A293&lt;&gt;"", SUMIFS('💰 Transaction ขาย'!F:F,'💰 Transaction ขาย'!B:B,A293,'💰 Transaction ขาย'!A:A,"&gt;="&amp;DATE(YEAR('⚙️ Config'!$H$1),1,1),'💰 Transaction ขาย'!A:A,"&lt;="&amp;DATE(YEAR('⚙️ Config'!$H$1),12,31)),)</f>
        <v/>
      </c>
    </row>
    <row r="294">
      <c r="A294" s="22"/>
      <c r="B294" s="22" t="str">
        <f>IF(A294&lt;&gt;"",SUMIFS('💸 Transaction ซื้อ'!E:E,'💸 Transaction ซื้อ'!B:B,A294)-SUMIFS('💰 Transaction ขาย'!E:E,'💰 Transaction ขาย'!B:B,A294),"")</f>
        <v/>
      </c>
      <c r="C294" s="23" t="str">
        <f>IF(A294&lt;&gt;"",vlookup(A294,'📦 ชื่อสินค้า'!A:E,5,false),"")</f>
        <v/>
      </c>
      <c r="D294" s="23" t="str">
        <f>IF(A294&lt;&gt;"",VLOOKUP(A294,'📦 ชื่อสินค้า'!A:F,6,false),"")</f>
        <v/>
      </c>
      <c r="E294" s="16" t="str">
        <f>IFERROR(IF(VLOOKUP(A294,'📦 ชื่อสินค้า'!A:G,7,false)="InActive","InActive",IF(A294&lt;&gt;"",IF(B294&lt;=0,"สินค้าหมด",IF(B294&lt;=C294,"ควรเติมทันที","OK")),"")),)</f>
        <v/>
      </c>
      <c r="F294" s="24" t="str">
        <f>IFERROR(IF(A294&lt;&gt;"", SUMIF('💸 Transaction ซื้อ'!B:B,A294,'💸 Transaction ซื้อ'!G:G)/SUMIF('💸 Transaction ซื้อ'!B:B,A294,'💸 Transaction ซื้อ'!E:E),""),"-")</f>
        <v/>
      </c>
      <c r="G294" s="24" t="str">
        <f t="shared" si="1"/>
        <v/>
      </c>
      <c r="H294" s="25"/>
      <c r="I294" s="26"/>
      <c r="J294" s="26"/>
      <c r="K294" s="27" t="str">
        <f>IF(A294&lt;&gt;"",IF(E294="InActive","-",SUMIFS('💰 Transaction ขาย'!E:E,'💰 Transaction ขาย'!B:B,A294,'💰 Transaction ขาย'!A:A,"&gt;"&amp;'⚙️ Config'!$H$1-'⚙️ Config'!$H$2)),)</f>
        <v/>
      </c>
      <c r="L294" s="28" t="str">
        <f>IF(E294="InActive","-",IF(A294&lt;&gt;"",K294/'⚙️ Config'!$H$2,))</f>
        <v/>
      </c>
      <c r="M294" s="28" t="str">
        <f t="shared" si="2"/>
        <v/>
      </c>
      <c r="N294" s="28" t="str">
        <f>IF(A294&lt;&gt;"", SUMIFS('💰 Transaction ขาย'!F:F,'💰 Transaction ขาย'!B:B,A294,'💰 Transaction ขาย'!A:A,"&gt;="&amp;DATE(YEAR('⚙️ Config'!$H$1),1,1),'💰 Transaction ขาย'!A:A,"&lt;="&amp;DATE(YEAR('⚙️ Config'!$H$1),12,31)),)</f>
        <v/>
      </c>
    </row>
    <row r="295">
      <c r="A295" s="22"/>
      <c r="B295" s="22" t="str">
        <f>IF(A295&lt;&gt;"",SUMIFS('💸 Transaction ซื้อ'!E:E,'💸 Transaction ซื้อ'!B:B,A295)-SUMIFS('💰 Transaction ขาย'!E:E,'💰 Transaction ขาย'!B:B,A295),"")</f>
        <v/>
      </c>
      <c r="C295" s="23" t="str">
        <f>IF(A295&lt;&gt;"",vlookup(A295,'📦 ชื่อสินค้า'!A:E,5,false),"")</f>
        <v/>
      </c>
      <c r="D295" s="23" t="str">
        <f>IF(A295&lt;&gt;"",VLOOKUP(A295,'📦 ชื่อสินค้า'!A:F,6,false),"")</f>
        <v/>
      </c>
      <c r="E295" s="16" t="str">
        <f>IFERROR(IF(VLOOKUP(A295,'📦 ชื่อสินค้า'!A:G,7,false)="InActive","InActive",IF(A295&lt;&gt;"",IF(B295&lt;=0,"สินค้าหมด",IF(B295&lt;=C295,"ควรเติมทันที","OK")),"")),)</f>
        <v/>
      </c>
      <c r="F295" s="24" t="str">
        <f>IFERROR(IF(A295&lt;&gt;"", SUMIF('💸 Transaction ซื้อ'!B:B,A295,'💸 Transaction ซื้อ'!G:G)/SUMIF('💸 Transaction ซื้อ'!B:B,A295,'💸 Transaction ซื้อ'!E:E),""),"-")</f>
        <v/>
      </c>
      <c r="G295" s="24" t="str">
        <f t="shared" si="1"/>
        <v/>
      </c>
      <c r="H295" s="25"/>
      <c r="I295" s="26"/>
      <c r="J295" s="26"/>
      <c r="K295" s="27" t="str">
        <f>IF(A295&lt;&gt;"",IF(E295="InActive","-",SUMIFS('💰 Transaction ขาย'!E:E,'💰 Transaction ขาย'!B:B,A295,'💰 Transaction ขาย'!A:A,"&gt;"&amp;'⚙️ Config'!$H$1-'⚙️ Config'!$H$2)),)</f>
        <v/>
      </c>
      <c r="L295" s="28" t="str">
        <f>IF(E295="InActive","-",IF(A295&lt;&gt;"",K295/'⚙️ Config'!$H$2,))</f>
        <v/>
      </c>
      <c r="M295" s="28" t="str">
        <f t="shared" si="2"/>
        <v/>
      </c>
      <c r="N295" s="28" t="str">
        <f>IF(A295&lt;&gt;"", SUMIFS('💰 Transaction ขาย'!F:F,'💰 Transaction ขาย'!B:B,A295,'💰 Transaction ขาย'!A:A,"&gt;="&amp;DATE(YEAR('⚙️ Config'!$H$1),1,1),'💰 Transaction ขาย'!A:A,"&lt;="&amp;DATE(YEAR('⚙️ Config'!$H$1),12,31)),)</f>
        <v/>
      </c>
    </row>
    <row r="296">
      <c r="A296" s="22"/>
      <c r="B296" s="22" t="str">
        <f>IF(A296&lt;&gt;"",SUMIFS('💸 Transaction ซื้อ'!E:E,'💸 Transaction ซื้อ'!B:B,A296)-SUMIFS('💰 Transaction ขาย'!E:E,'💰 Transaction ขาย'!B:B,A296),"")</f>
        <v/>
      </c>
      <c r="C296" s="23" t="str">
        <f>IF(A296&lt;&gt;"",vlookup(A296,'📦 ชื่อสินค้า'!A:E,5,false),"")</f>
        <v/>
      </c>
      <c r="D296" s="23" t="str">
        <f>IF(A296&lt;&gt;"",VLOOKUP(A296,'📦 ชื่อสินค้า'!A:F,6,false),"")</f>
        <v/>
      </c>
      <c r="E296" s="16" t="str">
        <f>IFERROR(IF(VLOOKUP(A296,'📦 ชื่อสินค้า'!A:G,7,false)="InActive","InActive",IF(A296&lt;&gt;"",IF(B296&lt;=0,"สินค้าหมด",IF(B296&lt;=C296,"ควรเติมทันที","OK")),"")),)</f>
        <v/>
      </c>
      <c r="F296" s="24" t="str">
        <f>IFERROR(IF(A296&lt;&gt;"", SUMIF('💸 Transaction ซื้อ'!B:B,A296,'💸 Transaction ซื้อ'!G:G)/SUMIF('💸 Transaction ซื้อ'!B:B,A296,'💸 Transaction ซื้อ'!E:E),""),"-")</f>
        <v/>
      </c>
      <c r="G296" s="24" t="str">
        <f t="shared" si="1"/>
        <v/>
      </c>
      <c r="H296" s="25"/>
      <c r="I296" s="26"/>
      <c r="J296" s="26"/>
      <c r="K296" s="27" t="str">
        <f>IF(A296&lt;&gt;"",IF(E296="InActive","-",SUMIFS('💰 Transaction ขาย'!E:E,'💰 Transaction ขาย'!B:B,A296,'💰 Transaction ขาย'!A:A,"&gt;"&amp;'⚙️ Config'!$H$1-'⚙️ Config'!$H$2)),)</f>
        <v/>
      </c>
      <c r="L296" s="28" t="str">
        <f>IF(E296="InActive","-",IF(A296&lt;&gt;"",K296/'⚙️ Config'!$H$2,))</f>
        <v/>
      </c>
      <c r="M296" s="28" t="str">
        <f t="shared" si="2"/>
        <v/>
      </c>
      <c r="N296" s="28" t="str">
        <f>IF(A296&lt;&gt;"", SUMIFS('💰 Transaction ขาย'!F:F,'💰 Transaction ขาย'!B:B,A296,'💰 Transaction ขาย'!A:A,"&gt;="&amp;DATE(YEAR('⚙️ Config'!$H$1),1,1),'💰 Transaction ขาย'!A:A,"&lt;="&amp;DATE(YEAR('⚙️ Config'!$H$1),12,31)),)</f>
        <v/>
      </c>
    </row>
    <row r="297">
      <c r="A297" s="22"/>
      <c r="B297" s="22" t="str">
        <f>IF(A297&lt;&gt;"",SUMIFS('💸 Transaction ซื้อ'!E:E,'💸 Transaction ซื้อ'!B:B,A297)-SUMIFS('💰 Transaction ขาย'!E:E,'💰 Transaction ขาย'!B:B,A297),"")</f>
        <v/>
      </c>
      <c r="C297" s="23" t="str">
        <f>IF(A297&lt;&gt;"",vlookup(A297,'📦 ชื่อสินค้า'!A:E,5,false),"")</f>
        <v/>
      </c>
      <c r="D297" s="23" t="str">
        <f>IF(A297&lt;&gt;"",VLOOKUP(A297,'📦 ชื่อสินค้า'!A:F,6,false),"")</f>
        <v/>
      </c>
      <c r="E297" s="16" t="str">
        <f>IFERROR(IF(VLOOKUP(A297,'📦 ชื่อสินค้า'!A:G,7,false)="InActive","InActive",IF(A297&lt;&gt;"",IF(B297&lt;=0,"สินค้าหมด",IF(B297&lt;=C297,"ควรเติมทันที","OK")),"")),)</f>
        <v/>
      </c>
      <c r="F297" s="24" t="str">
        <f>IFERROR(IF(A297&lt;&gt;"", SUMIF('💸 Transaction ซื้อ'!B:B,A297,'💸 Transaction ซื้อ'!G:G)/SUMIF('💸 Transaction ซื้อ'!B:B,A297,'💸 Transaction ซื้อ'!E:E),""),"-")</f>
        <v/>
      </c>
      <c r="G297" s="24" t="str">
        <f t="shared" si="1"/>
        <v/>
      </c>
      <c r="H297" s="25"/>
      <c r="I297" s="26"/>
      <c r="J297" s="26"/>
      <c r="K297" s="27" t="str">
        <f>IF(A297&lt;&gt;"",IF(E297="InActive","-",SUMIFS('💰 Transaction ขาย'!E:E,'💰 Transaction ขาย'!B:B,A297,'💰 Transaction ขาย'!A:A,"&gt;"&amp;'⚙️ Config'!$H$1-'⚙️ Config'!$H$2)),)</f>
        <v/>
      </c>
      <c r="L297" s="28" t="str">
        <f>IF(E297="InActive","-",IF(A297&lt;&gt;"",K297/'⚙️ Config'!$H$2,))</f>
        <v/>
      </c>
      <c r="M297" s="28" t="str">
        <f t="shared" si="2"/>
        <v/>
      </c>
      <c r="N297" s="28" t="str">
        <f>IF(A297&lt;&gt;"", SUMIFS('💰 Transaction ขาย'!F:F,'💰 Transaction ขาย'!B:B,A297,'💰 Transaction ขาย'!A:A,"&gt;="&amp;DATE(YEAR('⚙️ Config'!$H$1),1,1),'💰 Transaction ขาย'!A:A,"&lt;="&amp;DATE(YEAR('⚙️ Config'!$H$1),12,31)),)</f>
        <v/>
      </c>
    </row>
    <row r="298">
      <c r="A298" s="22"/>
      <c r="B298" s="22" t="str">
        <f>IF(A298&lt;&gt;"",SUMIFS('💸 Transaction ซื้อ'!E:E,'💸 Transaction ซื้อ'!B:B,A298)-SUMIFS('💰 Transaction ขาย'!E:E,'💰 Transaction ขาย'!B:B,A298),"")</f>
        <v/>
      </c>
      <c r="C298" s="23" t="str">
        <f>IF(A298&lt;&gt;"",vlookup(A298,'📦 ชื่อสินค้า'!A:E,5,false),"")</f>
        <v/>
      </c>
      <c r="D298" s="23" t="str">
        <f>IF(A298&lt;&gt;"",VLOOKUP(A298,'📦 ชื่อสินค้า'!A:F,6,false),"")</f>
        <v/>
      </c>
      <c r="E298" s="16" t="str">
        <f>IFERROR(IF(VLOOKUP(A298,'📦 ชื่อสินค้า'!A:G,7,false)="InActive","InActive",IF(A298&lt;&gt;"",IF(B298&lt;=0,"สินค้าหมด",IF(B298&lt;=C298,"ควรเติมทันที","OK")),"")),)</f>
        <v/>
      </c>
      <c r="F298" s="24" t="str">
        <f>IFERROR(IF(A298&lt;&gt;"", SUMIF('💸 Transaction ซื้อ'!B:B,A298,'💸 Transaction ซื้อ'!G:G)/SUMIF('💸 Transaction ซื้อ'!B:B,A298,'💸 Transaction ซื้อ'!E:E),""),"-")</f>
        <v/>
      </c>
      <c r="G298" s="24" t="str">
        <f t="shared" si="1"/>
        <v/>
      </c>
      <c r="H298" s="25"/>
      <c r="I298" s="26"/>
      <c r="J298" s="26"/>
      <c r="K298" s="27" t="str">
        <f>IF(A298&lt;&gt;"",IF(E298="InActive","-",SUMIFS('💰 Transaction ขาย'!E:E,'💰 Transaction ขาย'!B:B,A298,'💰 Transaction ขาย'!A:A,"&gt;"&amp;'⚙️ Config'!$H$1-'⚙️ Config'!$H$2)),)</f>
        <v/>
      </c>
      <c r="L298" s="28" t="str">
        <f>IF(E298="InActive","-",IF(A298&lt;&gt;"",K298/'⚙️ Config'!$H$2,))</f>
        <v/>
      </c>
      <c r="M298" s="28" t="str">
        <f t="shared" si="2"/>
        <v/>
      </c>
      <c r="N298" s="28" t="str">
        <f>IF(A298&lt;&gt;"", SUMIFS('💰 Transaction ขาย'!F:F,'💰 Transaction ขาย'!B:B,A298,'💰 Transaction ขาย'!A:A,"&gt;="&amp;DATE(YEAR('⚙️ Config'!$H$1),1,1),'💰 Transaction ขาย'!A:A,"&lt;="&amp;DATE(YEAR('⚙️ Config'!$H$1),12,31)),)</f>
        <v/>
      </c>
    </row>
    <row r="299">
      <c r="A299" s="22"/>
      <c r="B299" s="22" t="str">
        <f>IF(A299&lt;&gt;"",SUMIFS('💸 Transaction ซื้อ'!E:E,'💸 Transaction ซื้อ'!B:B,A299)-SUMIFS('💰 Transaction ขาย'!E:E,'💰 Transaction ขาย'!B:B,A299),"")</f>
        <v/>
      </c>
      <c r="C299" s="23" t="str">
        <f>IF(A299&lt;&gt;"",vlookup(A299,'📦 ชื่อสินค้า'!A:E,5,false),"")</f>
        <v/>
      </c>
      <c r="D299" s="23" t="str">
        <f>IF(A299&lt;&gt;"",VLOOKUP(A299,'📦 ชื่อสินค้า'!A:F,6,false),"")</f>
        <v/>
      </c>
      <c r="E299" s="16" t="str">
        <f>IFERROR(IF(VLOOKUP(A299,'📦 ชื่อสินค้า'!A:G,7,false)="InActive","InActive",IF(A299&lt;&gt;"",IF(B299&lt;=0,"สินค้าหมด",IF(B299&lt;=C299,"ควรเติมทันที","OK")),"")),)</f>
        <v/>
      </c>
      <c r="F299" s="24" t="str">
        <f>IFERROR(IF(A299&lt;&gt;"", SUMIF('💸 Transaction ซื้อ'!B:B,A299,'💸 Transaction ซื้อ'!G:G)/SUMIF('💸 Transaction ซื้อ'!B:B,A299,'💸 Transaction ซื้อ'!E:E),""),"-")</f>
        <v/>
      </c>
      <c r="G299" s="24" t="str">
        <f t="shared" si="1"/>
        <v/>
      </c>
      <c r="H299" s="25"/>
      <c r="I299" s="26"/>
      <c r="J299" s="26"/>
      <c r="K299" s="27" t="str">
        <f>IF(A299&lt;&gt;"",IF(E299="InActive","-",SUMIFS('💰 Transaction ขาย'!E:E,'💰 Transaction ขาย'!B:B,A299,'💰 Transaction ขาย'!A:A,"&gt;"&amp;'⚙️ Config'!$H$1-'⚙️ Config'!$H$2)),)</f>
        <v/>
      </c>
      <c r="L299" s="28" t="str">
        <f>IF(E299="InActive","-",IF(A299&lt;&gt;"",K299/'⚙️ Config'!$H$2,))</f>
        <v/>
      </c>
      <c r="M299" s="28" t="str">
        <f t="shared" si="2"/>
        <v/>
      </c>
      <c r="N299" s="28" t="str">
        <f>IF(A299&lt;&gt;"", SUMIFS('💰 Transaction ขาย'!F:F,'💰 Transaction ขาย'!B:B,A299,'💰 Transaction ขาย'!A:A,"&gt;="&amp;DATE(YEAR('⚙️ Config'!$H$1),1,1),'💰 Transaction ขาย'!A:A,"&lt;="&amp;DATE(YEAR('⚙️ Config'!$H$1),12,31)),)</f>
        <v/>
      </c>
    </row>
    <row r="300">
      <c r="A300" s="22"/>
      <c r="B300" s="22" t="str">
        <f>IF(A300&lt;&gt;"",SUMIFS('💸 Transaction ซื้อ'!E:E,'💸 Transaction ซื้อ'!B:B,A300)-SUMIFS('💰 Transaction ขาย'!E:E,'💰 Transaction ขาย'!B:B,A300),"")</f>
        <v/>
      </c>
      <c r="C300" s="23" t="str">
        <f>IF(A300&lt;&gt;"",vlookup(A300,'📦 ชื่อสินค้า'!A:E,5,false),"")</f>
        <v/>
      </c>
      <c r="D300" s="23" t="str">
        <f>IF(A300&lt;&gt;"",VLOOKUP(A300,'📦 ชื่อสินค้า'!A:F,6,false),"")</f>
        <v/>
      </c>
      <c r="E300" s="16" t="str">
        <f>IFERROR(IF(VLOOKUP(A300,'📦 ชื่อสินค้า'!A:G,7,false)="InActive","InActive",IF(A300&lt;&gt;"",IF(B300&lt;=0,"สินค้าหมด",IF(B300&lt;=C300,"ควรเติมทันที","OK")),"")),)</f>
        <v/>
      </c>
      <c r="F300" s="24" t="str">
        <f>IFERROR(IF(A300&lt;&gt;"", SUMIF('💸 Transaction ซื้อ'!B:B,A300,'💸 Transaction ซื้อ'!G:G)/SUMIF('💸 Transaction ซื้อ'!B:B,A300,'💸 Transaction ซื้อ'!E:E),""),"-")</f>
        <v/>
      </c>
      <c r="G300" s="24" t="str">
        <f t="shared" si="1"/>
        <v/>
      </c>
      <c r="H300" s="25"/>
      <c r="I300" s="26"/>
      <c r="J300" s="26"/>
      <c r="K300" s="27" t="str">
        <f>IF(A300&lt;&gt;"",IF(E300="InActive","-",SUMIFS('💰 Transaction ขาย'!E:E,'💰 Transaction ขาย'!B:B,A300,'💰 Transaction ขาย'!A:A,"&gt;"&amp;'⚙️ Config'!$H$1-'⚙️ Config'!$H$2)),)</f>
        <v/>
      </c>
      <c r="L300" s="28" t="str">
        <f>IF(E300="InActive","-",IF(A300&lt;&gt;"",K300/'⚙️ Config'!$H$2,))</f>
        <v/>
      </c>
      <c r="M300" s="28" t="str">
        <f t="shared" si="2"/>
        <v/>
      </c>
      <c r="N300" s="28" t="str">
        <f>IF(A300&lt;&gt;"", SUMIFS('💰 Transaction ขาย'!F:F,'💰 Transaction ขาย'!B:B,A300,'💰 Transaction ขาย'!A:A,"&gt;="&amp;DATE(YEAR('⚙️ Config'!$H$1),1,1),'💰 Transaction ขาย'!A:A,"&lt;="&amp;DATE(YEAR('⚙️ Config'!$H$1),12,31)),)</f>
        <v/>
      </c>
    </row>
    <row r="301">
      <c r="A301" s="22"/>
      <c r="B301" s="22" t="str">
        <f>IF(A301&lt;&gt;"",SUMIFS('💸 Transaction ซื้อ'!E:E,'💸 Transaction ซื้อ'!B:B,A301)-SUMIFS('💰 Transaction ขาย'!E:E,'💰 Transaction ขาย'!B:B,A301),"")</f>
        <v/>
      </c>
      <c r="C301" s="23" t="str">
        <f>IF(A301&lt;&gt;"",vlookup(A301,'📦 ชื่อสินค้า'!A:E,5,false),"")</f>
        <v/>
      </c>
      <c r="D301" s="23" t="str">
        <f>IF(A301&lt;&gt;"",VLOOKUP(A301,'📦 ชื่อสินค้า'!A:F,6,false),"")</f>
        <v/>
      </c>
      <c r="E301" s="16" t="str">
        <f>IFERROR(IF(VLOOKUP(A301,'📦 ชื่อสินค้า'!A:G,7,false)="InActive","InActive",IF(A301&lt;&gt;"",IF(B301&lt;=0,"สินค้าหมด",IF(B301&lt;=C301,"ควรเติมทันที","OK")),"")),)</f>
        <v/>
      </c>
      <c r="F301" s="24" t="str">
        <f>IFERROR(IF(A301&lt;&gt;"", SUMIF('💸 Transaction ซื้อ'!B:B,A301,'💸 Transaction ซื้อ'!G:G)/SUMIF('💸 Transaction ซื้อ'!B:B,A301,'💸 Transaction ซื้อ'!E:E),""),"-")</f>
        <v/>
      </c>
      <c r="G301" s="24" t="str">
        <f t="shared" si="1"/>
        <v/>
      </c>
      <c r="H301" s="25"/>
      <c r="I301" s="26"/>
      <c r="J301" s="26"/>
      <c r="K301" s="27" t="str">
        <f>IF(A301&lt;&gt;"",IF(E301="InActive","-",SUMIFS('💰 Transaction ขาย'!E:E,'💰 Transaction ขาย'!B:B,A301,'💰 Transaction ขาย'!A:A,"&gt;"&amp;'⚙️ Config'!$H$1-'⚙️ Config'!$H$2)),)</f>
        <v/>
      </c>
      <c r="L301" s="28" t="str">
        <f>IF(E301="InActive","-",IF(A301&lt;&gt;"",K301/'⚙️ Config'!$H$2,))</f>
        <v/>
      </c>
      <c r="M301" s="28" t="str">
        <f t="shared" si="2"/>
        <v/>
      </c>
      <c r="N301" s="28" t="str">
        <f>IF(A301&lt;&gt;"", SUMIFS('💰 Transaction ขาย'!F:F,'💰 Transaction ขาย'!B:B,A301,'💰 Transaction ขาย'!A:A,"&gt;="&amp;DATE(YEAR('⚙️ Config'!$H$1),1,1),'💰 Transaction ขาย'!A:A,"&lt;="&amp;DATE(YEAR('⚙️ Config'!$H$1),12,31)),)</f>
        <v/>
      </c>
    </row>
    <row r="302">
      <c r="A302" s="22"/>
      <c r="B302" s="22" t="str">
        <f>IF(A302&lt;&gt;"",SUMIFS('💸 Transaction ซื้อ'!E:E,'💸 Transaction ซื้อ'!B:B,A302)-SUMIFS('💰 Transaction ขาย'!E:E,'💰 Transaction ขาย'!B:B,A302),"")</f>
        <v/>
      </c>
      <c r="C302" s="23" t="str">
        <f>IF(A302&lt;&gt;"",vlookup(A302,'📦 ชื่อสินค้า'!A:E,5,false),"")</f>
        <v/>
      </c>
      <c r="D302" s="23" t="str">
        <f>IF(A302&lt;&gt;"",VLOOKUP(A302,'📦 ชื่อสินค้า'!A:F,6,false),"")</f>
        <v/>
      </c>
      <c r="E302" s="16" t="str">
        <f>IFERROR(IF(VLOOKUP(A302,'📦 ชื่อสินค้า'!A:G,7,false)="InActive","InActive",IF(A302&lt;&gt;"",IF(B302&lt;=0,"สินค้าหมด",IF(B302&lt;=C302,"ควรเติมทันที","OK")),"")),)</f>
        <v/>
      </c>
      <c r="F302" s="24" t="str">
        <f>IFERROR(IF(A302&lt;&gt;"", SUMIF('💸 Transaction ซื้อ'!B:B,A302,'💸 Transaction ซื้อ'!G:G)/SUMIF('💸 Transaction ซื้อ'!B:B,A302,'💸 Transaction ซื้อ'!E:E),""),"-")</f>
        <v/>
      </c>
      <c r="G302" s="24" t="str">
        <f t="shared" si="1"/>
        <v/>
      </c>
      <c r="H302" s="25"/>
      <c r="I302" s="26"/>
      <c r="J302" s="26"/>
      <c r="K302" s="27" t="str">
        <f>IF(A302&lt;&gt;"",IF(E302="InActive","-",SUMIFS('💰 Transaction ขาย'!E:E,'💰 Transaction ขาย'!B:B,A302,'💰 Transaction ขาย'!A:A,"&gt;"&amp;'⚙️ Config'!$H$1-'⚙️ Config'!$H$2)),)</f>
        <v/>
      </c>
      <c r="L302" s="28" t="str">
        <f>IF(E302="InActive","-",IF(A302&lt;&gt;"",K302/'⚙️ Config'!$H$2,))</f>
        <v/>
      </c>
      <c r="M302" s="28" t="str">
        <f t="shared" si="2"/>
        <v/>
      </c>
      <c r="N302" s="28" t="str">
        <f>IF(A302&lt;&gt;"", SUMIFS('💰 Transaction ขาย'!F:F,'💰 Transaction ขาย'!B:B,A302,'💰 Transaction ขาย'!A:A,"&gt;="&amp;DATE(YEAR('⚙️ Config'!$H$1),1,1),'💰 Transaction ขาย'!A:A,"&lt;="&amp;DATE(YEAR('⚙️ Config'!$H$1),12,31)),)</f>
        <v/>
      </c>
    </row>
    <row r="303">
      <c r="A303" s="22"/>
      <c r="B303" s="22" t="str">
        <f>IF(A303&lt;&gt;"",SUMIFS('💸 Transaction ซื้อ'!E:E,'💸 Transaction ซื้อ'!B:B,A303)-SUMIFS('💰 Transaction ขาย'!E:E,'💰 Transaction ขาย'!B:B,A303),"")</f>
        <v/>
      </c>
      <c r="C303" s="23" t="str">
        <f>IF(A303&lt;&gt;"",vlookup(A303,'📦 ชื่อสินค้า'!A:E,5,false),"")</f>
        <v/>
      </c>
      <c r="D303" s="23" t="str">
        <f>IF(A303&lt;&gt;"",VLOOKUP(A303,'📦 ชื่อสินค้า'!A:F,6,false),"")</f>
        <v/>
      </c>
      <c r="E303" s="16" t="str">
        <f>IFERROR(IF(VLOOKUP(A303,'📦 ชื่อสินค้า'!A:G,7,false)="InActive","InActive",IF(A303&lt;&gt;"",IF(B303&lt;=0,"สินค้าหมด",IF(B303&lt;=C303,"ควรเติมทันที","OK")),"")),)</f>
        <v/>
      </c>
      <c r="F303" s="24" t="str">
        <f>IFERROR(IF(A303&lt;&gt;"", SUMIF('💸 Transaction ซื้อ'!B:B,A303,'💸 Transaction ซื้อ'!G:G)/SUMIF('💸 Transaction ซื้อ'!B:B,A303,'💸 Transaction ซื้อ'!E:E),""),"-")</f>
        <v/>
      </c>
      <c r="G303" s="24" t="str">
        <f t="shared" si="1"/>
        <v/>
      </c>
      <c r="H303" s="25"/>
      <c r="I303" s="26"/>
      <c r="J303" s="26"/>
      <c r="K303" s="27" t="str">
        <f>IF(A303&lt;&gt;"",IF(E303="InActive","-",SUMIFS('💰 Transaction ขาย'!E:E,'💰 Transaction ขาย'!B:B,A303,'💰 Transaction ขาย'!A:A,"&gt;"&amp;'⚙️ Config'!$H$1-'⚙️ Config'!$H$2)),)</f>
        <v/>
      </c>
      <c r="L303" s="28" t="str">
        <f>IF(E303="InActive","-",IF(A303&lt;&gt;"",K303/'⚙️ Config'!$H$2,))</f>
        <v/>
      </c>
      <c r="M303" s="28" t="str">
        <f t="shared" si="2"/>
        <v/>
      </c>
      <c r="N303" s="28" t="str">
        <f>IF(A303&lt;&gt;"", SUMIFS('💰 Transaction ขาย'!F:F,'💰 Transaction ขาย'!B:B,A303,'💰 Transaction ขาย'!A:A,"&gt;="&amp;DATE(YEAR('⚙️ Config'!$H$1),1,1),'💰 Transaction ขาย'!A:A,"&lt;="&amp;DATE(YEAR('⚙️ Config'!$H$1),12,31)),)</f>
        <v/>
      </c>
    </row>
    <row r="304">
      <c r="A304" s="22"/>
      <c r="B304" s="22" t="str">
        <f>IF(A304&lt;&gt;"",SUMIFS('💸 Transaction ซื้อ'!E:E,'💸 Transaction ซื้อ'!B:B,A304)-SUMIFS('💰 Transaction ขาย'!E:E,'💰 Transaction ขาย'!B:B,A304),"")</f>
        <v/>
      </c>
      <c r="C304" s="23" t="str">
        <f>IF(A304&lt;&gt;"",vlookup(A304,'📦 ชื่อสินค้า'!A:E,5,false),"")</f>
        <v/>
      </c>
      <c r="D304" s="23" t="str">
        <f>IF(A304&lt;&gt;"",VLOOKUP(A304,'📦 ชื่อสินค้า'!A:F,6,false),"")</f>
        <v/>
      </c>
      <c r="E304" s="16" t="str">
        <f>IFERROR(IF(VLOOKUP(A304,'📦 ชื่อสินค้า'!A:G,7,false)="InActive","InActive",IF(A304&lt;&gt;"",IF(B304&lt;=0,"สินค้าหมด",IF(B304&lt;=C304,"ควรเติมทันที","OK")),"")),)</f>
        <v/>
      </c>
      <c r="F304" s="24" t="str">
        <f>IFERROR(IF(A304&lt;&gt;"", SUMIF('💸 Transaction ซื้อ'!B:B,A304,'💸 Transaction ซื้อ'!G:G)/SUMIF('💸 Transaction ซื้อ'!B:B,A304,'💸 Transaction ซื้อ'!E:E),""),"-")</f>
        <v/>
      </c>
      <c r="G304" s="24" t="str">
        <f t="shared" si="1"/>
        <v/>
      </c>
      <c r="H304" s="25"/>
      <c r="I304" s="26"/>
      <c r="J304" s="26"/>
      <c r="K304" s="27" t="str">
        <f>IF(A304&lt;&gt;"",IF(E304="InActive","-",SUMIFS('💰 Transaction ขาย'!E:E,'💰 Transaction ขาย'!B:B,A304,'💰 Transaction ขาย'!A:A,"&gt;"&amp;'⚙️ Config'!$H$1-'⚙️ Config'!$H$2)),)</f>
        <v/>
      </c>
      <c r="L304" s="28" t="str">
        <f>IF(E304="InActive","-",IF(A304&lt;&gt;"",K304/'⚙️ Config'!$H$2,))</f>
        <v/>
      </c>
      <c r="M304" s="28" t="str">
        <f t="shared" si="2"/>
        <v/>
      </c>
      <c r="N304" s="28" t="str">
        <f>IF(A304&lt;&gt;"", SUMIFS('💰 Transaction ขาย'!F:F,'💰 Transaction ขาย'!B:B,A304,'💰 Transaction ขาย'!A:A,"&gt;="&amp;DATE(YEAR('⚙️ Config'!$H$1),1,1),'💰 Transaction ขาย'!A:A,"&lt;="&amp;DATE(YEAR('⚙️ Config'!$H$1),12,31)),)</f>
        <v/>
      </c>
    </row>
    <row r="305">
      <c r="A305" s="22"/>
      <c r="B305" s="22" t="str">
        <f>IF(A305&lt;&gt;"",SUMIFS('💸 Transaction ซื้อ'!E:E,'💸 Transaction ซื้อ'!B:B,A305)-SUMIFS('💰 Transaction ขาย'!E:E,'💰 Transaction ขาย'!B:B,A305),"")</f>
        <v/>
      </c>
      <c r="C305" s="23" t="str">
        <f>IF(A305&lt;&gt;"",vlookup(A305,'📦 ชื่อสินค้า'!A:E,5,false),"")</f>
        <v/>
      </c>
      <c r="D305" s="23" t="str">
        <f>IF(A305&lt;&gt;"",VLOOKUP(A305,'📦 ชื่อสินค้า'!A:F,6,false),"")</f>
        <v/>
      </c>
      <c r="E305" s="16" t="str">
        <f>IFERROR(IF(VLOOKUP(A305,'📦 ชื่อสินค้า'!A:G,7,false)="InActive","InActive",IF(A305&lt;&gt;"",IF(B305&lt;=0,"สินค้าหมด",IF(B305&lt;=C305,"ควรเติมทันที","OK")),"")),)</f>
        <v/>
      </c>
      <c r="F305" s="24" t="str">
        <f>IFERROR(IF(A305&lt;&gt;"", SUMIF('💸 Transaction ซื้อ'!B:B,A305,'💸 Transaction ซื้อ'!G:G)/SUMIF('💸 Transaction ซื้อ'!B:B,A305,'💸 Transaction ซื้อ'!E:E),""),"-")</f>
        <v/>
      </c>
      <c r="G305" s="24" t="str">
        <f t="shared" si="1"/>
        <v/>
      </c>
      <c r="H305" s="25"/>
      <c r="I305" s="26"/>
      <c r="J305" s="26"/>
      <c r="K305" s="27" t="str">
        <f>IF(A305&lt;&gt;"",IF(E305="InActive","-",SUMIFS('💰 Transaction ขาย'!E:E,'💰 Transaction ขาย'!B:B,A305,'💰 Transaction ขาย'!A:A,"&gt;"&amp;'⚙️ Config'!$H$1-'⚙️ Config'!$H$2)),)</f>
        <v/>
      </c>
      <c r="L305" s="28" t="str">
        <f>IF(E305="InActive","-",IF(A305&lt;&gt;"",K305/'⚙️ Config'!$H$2,))</f>
        <v/>
      </c>
      <c r="M305" s="28" t="str">
        <f t="shared" si="2"/>
        <v/>
      </c>
      <c r="N305" s="28" t="str">
        <f>IF(A305&lt;&gt;"", SUMIFS('💰 Transaction ขาย'!F:F,'💰 Transaction ขาย'!B:B,A305,'💰 Transaction ขาย'!A:A,"&gt;="&amp;DATE(YEAR('⚙️ Config'!$H$1),1,1),'💰 Transaction ขาย'!A:A,"&lt;="&amp;DATE(YEAR('⚙️ Config'!$H$1),12,31)),)</f>
        <v/>
      </c>
    </row>
    <row r="306">
      <c r="A306" s="22"/>
      <c r="B306" s="22" t="str">
        <f>IF(A306&lt;&gt;"",SUMIFS('💸 Transaction ซื้อ'!E:E,'💸 Transaction ซื้อ'!B:B,A306)-SUMIFS('💰 Transaction ขาย'!E:E,'💰 Transaction ขาย'!B:B,A306),"")</f>
        <v/>
      </c>
      <c r="C306" s="23" t="str">
        <f>IF(A306&lt;&gt;"",vlookup(A306,'📦 ชื่อสินค้า'!A:E,5,false),"")</f>
        <v/>
      </c>
      <c r="D306" s="23" t="str">
        <f>IF(A306&lt;&gt;"",VLOOKUP(A306,'📦 ชื่อสินค้า'!A:F,6,false),"")</f>
        <v/>
      </c>
      <c r="E306" s="16" t="str">
        <f>IFERROR(IF(VLOOKUP(A306,'📦 ชื่อสินค้า'!A:G,7,false)="InActive","InActive",IF(A306&lt;&gt;"",IF(B306&lt;=0,"สินค้าหมด",IF(B306&lt;=C306,"ควรเติมทันที","OK")),"")),)</f>
        <v/>
      </c>
      <c r="F306" s="24" t="str">
        <f>IFERROR(IF(A306&lt;&gt;"", SUMIF('💸 Transaction ซื้อ'!B:B,A306,'💸 Transaction ซื้อ'!G:G)/SUMIF('💸 Transaction ซื้อ'!B:B,A306,'💸 Transaction ซื้อ'!E:E),""),"-")</f>
        <v/>
      </c>
      <c r="G306" s="24" t="str">
        <f t="shared" si="1"/>
        <v/>
      </c>
      <c r="H306" s="25"/>
      <c r="I306" s="26"/>
      <c r="J306" s="26"/>
      <c r="K306" s="27" t="str">
        <f>IF(A306&lt;&gt;"",IF(E306="InActive","-",SUMIFS('💰 Transaction ขาย'!E:E,'💰 Transaction ขาย'!B:B,A306,'💰 Transaction ขาย'!A:A,"&gt;"&amp;'⚙️ Config'!$H$1-'⚙️ Config'!$H$2)),)</f>
        <v/>
      </c>
      <c r="L306" s="28" t="str">
        <f>IF(E306="InActive","-",IF(A306&lt;&gt;"",K306/'⚙️ Config'!$H$2,))</f>
        <v/>
      </c>
      <c r="M306" s="28" t="str">
        <f t="shared" si="2"/>
        <v/>
      </c>
      <c r="N306" s="28" t="str">
        <f>IF(A306&lt;&gt;"", SUMIFS('💰 Transaction ขาย'!F:F,'💰 Transaction ขาย'!B:B,A306,'💰 Transaction ขาย'!A:A,"&gt;="&amp;DATE(YEAR('⚙️ Config'!$H$1),1,1),'💰 Transaction ขาย'!A:A,"&lt;="&amp;DATE(YEAR('⚙️ Config'!$H$1),12,31)),)</f>
        <v/>
      </c>
    </row>
    <row r="307">
      <c r="A307" s="22"/>
      <c r="B307" s="22" t="str">
        <f>IF(A307&lt;&gt;"",SUMIFS('💸 Transaction ซื้อ'!E:E,'💸 Transaction ซื้อ'!B:B,A307)-SUMIFS('💰 Transaction ขาย'!E:E,'💰 Transaction ขาย'!B:B,A307),"")</f>
        <v/>
      </c>
      <c r="C307" s="23" t="str">
        <f>IF(A307&lt;&gt;"",vlookup(A307,'📦 ชื่อสินค้า'!A:E,5,false),"")</f>
        <v/>
      </c>
      <c r="D307" s="23" t="str">
        <f>IF(A307&lt;&gt;"",VLOOKUP(A307,'📦 ชื่อสินค้า'!A:F,6,false),"")</f>
        <v/>
      </c>
      <c r="E307" s="16" t="str">
        <f>IFERROR(IF(VLOOKUP(A307,'📦 ชื่อสินค้า'!A:G,7,false)="InActive","InActive",IF(A307&lt;&gt;"",IF(B307&lt;=0,"สินค้าหมด",IF(B307&lt;=C307,"ควรเติมทันที","OK")),"")),)</f>
        <v/>
      </c>
      <c r="F307" s="24" t="str">
        <f>IFERROR(IF(A307&lt;&gt;"", SUMIF('💸 Transaction ซื้อ'!B:B,A307,'💸 Transaction ซื้อ'!G:G)/SUMIF('💸 Transaction ซื้อ'!B:B,A307,'💸 Transaction ซื้อ'!E:E),""),"-")</f>
        <v/>
      </c>
      <c r="G307" s="24" t="str">
        <f t="shared" si="1"/>
        <v/>
      </c>
      <c r="H307" s="25"/>
      <c r="I307" s="26"/>
      <c r="J307" s="26"/>
      <c r="K307" s="27" t="str">
        <f>IF(A307&lt;&gt;"",IF(E307="InActive","-",SUMIFS('💰 Transaction ขาย'!E:E,'💰 Transaction ขาย'!B:B,A307,'💰 Transaction ขาย'!A:A,"&gt;"&amp;'⚙️ Config'!$H$1-'⚙️ Config'!$H$2)),)</f>
        <v/>
      </c>
      <c r="L307" s="28" t="str">
        <f>IF(E307="InActive","-",IF(A307&lt;&gt;"",K307/'⚙️ Config'!$H$2,))</f>
        <v/>
      </c>
      <c r="M307" s="28" t="str">
        <f t="shared" si="2"/>
        <v/>
      </c>
      <c r="N307" s="28" t="str">
        <f>IF(A307&lt;&gt;"", SUMIFS('💰 Transaction ขาย'!F:F,'💰 Transaction ขาย'!B:B,A307,'💰 Transaction ขาย'!A:A,"&gt;="&amp;DATE(YEAR('⚙️ Config'!$H$1),1,1),'💰 Transaction ขาย'!A:A,"&lt;="&amp;DATE(YEAR('⚙️ Config'!$H$1),12,31)),)</f>
        <v/>
      </c>
    </row>
    <row r="308">
      <c r="A308" s="22"/>
      <c r="B308" s="22" t="str">
        <f>IF(A308&lt;&gt;"",SUMIFS('💸 Transaction ซื้อ'!E:E,'💸 Transaction ซื้อ'!B:B,A308)-SUMIFS('💰 Transaction ขาย'!E:E,'💰 Transaction ขาย'!B:B,A308),"")</f>
        <v/>
      </c>
      <c r="C308" s="23" t="str">
        <f>IF(A308&lt;&gt;"",vlookup(A308,'📦 ชื่อสินค้า'!A:E,5,false),"")</f>
        <v/>
      </c>
      <c r="D308" s="23" t="str">
        <f>IF(A308&lt;&gt;"",VLOOKUP(A308,'📦 ชื่อสินค้า'!A:F,6,false),"")</f>
        <v/>
      </c>
      <c r="E308" s="16" t="str">
        <f>IFERROR(IF(VLOOKUP(A308,'📦 ชื่อสินค้า'!A:G,7,false)="InActive","InActive",IF(A308&lt;&gt;"",IF(B308&lt;=0,"สินค้าหมด",IF(B308&lt;=C308,"ควรเติมทันที","OK")),"")),)</f>
        <v/>
      </c>
      <c r="F308" s="24" t="str">
        <f>IFERROR(IF(A308&lt;&gt;"", SUMIF('💸 Transaction ซื้อ'!B:B,A308,'💸 Transaction ซื้อ'!G:G)/SUMIF('💸 Transaction ซื้อ'!B:B,A308,'💸 Transaction ซื้อ'!E:E),""),"-")</f>
        <v/>
      </c>
      <c r="G308" s="24" t="str">
        <f t="shared" si="1"/>
        <v/>
      </c>
      <c r="H308" s="25"/>
      <c r="I308" s="26"/>
      <c r="J308" s="26"/>
      <c r="K308" s="27" t="str">
        <f>IF(A308&lt;&gt;"",IF(E308="InActive","-",SUMIFS('💰 Transaction ขาย'!E:E,'💰 Transaction ขาย'!B:B,A308,'💰 Transaction ขาย'!A:A,"&gt;"&amp;'⚙️ Config'!$H$1-'⚙️ Config'!$H$2)),)</f>
        <v/>
      </c>
      <c r="L308" s="28" t="str">
        <f>IF(E308="InActive","-",IF(A308&lt;&gt;"",K308/'⚙️ Config'!$H$2,))</f>
        <v/>
      </c>
      <c r="M308" s="28" t="str">
        <f t="shared" si="2"/>
        <v/>
      </c>
      <c r="N308" s="28" t="str">
        <f>IF(A308&lt;&gt;"", SUMIFS('💰 Transaction ขาย'!F:F,'💰 Transaction ขาย'!B:B,A308,'💰 Transaction ขาย'!A:A,"&gt;="&amp;DATE(YEAR('⚙️ Config'!$H$1),1,1),'💰 Transaction ขาย'!A:A,"&lt;="&amp;DATE(YEAR('⚙️ Config'!$H$1),12,31)),)</f>
        <v/>
      </c>
    </row>
    <row r="309">
      <c r="A309" s="22"/>
      <c r="B309" s="22" t="str">
        <f>IF(A309&lt;&gt;"",SUMIFS('💸 Transaction ซื้อ'!E:E,'💸 Transaction ซื้อ'!B:B,A309)-SUMIFS('💰 Transaction ขาย'!E:E,'💰 Transaction ขาย'!B:B,A309),"")</f>
        <v/>
      </c>
      <c r="C309" s="23" t="str">
        <f>IF(A309&lt;&gt;"",vlookup(A309,'📦 ชื่อสินค้า'!A:E,5,false),"")</f>
        <v/>
      </c>
      <c r="D309" s="23" t="str">
        <f>IF(A309&lt;&gt;"",VLOOKUP(A309,'📦 ชื่อสินค้า'!A:F,6,false),"")</f>
        <v/>
      </c>
      <c r="E309" s="16" t="str">
        <f>IFERROR(IF(VLOOKUP(A309,'📦 ชื่อสินค้า'!A:G,7,false)="InActive","InActive",IF(A309&lt;&gt;"",IF(B309&lt;=0,"สินค้าหมด",IF(B309&lt;=C309,"ควรเติมทันที","OK")),"")),)</f>
        <v/>
      </c>
      <c r="F309" s="24" t="str">
        <f>IFERROR(IF(A309&lt;&gt;"", SUMIF('💸 Transaction ซื้อ'!B:B,A309,'💸 Transaction ซื้อ'!G:G)/SUMIF('💸 Transaction ซื้อ'!B:B,A309,'💸 Transaction ซื้อ'!E:E),""),"-")</f>
        <v/>
      </c>
      <c r="G309" s="24" t="str">
        <f t="shared" si="1"/>
        <v/>
      </c>
      <c r="H309" s="25"/>
      <c r="I309" s="26"/>
      <c r="J309" s="26"/>
      <c r="K309" s="27" t="str">
        <f>IF(A309&lt;&gt;"",IF(E309="InActive","-",SUMIFS('💰 Transaction ขาย'!E:E,'💰 Transaction ขาย'!B:B,A309,'💰 Transaction ขาย'!A:A,"&gt;"&amp;'⚙️ Config'!$H$1-'⚙️ Config'!$H$2)),)</f>
        <v/>
      </c>
      <c r="L309" s="28" t="str">
        <f>IF(E309="InActive","-",IF(A309&lt;&gt;"",K309/'⚙️ Config'!$H$2,))</f>
        <v/>
      </c>
      <c r="M309" s="28" t="str">
        <f t="shared" si="2"/>
        <v/>
      </c>
      <c r="N309" s="28" t="str">
        <f>IF(A309&lt;&gt;"", SUMIFS('💰 Transaction ขาย'!F:F,'💰 Transaction ขาย'!B:B,A309,'💰 Transaction ขาย'!A:A,"&gt;="&amp;DATE(YEAR('⚙️ Config'!$H$1),1,1),'💰 Transaction ขาย'!A:A,"&lt;="&amp;DATE(YEAR('⚙️ Config'!$H$1),12,31)),)</f>
        <v/>
      </c>
    </row>
    <row r="310">
      <c r="A310" s="22"/>
      <c r="B310" s="22" t="str">
        <f>IF(A310&lt;&gt;"",SUMIFS('💸 Transaction ซื้อ'!E:E,'💸 Transaction ซื้อ'!B:B,A310)-SUMIFS('💰 Transaction ขาย'!E:E,'💰 Transaction ขาย'!B:B,A310),"")</f>
        <v/>
      </c>
      <c r="C310" s="23" t="str">
        <f>IF(A310&lt;&gt;"",vlookup(A310,'📦 ชื่อสินค้า'!A:E,5,false),"")</f>
        <v/>
      </c>
      <c r="D310" s="23" t="str">
        <f>IF(A310&lt;&gt;"",VLOOKUP(A310,'📦 ชื่อสินค้า'!A:F,6,false),"")</f>
        <v/>
      </c>
      <c r="E310" s="16" t="str">
        <f>IFERROR(IF(VLOOKUP(A310,'📦 ชื่อสินค้า'!A:G,7,false)="InActive","InActive",IF(A310&lt;&gt;"",IF(B310&lt;=0,"สินค้าหมด",IF(B310&lt;=C310,"ควรเติมทันที","OK")),"")),)</f>
        <v/>
      </c>
      <c r="F310" s="24" t="str">
        <f>IFERROR(IF(A310&lt;&gt;"", SUMIF('💸 Transaction ซื้อ'!B:B,A310,'💸 Transaction ซื้อ'!G:G)/SUMIF('💸 Transaction ซื้อ'!B:B,A310,'💸 Transaction ซื้อ'!E:E),""),"-")</f>
        <v/>
      </c>
      <c r="G310" s="24" t="str">
        <f t="shared" si="1"/>
        <v/>
      </c>
      <c r="H310" s="25"/>
      <c r="I310" s="26"/>
      <c r="J310" s="26"/>
      <c r="K310" s="27" t="str">
        <f>IF(A310&lt;&gt;"",IF(E310="InActive","-",SUMIFS('💰 Transaction ขาย'!E:E,'💰 Transaction ขาย'!B:B,A310,'💰 Transaction ขาย'!A:A,"&gt;"&amp;'⚙️ Config'!$H$1-'⚙️ Config'!$H$2)),)</f>
        <v/>
      </c>
      <c r="L310" s="28" t="str">
        <f>IF(E310="InActive","-",IF(A310&lt;&gt;"",K310/'⚙️ Config'!$H$2,))</f>
        <v/>
      </c>
      <c r="M310" s="28" t="str">
        <f t="shared" si="2"/>
        <v/>
      </c>
      <c r="N310" s="28" t="str">
        <f>IF(A310&lt;&gt;"", SUMIFS('💰 Transaction ขาย'!F:F,'💰 Transaction ขาย'!B:B,A310,'💰 Transaction ขาย'!A:A,"&gt;="&amp;DATE(YEAR('⚙️ Config'!$H$1),1,1),'💰 Transaction ขาย'!A:A,"&lt;="&amp;DATE(YEAR('⚙️ Config'!$H$1),12,31)),)</f>
        <v/>
      </c>
    </row>
    <row r="311">
      <c r="A311" s="22"/>
      <c r="B311" s="22" t="str">
        <f>IF(A311&lt;&gt;"",SUMIFS('💸 Transaction ซื้อ'!E:E,'💸 Transaction ซื้อ'!B:B,A311)-SUMIFS('💰 Transaction ขาย'!E:E,'💰 Transaction ขาย'!B:B,A311),"")</f>
        <v/>
      </c>
      <c r="C311" s="23" t="str">
        <f>IF(A311&lt;&gt;"",vlookup(A311,'📦 ชื่อสินค้า'!A:E,5,false),"")</f>
        <v/>
      </c>
      <c r="D311" s="23" t="str">
        <f>IF(A311&lt;&gt;"",VLOOKUP(A311,'📦 ชื่อสินค้า'!A:F,6,false),"")</f>
        <v/>
      </c>
      <c r="E311" s="16" t="str">
        <f>IFERROR(IF(VLOOKUP(A311,'📦 ชื่อสินค้า'!A:G,7,false)="InActive","InActive",IF(A311&lt;&gt;"",IF(B311&lt;=0,"สินค้าหมด",IF(B311&lt;=C311,"ควรเติมทันที","OK")),"")),)</f>
        <v/>
      </c>
      <c r="F311" s="24" t="str">
        <f>IFERROR(IF(A311&lt;&gt;"", SUMIF('💸 Transaction ซื้อ'!B:B,A311,'💸 Transaction ซื้อ'!G:G)/SUMIF('💸 Transaction ซื้อ'!B:B,A311,'💸 Transaction ซื้อ'!E:E),""),"-")</f>
        <v/>
      </c>
      <c r="G311" s="24" t="str">
        <f t="shared" si="1"/>
        <v/>
      </c>
      <c r="H311" s="25"/>
      <c r="I311" s="26"/>
      <c r="J311" s="26"/>
      <c r="K311" s="27" t="str">
        <f>IF(A311&lt;&gt;"",IF(E311="InActive","-",SUMIFS('💰 Transaction ขาย'!E:E,'💰 Transaction ขาย'!B:B,A311,'💰 Transaction ขาย'!A:A,"&gt;"&amp;'⚙️ Config'!$H$1-'⚙️ Config'!$H$2)),)</f>
        <v/>
      </c>
      <c r="L311" s="28" t="str">
        <f>IF(E311="InActive","-",IF(A311&lt;&gt;"",K311/'⚙️ Config'!$H$2,))</f>
        <v/>
      </c>
      <c r="M311" s="28" t="str">
        <f t="shared" si="2"/>
        <v/>
      </c>
      <c r="N311" s="28" t="str">
        <f>IF(A311&lt;&gt;"", SUMIFS('💰 Transaction ขาย'!F:F,'💰 Transaction ขาย'!B:B,A311,'💰 Transaction ขาย'!A:A,"&gt;="&amp;DATE(YEAR('⚙️ Config'!$H$1),1,1),'💰 Transaction ขาย'!A:A,"&lt;="&amp;DATE(YEAR('⚙️ Config'!$H$1),12,31)),)</f>
        <v/>
      </c>
    </row>
    <row r="312">
      <c r="A312" s="22"/>
      <c r="B312" s="22" t="str">
        <f>IF(A312&lt;&gt;"",SUMIFS('💸 Transaction ซื้อ'!E:E,'💸 Transaction ซื้อ'!B:B,A312)-SUMIFS('💰 Transaction ขาย'!E:E,'💰 Transaction ขาย'!B:B,A312),"")</f>
        <v/>
      </c>
      <c r="C312" s="23" t="str">
        <f>IF(A312&lt;&gt;"",vlookup(A312,'📦 ชื่อสินค้า'!A:E,5,false),"")</f>
        <v/>
      </c>
      <c r="D312" s="23" t="str">
        <f>IF(A312&lt;&gt;"",VLOOKUP(A312,'📦 ชื่อสินค้า'!A:F,6,false),"")</f>
        <v/>
      </c>
      <c r="E312" s="16" t="str">
        <f>IFERROR(IF(VLOOKUP(A312,'📦 ชื่อสินค้า'!A:G,7,false)="InActive","InActive",IF(A312&lt;&gt;"",IF(B312&lt;=0,"สินค้าหมด",IF(B312&lt;=C312,"ควรเติมทันที","OK")),"")),)</f>
        <v/>
      </c>
      <c r="F312" s="24" t="str">
        <f>IFERROR(IF(A312&lt;&gt;"", SUMIF('💸 Transaction ซื้อ'!B:B,A312,'💸 Transaction ซื้อ'!G:G)/SUMIF('💸 Transaction ซื้อ'!B:B,A312,'💸 Transaction ซื้อ'!E:E),""),"-")</f>
        <v/>
      </c>
      <c r="G312" s="24" t="str">
        <f t="shared" si="1"/>
        <v/>
      </c>
      <c r="H312" s="25"/>
      <c r="I312" s="26"/>
      <c r="J312" s="26"/>
      <c r="K312" s="27" t="str">
        <f>IF(A312&lt;&gt;"",IF(E312="InActive","-",SUMIFS('💰 Transaction ขาย'!E:E,'💰 Transaction ขาย'!B:B,A312,'💰 Transaction ขาย'!A:A,"&gt;"&amp;'⚙️ Config'!$H$1-'⚙️ Config'!$H$2)),)</f>
        <v/>
      </c>
      <c r="L312" s="28" t="str">
        <f>IF(E312="InActive","-",IF(A312&lt;&gt;"",K312/'⚙️ Config'!$H$2,))</f>
        <v/>
      </c>
      <c r="M312" s="28" t="str">
        <f t="shared" si="2"/>
        <v/>
      </c>
      <c r="N312" s="28" t="str">
        <f>IF(A312&lt;&gt;"", SUMIFS('💰 Transaction ขาย'!F:F,'💰 Transaction ขาย'!B:B,A312,'💰 Transaction ขาย'!A:A,"&gt;="&amp;DATE(YEAR('⚙️ Config'!$H$1),1,1),'💰 Transaction ขาย'!A:A,"&lt;="&amp;DATE(YEAR('⚙️ Config'!$H$1),12,31)),)</f>
        <v/>
      </c>
    </row>
    <row r="313">
      <c r="A313" s="22"/>
      <c r="B313" s="22" t="str">
        <f>IF(A313&lt;&gt;"",SUMIFS('💸 Transaction ซื้อ'!E:E,'💸 Transaction ซื้อ'!B:B,A313)-SUMIFS('💰 Transaction ขาย'!E:E,'💰 Transaction ขาย'!B:B,A313),"")</f>
        <v/>
      </c>
      <c r="C313" s="23" t="str">
        <f>IF(A313&lt;&gt;"",vlookup(A313,'📦 ชื่อสินค้า'!A:E,5,false),"")</f>
        <v/>
      </c>
      <c r="D313" s="23" t="str">
        <f>IF(A313&lt;&gt;"",VLOOKUP(A313,'📦 ชื่อสินค้า'!A:F,6,false),"")</f>
        <v/>
      </c>
      <c r="E313" s="16" t="str">
        <f>IFERROR(IF(VLOOKUP(A313,'📦 ชื่อสินค้า'!A:G,7,false)="InActive","InActive",IF(A313&lt;&gt;"",IF(B313&lt;=0,"สินค้าหมด",IF(B313&lt;=C313,"ควรเติมทันที","OK")),"")),)</f>
        <v/>
      </c>
      <c r="F313" s="24" t="str">
        <f>IFERROR(IF(A313&lt;&gt;"", SUMIF('💸 Transaction ซื้อ'!B:B,A313,'💸 Transaction ซื้อ'!G:G)/SUMIF('💸 Transaction ซื้อ'!B:B,A313,'💸 Transaction ซื้อ'!E:E),""),"-")</f>
        <v/>
      </c>
      <c r="G313" s="24" t="str">
        <f t="shared" si="1"/>
        <v/>
      </c>
      <c r="H313" s="25"/>
      <c r="I313" s="26"/>
      <c r="J313" s="26"/>
      <c r="K313" s="27" t="str">
        <f>IF(A313&lt;&gt;"",IF(E313="InActive","-",SUMIFS('💰 Transaction ขาย'!E:E,'💰 Transaction ขาย'!B:B,A313,'💰 Transaction ขาย'!A:A,"&gt;"&amp;'⚙️ Config'!$H$1-'⚙️ Config'!$H$2)),)</f>
        <v/>
      </c>
      <c r="L313" s="28" t="str">
        <f>IF(E313="InActive","-",IF(A313&lt;&gt;"",K313/'⚙️ Config'!$H$2,))</f>
        <v/>
      </c>
      <c r="M313" s="28" t="str">
        <f t="shared" si="2"/>
        <v/>
      </c>
      <c r="N313" s="28" t="str">
        <f>IF(A313&lt;&gt;"", SUMIFS('💰 Transaction ขาย'!F:F,'💰 Transaction ขาย'!B:B,A313,'💰 Transaction ขาย'!A:A,"&gt;="&amp;DATE(YEAR('⚙️ Config'!$H$1),1,1),'💰 Transaction ขาย'!A:A,"&lt;="&amp;DATE(YEAR('⚙️ Config'!$H$1),12,31)),)</f>
        <v/>
      </c>
    </row>
    <row r="314">
      <c r="A314" s="22"/>
      <c r="B314" s="22" t="str">
        <f>IF(A314&lt;&gt;"",SUMIFS('💸 Transaction ซื้อ'!E:E,'💸 Transaction ซื้อ'!B:B,A314)-SUMIFS('💰 Transaction ขาย'!E:E,'💰 Transaction ขาย'!B:B,A314),"")</f>
        <v/>
      </c>
      <c r="C314" s="23" t="str">
        <f>IF(A314&lt;&gt;"",vlookup(A314,'📦 ชื่อสินค้า'!A:E,5,false),"")</f>
        <v/>
      </c>
      <c r="D314" s="23" t="str">
        <f>IF(A314&lt;&gt;"",VLOOKUP(A314,'📦 ชื่อสินค้า'!A:F,6,false),"")</f>
        <v/>
      </c>
      <c r="E314" s="16" t="str">
        <f>IFERROR(IF(VLOOKUP(A314,'📦 ชื่อสินค้า'!A:G,7,false)="InActive","InActive",IF(A314&lt;&gt;"",IF(B314&lt;=0,"สินค้าหมด",IF(B314&lt;=C314,"ควรเติมทันที","OK")),"")),)</f>
        <v/>
      </c>
      <c r="F314" s="24" t="str">
        <f>IFERROR(IF(A314&lt;&gt;"", SUMIF('💸 Transaction ซื้อ'!B:B,A314,'💸 Transaction ซื้อ'!G:G)/SUMIF('💸 Transaction ซื้อ'!B:B,A314,'💸 Transaction ซื้อ'!E:E),""),"-")</f>
        <v/>
      </c>
      <c r="G314" s="24" t="str">
        <f t="shared" si="1"/>
        <v/>
      </c>
      <c r="H314" s="25"/>
      <c r="I314" s="26"/>
      <c r="J314" s="26"/>
      <c r="K314" s="27" t="str">
        <f>IF(A314&lt;&gt;"",IF(E314="InActive","-",SUMIFS('💰 Transaction ขาย'!E:E,'💰 Transaction ขาย'!B:B,A314,'💰 Transaction ขาย'!A:A,"&gt;"&amp;'⚙️ Config'!$H$1-'⚙️ Config'!$H$2)),)</f>
        <v/>
      </c>
      <c r="L314" s="28" t="str">
        <f>IF(E314="InActive","-",IF(A314&lt;&gt;"",K314/'⚙️ Config'!$H$2,))</f>
        <v/>
      </c>
      <c r="M314" s="28" t="str">
        <f t="shared" si="2"/>
        <v/>
      </c>
      <c r="N314" s="28" t="str">
        <f>IF(A314&lt;&gt;"", SUMIFS('💰 Transaction ขาย'!F:F,'💰 Transaction ขาย'!B:B,A314,'💰 Transaction ขาย'!A:A,"&gt;="&amp;DATE(YEAR('⚙️ Config'!$H$1),1,1),'💰 Transaction ขาย'!A:A,"&lt;="&amp;DATE(YEAR('⚙️ Config'!$H$1),12,31)),)</f>
        <v/>
      </c>
    </row>
    <row r="315">
      <c r="A315" s="22"/>
      <c r="B315" s="22" t="str">
        <f>IF(A315&lt;&gt;"",SUMIFS('💸 Transaction ซื้อ'!E:E,'💸 Transaction ซื้อ'!B:B,A315)-SUMIFS('💰 Transaction ขาย'!E:E,'💰 Transaction ขาย'!B:B,A315),"")</f>
        <v/>
      </c>
      <c r="C315" s="23" t="str">
        <f>IF(A315&lt;&gt;"",vlookup(A315,'📦 ชื่อสินค้า'!A:E,5,false),"")</f>
        <v/>
      </c>
      <c r="D315" s="23" t="str">
        <f>IF(A315&lt;&gt;"",VLOOKUP(A315,'📦 ชื่อสินค้า'!A:F,6,false),"")</f>
        <v/>
      </c>
      <c r="E315" s="16" t="str">
        <f>IFERROR(IF(VLOOKUP(A315,'📦 ชื่อสินค้า'!A:G,7,false)="InActive","InActive",IF(A315&lt;&gt;"",IF(B315&lt;=0,"สินค้าหมด",IF(B315&lt;=C315,"ควรเติมทันที","OK")),"")),)</f>
        <v/>
      </c>
      <c r="F315" s="24" t="str">
        <f>IFERROR(IF(A315&lt;&gt;"", SUMIF('💸 Transaction ซื้อ'!B:B,A315,'💸 Transaction ซื้อ'!G:G)/SUMIF('💸 Transaction ซื้อ'!B:B,A315,'💸 Transaction ซื้อ'!E:E),""),"-")</f>
        <v/>
      </c>
      <c r="G315" s="24" t="str">
        <f t="shared" si="1"/>
        <v/>
      </c>
      <c r="H315" s="25"/>
      <c r="I315" s="26"/>
      <c r="J315" s="26"/>
      <c r="K315" s="27" t="str">
        <f>IF(A315&lt;&gt;"",IF(E315="InActive","-",SUMIFS('💰 Transaction ขาย'!E:E,'💰 Transaction ขาย'!B:B,A315,'💰 Transaction ขาย'!A:A,"&gt;"&amp;'⚙️ Config'!$H$1-'⚙️ Config'!$H$2)),)</f>
        <v/>
      </c>
      <c r="L315" s="28" t="str">
        <f>IF(E315="InActive","-",IF(A315&lt;&gt;"",K315/'⚙️ Config'!$H$2,))</f>
        <v/>
      </c>
      <c r="M315" s="28" t="str">
        <f t="shared" si="2"/>
        <v/>
      </c>
      <c r="N315" s="28" t="str">
        <f>IF(A315&lt;&gt;"", SUMIFS('💰 Transaction ขาย'!F:F,'💰 Transaction ขาย'!B:B,A315,'💰 Transaction ขาย'!A:A,"&gt;="&amp;DATE(YEAR('⚙️ Config'!$H$1),1,1),'💰 Transaction ขาย'!A:A,"&lt;="&amp;DATE(YEAR('⚙️ Config'!$H$1),12,31)),)</f>
        <v/>
      </c>
    </row>
    <row r="316">
      <c r="A316" s="22"/>
      <c r="B316" s="22" t="str">
        <f>IF(A316&lt;&gt;"",SUMIFS('💸 Transaction ซื้อ'!E:E,'💸 Transaction ซื้อ'!B:B,A316)-SUMIFS('💰 Transaction ขาย'!E:E,'💰 Transaction ขาย'!B:B,A316),"")</f>
        <v/>
      </c>
      <c r="C316" s="23" t="str">
        <f>IF(A316&lt;&gt;"",vlookup(A316,'📦 ชื่อสินค้า'!A:E,5,false),"")</f>
        <v/>
      </c>
      <c r="D316" s="23" t="str">
        <f>IF(A316&lt;&gt;"",VLOOKUP(A316,'📦 ชื่อสินค้า'!A:F,6,false),"")</f>
        <v/>
      </c>
      <c r="E316" s="16" t="str">
        <f>IFERROR(IF(VLOOKUP(A316,'📦 ชื่อสินค้า'!A:G,7,false)="InActive","InActive",IF(A316&lt;&gt;"",IF(B316&lt;=0,"สินค้าหมด",IF(B316&lt;=C316,"ควรเติมทันที","OK")),"")),)</f>
        <v/>
      </c>
      <c r="F316" s="24" t="str">
        <f>IFERROR(IF(A316&lt;&gt;"", SUMIF('💸 Transaction ซื้อ'!B:B,A316,'💸 Transaction ซื้อ'!G:G)/SUMIF('💸 Transaction ซื้อ'!B:B,A316,'💸 Transaction ซื้อ'!E:E),""),"-")</f>
        <v/>
      </c>
      <c r="G316" s="24" t="str">
        <f t="shared" si="1"/>
        <v/>
      </c>
      <c r="H316" s="25"/>
      <c r="I316" s="26"/>
      <c r="J316" s="26"/>
      <c r="K316" s="27" t="str">
        <f>IF(A316&lt;&gt;"",IF(E316="InActive","-",SUMIFS('💰 Transaction ขาย'!E:E,'💰 Transaction ขาย'!B:B,A316,'💰 Transaction ขาย'!A:A,"&gt;"&amp;'⚙️ Config'!$H$1-'⚙️ Config'!$H$2)),)</f>
        <v/>
      </c>
      <c r="L316" s="28" t="str">
        <f>IF(E316="InActive","-",IF(A316&lt;&gt;"",K316/'⚙️ Config'!$H$2,))</f>
        <v/>
      </c>
      <c r="M316" s="28" t="str">
        <f t="shared" si="2"/>
        <v/>
      </c>
      <c r="N316" s="28" t="str">
        <f>IF(A316&lt;&gt;"", SUMIFS('💰 Transaction ขาย'!F:F,'💰 Transaction ขาย'!B:B,A316,'💰 Transaction ขาย'!A:A,"&gt;="&amp;DATE(YEAR('⚙️ Config'!$H$1),1,1),'💰 Transaction ขาย'!A:A,"&lt;="&amp;DATE(YEAR('⚙️ Config'!$H$1),12,31)),)</f>
        <v/>
      </c>
    </row>
    <row r="317">
      <c r="A317" s="22"/>
      <c r="B317" s="22" t="str">
        <f>IF(A317&lt;&gt;"",SUMIFS('💸 Transaction ซื้อ'!E:E,'💸 Transaction ซื้อ'!B:B,A317)-SUMIFS('💰 Transaction ขาย'!E:E,'💰 Transaction ขาย'!B:B,A317),"")</f>
        <v/>
      </c>
      <c r="C317" s="23" t="str">
        <f>IF(A317&lt;&gt;"",vlookup(A317,'📦 ชื่อสินค้า'!A:E,5,false),"")</f>
        <v/>
      </c>
      <c r="D317" s="23" t="str">
        <f>IF(A317&lt;&gt;"",VLOOKUP(A317,'📦 ชื่อสินค้า'!A:F,6,false),"")</f>
        <v/>
      </c>
      <c r="E317" s="16" t="str">
        <f>IFERROR(IF(VLOOKUP(A317,'📦 ชื่อสินค้า'!A:G,7,false)="InActive","InActive",IF(A317&lt;&gt;"",IF(B317&lt;=0,"สินค้าหมด",IF(B317&lt;=C317,"ควรเติมทันที","OK")),"")),)</f>
        <v/>
      </c>
      <c r="F317" s="24" t="str">
        <f>IFERROR(IF(A317&lt;&gt;"", SUMIF('💸 Transaction ซื้อ'!B:B,A317,'💸 Transaction ซื้อ'!G:G)/SUMIF('💸 Transaction ซื้อ'!B:B,A317,'💸 Transaction ซื้อ'!E:E),""),"-")</f>
        <v/>
      </c>
      <c r="G317" s="24" t="str">
        <f t="shared" si="1"/>
        <v/>
      </c>
      <c r="H317" s="25"/>
      <c r="I317" s="26"/>
      <c r="J317" s="26"/>
      <c r="K317" s="27" t="str">
        <f>IF(A317&lt;&gt;"",IF(E317="InActive","-",SUMIFS('💰 Transaction ขาย'!E:E,'💰 Transaction ขาย'!B:B,A317,'💰 Transaction ขาย'!A:A,"&gt;"&amp;'⚙️ Config'!$H$1-'⚙️ Config'!$H$2)),)</f>
        <v/>
      </c>
      <c r="L317" s="28" t="str">
        <f>IF(E317="InActive","-",IF(A317&lt;&gt;"",K317/'⚙️ Config'!$H$2,))</f>
        <v/>
      </c>
      <c r="M317" s="28" t="str">
        <f t="shared" si="2"/>
        <v/>
      </c>
      <c r="N317" s="28" t="str">
        <f>IF(A317&lt;&gt;"", SUMIFS('💰 Transaction ขาย'!F:F,'💰 Transaction ขาย'!B:B,A317,'💰 Transaction ขาย'!A:A,"&gt;="&amp;DATE(YEAR('⚙️ Config'!$H$1),1,1),'💰 Transaction ขาย'!A:A,"&lt;="&amp;DATE(YEAR('⚙️ Config'!$H$1),12,31)),)</f>
        <v/>
      </c>
    </row>
    <row r="318">
      <c r="A318" s="22"/>
      <c r="B318" s="22" t="str">
        <f>IF(A318&lt;&gt;"",SUMIFS('💸 Transaction ซื้อ'!E:E,'💸 Transaction ซื้อ'!B:B,A318)-SUMIFS('💰 Transaction ขาย'!E:E,'💰 Transaction ขาย'!B:B,A318),"")</f>
        <v/>
      </c>
      <c r="C318" s="23" t="str">
        <f>IF(A318&lt;&gt;"",vlookup(A318,'📦 ชื่อสินค้า'!A:E,5,false),"")</f>
        <v/>
      </c>
      <c r="D318" s="23" t="str">
        <f>IF(A318&lt;&gt;"",VLOOKUP(A318,'📦 ชื่อสินค้า'!A:F,6,false),"")</f>
        <v/>
      </c>
      <c r="E318" s="16" t="str">
        <f>IFERROR(IF(VLOOKUP(A318,'📦 ชื่อสินค้า'!A:G,7,false)="InActive","InActive",IF(A318&lt;&gt;"",IF(B318&lt;=0,"สินค้าหมด",IF(B318&lt;=C318,"ควรเติมทันที","OK")),"")),)</f>
        <v/>
      </c>
      <c r="F318" s="24" t="str">
        <f>IFERROR(IF(A318&lt;&gt;"", SUMIF('💸 Transaction ซื้อ'!B:B,A318,'💸 Transaction ซื้อ'!G:G)/SUMIF('💸 Transaction ซื้อ'!B:B,A318,'💸 Transaction ซื้อ'!E:E),""),"-")</f>
        <v/>
      </c>
      <c r="G318" s="24" t="str">
        <f t="shared" si="1"/>
        <v/>
      </c>
      <c r="H318" s="25"/>
      <c r="I318" s="26"/>
      <c r="J318" s="26"/>
      <c r="K318" s="27" t="str">
        <f>IF(A318&lt;&gt;"",IF(E318="InActive","-",SUMIFS('💰 Transaction ขาย'!E:E,'💰 Transaction ขาย'!B:B,A318,'💰 Transaction ขาย'!A:A,"&gt;"&amp;'⚙️ Config'!$H$1-'⚙️ Config'!$H$2)),)</f>
        <v/>
      </c>
      <c r="L318" s="28" t="str">
        <f>IF(E318="InActive","-",IF(A318&lt;&gt;"",K318/'⚙️ Config'!$H$2,))</f>
        <v/>
      </c>
      <c r="M318" s="28" t="str">
        <f t="shared" si="2"/>
        <v/>
      </c>
      <c r="N318" s="28" t="str">
        <f>IF(A318&lt;&gt;"", SUMIFS('💰 Transaction ขาย'!F:F,'💰 Transaction ขาย'!B:B,A318,'💰 Transaction ขาย'!A:A,"&gt;="&amp;DATE(YEAR('⚙️ Config'!$H$1),1,1),'💰 Transaction ขาย'!A:A,"&lt;="&amp;DATE(YEAR('⚙️ Config'!$H$1),12,31)),)</f>
        <v/>
      </c>
    </row>
    <row r="319">
      <c r="A319" s="22"/>
      <c r="B319" s="22" t="str">
        <f>IF(A319&lt;&gt;"",SUMIFS('💸 Transaction ซื้อ'!E:E,'💸 Transaction ซื้อ'!B:B,A319)-SUMIFS('💰 Transaction ขาย'!E:E,'💰 Transaction ขาย'!B:B,A319),"")</f>
        <v/>
      </c>
      <c r="C319" s="23" t="str">
        <f>IF(A319&lt;&gt;"",vlookup(A319,'📦 ชื่อสินค้า'!A:E,5,false),"")</f>
        <v/>
      </c>
      <c r="D319" s="23" t="str">
        <f>IF(A319&lt;&gt;"",VLOOKUP(A319,'📦 ชื่อสินค้า'!A:F,6,false),"")</f>
        <v/>
      </c>
      <c r="E319" s="16" t="str">
        <f>IFERROR(IF(VLOOKUP(A319,'📦 ชื่อสินค้า'!A:G,7,false)="InActive","InActive",IF(A319&lt;&gt;"",IF(B319&lt;=0,"สินค้าหมด",IF(B319&lt;=C319,"ควรเติมทันที","OK")),"")),)</f>
        <v/>
      </c>
      <c r="F319" s="24" t="str">
        <f>IFERROR(IF(A319&lt;&gt;"", SUMIF('💸 Transaction ซื้อ'!B:B,A319,'💸 Transaction ซื้อ'!G:G)/SUMIF('💸 Transaction ซื้อ'!B:B,A319,'💸 Transaction ซื้อ'!E:E),""),"-")</f>
        <v/>
      </c>
      <c r="G319" s="24" t="str">
        <f t="shared" si="1"/>
        <v/>
      </c>
      <c r="H319" s="25"/>
      <c r="I319" s="26"/>
      <c r="J319" s="26"/>
      <c r="K319" s="27" t="str">
        <f>IF(A319&lt;&gt;"",IF(E319="InActive","-",SUMIFS('💰 Transaction ขาย'!E:E,'💰 Transaction ขาย'!B:B,A319,'💰 Transaction ขาย'!A:A,"&gt;"&amp;'⚙️ Config'!$H$1-'⚙️ Config'!$H$2)),)</f>
        <v/>
      </c>
      <c r="L319" s="28" t="str">
        <f>IF(E319="InActive","-",IF(A319&lt;&gt;"",K319/'⚙️ Config'!$H$2,))</f>
        <v/>
      </c>
      <c r="M319" s="28" t="str">
        <f t="shared" si="2"/>
        <v/>
      </c>
      <c r="N319" s="28" t="str">
        <f>IF(A319&lt;&gt;"", SUMIFS('💰 Transaction ขาย'!F:F,'💰 Transaction ขาย'!B:B,A319,'💰 Transaction ขาย'!A:A,"&gt;="&amp;DATE(YEAR('⚙️ Config'!$H$1),1,1),'💰 Transaction ขาย'!A:A,"&lt;="&amp;DATE(YEAR('⚙️ Config'!$H$1),12,31)),)</f>
        <v/>
      </c>
    </row>
    <row r="320">
      <c r="A320" s="22"/>
      <c r="B320" s="22" t="str">
        <f>IF(A320&lt;&gt;"",SUMIFS('💸 Transaction ซื้อ'!E:E,'💸 Transaction ซื้อ'!B:B,A320)-SUMIFS('💰 Transaction ขาย'!E:E,'💰 Transaction ขาย'!B:B,A320),"")</f>
        <v/>
      </c>
      <c r="C320" s="23" t="str">
        <f>IF(A320&lt;&gt;"",vlookup(A320,'📦 ชื่อสินค้า'!A:E,5,false),"")</f>
        <v/>
      </c>
      <c r="D320" s="23" t="str">
        <f>IF(A320&lt;&gt;"",VLOOKUP(A320,'📦 ชื่อสินค้า'!A:F,6,false),"")</f>
        <v/>
      </c>
      <c r="E320" s="16" t="str">
        <f>IFERROR(IF(VLOOKUP(A320,'📦 ชื่อสินค้า'!A:G,7,false)="InActive","InActive",IF(A320&lt;&gt;"",IF(B320&lt;=0,"สินค้าหมด",IF(B320&lt;=C320,"ควรเติมทันที","OK")),"")),)</f>
        <v/>
      </c>
      <c r="F320" s="24" t="str">
        <f>IFERROR(IF(A320&lt;&gt;"", SUMIF('💸 Transaction ซื้อ'!B:B,A320,'💸 Transaction ซื้อ'!G:G)/SUMIF('💸 Transaction ซื้อ'!B:B,A320,'💸 Transaction ซื้อ'!E:E),""),"-")</f>
        <v/>
      </c>
      <c r="G320" s="24" t="str">
        <f t="shared" si="1"/>
        <v/>
      </c>
      <c r="H320" s="25"/>
      <c r="I320" s="26"/>
      <c r="J320" s="26"/>
      <c r="K320" s="27" t="str">
        <f>IF(A320&lt;&gt;"",IF(E320="InActive","-",SUMIFS('💰 Transaction ขาย'!E:E,'💰 Transaction ขาย'!B:B,A320,'💰 Transaction ขาย'!A:A,"&gt;"&amp;'⚙️ Config'!$H$1-'⚙️ Config'!$H$2)),)</f>
        <v/>
      </c>
      <c r="L320" s="28" t="str">
        <f>IF(E320="InActive","-",IF(A320&lt;&gt;"",K320/'⚙️ Config'!$H$2,))</f>
        <v/>
      </c>
      <c r="M320" s="28" t="str">
        <f t="shared" si="2"/>
        <v/>
      </c>
      <c r="N320" s="28" t="str">
        <f>IF(A320&lt;&gt;"", SUMIFS('💰 Transaction ขาย'!F:F,'💰 Transaction ขาย'!B:B,A320,'💰 Transaction ขาย'!A:A,"&gt;="&amp;DATE(YEAR('⚙️ Config'!$H$1),1,1),'💰 Transaction ขาย'!A:A,"&lt;="&amp;DATE(YEAR('⚙️ Config'!$H$1),12,31)),)</f>
        <v/>
      </c>
    </row>
    <row r="321">
      <c r="A321" s="22"/>
      <c r="B321" s="22" t="str">
        <f>IF(A321&lt;&gt;"",SUMIFS('💸 Transaction ซื้อ'!E:E,'💸 Transaction ซื้อ'!B:B,A321)-SUMIFS('💰 Transaction ขาย'!E:E,'💰 Transaction ขาย'!B:B,A321),"")</f>
        <v/>
      </c>
      <c r="C321" s="23" t="str">
        <f>IF(A321&lt;&gt;"",vlookup(A321,'📦 ชื่อสินค้า'!A:E,5,false),"")</f>
        <v/>
      </c>
      <c r="D321" s="23" t="str">
        <f>IF(A321&lt;&gt;"",VLOOKUP(A321,'📦 ชื่อสินค้า'!A:F,6,false),"")</f>
        <v/>
      </c>
      <c r="E321" s="16" t="str">
        <f>IFERROR(IF(VLOOKUP(A321,'📦 ชื่อสินค้า'!A:G,7,false)="InActive","InActive",IF(A321&lt;&gt;"",IF(B321&lt;=0,"สินค้าหมด",IF(B321&lt;=C321,"ควรเติมทันที","OK")),"")),)</f>
        <v/>
      </c>
      <c r="F321" s="24" t="str">
        <f>IFERROR(IF(A321&lt;&gt;"", SUMIF('💸 Transaction ซื้อ'!B:B,A321,'💸 Transaction ซื้อ'!G:G)/SUMIF('💸 Transaction ซื้อ'!B:B,A321,'💸 Transaction ซื้อ'!E:E),""),"-")</f>
        <v/>
      </c>
      <c r="G321" s="24" t="str">
        <f t="shared" si="1"/>
        <v/>
      </c>
      <c r="H321" s="25"/>
      <c r="I321" s="26"/>
      <c r="J321" s="26"/>
      <c r="K321" s="27" t="str">
        <f>IF(A321&lt;&gt;"",IF(E321="InActive","-",SUMIFS('💰 Transaction ขาย'!E:E,'💰 Transaction ขาย'!B:B,A321,'💰 Transaction ขาย'!A:A,"&gt;"&amp;'⚙️ Config'!$H$1-'⚙️ Config'!$H$2)),)</f>
        <v/>
      </c>
      <c r="L321" s="28" t="str">
        <f>IF(E321="InActive","-",IF(A321&lt;&gt;"",K321/'⚙️ Config'!$H$2,))</f>
        <v/>
      </c>
      <c r="M321" s="28" t="str">
        <f t="shared" si="2"/>
        <v/>
      </c>
      <c r="N321" s="28" t="str">
        <f>IF(A321&lt;&gt;"", SUMIFS('💰 Transaction ขาย'!F:F,'💰 Transaction ขาย'!B:B,A321,'💰 Transaction ขาย'!A:A,"&gt;="&amp;DATE(YEAR('⚙️ Config'!$H$1),1,1),'💰 Transaction ขาย'!A:A,"&lt;="&amp;DATE(YEAR('⚙️ Config'!$H$1),12,31)),)</f>
        <v/>
      </c>
    </row>
    <row r="322">
      <c r="A322" s="22"/>
      <c r="B322" s="22" t="str">
        <f>IF(A322&lt;&gt;"",SUMIFS('💸 Transaction ซื้อ'!E:E,'💸 Transaction ซื้อ'!B:B,A322)-SUMIFS('💰 Transaction ขาย'!E:E,'💰 Transaction ขาย'!B:B,A322),"")</f>
        <v/>
      </c>
      <c r="C322" s="23" t="str">
        <f>IF(A322&lt;&gt;"",vlookup(A322,'📦 ชื่อสินค้า'!A:E,5,false),"")</f>
        <v/>
      </c>
      <c r="D322" s="23" t="str">
        <f>IF(A322&lt;&gt;"",VLOOKUP(A322,'📦 ชื่อสินค้า'!A:F,6,false),"")</f>
        <v/>
      </c>
      <c r="E322" s="16" t="str">
        <f>IFERROR(IF(VLOOKUP(A322,'📦 ชื่อสินค้า'!A:G,7,false)="InActive","InActive",IF(A322&lt;&gt;"",IF(B322&lt;=0,"สินค้าหมด",IF(B322&lt;=C322,"ควรเติมทันที","OK")),"")),)</f>
        <v/>
      </c>
      <c r="F322" s="24" t="str">
        <f>IFERROR(IF(A322&lt;&gt;"", SUMIF('💸 Transaction ซื้อ'!B:B,A322,'💸 Transaction ซื้อ'!G:G)/SUMIF('💸 Transaction ซื้อ'!B:B,A322,'💸 Transaction ซื้อ'!E:E),""),"-")</f>
        <v/>
      </c>
      <c r="G322" s="24" t="str">
        <f t="shared" si="1"/>
        <v/>
      </c>
      <c r="H322" s="25"/>
      <c r="I322" s="26"/>
      <c r="J322" s="26"/>
      <c r="K322" s="27" t="str">
        <f>IF(A322&lt;&gt;"",IF(E322="InActive","-",SUMIFS('💰 Transaction ขาย'!E:E,'💰 Transaction ขาย'!B:B,A322,'💰 Transaction ขาย'!A:A,"&gt;"&amp;'⚙️ Config'!$H$1-'⚙️ Config'!$H$2)),)</f>
        <v/>
      </c>
      <c r="L322" s="28" t="str">
        <f>IF(E322="InActive","-",IF(A322&lt;&gt;"",K322/'⚙️ Config'!$H$2,))</f>
        <v/>
      </c>
      <c r="M322" s="28" t="str">
        <f t="shared" si="2"/>
        <v/>
      </c>
      <c r="N322" s="28" t="str">
        <f>IF(A322&lt;&gt;"", SUMIFS('💰 Transaction ขาย'!F:F,'💰 Transaction ขาย'!B:B,A322,'💰 Transaction ขาย'!A:A,"&gt;="&amp;DATE(YEAR('⚙️ Config'!$H$1),1,1),'💰 Transaction ขาย'!A:A,"&lt;="&amp;DATE(YEAR('⚙️ Config'!$H$1),12,31)),)</f>
        <v/>
      </c>
    </row>
    <row r="323">
      <c r="A323" s="22"/>
      <c r="B323" s="22" t="str">
        <f>IF(A323&lt;&gt;"",SUMIFS('💸 Transaction ซื้อ'!E:E,'💸 Transaction ซื้อ'!B:B,A323)-SUMIFS('💰 Transaction ขาย'!E:E,'💰 Transaction ขาย'!B:B,A323),"")</f>
        <v/>
      </c>
      <c r="C323" s="23" t="str">
        <f>IF(A323&lt;&gt;"",vlookup(A323,'📦 ชื่อสินค้า'!A:E,5,false),"")</f>
        <v/>
      </c>
      <c r="D323" s="23" t="str">
        <f>IF(A323&lt;&gt;"",VLOOKUP(A323,'📦 ชื่อสินค้า'!A:F,6,false),"")</f>
        <v/>
      </c>
      <c r="E323" s="16" t="str">
        <f>IFERROR(IF(VLOOKUP(A323,'📦 ชื่อสินค้า'!A:G,7,false)="InActive","InActive",IF(A323&lt;&gt;"",IF(B323&lt;=0,"สินค้าหมด",IF(B323&lt;=C323,"ควรเติมทันที","OK")),"")),)</f>
        <v/>
      </c>
      <c r="F323" s="24" t="str">
        <f>IFERROR(IF(A323&lt;&gt;"", SUMIF('💸 Transaction ซื้อ'!B:B,A323,'💸 Transaction ซื้อ'!G:G)/SUMIF('💸 Transaction ซื้อ'!B:B,A323,'💸 Transaction ซื้อ'!E:E),""),"-")</f>
        <v/>
      </c>
      <c r="G323" s="24" t="str">
        <f t="shared" si="1"/>
        <v/>
      </c>
      <c r="H323" s="25"/>
      <c r="I323" s="26"/>
      <c r="J323" s="26"/>
      <c r="K323" s="27" t="str">
        <f>IF(A323&lt;&gt;"",IF(E323="InActive","-",SUMIFS('💰 Transaction ขาย'!E:E,'💰 Transaction ขาย'!B:B,A323,'💰 Transaction ขาย'!A:A,"&gt;"&amp;'⚙️ Config'!$H$1-'⚙️ Config'!$H$2)),)</f>
        <v/>
      </c>
      <c r="L323" s="28" t="str">
        <f>IF(E323="InActive","-",IF(A323&lt;&gt;"",K323/'⚙️ Config'!$H$2,))</f>
        <v/>
      </c>
      <c r="M323" s="28" t="str">
        <f t="shared" si="2"/>
        <v/>
      </c>
      <c r="N323" s="28" t="str">
        <f>IF(A323&lt;&gt;"", SUMIFS('💰 Transaction ขาย'!F:F,'💰 Transaction ขาย'!B:B,A323,'💰 Transaction ขาย'!A:A,"&gt;="&amp;DATE(YEAR('⚙️ Config'!$H$1),1,1),'💰 Transaction ขาย'!A:A,"&lt;="&amp;DATE(YEAR('⚙️ Config'!$H$1),12,31)),)</f>
        <v/>
      </c>
    </row>
    <row r="324">
      <c r="A324" s="22"/>
      <c r="B324" s="22" t="str">
        <f>IF(A324&lt;&gt;"",SUMIFS('💸 Transaction ซื้อ'!E:E,'💸 Transaction ซื้อ'!B:B,A324)-SUMIFS('💰 Transaction ขาย'!E:E,'💰 Transaction ขาย'!B:B,A324),"")</f>
        <v/>
      </c>
      <c r="C324" s="23" t="str">
        <f>IF(A324&lt;&gt;"",vlookup(A324,'📦 ชื่อสินค้า'!A:E,5,false),"")</f>
        <v/>
      </c>
      <c r="D324" s="23" t="str">
        <f>IF(A324&lt;&gt;"",VLOOKUP(A324,'📦 ชื่อสินค้า'!A:F,6,false),"")</f>
        <v/>
      </c>
      <c r="E324" s="16" t="str">
        <f>IFERROR(IF(VLOOKUP(A324,'📦 ชื่อสินค้า'!A:G,7,false)="InActive","InActive",IF(A324&lt;&gt;"",IF(B324&lt;=0,"สินค้าหมด",IF(B324&lt;=C324,"ควรเติมทันที","OK")),"")),)</f>
        <v/>
      </c>
      <c r="F324" s="24" t="str">
        <f>IFERROR(IF(A324&lt;&gt;"", SUMIF('💸 Transaction ซื้อ'!B:B,A324,'💸 Transaction ซื้อ'!G:G)/SUMIF('💸 Transaction ซื้อ'!B:B,A324,'💸 Transaction ซื้อ'!E:E),""),"-")</f>
        <v/>
      </c>
      <c r="G324" s="24" t="str">
        <f t="shared" si="1"/>
        <v/>
      </c>
      <c r="H324" s="25"/>
      <c r="I324" s="26"/>
      <c r="J324" s="26"/>
      <c r="K324" s="27" t="str">
        <f>IF(A324&lt;&gt;"",IF(E324="InActive","-",SUMIFS('💰 Transaction ขาย'!E:E,'💰 Transaction ขาย'!B:B,A324,'💰 Transaction ขาย'!A:A,"&gt;"&amp;'⚙️ Config'!$H$1-'⚙️ Config'!$H$2)),)</f>
        <v/>
      </c>
      <c r="L324" s="28" t="str">
        <f>IF(E324="InActive","-",IF(A324&lt;&gt;"",K324/'⚙️ Config'!$H$2,))</f>
        <v/>
      </c>
      <c r="M324" s="28" t="str">
        <f t="shared" si="2"/>
        <v/>
      </c>
      <c r="N324" s="28" t="str">
        <f>IF(A324&lt;&gt;"", SUMIFS('💰 Transaction ขาย'!F:F,'💰 Transaction ขาย'!B:B,A324,'💰 Transaction ขาย'!A:A,"&gt;="&amp;DATE(YEAR('⚙️ Config'!$H$1),1,1),'💰 Transaction ขาย'!A:A,"&lt;="&amp;DATE(YEAR('⚙️ Config'!$H$1),12,31)),)</f>
        <v/>
      </c>
    </row>
    <row r="325">
      <c r="A325" s="22"/>
      <c r="B325" s="22" t="str">
        <f>IF(A325&lt;&gt;"",SUMIFS('💸 Transaction ซื้อ'!E:E,'💸 Transaction ซื้อ'!B:B,A325)-SUMIFS('💰 Transaction ขาย'!E:E,'💰 Transaction ขาย'!B:B,A325),"")</f>
        <v/>
      </c>
      <c r="C325" s="23" t="str">
        <f>IF(A325&lt;&gt;"",vlookup(A325,'📦 ชื่อสินค้า'!A:E,5,false),"")</f>
        <v/>
      </c>
      <c r="D325" s="23" t="str">
        <f>IF(A325&lt;&gt;"",VLOOKUP(A325,'📦 ชื่อสินค้า'!A:F,6,false),"")</f>
        <v/>
      </c>
      <c r="E325" s="16" t="str">
        <f>IFERROR(IF(VLOOKUP(A325,'📦 ชื่อสินค้า'!A:G,7,false)="InActive","InActive",IF(A325&lt;&gt;"",IF(B325&lt;=0,"สินค้าหมด",IF(B325&lt;=C325,"ควรเติมทันที","OK")),"")),)</f>
        <v/>
      </c>
      <c r="F325" s="24" t="str">
        <f>IFERROR(IF(A325&lt;&gt;"", SUMIF('💸 Transaction ซื้อ'!B:B,A325,'💸 Transaction ซื้อ'!G:G)/SUMIF('💸 Transaction ซื้อ'!B:B,A325,'💸 Transaction ซื้อ'!E:E),""),"-")</f>
        <v/>
      </c>
      <c r="G325" s="24" t="str">
        <f t="shared" si="1"/>
        <v/>
      </c>
      <c r="H325" s="25"/>
      <c r="I325" s="26"/>
      <c r="J325" s="26"/>
      <c r="K325" s="27" t="str">
        <f>IF(A325&lt;&gt;"",IF(E325="InActive","-",SUMIFS('💰 Transaction ขาย'!E:E,'💰 Transaction ขาย'!B:B,A325,'💰 Transaction ขาย'!A:A,"&gt;"&amp;'⚙️ Config'!$H$1-'⚙️ Config'!$H$2)),)</f>
        <v/>
      </c>
      <c r="L325" s="28" t="str">
        <f>IF(E325="InActive","-",IF(A325&lt;&gt;"",K325/'⚙️ Config'!$H$2,))</f>
        <v/>
      </c>
      <c r="M325" s="28" t="str">
        <f t="shared" si="2"/>
        <v/>
      </c>
      <c r="N325" s="28" t="str">
        <f>IF(A325&lt;&gt;"", SUMIFS('💰 Transaction ขาย'!F:F,'💰 Transaction ขาย'!B:B,A325,'💰 Transaction ขาย'!A:A,"&gt;="&amp;DATE(YEAR('⚙️ Config'!$H$1),1,1),'💰 Transaction ขาย'!A:A,"&lt;="&amp;DATE(YEAR('⚙️ Config'!$H$1),12,31)),)</f>
        <v/>
      </c>
    </row>
    <row r="326">
      <c r="A326" s="22"/>
      <c r="B326" s="22" t="str">
        <f>IF(A326&lt;&gt;"",SUMIFS('💸 Transaction ซื้อ'!E:E,'💸 Transaction ซื้อ'!B:B,A326)-SUMIFS('💰 Transaction ขาย'!E:E,'💰 Transaction ขาย'!B:B,A326),"")</f>
        <v/>
      </c>
      <c r="C326" s="23" t="str">
        <f>IF(A326&lt;&gt;"",vlookup(A326,'📦 ชื่อสินค้า'!A:E,5,false),"")</f>
        <v/>
      </c>
      <c r="D326" s="23" t="str">
        <f>IF(A326&lt;&gt;"",VLOOKUP(A326,'📦 ชื่อสินค้า'!A:F,6,false),"")</f>
        <v/>
      </c>
      <c r="E326" s="16" t="str">
        <f>IFERROR(IF(VLOOKUP(A326,'📦 ชื่อสินค้า'!A:G,7,false)="InActive","InActive",IF(A326&lt;&gt;"",IF(B326&lt;=0,"สินค้าหมด",IF(B326&lt;=C326,"ควรเติมทันที","OK")),"")),)</f>
        <v/>
      </c>
      <c r="F326" s="24" t="str">
        <f>IFERROR(IF(A326&lt;&gt;"", SUMIF('💸 Transaction ซื้อ'!B:B,A326,'💸 Transaction ซื้อ'!G:G)/SUMIF('💸 Transaction ซื้อ'!B:B,A326,'💸 Transaction ซื้อ'!E:E),""),"-")</f>
        <v/>
      </c>
      <c r="G326" s="24" t="str">
        <f t="shared" si="1"/>
        <v/>
      </c>
      <c r="H326" s="25"/>
      <c r="I326" s="26"/>
      <c r="J326" s="26"/>
      <c r="K326" s="27" t="str">
        <f>IF(A326&lt;&gt;"",IF(E326="InActive","-",SUMIFS('💰 Transaction ขาย'!E:E,'💰 Transaction ขาย'!B:B,A326,'💰 Transaction ขาย'!A:A,"&gt;"&amp;'⚙️ Config'!$H$1-'⚙️ Config'!$H$2)),)</f>
        <v/>
      </c>
      <c r="L326" s="28" t="str">
        <f>IF(E326="InActive","-",IF(A326&lt;&gt;"",K326/'⚙️ Config'!$H$2,))</f>
        <v/>
      </c>
      <c r="M326" s="28" t="str">
        <f t="shared" si="2"/>
        <v/>
      </c>
      <c r="N326" s="28" t="str">
        <f>IF(A326&lt;&gt;"", SUMIFS('💰 Transaction ขาย'!F:F,'💰 Transaction ขาย'!B:B,A326,'💰 Transaction ขาย'!A:A,"&gt;="&amp;DATE(YEAR('⚙️ Config'!$H$1),1,1),'💰 Transaction ขาย'!A:A,"&lt;="&amp;DATE(YEAR('⚙️ Config'!$H$1),12,31)),)</f>
        <v/>
      </c>
    </row>
    <row r="327">
      <c r="A327" s="22"/>
      <c r="B327" s="22" t="str">
        <f>IF(A327&lt;&gt;"",SUMIFS('💸 Transaction ซื้อ'!E:E,'💸 Transaction ซื้อ'!B:B,A327)-SUMIFS('💰 Transaction ขาย'!E:E,'💰 Transaction ขาย'!B:B,A327),"")</f>
        <v/>
      </c>
      <c r="C327" s="23" t="str">
        <f>IF(A327&lt;&gt;"",vlookup(A327,'📦 ชื่อสินค้า'!A:E,5,false),"")</f>
        <v/>
      </c>
      <c r="D327" s="23" t="str">
        <f>IF(A327&lt;&gt;"",VLOOKUP(A327,'📦 ชื่อสินค้า'!A:F,6,false),"")</f>
        <v/>
      </c>
      <c r="E327" s="16" t="str">
        <f>IFERROR(IF(VLOOKUP(A327,'📦 ชื่อสินค้า'!A:G,7,false)="InActive","InActive",IF(A327&lt;&gt;"",IF(B327&lt;=0,"สินค้าหมด",IF(B327&lt;=C327,"ควรเติมทันที","OK")),"")),)</f>
        <v/>
      </c>
      <c r="F327" s="24" t="str">
        <f>IFERROR(IF(A327&lt;&gt;"", SUMIF('💸 Transaction ซื้อ'!B:B,A327,'💸 Transaction ซื้อ'!G:G)/SUMIF('💸 Transaction ซื้อ'!B:B,A327,'💸 Transaction ซื้อ'!E:E),""),"-")</f>
        <v/>
      </c>
      <c r="G327" s="24" t="str">
        <f t="shared" si="1"/>
        <v/>
      </c>
      <c r="H327" s="25"/>
      <c r="I327" s="26"/>
      <c r="J327" s="26"/>
      <c r="K327" s="27" t="str">
        <f>IF(A327&lt;&gt;"",IF(E327="InActive","-",SUMIFS('💰 Transaction ขาย'!E:E,'💰 Transaction ขาย'!B:B,A327,'💰 Transaction ขาย'!A:A,"&gt;"&amp;'⚙️ Config'!$H$1-'⚙️ Config'!$H$2)),)</f>
        <v/>
      </c>
      <c r="L327" s="28" t="str">
        <f>IF(E327="InActive","-",IF(A327&lt;&gt;"",K327/'⚙️ Config'!$H$2,))</f>
        <v/>
      </c>
      <c r="M327" s="28" t="str">
        <f t="shared" si="2"/>
        <v/>
      </c>
      <c r="N327" s="28" t="str">
        <f>IF(A327&lt;&gt;"", SUMIFS('💰 Transaction ขาย'!F:F,'💰 Transaction ขาย'!B:B,A327,'💰 Transaction ขาย'!A:A,"&gt;="&amp;DATE(YEAR('⚙️ Config'!$H$1),1,1),'💰 Transaction ขาย'!A:A,"&lt;="&amp;DATE(YEAR('⚙️ Config'!$H$1),12,31)),)</f>
        <v/>
      </c>
    </row>
    <row r="328">
      <c r="A328" s="22"/>
      <c r="B328" s="22" t="str">
        <f>IF(A328&lt;&gt;"",SUMIFS('💸 Transaction ซื้อ'!E:E,'💸 Transaction ซื้อ'!B:B,A328)-SUMIFS('💰 Transaction ขาย'!E:E,'💰 Transaction ขาย'!B:B,A328),"")</f>
        <v/>
      </c>
      <c r="C328" s="23" t="str">
        <f>IF(A328&lt;&gt;"",vlookup(A328,'📦 ชื่อสินค้า'!A:E,5,false),"")</f>
        <v/>
      </c>
      <c r="D328" s="23" t="str">
        <f>IF(A328&lt;&gt;"",VLOOKUP(A328,'📦 ชื่อสินค้า'!A:F,6,false),"")</f>
        <v/>
      </c>
      <c r="E328" s="16" t="str">
        <f>IFERROR(IF(VLOOKUP(A328,'📦 ชื่อสินค้า'!A:G,7,false)="InActive","InActive",IF(A328&lt;&gt;"",IF(B328&lt;=0,"สินค้าหมด",IF(B328&lt;=C328,"ควรเติมทันที","OK")),"")),)</f>
        <v/>
      </c>
      <c r="F328" s="24" t="str">
        <f>IFERROR(IF(A328&lt;&gt;"", SUMIF('💸 Transaction ซื้อ'!B:B,A328,'💸 Transaction ซื้อ'!G:G)/SUMIF('💸 Transaction ซื้อ'!B:B,A328,'💸 Transaction ซื้อ'!E:E),""),"-")</f>
        <v/>
      </c>
      <c r="G328" s="24" t="str">
        <f t="shared" si="1"/>
        <v/>
      </c>
      <c r="H328" s="25"/>
      <c r="I328" s="26"/>
      <c r="J328" s="26"/>
      <c r="K328" s="27" t="str">
        <f>IF(A328&lt;&gt;"",IF(E328="InActive","-",SUMIFS('💰 Transaction ขาย'!E:E,'💰 Transaction ขาย'!B:B,A328,'💰 Transaction ขาย'!A:A,"&gt;"&amp;'⚙️ Config'!$H$1-'⚙️ Config'!$H$2)),)</f>
        <v/>
      </c>
      <c r="L328" s="28" t="str">
        <f>IF(E328="InActive","-",IF(A328&lt;&gt;"",K328/'⚙️ Config'!$H$2,))</f>
        <v/>
      </c>
      <c r="M328" s="28" t="str">
        <f t="shared" si="2"/>
        <v/>
      </c>
      <c r="N328" s="28" t="str">
        <f>IF(A328&lt;&gt;"", SUMIFS('💰 Transaction ขาย'!F:F,'💰 Transaction ขาย'!B:B,A328,'💰 Transaction ขาย'!A:A,"&gt;="&amp;DATE(YEAR('⚙️ Config'!$H$1),1,1),'💰 Transaction ขาย'!A:A,"&lt;="&amp;DATE(YEAR('⚙️ Config'!$H$1),12,31)),)</f>
        <v/>
      </c>
    </row>
    <row r="329">
      <c r="A329" s="22"/>
      <c r="B329" s="22" t="str">
        <f>IF(A329&lt;&gt;"",SUMIFS('💸 Transaction ซื้อ'!E:E,'💸 Transaction ซื้อ'!B:B,A329)-SUMIFS('💰 Transaction ขาย'!E:E,'💰 Transaction ขาย'!B:B,A329),"")</f>
        <v/>
      </c>
      <c r="C329" s="23" t="str">
        <f>IF(A329&lt;&gt;"",vlookup(A329,'📦 ชื่อสินค้า'!A:E,5,false),"")</f>
        <v/>
      </c>
      <c r="D329" s="23" t="str">
        <f>IF(A329&lt;&gt;"",VLOOKUP(A329,'📦 ชื่อสินค้า'!A:F,6,false),"")</f>
        <v/>
      </c>
      <c r="E329" s="16" t="str">
        <f>IFERROR(IF(VLOOKUP(A329,'📦 ชื่อสินค้า'!A:G,7,false)="InActive","InActive",IF(A329&lt;&gt;"",IF(B329&lt;=0,"สินค้าหมด",IF(B329&lt;=C329,"ควรเติมทันที","OK")),"")),)</f>
        <v/>
      </c>
      <c r="F329" s="24" t="str">
        <f>IFERROR(IF(A329&lt;&gt;"", SUMIF('💸 Transaction ซื้อ'!B:B,A329,'💸 Transaction ซื้อ'!G:G)/SUMIF('💸 Transaction ซื้อ'!B:B,A329,'💸 Transaction ซื้อ'!E:E),""),"-")</f>
        <v/>
      </c>
      <c r="G329" s="24" t="str">
        <f t="shared" si="1"/>
        <v/>
      </c>
      <c r="H329" s="25"/>
      <c r="I329" s="26"/>
      <c r="J329" s="26"/>
      <c r="K329" s="27" t="str">
        <f>IF(A329&lt;&gt;"",IF(E329="InActive","-",SUMIFS('💰 Transaction ขาย'!E:E,'💰 Transaction ขาย'!B:B,A329,'💰 Transaction ขาย'!A:A,"&gt;"&amp;'⚙️ Config'!$H$1-'⚙️ Config'!$H$2)),)</f>
        <v/>
      </c>
      <c r="L329" s="28" t="str">
        <f>IF(E329="InActive","-",IF(A329&lt;&gt;"",K329/'⚙️ Config'!$H$2,))</f>
        <v/>
      </c>
      <c r="M329" s="28" t="str">
        <f t="shared" si="2"/>
        <v/>
      </c>
      <c r="N329" s="28" t="str">
        <f>IF(A329&lt;&gt;"", SUMIFS('💰 Transaction ขาย'!F:F,'💰 Transaction ขาย'!B:B,A329,'💰 Transaction ขาย'!A:A,"&gt;="&amp;DATE(YEAR('⚙️ Config'!$H$1),1,1),'💰 Transaction ขาย'!A:A,"&lt;="&amp;DATE(YEAR('⚙️ Config'!$H$1),12,31)),)</f>
        <v/>
      </c>
    </row>
    <row r="330">
      <c r="A330" s="22"/>
      <c r="B330" s="22" t="str">
        <f>IF(A330&lt;&gt;"",SUMIFS('💸 Transaction ซื้อ'!E:E,'💸 Transaction ซื้อ'!B:B,A330)-SUMIFS('💰 Transaction ขาย'!E:E,'💰 Transaction ขาย'!B:B,A330),"")</f>
        <v/>
      </c>
      <c r="C330" s="23" t="str">
        <f>IF(A330&lt;&gt;"",vlookup(A330,'📦 ชื่อสินค้า'!A:E,5,false),"")</f>
        <v/>
      </c>
      <c r="D330" s="23" t="str">
        <f>IF(A330&lt;&gt;"",VLOOKUP(A330,'📦 ชื่อสินค้า'!A:F,6,false),"")</f>
        <v/>
      </c>
      <c r="E330" s="16" t="str">
        <f>IFERROR(IF(VLOOKUP(A330,'📦 ชื่อสินค้า'!A:G,7,false)="InActive","InActive",IF(A330&lt;&gt;"",IF(B330&lt;=0,"สินค้าหมด",IF(B330&lt;=C330,"ควรเติมทันที","OK")),"")),)</f>
        <v/>
      </c>
      <c r="F330" s="24" t="str">
        <f>IFERROR(IF(A330&lt;&gt;"", SUMIF('💸 Transaction ซื้อ'!B:B,A330,'💸 Transaction ซื้อ'!G:G)/SUMIF('💸 Transaction ซื้อ'!B:B,A330,'💸 Transaction ซื้อ'!E:E),""),"-")</f>
        <v/>
      </c>
      <c r="G330" s="24" t="str">
        <f t="shared" si="1"/>
        <v/>
      </c>
      <c r="H330" s="25"/>
      <c r="I330" s="26"/>
      <c r="J330" s="26"/>
      <c r="K330" s="27" t="str">
        <f>IF(A330&lt;&gt;"",IF(E330="InActive","-",SUMIFS('💰 Transaction ขาย'!E:E,'💰 Transaction ขาย'!B:B,A330,'💰 Transaction ขาย'!A:A,"&gt;"&amp;'⚙️ Config'!$H$1-'⚙️ Config'!$H$2)),)</f>
        <v/>
      </c>
      <c r="L330" s="28" t="str">
        <f>IF(E330="InActive","-",IF(A330&lt;&gt;"",K330/'⚙️ Config'!$H$2,))</f>
        <v/>
      </c>
      <c r="M330" s="28" t="str">
        <f t="shared" si="2"/>
        <v/>
      </c>
      <c r="N330" s="28" t="str">
        <f>IF(A330&lt;&gt;"", SUMIFS('💰 Transaction ขาย'!F:F,'💰 Transaction ขาย'!B:B,A330,'💰 Transaction ขาย'!A:A,"&gt;="&amp;DATE(YEAR('⚙️ Config'!$H$1),1,1),'💰 Transaction ขาย'!A:A,"&lt;="&amp;DATE(YEAR('⚙️ Config'!$H$1),12,31)),)</f>
        <v/>
      </c>
    </row>
    <row r="331">
      <c r="A331" s="22"/>
      <c r="B331" s="22" t="str">
        <f>IF(A331&lt;&gt;"",SUMIFS('💸 Transaction ซื้อ'!E:E,'💸 Transaction ซื้อ'!B:B,A331)-SUMIFS('💰 Transaction ขาย'!E:E,'💰 Transaction ขาย'!B:B,A331),"")</f>
        <v/>
      </c>
      <c r="C331" s="23" t="str">
        <f>IF(A331&lt;&gt;"",vlookup(A331,'📦 ชื่อสินค้า'!A:E,5,false),"")</f>
        <v/>
      </c>
      <c r="D331" s="23" t="str">
        <f>IF(A331&lt;&gt;"",VLOOKUP(A331,'📦 ชื่อสินค้า'!A:F,6,false),"")</f>
        <v/>
      </c>
      <c r="E331" s="16" t="str">
        <f>IFERROR(IF(VLOOKUP(A331,'📦 ชื่อสินค้า'!A:G,7,false)="InActive","InActive",IF(A331&lt;&gt;"",IF(B331&lt;=0,"สินค้าหมด",IF(B331&lt;=C331,"ควรเติมทันที","OK")),"")),)</f>
        <v/>
      </c>
      <c r="F331" s="24" t="str">
        <f>IFERROR(IF(A331&lt;&gt;"", SUMIF('💸 Transaction ซื้อ'!B:B,A331,'💸 Transaction ซื้อ'!G:G)/SUMIF('💸 Transaction ซื้อ'!B:B,A331,'💸 Transaction ซื้อ'!E:E),""),"-")</f>
        <v/>
      </c>
      <c r="G331" s="24" t="str">
        <f t="shared" si="1"/>
        <v/>
      </c>
      <c r="H331" s="25"/>
      <c r="I331" s="26"/>
      <c r="J331" s="26"/>
      <c r="K331" s="27" t="str">
        <f>IF(A331&lt;&gt;"",IF(E331="InActive","-",SUMIFS('💰 Transaction ขาย'!E:E,'💰 Transaction ขาย'!B:B,A331,'💰 Transaction ขาย'!A:A,"&gt;"&amp;'⚙️ Config'!$H$1-'⚙️ Config'!$H$2)),)</f>
        <v/>
      </c>
      <c r="L331" s="28" t="str">
        <f>IF(E331="InActive","-",IF(A331&lt;&gt;"",K331/'⚙️ Config'!$H$2,))</f>
        <v/>
      </c>
      <c r="M331" s="28" t="str">
        <f t="shared" si="2"/>
        <v/>
      </c>
      <c r="N331" s="28" t="str">
        <f>IF(A331&lt;&gt;"", SUMIFS('💰 Transaction ขาย'!F:F,'💰 Transaction ขาย'!B:B,A331,'💰 Transaction ขาย'!A:A,"&gt;="&amp;DATE(YEAR('⚙️ Config'!$H$1),1,1),'💰 Transaction ขาย'!A:A,"&lt;="&amp;DATE(YEAR('⚙️ Config'!$H$1),12,31)),)</f>
        <v/>
      </c>
    </row>
    <row r="332">
      <c r="A332" s="22"/>
      <c r="B332" s="22" t="str">
        <f>IF(A332&lt;&gt;"",SUMIFS('💸 Transaction ซื้อ'!E:E,'💸 Transaction ซื้อ'!B:B,A332)-SUMIFS('💰 Transaction ขาย'!E:E,'💰 Transaction ขาย'!B:B,A332),"")</f>
        <v/>
      </c>
      <c r="C332" s="23" t="str">
        <f>IF(A332&lt;&gt;"",vlookup(A332,'📦 ชื่อสินค้า'!A:E,5,false),"")</f>
        <v/>
      </c>
      <c r="D332" s="23" t="str">
        <f>IF(A332&lt;&gt;"",VLOOKUP(A332,'📦 ชื่อสินค้า'!A:F,6,false),"")</f>
        <v/>
      </c>
      <c r="E332" s="16" t="str">
        <f>IFERROR(IF(VLOOKUP(A332,'📦 ชื่อสินค้า'!A:G,7,false)="InActive","InActive",IF(A332&lt;&gt;"",IF(B332&lt;=0,"สินค้าหมด",IF(B332&lt;=C332,"ควรเติมทันที","OK")),"")),)</f>
        <v/>
      </c>
      <c r="F332" s="24" t="str">
        <f>IFERROR(IF(A332&lt;&gt;"", SUMIF('💸 Transaction ซื้อ'!B:B,A332,'💸 Transaction ซื้อ'!G:G)/SUMIF('💸 Transaction ซื้อ'!B:B,A332,'💸 Transaction ซื้อ'!E:E),""),"-")</f>
        <v/>
      </c>
      <c r="G332" s="24" t="str">
        <f t="shared" si="1"/>
        <v/>
      </c>
      <c r="H332" s="25"/>
      <c r="I332" s="26"/>
      <c r="J332" s="26"/>
      <c r="K332" s="27" t="str">
        <f>IF(A332&lt;&gt;"",IF(E332="InActive","-",SUMIFS('💰 Transaction ขาย'!E:E,'💰 Transaction ขาย'!B:B,A332,'💰 Transaction ขาย'!A:A,"&gt;"&amp;'⚙️ Config'!$H$1-'⚙️ Config'!$H$2)),)</f>
        <v/>
      </c>
      <c r="L332" s="28" t="str">
        <f>IF(E332="InActive","-",IF(A332&lt;&gt;"",K332/'⚙️ Config'!$H$2,))</f>
        <v/>
      </c>
      <c r="M332" s="28" t="str">
        <f t="shared" si="2"/>
        <v/>
      </c>
      <c r="N332" s="28" t="str">
        <f>IF(A332&lt;&gt;"", SUMIFS('💰 Transaction ขาย'!F:F,'💰 Transaction ขาย'!B:B,A332,'💰 Transaction ขาย'!A:A,"&gt;="&amp;DATE(YEAR('⚙️ Config'!$H$1),1,1),'💰 Transaction ขาย'!A:A,"&lt;="&amp;DATE(YEAR('⚙️ Config'!$H$1),12,31)),)</f>
        <v/>
      </c>
    </row>
    <row r="333">
      <c r="A333" s="22"/>
      <c r="B333" s="22" t="str">
        <f>IF(A333&lt;&gt;"",SUMIFS('💸 Transaction ซื้อ'!E:E,'💸 Transaction ซื้อ'!B:B,A333)-SUMIFS('💰 Transaction ขาย'!E:E,'💰 Transaction ขาย'!B:B,A333),"")</f>
        <v/>
      </c>
      <c r="C333" s="23" t="str">
        <f>IF(A333&lt;&gt;"",vlookup(A333,'📦 ชื่อสินค้า'!A:E,5,false),"")</f>
        <v/>
      </c>
      <c r="D333" s="23" t="str">
        <f>IF(A333&lt;&gt;"",VLOOKUP(A333,'📦 ชื่อสินค้า'!A:F,6,false),"")</f>
        <v/>
      </c>
      <c r="E333" s="16" t="str">
        <f>IFERROR(IF(VLOOKUP(A333,'📦 ชื่อสินค้า'!A:G,7,false)="InActive","InActive",IF(A333&lt;&gt;"",IF(B333&lt;=0,"สินค้าหมด",IF(B333&lt;=C333,"ควรเติมทันที","OK")),"")),)</f>
        <v/>
      </c>
      <c r="F333" s="24" t="str">
        <f>IFERROR(IF(A333&lt;&gt;"", SUMIF('💸 Transaction ซื้อ'!B:B,A333,'💸 Transaction ซื้อ'!G:G)/SUMIF('💸 Transaction ซื้อ'!B:B,A333,'💸 Transaction ซื้อ'!E:E),""),"-")</f>
        <v/>
      </c>
      <c r="G333" s="24" t="str">
        <f t="shared" si="1"/>
        <v/>
      </c>
      <c r="H333" s="25"/>
      <c r="I333" s="26"/>
      <c r="J333" s="26"/>
      <c r="K333" s="27" t="str">
        <f>IF(A333&lt;&gt;"",IF(E333="InActive","-",SUMIFS('💰 Transaction ขาย'!E:E,'💰 Transaction ขาย'!B:B,A333,'💰 Transaction ขาย'!A:A,"&gt;"&amp;'⚙️ Config'!$H$1-'⚙️ Config'!$H$2)),)</f>
        <v/>
      </c>
      <c r="L333" s="28" t="str">
        <f>IF(E333="InActive","-",IF(A333&lt;&gt;"",K333/'⚙️ Config'!$H$2,))</f>
        <v/>
      </c>
      <c r="M333" s="28" t="str">
        <f t="shared" si="2"/>
        <v/>
      </c>
      <c r="N333" s="28" t="str">
        <f>IF(A333&lt;&gt;"", SUMIFS('💰 Transaction ขาย'!F:F,'💰 Transaction ขาย'!B:B,A333,'💰 Transaction ขาย'!A:A,"&gt;="&amp;DATE(YEAR('⚙️ Config'!$H$1),1,1),'💰 Transaction ขาย'!A:A,"&lt;="&amp;DATE(YEAR('⚙️ Config'!$H$1),12,31)),)</f>
        <v/>
      </c>
    </row>
    <row r="334">
      <c r="A334" s="22"/>
      <c r="B334" s="22" t="str">
        <f>IF(A334&lt;&gt;"",SUMIFS('💸 Transaction ซื้อ'!E:E,'💸 Transaction ซื้อ'!B:B,A334)-SUMIFS('💰 Transaction ขาย'!E:E,'💰 Transaction ขาย'!B:B,A334),"")</f>
        <v/>
      </c>
      <c r="C334" s="23" t="str">
        <f>IF(A334&lt;&gt;"",vlookup(A334,'📦 ชื่อสินค้า'!A:E,5,false),"")</f>
        <v/>
      </c>
      <c r="D334" s="23" t="str">
        <f>IF(A334&lt;&gt;"",VLOOKUP(A334,'📦 ชื่อสินค้า'!A:F,6,false),"")</f>
        <v/>
      </c>
      <c r="E334" s="16" t="str">
        <f>IFERROR(IF(VLOOKUP(A334,'📦 ชื่อสินค้า'!A:G,7,false)="InActive","InActive",IF(A334&lt;&gt;"",IF(B334&lt;=0,"สินค้าหมด",IF(B334&lt;=C334,"ควรเติมทันที","OK")),"")),)</f>
        <v/>
      </c>
      <c r="F334" s="24" t="str">
        <f>IFERROR(IF(A334&lt;&gt;"", SUMIF('💸 Transaction ซื้อ'!B:B,A334,'💸 Transaction ซื้อ'!G:G)/SUMIF('💸 Transaction ซื้อ'!B:B,A334,'💸 Transaction ซื้อ'!E:E),""),"-")</f>
        <v/>
      </c>
      <c r="G334" s="24" t="str">
        <f t="shared" si="1"/>
        <v/>
      </c>
      <c r="H334" s="25"/>
      <c r="I334" s="26"/>
      <c r="J334" s="26"/>
      <c r="K334" s="27" t="str">
        <f>IF(A334&lt;&gt;"",IF(E334="InActive","-",SUMIFS('💰 Transaction ขาย'!E:E,'💰 Transaction ขาย'!B:B,A334,'💰 Transaction ขาย'!A:A,"&gt;"&amp;'⚙️ Config'!$H$1-'⚙️ Config'!$H$2)),)</f>
        <v/>
      </c>
      <c r="L334" s="28" t="str">
        <f>IF(E334="InActive","-",IF(A334&lt;&gt;"",K334/'⚙️ Config'!$H$2,))</f>
        <v/>
      </c>
      <c r="M334" s="28" t="str">
        <f t="shared" si="2"/>
        <v/>
      </c>
      <c r="N334" s="28" t="str">
        <f>IF(A334&lt;&gt;"", SUMIFS('💰 Transaction ขาย'!F:F,'💰 Transaction ขาย'!B:B,A334,'💰 Transaction ขาย'!A:A,"&gt;="&amp;DATE(YEAR('⚙️ Config'!$H$1),1,1),'💰 Transaction ขาย'!A:A,"&lt;="&amp;DATE(YEAR('⚙️ Config'!$H$1),12,31)),)</f>
        <v/>
      </c>
    </row>
    <row r="335">
      <c r="A335" s="22"/>
      <c r="B335" s="22" t="str">
        <f>IF(A335&lt;&gt;"",SUMIFS('💸 Transaction ซื้อ'!E:E,'💸 Transaction ซื้อ'!B:B,A335)-SUMIFS('💰 Transaction ขาย'!E:E,'💰 Transaction ขาย'!B:B,A335),"")</f>
        <v/>
      </c>
      <c r="C335" s="23" t="str">
        <f>IF(A335&lt;&gt;"",vlookup(A335,'📦 ชื่อสินค้า'!A:E,5,false),"")</f>
        <v/>
      </c>
      <c r="D335" s="23" t="str">
        <f>IF(A335&lt;&gt;"",VLOOKUP(A335,'📦 ชื่อสินค้า'!A:F,6,false),"")</f>
        <v/>
      </c>
      <c r="E335" s="16" t="str">
        <f>IFERROR(IF(VLOOKUP(A335,'📦 ชื่อสินค้า'!A:G,7,false)="InActive","InActive",IF(A335&lt;&gt;"",IF(B335&lt;=0,"สินค้าหมด",IF(B335&lt;=C335,"ควรเติมทันที","OK")),"")),)</f>
        <v/>
      </c>
      <c r="F335" s="24" t="str">
        <f>IFERROR(IF(A335&lt;&gt;"", SUMIF('💸 Transaction ซื้อ'!B:B,A335,'💸 Transaction ซื้อ'!G:G)/SUMIF('💸 Transaction ซื้อ'!B:B,A335,'💸 Transaction ซื้อ'!E:E),""),"-")</f>
        <v/>
      </c>
      <c r="G335" s="24" t="str">
        <f t="shared" si="1"/>
        <v/>
      </c>
      <c r="H335" s="25"/>
      <c r="I335" s="26"/>
      <c r="J335" s="26"/>
      <c r="K335" s="27" t="str">
        <f>IF(A335&lt;&gt;"",IF(E335="InActive","-",SUMIFS('💰 Transaction ขาย'!E:E,'💰 Transaction ขาย'!B:B,A335,'💰 Transaction ขาย'!A:A,"&gt;"&amp;'⚙️ Config'!$H$1-'⚙️ Config'!$H$2)),)</f>
        <v/>
      </c>
      <c r="L335" s="28" t="str">
        <f>IF(E335="InActive","-",IF(A335&lt;&gt;"",K335/'⚙️ Config'!$H$2,))</f>
        <v/>
      </c>
      <c r="M335" s="28" t="str">
        <f t="shared" si="2"/>
        <v/>
      </c>
      <c r="N335" s="28" t="str">
        <f>IF(A335&lt;&gt;"", SUMIFS('💰 Transaction ขาย'!F:F,'💰 Transaction ขาย'!B:B,A335,'💰 Transaction ขาย'!A:A,"&gt;="&amp;DATE(YEAR('⚙️ Config'!$H$1),1,1),'💰 Transaction ขาย'!A:A,"&lt;="&amp;DATE(YEAR('⚙️ Config'!$H$1),12,31)),)</f>
        <v/>
      </c>
    </row>
    <row r="336">
      <c r="A336" s="22"/>
      <c r="B336" s="22" t="str">
        <f>IF(A336&lt;&gt;"",SUMIFS('💸 Transaction ซื้อ'!E:E,'💸 Transaction ซื้อ'!B:B,A336)-SUMIFS('💰 Transaction ขาย'!E:E,'💰 Transaction ขาย'!B:B,A336),"")</f>
        <v/>
      </c>
      <c r="C336" s="23" t="str">
        <f>IF(A336&lt;&gt;"",vlookup(A336,'📦 ชื่อสินค้า'!A:E,5,false),"")</f>
        <v/>
      </c>
      <c r="D336" s="23" t="str">
        <f>IF(A336&lt;&gt;"",VLOOKUP(A336,'📦 ชื่อสินค้า'!A:F,6,false),"")</f>
        <v/>
      </c>
      <c r="E336" s="16" t="str">
        <f>IFERROR(IF(VLOOKUP(A336,'📦 ชื่อสินค้า'!A:G,7,false)="InActive","InActive",IF(A336&lt;&gt;"",IF(B336&lt;=0,"สินค้าหมด",IF(B336&lt;=C336,"ควรเติมทันที","OK")),"")),)</f>
        <v/>
      </c>
      <c r="F336" s="24" t="str">
        <f>IFERROR(IF(A336&lt;&gt;"", SUMIF('💸 Transaction ซื้อ'!B:B,A336,'💸 Transaction ซื้อ'!G:G)/SUMIF('💸 Transaction ซื้อ'!B:B,A336,'💸 Transaction ซื้อ'!E:E),""),"-")</f>
        <v/>
      </c>
      <c r="G336" s="24" t="str">
        <f t="shared" si="1"/>
        <v/>
      </c>
      <c r="H336" s="25"/>
      <c r="I336" s="26"/>
      <c r="J336" s="26"/>
      <c r="K336" s="27" t="str">
        <f>IF(A336&lt;&gt;"",IF(E336="InActive","-",SUMIFS('💰 Transaction ขาย'!E:E,'💰 Transaction ขาย'!B:B,A336,'💰 Transaction ขาย'!A:A,"&gt;"&amp;'⚙️ Config'!$H$1-'⚙️ Config'!$H$2)),)</f>
        <v/>
      </c>
      <c r="L336" s="28" t="str">
        <f>IF(E336="InActive","-",IF(A336&lt;&gt;"",K336/'⚙️ Config'!$H$2,))</f>
        <v/>
      </c>
      <c r="M336" s="28" t="str">
        <f t="shared" si="2"/>
        <v/>
      </c>
      <c r="N336" s="28" t="str">
        <f>IF(A336&lt;&gt;"", SUMIFS('💰 Transaction ขาย'!F:F,'💰 Transaction ขาย'!B:B,A336,'💰 Transaction ขาย'!A:A,"&gt;="&amp;DATE(YEAR('⚙️ Config'!$H$1),1,1),'💰 Transaction ขาย'!A:A,"&lt;="&amp;DATE(YEAR('⚙️ Config'!$H$1),12,31)),)</f>
        <v/>
      </c>
    </row>
    <row r="337">
      <c r="A337" s="22"/>
      <c r="B337" s="22" t="str">
        <f>IF(A337&lt;&gt;"",SUMIFS('💸 Transaction ซื้อ'!E:E,'💸 Transaction ซื้อ'!B:B,A337)-SUMIFS('💰 Transaction ขาย'!E:E,'💰 Transaction ขาย'!B:B,A337),"")</f>
        <v/>
      </c>
      <c r="C337" s="23" t="str">
        <f>IF(A337&lt;&gt;"",vlookup(A337,'📦 ชื่อสินค้า'!A:E,5,false),"")</f>
        <v/>
      </c>
      <c r="D337" s="23" t="str">
        <f>IF(A337&lt;&gt;"",VLOOKUP(A337,'📦 ชื่อสินค้า'!A:F,6,false),"")</f>
        <v/>
      </c>
      <c r="E337" s="16" t="str">
        <f>IFERROR(IF(VLOOKUP(A337,'📦 ชื่อสินค้า'!A:G,7,false)="InActive","InActive",IF(A337&lt;&gt;"",IF(B337&lt;=0,"สินค้าหมด",IF(B337&lt;=C337,"ควรเติมทันที","OK")),"")),)</f>
        <v/>
      </c>
      <c r="F337" s="24" t="str">
        <f>IFERROR(IF(A337&lt;&gt;"", SUMIF('💸 Transaction ซื้อ'!B:B,A337,'💸 Transaction ซื้อ'!G:G)/SUMIF('💸 Transaction ซื้อ'!B:B,A337,'💸 Transaction ซื้อ'!E:E),""),"-")</f>
        <v/>
      </c>
      <c r="G337" s="24" t="str">
        <f t="shared" si="1"/>
        <v/>
      </c>
      <c r="H337" s="25"/>
      <c r="I337" s="26"/>
      <c r="J337" s="26"/>
      <c r="K337" s="27" t="str">
        <f>IF(A337&lt;&gt;"",IF(E337="InActive","-",SUMIFS('💰 Transaction ขาย'!E:E,'💰 Transaction ขาย'!B:B,A337,'💰 Transaction ขาย'!A:A,"&gt;"&amp;'⚙️ Config'!$H$1-'⚙️ Config'!$H$2)),)</f>
        <v/>
      </c>
      <c r="L337" s="28" t="str">
        <f>IF(E337="InActive","-",IF(A337&lt;&gt;"",K337/'⚙️ Config'!$H$2,))</f>
        <v/>
      </c>
      <c r="M337" s="28" t="str">
        <f t="shared" si="2"/>
        <v/>
      </c>
      <c r="N337" s="28" t="str">
        <f>IF(A337&lt;&gt;"", SUMIFS('💰 Transaction ขาย'!F:F,'💰 Transaction ขาย'!B:B,A337,'💰 Transaction ขาย'!A:A,"&gt;="&amp;DATE(YEAR('⚙️ Config'!$H$1),1,1),'💰 Transaction ขาย'!A:A,"&lt;="&amp;DATE(YEAR('⚙️ Config'!$H$1),12,31)),)</f>
        <v/>
      </c>
    </row>
    <row r="338">
      <c r="A338" s="22"/>
      <c r="B338" s="22" t="str">
        <f>IF(A338&lt;&gt;"",SUMIFS('💸 Transaction ซื้อ'!E:E,'💸 Transaction ซื้อ'!B:B,A338)-SUMIFS('💰 Transaction ขาย'!E:E,'💰 Transaction ขาย'!B:B,A338),"")</f>
        <v/>
      </c>
      <c r="C338" s="23" t="str">
        <f>IF(A338&lt;&gt;"",vlookup(A338,'📦 ชื่อสินค้า'!A:E,5,false),"")</f>
        <v/>
      </c>
      <c r="D338" s="23" t="str">
        <f>IF(A338&lt;&gt;"",VLOOKUP(A338,'📦 ชื่อสินค้า'!A:F,6,false),"")</f>
        <v/>
      </c>
      <c r="E338" s="16" t="str">
        <f>IFERROR(IF(VLOOKUP(A338,'📦 ชื่อสินค้า'!A:G,7,false)="InActive","InActive",IF(A338&lt;&gt;"",IF(B338&lt;=0,"สินค้าหมด",IF(B338&lt;=C338,"ควรเติมทันที","OK")),"")),)</f>
        <v/>
      </c>
      <c r="F338" s="24" t="str">
        <f>IFERROR(IF(A338&lt;&gt;"", SUMIF('💸 Transaction ซื้อ'!B:B,A338,'💸 Transaction ซื้อ'!G:G)/SUMIF('💸 Transaction ซื้อ'!B:B,A338,'💸 Transaction ซื้อ'!E:E),""),"-")</f>
        <v/>
      </c>
      <c r="G338" s="24" t="str">
        <f t="shared" si="1"/>
        <v/>
      </c>
      <c r="H338" s="25"/>
      <c r="I338" s="26"/>
      <c r="J338" s="26"/>
      <c r="K338" s="27" t="str">
        <f>IF(A338&lt;&gt;"",IF(E338="InActive","-",SUMIFS('💰 Transaction ขาย'!E:E,'💰 Transaction ขาย'!B:B,A338,'💰 Transaction ขาย'!A:A,"&gt;"&amp;'⚙️ Config'!$H$1-'⚙️ Config'!$H$2)),)</f>
        <v/>
      </c>
      <c r="L338" s="28" t="str">
        <f>IF(E338="InActive","-",IF(A338&lt;&gt;"",K338/'⚙️ Config'!$H$2,))</f>
        <v/>
      </c>
      <c r="M338" s="28" t="str">
        <f t="shared" si="2"/>
        <v/>
      </c>
      <c r="N338" s="28" t="str">
        <f>IF(A338&lt;&gt;"", SUMIFS('💰 Transaction ขาย'!F:F,'💰 Transaction ขาย'!B:B,A338,'💰 Transaction ขาย'!A:A,"&gt;="&amp;DATE(YEAR('⚙️ Config'!$H$1),1,1),'💰 Transaction ขาย'!A:A,"&lt;="&amp;DATE(YEAR('⚙️ Config'!$H$1),12,31)),)</f>
        <v/>
      </c>
    </row>
    <row r="339">
      <c r="A339" s="22"/>
      <c r="B339" s="22" t="str">
        <f>IF(A339&lt;&gt;"",SUMIFS('💸 Transaction ซื้อ'!E:E,'💸 Transaction ซื้อ'!B:B,A339)-SUMIFS('💰 Transaction ขาย'!E:E,'💰 Transaction ขาย'!B:B,A339),"")</f>
        <v/>
      </c>
      <c r="C339" s="23" t="str">
        <f>IF(A339&lt;&gt;"",vlookup(A339,'📦 ชื่อสินค้า'!A:E,5,false),"")</f>
        <v/>
      </c>
      <c r="D339" s="23" t="str">
        <f>IF(A339&lt;&gt;"",VLOOKUP(A339,'📦 ชื่อสินค้า'!A:F,6,false),"")</f>
        <v/>
      </c>
      <c r="E339" s="16" t="str">
        <f>IFERROR(IF(VLOOKUP(A339,'📦 ชื่อสินค้า'!A:G,7,false)="InActive","InActive",IF(A339&lt;&gt;"",IF(B339&lt;=0,"สินค้าหมด",IF(B339&lt;=C339,"ควรเติมทันที","OK")),"")),)</f>
        <v/>
      </c>
      <c r="F339" s="24" t="str">
        <f>IFERROR(IF(A339&lt;&gt;"", SUMIF('💸 Transaction ซื้อ'!B:B,A339,'💸 Transaction ซื้อ'!G:G)/SUMIF('💸 Transaction ซื้อ'!B:B,A339,'💸 Transaction ซื้อ'!E:E),""),"-")</f>
        <v/>
      </c>
      <c r="G339" s="24" t="str">
        <f t="shared" si="1"/>
        <v/>
      </c>
      <c r="H339" s="25"/>
      <c r="I339" s="26"/>
      <c r="J339" s="26"/>
      <c r="K339" s="27" t="str">
        <f>IF(A339&lt;&gt;"",IF(E339="InActive","-",SUMIFS('💰 Transaction ขาย'!E:E,'💰 Transaction ขาย'!B:B,A339,'💰 Transaction ขาย'!A:A,"&gt;"&amp;'⚙️ Config'!$H$1-'⚙️ Config'!$H$2)),)</f>
        <v/>
      </c>
      <c r="L339" s="28" t="str">
        <f>IF(E339="InActive","-",IF(A339&lt;&gt;"",K339/'⚙️ Config'!$H$2,))</f>
        <v/>
      </c>
      <c r="M339" s="28" t="str">
        <f t="shared" si="2"/>
        <v/>
      </c>
      <c r="N339" s="28" t="str">
        <f>IF(A339&lt;&gt;"", SUMIFS('💰 Transaction ขาย'!F:F,'💰 Transaction ขาย'!B:B,A339,'💰 Transaction ขาย'!A:A,"&gt;="&amp;DATE(YEAR('⚙️ Config'!$H$1),1,1),'💰 Transaction ขาย'!A:A,"&lt;="&amp;DATE(YEAR('⚙️ Config'!$H$1),12,31)),)</f>
        <v/>
      </c>
    </row>
    <row r="340">
      <c r="A340" s="22"/>
      <c r="B340" s="22" t="str">
        <f>IF(A340&lt;&gt;"",SUMIFS('💸 Transaction ซื้อ'!E:E,'💸 Transaction ซื้อ'!B:B,A340)-SUMIFS('💰 Transaction ขาย'!E:E,'💰 Transaction ขาย'!B:B,A340),"")</f>
        <v/>
      </c>
      <c r="C340" s="23" t="str">
        <f>IF(A340&lt;&gt;"",vlookup(A340,'📦 ชื่อสินค้า'!A:E,5,false),"")</f>
        <v/>
      </c>
      <c r="D340" s="23" t="str">
        <f>IF(A340&lt;&gt;"",VLOOKUP(A340,'📦 ชื่อสินค้า'!A:F,6,false),"")</f>
        <v/>
      </c>
      <c r="E340" s="16" t="str">
        <f>IFERROR(IF(VLOOKUP(A340,'📦 ชื่อสินค้า'!A:G,7,false)="InActive","InActive",IF(A340&lt;&gt;"",IF(B340&lt;=0,"สินค้าหมด",IF(B340&lt;=C340,"ควรเติมทันที","OK")),"")),)</f>
        <v/>
      </c>
      <c r="F340" s="24" t="str">
        <f>IFERROR(IF(A340&lt;&gt;"", SUMIF('💸 Transaction ซื้อ'!B:B,A340,'💸 Transaction ซื้อ'!G:G)/SUMIF('💸 Transaction ซื้อ'!B:B,A340,'💸 Transaction ซื้อ'!E:E),""),"-")</f>
        <v/>
      </c>
      <c r="G340" s="24" t="str">
        <f t="shared" si="1"/>
        <v/>
      </c>
      <c r="H340" s="25"/>
      <c r="I340" s="26"/>
      <c r="J340" s="26"/>
      <c r="K340" s="27" t="str">
        <f>IF(A340&lt;&gt;"",IF(E340="InActive","-",SUMIFS('💰 Transaction ขาย'!E:E,'💰 Transaction ขาย'!B:B,A340,'💰 Transaction ขาย'!A:A,"&gt;"&amp;'⚙️ Config'!$H$1-'⚙️ Config'!$H$2)),)</f>
        <v/>
      </c>
      <c r="L340" s="28" t="str">
        <f>IF(E340="InActive","-",IF(A340&lt;&gt;"",K340/'⚙️ Config'!$H$2,))</f>
        <v/>
      </c>
      <c r="M340" s="28" t="str">
        <f t="shared" si="2"/>
        <v/>
      </c>
      <c r="N340" s="28" t="str">
        <f>IF(A340&lt;&gt;"", SUMIFS('💰 Transaction ขาย'!F:F,'💰 Transaction ขาย'!B:B,A340,'💰 Transaction ขาย'!A:A,"&gt;="&amp;DATE(YEAR('⚙️ Config'!$H$1),1,1),'💰 Transaction ขาย'!A:A,"&lt;="&amp;DATE(YEAR('⚙️ Config'!$H$1),12,31)),)</f>
        <v/>
      </c>
    </row>
    <row r="341">
      <c r="A341" s="22"/>
      <c r="B341" s="22" t="str">
        <f>IF(A341&lt;&gt;"",SUMIFS('💸 Transaction ซื้อ'!E:E,'💸 Transaction ซื้อ'!B:B,A341)-SUMIFS('💰 Transaction ขาย'!E:E,'💰 Transaction ขาย'!B:B,A341),"")</f>
        <v/>
      </c>
      <c r="C341" s="23" t="str">
        <f>IF(A341&lt;&gt;"",vlookup(A341,'📦 ชื่อสินค้า'!A:E,5,false),"")</f>
        <v/>
      </c>
      <c r="D341" s="23" t="str">
        <f>IF(A341&lt;&gt;"",VLOOKUP(A341,'📦 ชื่อสินค้า'!A:F,6,false),"")</f>
        <v/>
      </c>
      <c r="E341" s="16" t="str">
        <f>IFERROR(IF(VLOOKUP(A341,'📦 ชื่อสินค้า'!A:G,7,false)="InActive","InActive",IF(A341&lt;&gt;"",IF(B341&lt;=0,"สินค้าหมด",IF(B341&lt;=C341,"ควรเติมทันที","OK")),"")),)</f>
        <v/>
      </c>
      <c r="F341" s="24" t="str">
        <f>IFERROR(IF(A341&lt;&gt;"", SUMIF('💸 Transaction ซื้อ'!B:B,A341,'💸 Transaction ซื้อ'!G:G)/SUMIF('💸 Transaction ซื้อ'!B:B,A341,'💸 Transaction ซื้อ'!E:E),""),"-")</f>
        <v/>
      </c>
      <c r="G341" s="24" t="str">
        <f t="shared" si="1"/>
        <v/>
      </c>
      <c r="H341" s="25"/>
      <c r="I341" s="26"/>
      <c r="J341" s="26"/>
      <c r="K341" s="27" t="str">
        <f>IF(A341&lt;&gt;"",IF(E341="InActive","-",SUMIFS('💰 Transaction ขาย'!E:E,'💰 Transaction ขาย'!B:B,A341,'💰 Transaction ขาย'!A:A,"&gt;"&amp;'⚙️ Config'!$H$1-'⚙️ Config'!$H$2)),)</f>
        <v/>
      </c>
      <c r="L341" s="28" t="str">
        <f>IF(E341="InActive","-",IF(A341&lt;&gt;"",K341/'⚙️ Config'!$H$2,))</f>
        <v/>
      </c>
      <c r="M341" s="28" t="str">
        <f t="shared" si="2"/>
        <v/>
      </c>
      <c r="N341" s="28" t="str">
        <f>IF(A341&lt;&gt;"", SUMIFS('💰 Transaction ขาย'!F:F,'💰 Transaction ขาย'!B:B,A341,'💰 Transaction ขาย'!A:A,"&gt;="&amp;DATE(YEAR('⚙️ Config'!$H$1),1,1),'💰 Transaction ขาย'!A:A,"&lt;="&amp;DATE(YEAR('⚙️ Config'!$H$1),12,31)),)</f>
        <v/>
      </c>
    </row>
    <row r="342">
      <c r="A342" s="22"/>
      <c r="B342" s="22" t="str">
        <f>IF(A342&lt;&gt;"",SUMIFS('💸 Transaction ซื้อ'!E:E,'💸 Transaction ซื้อ'!B:B,A342)-SUMIFS('💰 Transaction ขาย'!E:E,'💰 Transaction ขาย'!B:B,A342),"")</f>
        <v/>
      </c>
      <c r="C342" s="23" t="str">
        <f>IF(A342&lt;&gt;"",vlookup(A342,'📦 ชื่อสินค้า'!A:E,5,false),"")</f>
        <v/>
      </c>
      <c r="D342" s="23" t="str">
        <f>IF(A342&lt;&gt;"",VLOOKUP(A342,'📦 ชื่อสินค้า'!A:F,6,false),"")</f>
        <v/>
      </c>
      <c r="E342" s="16" t="str">
        <f>IFERROR(IF(VLOOKUP(A342,'📦 ชื่อสินค้า'!A:G,7,false)="InActive","InActive",IF(A342&lt;&gt;"",IF(B342&lt;=0,"สินค้าหมด",IF(B342&lt;=C342,"ควรเติมทันที","OK")),"")),)</f>
        <v/>
      </c>
      <c r="F342" s="24" t="str">
        <f>IFERROR(IF(A342&lt;&gt;"", SUMIF('💸 Transaction ซื้อ'!B:B,A342,'💸 Transaction ซื้อ'!G:G)/SUMIF('💸 Transaction ซื้อ'!B:B,A342,'💸 Transaction ซื้อ'!E:E),""),"-")</f>
        <v/>
      </c>
      <c r="G342" s="24" t="str">
        <f t="shared" si="1"/>
        <v/>
      </c>
      <c r="H342" s="25"/>
      <c r="I342" s="26"/>
      <c r="J342" s="26"/>
      <c r="K342" s="27" t="str">
        <f>IF(A342&lt;&gt;"",IF(E342="InActive","-",SUMIFS('💰 Transaction ขาย'!E:E,'💰 Transaction ขาย'!B:B,A342,'💰 Transaction ขาย'!A:A,"&gt;"&amp;'⚙️ Config'!$H$1-'⚙️ Config'!$H$2)),)</f>
        <v/>
      </c>
      <c r="L342" s="28" t="str">
        <f>IF(E342="InActive","-",IF(A342&lt;&gt;"",K342/'⚙️ Config'!$H$2,))</f>
        <v/>
      </c>
      <c r="M342" s="28" t="str">
        <f t="shared" si="2"/>
        <v/>
      </c>
      <c r="N342" s="28" t="str">
        <f>IF(A342&lt;&gt;"", SUMIFS('💰 Transaction ขาย'!F:F,'💰 Transaction ขาย'!B:B,A342,'💰 Transaction ขาย'!A:A,"&gt;="&amp;DATE(YEAR('⚙️ Config'!$H$1),1,1),'💰 Transaction ขาย'!A:A,"&lt;="&amp;DATE(YEAR('⚙️ Config'!$H$1),12,31)),)</f>
        <v/>
      </c>
    </row>
    <row r="343">
      <c r="A343" s="22"/>
      <c r="B343" s="22" t="str">
        <f>IF(A343&lt;&gt;"",SUMIFS('💸 Transaction ซื้อ'!E:E,'💸 Transaction ซื้อ'!B:B,A343)-SUMIFS('💰 Transaction ขาย'!E:E,'💰 Transaction ขาย'!B:B,A343),"")</f>
        <v/>
      </c>
      <c r="C343" s="23" t="str">
        <f>IF(A343&lt;&gt;"",vlookup(A343,'📦 ชื่อสินค้า'!A:E,5,false),"")</f>
        <v/>
      </c>
      <c r="D343" s="23" t="str">
        <f>IF(A343&lt;&gt;"",VLOOKUP(A343,'📦 ชื่อสินค้า'!A:F,6,false),"")</f>
        <v/>
      </c>
      <c r="E343" s="16" t="str">
        <f>IFERROR(IF(VLOOKUP(A343,'📦 ชื่อสินค้า'!A:G,7,false)="InActive","InActive",IF(A343&lt;&gt;"",IF(B343&lt;=0,"สินค้าหมด",IF(B343&lt;=C343,"ควรเติมทันที","OK")),"")),)</f>
        <v/>
      </c>
      <c r="F343" s="24" t="str">
        <f>IFERROR(IF(A343&lt;&gt;"", SUMIF('💸 Transaction ซื้อ'!B:B,A343,'💸 Transaction ซื้อ'!G:G)/SUMIF('💸 Transaction ซื้อ'!B:B,A343,'💸 Transaction ซื้อ'!E:E),""),"-")</f>
        <v/>
      </c>
      <c r="G343" s="24" t="str">
        <f t="shared" si="1"/>
        <v/>
      </c>
      <c r="H343" s="25"/>
      <c r="I343" s="26"/>
      <c r="J343" s="26"/>
      <c r="K343" s="27" t="str">
        <f>IF(A343&lt;&gt;"",IF(E343="InActive","-",SUMIFS('💰 Transaction ขาย'!E:E,'💰 Transaction ขาย'!B:B,A343,'💰 Transaction ขาย'!A:A,"&gt;"&amp;'⚙️ Config'!$H$1-'⚙️ Config'!$H$2)),)</f>
        <v/>
      </c>
      <c r="L343" s="28" t="str">
        <f>IF(E343="InActive","-",IF(A343&lt;&gt;"",K343/'⚙️ Config'!$H$2,))</f>
        <v/>
      </c>
      <c r="M343" s="28" t="str">
        <f t="shared" si="2"/>
        <v/>
      </c>
      <c r="N343" s="28" t="str">
        <f>IF(A343&lt;&gt;"", SUMIFS('💰 Transaction ขาย'!F:F,'💰 Transaction ขาย'!B:B,A343,'💰 Transaction ขาย'!A:A,"&gt;="&amp;DATE(YEAR('⚙️ Config'!$H$1),1,1),'💰 Transaction ขาย'!A:A,"&lt;="&amp;DATE(YEAR('⚙️ Config'!$H$1),12,31)),)</f>
        <v/>
      </c>
    </row>
    <row r="344">
      <c r="A344" s="22"/>
      <c r="B344" s="22" t="str">
        <f>IF(A344&lt;&gt;"",SUMIFS('💸 Transaction ซื้อ'!E:E,'💸 Transaction ซื้อ'!B:B,A344)-SUMIFS('💰 Transaction ขาย'!E:E,'💰 Transaction ขาย'!B:B,A344),"")</f>
        <v/>
      </c>
      <c r="C344" s="23" t="str">
        <f>IF(A344&lt;&gt;"",vlookup(A344,'📦 ชื่อสินค้า'!A:E,5,false),"")</f>
        <v/>
      </c>
      <c r="D344" s="23" t="str">
        <f>IF(A344&lt;&gt;"",VLOOKUP(A344,'📦 ชื่อสินค้า'!A:F,6,false),"")</f>
        <v/>
      </c>
      <c r="E344" s="16" t="str">
        <f>IFERROR(IF(VLOOKUP(A344,'📦 ชื่อสินค้า'!A:G,7,false)="InActive","InActive",IF(A344&lt;&gt;"",IF(B344&lt;=0,"สินค้าหมด",IF(B344&lt;=C344,"ควรเติมทันที","OK")),"")),)</f>
        <v/>
      </c>
      <c r="F344" s="24" t="str">
        <f>IFERROR(IF(A344&lt;&gt;"", SUMIF('💸 Transaction ซื้อ'!B:B,A344,'💸 Transaction ซื้อ'!G:G)/SUMIF('💸 Transaction ซื้อ'!B:B,A344,'💸 Transaction ซื้อ'!E:E),""),"-")</f>
        <v/>
      </c>
      <c r="G344" s="24" t="str">
        <f t="shared" si="1"/>
        <v/>
      </c>
      <c r="H344" s="25"/>
      <c r="I344" s="26"/>
      <c r="J344" s="26"/>
      <c r="K344" s="27" t="str">
        <f>IF(A344&lt;&gt;"",IF(E344="InActive","-",SUMIFS('💰 Transaction ขาย'!E:E,'💰 Transaction ขาย'!B:B,A344,'💰 Transaction ขาย'!A:A,"&gt;"&amp;'⚙️ Config'!$H$1-'⚙️ Config'!$H$2)),)</f>
        <v/>
      </c>
      <c r="L344" s="28" t="str">
        <f>IF(E344="InActive","-",IF(A344&lt;&gt;"",K344/'⚙️ Config'!$H$2,))</f>
        <v/>
      </c>
      <c r="M344" s="28" t="str">
        <f t="shared" si="2"/>
        <v/>
      </c>
      <c r="N344" s="28" t="str">
        <f>IF(A344&lt;&gt;"", SUMIFS('💰 Transaction ขาย'!F:F,'💰 Transaction ขาย'!B:B,A344,'💰 Transaction ขาย'!A:A,"&gt;="&amp;DATE(YEAR('⚙️ Config'!$H$1),1,1),'💰 Transaction ขาย'!A:A,"&lt;="&amp;DATE(YEAR('⚙️ Config'!$H$1),12,31)),)</f>
        <v/>
      </c>
    </row>
    <row r="345">
      <c r="A345" s="22"/>
      <c r="B345" s="22" t="str">
        <f>IF(A345&lt;&gt;"",SUMIFS('💸 Transaction ซื้อ'!E:E,'💸 Transaction ซื้อ'!B:B,A345)-SUMIFS('💰 Transaction ขาย'!E:E,'💰 Transaction ขาย'!B:B,A345),"")</f>
        <v/>
      </c>
      <c r="C345" s="23" t="str">
        <f>IF(A345&lt;&gt;"",vlookup(A345,'📦 ชื่อสินค้า'!A:E,5,false),"")</f>
        <v/>
      </c>
      <c r="D345" s="23" t="str">
        <f>IF(A345&lt;&gt;"",VLOOKUP(A345,'📦 ชื่อสินค้า'!A:F,6,false),"")</f>
        <v/>
      </c>
      <c r="E345" s="16" t="str">
        <f>IFERROR(IF(VLOOKUP(A345,'📦 ชื่อสินค้า'!A:G,7,false)="InActive","InActive",IF(A345&lt;&gt;"",IF(B345&lt;=0,"สินค้าหมด",IF(B345&lt;=C345,"ควรเติมทันที","OK")),"")),)</f>
        <v/>
      </c>
      <c r="F345" s="24" t="str">
        <f>IFERROR(IF(A345&lt;&gt;"", SUMIF('💸 Transaction ซื้อ'!B:B,A345,'💸 Transaction ซื้อ'!G:G)/SUMIF('💸 Transaction ซื้อ'!B:B,A345,'💸 Transaction ซื้อ'!E:E),""),"-")</f>
        <v/>
      </c>
      <c r="G345" s="24" t="str">
        <f t="shared" si="1"/>
        <v/>
      </c>
      <c r="H345" s="25"/>
      <c r="I345" s="26"/>
      <c r="J345" s="26"/>
      <c r="K345" s="27" t="str">
        <f>IF(A345&lt;&gt;"",IF(E345="InActive","-",SUMIFS('💰 Transaction ขาย'!E:E,'💰 Transaction ขาย'!B:B,A345,'💰 Transaction ขาย'!A:A,"&gt;"&amp;'⚙️ Config'!$H$1-'⚙️ Config'!$H$2)),)</f>
        <v/>
      </c>
      <c r="L345" s="28" t="str">
        <f>IF(E345="InActive","-",IF(A345&lt;&gt;"",K345/'⚙️ Config'!$H$2,))</f>
        <v/>
      </c>
      <c r="M345" s="28" t="str">
        <f t="shared" si="2"/>
        <v/>
      </c>
      <c r="N345" s="28" t="str">
        <f>IF(A345&lt;&gt;"", SUMIFS('💰 Transaction ขาย'!F:F,'💰 Transaction ขาย'!B:B,A345,'💰 Transaction ขาย'!A:A,"&gt;="&amp;DATE(YEAR('⚙️ Config'!$H$1),1,1),'💰 Transaction ขาย'!A:A,"&lt;="&amp;DATE(YEAR('⚙️ Config'!$H$1),12,31)),)</f>
        <v/>
      </c>
    </row>
    <row r="346">
      <c r="A346" s="22"/>
      <c r="B346" s="22" t="str">
        <f>IF(A346&lt;&gt;"",SUMIFS('💸 Transaction ซื้อ'!E:E,'💸 Transaction ซื้อ'!B:B,A346)-SUMIFS('💰 Transaction ขาย'!E:E,'💰 Transaction ขาย'!B:B,A346),"")</f>
        <v/>
      </c>
      <c r="C346" s="23" t="str">
        <f>IF(A346&lt;&gt;"",vlookup(A346,'📦 ชื่อสินค้า'!A:E,5,false),"")</f>
        <v/>
      </c>
      <c r="D346" s="23" t="str">
        <f>IF(A346&lt;&gt;"",VLOOKUP(A346,'📦 ชื่อสินค้า'!A:F,6,false),"")</f>
        <v/>
      </c>
      <c r="E346" s="16" t="str">
        <f>IFERROR(IF(VLOOKUP(A346,'📦 ชื่อสินค้า'!A:G,7,false)="InActive","InActive",IF(A346&lt;&gt;"",IF(B346&lt;=0,"สินค้าหมด",IF(B346&lt;=C346,"ควรเติมทันที","OK")),"")),)</f>
        <v/>
      </c>
      <c r="F346" s="24" t="str">
        <f>IFERROR(IF(A346&lt;&gt;"", SUMIF('💸 Transaction ซื้อ'!B:B,A346,'💸 Transaction ซื้อ'!G:G)/SUMIF('💸 Transaction ซื้อ'!B:B,A346,'💸 Transaction ซื้อ'!E:E),""),"-")</f>
        <v/>
      </c>
      <c r="G346" s="24" t="str">
        <f t="shared" si="1"/>
        <v/>
      </c>
      <c r="H346" s="25"/>
      <c r="I346" s="26"/>
      <c r="J346" s="26"/>
      <c r="K346" s="27" t="str">
        <f>IF(A346&lt;&gt;"",IF(E346="InActive","-",SUMIFS('💰 Transaction ขาย'!E:E,'💰 Transaction ขาย'!B:B,A346,'💰 Transaction ขาย'!A:A,"&gt;"&amp;'⚙️ Config'!$H$1-'⚙️ Config'!$H$2)),)</f>
        <v/>
      </c>
      <c r="L346" s="28" t="str">
        <f>IF(E346="InActive","-",IF(A346&lt;&gt;"",K346/'⚙️ Config'!$H$2,))</f>
        <v/>
      </c>
      <c r="M346" s="28" t="str">
        <f t="shared" si="2"/>
        <v/>
      </c>
      <c r="N346" s="28" t="str">
        <f>IF(A346&lt;&gt;"", SUMIFS('💰 Transaction ขาย'!F:F,'💰 Transaction ขาย'!B:B,A346,'💰 Transaction ขาย'!A:A,"&gt;="&amp;DATE(YEAR('⚙️ Config'!$H$1),1,1),'💰 Transaction ขาย'!A:A,"&lt;="&amp;DATE(YEAR('⚙️ Config'!$H$1),12,31)),)</f>
        <v/>
      </c>
    </row>
    <row r="347">
      <c r="A347" s="22"/>
      <c r="B347" s="22" t="str">
        <f>IF(A347&lt;&gt;"",SUMIFS('💸 Transaction ซื้อ'!E:E,'💸 Transaction ซื้อ'!B:B,A347)-SUMIFS('💰 Transaction ขาย'!E:E,'💰 Transaction ขาย'!B:B,A347),"")</f>
        <v/>
      </c>
      <c r="C347" s="23" t="str">
        <f>IF(A347&lt;&gt;"",vlookup(A347,'📦 ชื่อสินค้า'!A:E,5,false),"")</f>
        <v/>
      </c>
      <c r="D347" s="23" t="str">
        <f>IF(A347&lt;&gt;"",VLOOKUP(A347,'📦 ชื่อสินค้า'!A:F,6,false),"")</f>
        <v/>
      </c>
      <c r="E347" s="16" t="str">
        <f>IFERROR(IF(VLOOKUP(A347,'📦 ชื่อสินค้า'!A:G,7,false)="InActive","InActive",IF(A347&lt;&gt;"",IF(B347&lt;=0,"สินค้าหมด",IF(B347&lt;=C347,"ควรเติมทันที","OK")),"")),)</f>
        <v/>
      </c>
      <c r="F347" s="24" t="str">
        <f>IFERROR(IF(A347&lt;&gt;"", SUMIF('💸 Transaction ซื้อ'!B:B,A347,'💸 Transaction ซื้อ'!G:G)/SUMIF('💸 Transaction ซื้อ'!B:B,A347,'💸 Transaction ซื้อ'!E:E),""),"-")</f>
        <v/>
      </c>
      <c r="G347" s="24" t="str">
        <f t="shared" si="1"/>
        <v/>
      </c>
      <c r="H347" s="25"/>
      <c r="I347" s="26"/>
      <c r="J347" s="26"/>
      <c r="K347" s="27" t="str">
        <f>IF(A347&lt;&gt;"",IF(E347="InActive","-",SUMIFS('💰 Transaction ขาย'!E:E,'💰 Transaction ขาย'!B:B,A347,'💰 Transaction ขาย'!A:A,"&gt;"&amp;'⚙️ Config'!$H$1-'⚙️ Config'!$H$2)),)</f>
        <v/>
      </c>
      <c r="L347" s="28" t="str">
        <f>IF(E347="InActive","-",IF(A347&lt;&gt;"",K347/'⚙️ Config'!$H$2,))</f>
        <v/>
      </c>
      <c r="M347" s="28" t="str">
        <f t="shared" si="2"/>
        <v/>
      </c>
      <c r="N347" s="28" t="str">
        <f>IF(A347&lt;&gt;"", SUMIFS('💰 Transaction ขาย'!F:F,'💰 Transaction ขาย'!B:B,A347,'💰 Transaction ขาย'!A:A,"&gt;="&amp;DATE(YEAR('⚙️ Config'!$H$1),1,1),'💰 Transaction ขาย'!A:A,"&lt;="&amp;DATE(YEAR('⚙️ Config'!$H$1),12,31)),)</f>
        <v/>
      </c>
    </row>
    <row r="348">
      <c r="A348" s="22"/>
      <c r="B348" s="22" t="str">
        <f>IF(A348&lt;&gt;"",SUMIFS('💸 Transaction ซื้อ'!E:E,'💸 Transaction ซื้อ'!B:B,A348)-SUMIFS('💰 Transaction ขาย'!E:E,'💰 Transaction ขาย'!B:B,A348),"")</f>
        <v/>
      </c>
      <c r="C348" s="23" t="str">
        <f>IF(A348&lt;&gt;"",vlookup(A348,'📦 ชื่อสินค้า'!A:E,5,false),"")</f>
        <v/>
      </c>
      <c r="D348" s="23" t="str">
        <f>IF(A348&lt;&gt;"",VLOOKUP(A348,'📦 ชื่อสินค้า'!A:F,6,false),"")</f>
        <v/>
      </c>
      <c r="E348" s="16" t="str">
        <f>IFERROR(IF(VLOOKUP(A348,'📦 ชื่อสินค้า'!A:G,7,false)="InActive","InActive",IF(A348&lt;&gt;"",IF(B348&lt;=0,"สินค้าหมด",IF(B348&lt;=C348,"ควรเติมทันที","OK")),"")),)</f>
        <v/>
      </c>
      <c r="F348" s="24" t="str">
        <f>IFERROR(IF(A348&lt;&gt;"", SUMIF('💸 Transaction ซื้อ'!B:B,A348,'💸 Transaction ซื้อ'!G:G)/SUMIF('💸 Transaction ซื้อ'!B:B,A348,'💸 Transaction ซื้อ'!E:E),""),"-")</f>
        <v/>
      </c>
      <c r="G348" s="24" t="str">
        <f t="shared" si="1"/>
        <v/>
      </c>
      <c r="H348" s="25"/>
      <c r="I348" s="26"/>
      <c r="J348" s="26"/>
      <c r="K348" s="27" t="str">
        <f>IF(A348&lt;&gt;"",IF(E348="InActive","-",SUMIFS('💰 Transaction ขาย'!E:E,'💰 Transaction ขาย'!B:B,A348,'💰 Transaction ขาย'!A:A,"&gt;"&amp;'⚙️ Config'!$H$1-'⚙️ Config'!$H$2)),)</f>
        <v/>
      </c>
      <c r="L348" s="28" t="str">
        <f>IF(E348="InActive","-",IF(A348&lt;&gt;"",K348/'⚙️ Config'!$H$2,))</f>
        <v/>
      </c>
      <c r="M348" s="28" t="str">
        <f t="shared" si="2"/>
        <v/>
      </c>
      <c r="N348" s="28" t="str">
        <f>IF(A348&lt;&gt;"", SUMIFS('💰 Transaction ขาย'!F:F,'💰 Transaction ขาย'!B:B,A348,'💰 Transaction ขาย'!A:A,"&gt;="&amp;DATE(YEAR('⚙️ Config'!$H$1),1,1),'💰 Transaction ขาย'!A:A,"&lt;="&amp;DATE(YEAR('⚙️ Config'!$H$1),12,31)),)</f>
        <v/>
      </c>
    </row>
    <row r="349">
      <c r="A349" s="22"/>
      <c r="B349" s="22" t="str">
        <f>IF(A349&lt;&gt;"",SUMIFS('💸 Transaction ซื้อ'!E:E,'💸 Transaction ซื้อ'!B:B,A349)-SUMIFS('💰 Transaction ขาย'!E:E,'💰 Transaction ขาย'!B:B,A349),"")</f>
        <v/>
      </c>
      <c r="C349" s="23" t="str">
        <f>IF(A349&lt;&gt;"",vlookup(A349,'📦 ชื่อสินค้า'!A:E,5,false),"")</f>
        <v/>
      </c>
      <c r="D349" s="23" t="str">
        <f>IF(A349&lt;&gt;"",VLOOKUP(A349,'📦 ชื่อสินค้า'!A:F,6,false),"")</f>
        <v/>
      </c>
      <c r="E349" s="16" t="str">
        <f>IFERROR(IF(VLOOKUP(A349,'📦 ชื่อสินค้า'!A:G,7,false)="InActive","InActive",IF(A349&lt;&gt;"",IF(B349&lt;=0,"สินค้าหมด",IF(B349&lt;=C349,"ควรเติมทันที","OK")),"")),)</f>
        <v/>
      </c>
      <c r="F349" s="24" t="str">
        <f>IFERROR(IF(A349&lt;&gt;"", SUMIF('💸 Transaction ซื้อ'!B:B,A349,'💸 Transaction ซื้อ'!G:G)/SUMIF('💸 Transaction ซื้อ'!B:B,A349,'💸 Transaction ซื้อ'!E:E),""),"-")</f>
        <v/>
      </c>
      <c r="G349" s="24" t="str">
        <f t="shared" si="1"/>
        <v/>
      </c>
      <c r="H349" s="25"/>
      <c r="I349" s="26"/>
      <c r="J349" s="26"/>
      <c r="K349" s="27" t="str">
        <f>IF(A349&lt;&gt;"",IF(E349="InActive","-",SUMIFS('💰 Transaction ขาย'!E:E,'💰 Transaction ขาย'!B:B,A349,'💰 Transaction ขาย'!A:A,"&gt;"&amp;'⚙️ Config'!$H$1-'⚙️ Config'!$H$2)),)</f>
        <v/>
      </c>
      <c r="L349" s="28" t="str">
        <f>IF(E349="InActive","-",IF(A349&lt;&gt;"",K349/'⚙️ Config'!$H$2,))</f>
        <v/>
      </c>
      <c r="M349" s="28" t="str">
        <f t="shared" si="2"/>
        <v/>
      </c>
      <c r="N349" s="28" t="str">
        <f>IF(A349&lt;&gt;"", SUMIFS('💰 Transaction ขาย'!F:F,'💰 Transaction ขาย'!B:B,A349,'💰 Transaction ขาย'!A:A,"&gt;="&amp;DATE(YEAR('⚙️ Config'!$H$1),1,1),'💰 Transaction ขาย'!A:A,"&lt;="&amp;DATE(YEAR('⚙️ Config'!$H$1),12,31)),)</f>
        <v/>
      </c>
    </row>
    <row r="350">
      <c r="A350" s="22"/>
      <c r="B350" s="22" t="str">
        <f>IF(A350&lt;&gt;"",SUMIFS('💸 Transaction ซื้อ'!E:E,'💸 Transaction ซื้อ'!B:B,A350)-SUMIFS('💰 Transaction ขาย'!E:E,'💰 Transaction ขาย'!B:B,A350),"")</f>
        <v/>
      </c>
      <c r="C350" s="23" t="str">
        <f>IF(A350&lt;&gt;"",vlookup(A350,'📦 ชื่อสินค้า'!A:E,5,false),"")</f>
        <v/>
      </c>
      <c r="D350" s="23" t="str">
        <f>IF(A350&lt;&gt;"",VLOOKUP(A350,'📦 ชื่อสินค้า'!A:F,6,false),"")</f>
        <v/>
      </c>
      <c r="E350" s="16" t="str">
        <f>IFERROR(IF(VLOOKUP(A350,'📦 ชื่อสินค้า'!A:G,7,false)="InActive","InActive",IF(A350&lt;&gt;"",IF(B350&lt;=0,"สินค้าหมด",IF(B350&lt;=C350,"ควรเติมทันที","OK")),"")),)</f>
        <v/>
      </c>
      <c r="F350" s="24" t="str">
        <f>IFERROR(IF(A350&lt;&gt;"", SUMIF('💸 Transaction ซื้อ'!B:B,A350,'💸 Transaction ซื้อ'!G:G)/SUMIF('💸 Transaction ซื้อ'!B:B,A350,'💸 Transaction ซื้อ'!E:E),""),"-")</f>
        <v/>
      </c>
      <c r="G350" s="24" t="str">
        <f t="shared" si="1"/>
        <v/>
      </c>
      <c r="H350" s="25"/>
      <c r="I350" s="26"/>
      <c r="J350" s="26"/>
      <c r="K350" s="27" t="str">
        <f>IF(A350&lt;&gt;"",IF(E350="InActive","-",SUMIFS('💰 Transaction ขาย'!E:E,'💰 Transaction ขาย'!B:B,A350,'💰 Transaction ขาย'!A:A,"&gt;"&amp;'⚙️ Config'!$H$1-'⚙️ Config'!$H$2)),)</f>
        <v/>
      </c>
      <c r="L350" s="28" t="str">
        <f>IF(E350="InActive","-",IF(A350&lt;&gt;"",K350/'⚙️ Config'!$H$2,))</f>
        <v/>
      </c>
      <c r="M350" s="28" t="str">
        <f t="shared" si="2"/>
        <v/>
      </c>
      <c r="N350" s="28" t="str">
        <f>IF(A350&lt;&gt;"", SUMIFS('💰 Transaction ขาย'!F:F,'💰 Transaction ขาย'!B:B,A350,'💰 Transaction ขาย'!A:A,"&gt;="&amp;DATE(YEAR('⚙️ Config'!$H$1),1,1),'💰 Transaction ขาย'!A:A,"&lt;="&amp;DATE(YEAR('⚙️ Config'!$H$1),12,31)),)</f>
        <v/>
      </c>
    </row>
    <row r="351">
      <c r="A351" s="22"/>
      <c r="B351" s="22" t="str">
        <f>IF(A351&lt;&gt;"",SUMIFS('💸 Transaction ซื้อ'!E:E,'💸 Transaction ซื้อ'!B:B,A351)-SUMIFS('💰 Transaction ขาย'!E:E,'💰 Transaction ขาย'!B:B,A351),"")</f>
        <v/>
      </c>
      <c r="C351" s="23" t="str">
        <f>IF(A351&lt;&gt;"",vlookup(A351,'📦 ชื่อสินค้า'!A:E,5,false),"")</f>
        <v/>
      </c>
      <c r="D351" s="23" t="str">
        <f>IF(A351&lt;&gt;"",VLOOKUP(A351,'📦 ชื่อสินค้า'!A:F,6,false),"")</f>
        <v/>
      </c>
      <c r="E351" s="16" t="str">
        <f>IFERROR(IF(VLOOKUP(A351,'📦 ชื่อสินค้า'!A:G,7,false)="InActive","InActive",IF(A351&lt;&gt;"",IF(B351&lt;=0,"สินค้าหมด",IF(B351&lt;=C351,"ควรเติมทันที","OK")),"")),)</f>
        <v/>
      </c>
      <c r="F351" s="24" t="str">
        <f>IFERROR(IF(A351&lt;&gt;"", SUMIF('💸 Transaction ซื้อ'!B:B,A351,'💸 Transaction ซื้อ'!G:G)/SUMIF('💸 Transaction ซื้อ'!B:B,A351,'💸 Transaction ซื้อ'!E:E),""),"-")</f>
        <v/>
      </c>
      <c r="G351" s="24" t="str">
        <f t="shared" si="1"/>
        <v/>
      </c>
      <c r="H351" s="25"/>
      <c r="I351" s="26"/>
      <c r="J351" s="26"/>
      <c r="K351" s="27" t="str">
        <f>IF(A351&lt;&gt;"",IF(E351="InActive","-",SUMIFS('💰 Transaction ขาย'!E:E,'💰 Transaction ขาย'!B:B,A351,'💰 Transaction ขาย'!A:A,"&gt;"&amp;'⚙️ Config'!$H$1-'⚙️ Config'!$H$2)),)</f>
        <v/>
      </c>
      <c r="L351" s="28" t="str">
        <f>IF(E351="InActive","-",IF(A351&lt;&gt;"",K351/'⚙️ Config'!$H$2,))</f>
        <v/>
      </c>
      <c r="M351" s="28" t="str">
        <f t="shared" si="2"/>
        <v/>
      </c>
      <c r="N351" s="28" t="str">
        <f>IF(A351&lt;&gt;"", SUMIFS('💰 Transaction ขาย'!F:F,'💰 Transaction ขาย'!B:B,A351,'💰 Transaction ขาย'!A:A,"&gt;="&amp;DATE(YEAR('⚙️ Config'!$H$1),1,1),'💰 Transaction ขาย'!A:A,"&lt;="&amp;DATE(YEAR('⚙️ Config'!$H$1),12,31)),)</f>
        <v/>
      </c>
    </row>
    <row r="352">
      <c r="A352" s="22"/>
      <c r="B352" s="22" t="str">
        <f>IF(A352&lt;&gt;"",SUMIFS('💸 Transaction ซื้อ'!E:E,'💸 Transaction ซื้อ'!B:B,A352)-SUMIFS('💰 Transaction ขาย'!E:E,'💰 Transaction ขาย'!B:B,A352),"")</f>
        <v/>
      </c>
      <c r="C352" s="23" t="str">
        <f>IF(A352&lt;&gt;"",vlookup(A352,'📦 ชื่อสินค้า'!A:E,5,false),"")</f>
        <v/>
      </c>
      <c r="D352" s="23" t="str">
        <f>IF(A352&lt;&gt;"",VLOOKUP(A352,'📦 ชื่อสินค้า'!A:F,6,false),"")</f>
        <v/>
      </c>
      <c r="E352" s="16" t="str">
        <f>IFERROR(IF(VLOOKUP(A352,'📦 ชื่อสินค้า'!A:G,7,false)="InActive","InActive",IF(A352&lt;&gt;"",IF(B352&lt;=0,"สินค้าหมด",IF(B352&lt;=C352,"ควรเติมทันที","OK")),"")),)</f>
        <v/>
      </c>
      <c r="F352" s="24" t="str">
        <f>IFERROR(IF(A352&lt;&gt;"", SUMIF('💸 Transaction ซื้อ'!B:B,A352,'💸 Transaction ซื้อ'!G:G)/SUMIF('💸 Transaction ซื้อ'!B:B,A352,'💸 Transaction ซื้อ'!E:E),""),"-")</f>
        <v/>
      </c>
      <c r="G352" s="24" t="str">
        <f t="shared" si="1"/>
        <v/>
      </c>
      <c r="H352" s="25"/>
      <c r="I352" s="26"/>
      <c r="J352" s="26"/>
      <c r="K352" s="27" t="str">
        <f>IF(A352&lt;&gt;"",IF(E352="InActive","-",SUMIFS('💰 Transaction ขาย'!E:E,'💰 Transaction ขาย'!B:B,A352,'💰 Transaction ขาย'!A:A,"&gt;"&amp;'⚙️ Config'!$H$1-'⚙️ Config'!$H$2)),)</f>
        <v/>
      </c>
      <c r="L352" s="28" t="str">
        <f>IF(E352="InActive","-",IF(A352&lt;&gt;"",K352/'⚙️ Config'!$H$2,))</f>
        <v/>
      </c>
      <c r="M352" s="28" t="str">
        <f t="shared" si="2"/>
        <v/>
      </c>
      <c r="N352" s="28" t="str">
        <f>IF(A352&lt;&gt;"", SUMIFS('💰 Transaction ขาย'!F:F,'💰 Transaction ขาย'!B:B,A352,'💰 Transaction ขาย'!A:A,"&gt;="&amp;DATE(YEAR('⚙️ Config'!$H$1),1,1),'💰 Transaction ขาย'!A:A,"&lt;="&amp;DATE(YEAR('⚙️ Config'!$H$1),12,31)),)</f>
        <v/>
      </c>
    </row>
    <row r="353">
      <c r="A353" s="22"/>
      <c r="B353" s="22" t="str">
        <f>IF(A353&lt;&gt;"",SUMIFS('💸 Transaction ซื้อ'!E:E,'💸 Transaction ซื้อ'!B:B,A353)-SUMIFS('💰 Transaction ขาย'!E:E,'💰 Transaction ขาย'!B:B,A353),"")</f>
        <v/>
      </c>
      <c r="C353" s="23" t="str">
        <f>IF(A353&lt;&gt;"",vlookup(A353,'📦 ชื่อสินค้า'!A:E,5,false),"")</f>
        <v/>
      </c>
      <c r="D353" s="23" t="str">
        <f>IF(A353&lt;&gt;"",VLOOKUP(A353,'📦 ชื่อสินค้า'!A:F,6,false),"")</f>
        <v/>
      </c>
      <c r="E353" s="16" t="str">
        <f>IFERROR(IF(VLOOKUP(A353,'📦 ชื่อสินค้า'!A:G,7,false)="InActive","InActive",IF(A353&lt;&gt;"",IF(B353&lt;=0,"สินค้าหมด",IF(B353&lt;=C353,"ควรเติมทันที","OK")),"")),)</f>
        <v/>
      </c>
      <c r="F353" s="24" t="str">
        <f>IFERROR(IF(A353&lt;&gt;"", SUMIF('💸 Transaction ซื้อ'!B:B,A353,'💸 Transaction ซื้อ'!G:G)/SUMIF('💸 Transaction ซื้อ'!B:B,A353,'💸 Transaction ซื้อ'!E:E),""),"-")</f>
        <v/>
      </c>
      <c r="G353" s="24" t="str">
        <f t="shared" si="1"/>
        <v/>
      </c>
      <c r="H353" s="25"/>
      <c r="I353" s="26"/>
      <c r="J353" s="26"/>
      <c r="K353" s="27" t="str">
        <f>IF(A353&lt;&gt;"",IF(E353="InActive","-",SUMIFS('💰 Transaction ขาย'!E:E,'💰 Transaction ขาย'!B:B,A353,'💰 Transaction ขาย'!A:A,"&gt;"&amp;'⚙️ Config'!$H$1-'⚙️ Config'!$H$2)),)</f>
        <v/>
      </c>
      <c r="L353" s="28" t="str">
        <f>IF(E353="InActive","-",IF(A353&lt;&gt;"",K353/'⚙️ Config'!$H$2,))</f>
        <v/>
      </c>
      <c r="M353" s="28" t="str">
        <f t="shared" si="2"/>
        <v/>
      </c>
      <c r="N353" s="28" t="str">
        <f>IF(A353&lt;&gt;"", SUMIFS('💰 Transaction ขาย'!F:F,'💰 Transaction ขาย'!B:B,A353,'💰 Transaction ขาย'!A:A,"&gt;="&amp;DATE(YEAR('⚙️ Config'!$H$1),1,1),'💰 Transaction ขาย'!A:A,"&lt;="&amp;DATE(YEAR('⚙️ Config'!$H$1),12,31)),)</f>
        <v/>
      </c>
    </row>
    <row r="354">
      <c r="A354" s="22"/>
      <c r="B354" s="22" t="str">
        <f>IF(A354&lt;&gt;"",SUMIFS('💸 Transaction ซื้อ'!E:E,'💸 Transaction ซื้อ'!B:B,A354)-SUMIFS('💰 Transaction ขาย'!E:E,'💰 Transaction ขาย'!B:B,A354),"")</f>
        <v/>
      </c>
      <c r="C354" s="23" t="str">
        <f>IF(A354&lt;&gt;"",vlookup(A354,'📦 ชื่อสินค้า'!A:E,5,false),"")</f>
        <v/>
      </c>
      <c r="D354" s="23" t="str">
        <f>IF(A354&lt;&gt;"",VLOOKUP(A354,'📦 ชื่อสินค้า'!A:F,6,false),"")</f>
        <v/>
      </c>
      <c r="E354" s="16" t="str">
        <f>IFERROR(IF(VLOOKUP(A354,'📦 ชื่อสินค้า'!A:G,7,false)="InActive","InActive",IF(A354&lt;&gt;"",IF(B354&lt;=0,"สินค้าหมด",IF(B354&lt;=C354,"ควรเติมทันที","OK")),"")),)</f>
        <v/>
      </c>
      <c r="F354" s="24" t="str">
        <f>IFERROR(IF(A354&lt;&gt;"", SUMIF('💸 Transaction ซื้อ'!B:B,A354,'💸 Transaction ซื้อ'!G:G)/SUMIF('💸 Transaction ซื้อ'!B:B,A354,'💸 Transaction ซื้อ'!E:E),""),"-")</f>
        <v/>
      </c>
      <c r="G354" s="24" t="str">
        <f t="shared" si="1"/>
        <v/>
      </c>
      <c r="H354" s="25"/>
      <c r="I354" s="26"/>
      <c r="J354" s="26"/>
      <c r="K354" s="27" t="str">
        <f>IF(A354&lt;&gt;"",IF(E354="InActive","-",SUMIFS('💰 Transaction ขาย'!E:E,'💰 Transaction ขาย'!B:B,A354,'💰 Transaction ขาย'!A:A,"&gt;"&amp;'⚙️ Config'!$H$1-'⚙️ Config'!$H$2)),)</f>
        <v/>
      </c>
      <c r="L354" s="28" t="str">
        <f>IF(E354="InActive","-",IF(A354&lt;&gt;"",K354/'⚙️ Config'!$H$2,))</f>
        <v/>
      </c>
      <c r="M354" s="28" t="str">
        <f t="shared" si="2"/>
        <v/>
      </c>
      <c r="N354" s="28" t="str">
        <f>IF(A354&lt;&gt;"", SUMIFS('💰 Transaction ขาย'!F:F,'💰 Transaction ขาย'!B:B,A354,'💰 Transaction ขาย'!A:A,"&gt;="&amp;DATE(YEAR('⚙️ Config'!$H$1),1,1),'💰 Transaction ขาย'!A:A,"&lt;="&amp;DATE(YEAR('⚙️ Config'!$H$1),12,31)),)</f>
        <v/>
      </c>
    </row>
    <row r="355">
      <c r="A355" s="22"/>
      <c r="B355" s="22" t="str">
        <f>IF(A355&lt;&gt;"",SUMIFS('💸 Transaction ซื้อ'!E:E,'💸 Transaction ซื้อ'!B:B,A355)-SUMIFS('💰 Transaction ขาย'!E:E,'💰 Transaction ขาย'!B:B,A355),"")</f>
        <v/>
      </c>
      <c r="C355" s="23" t="str">
        <f>IF(A355&lt;&gt;"",vlookup(A355,'📦 ชื่อสินค้า'!A:E,5,false),"")</f>
        <v/>
      </c>
      <c r="D355" s="23" t="str">
        <f>IF(A355&lt;&gt;"",VLOOKUP(A355,'📦 ชื่อสินค้า'!A:F,6,false),"")</f>
        <v/>
      </c>
      <c r="E355" s="16" t="str">
        <f>IFERROR(IF(VLOOKUP(A355,'📦 ชื่อสินค้า'!A:G,7,false)="InActive","InActive",IF(A355&lt;&gt;"",IF(B355&lt;=0,"สินค้าหมด",IF(B355&lt;=C355,"ควรเติมทันที","OK")),"")),)</f>
        <v/>
      </c>
      <c r="F355" s="24" t="str">
        <f>IFERROR(IF(A355&lt;&gt;"", SUMIF('💸 Transaction ซื้อ'!B:B,A355,'💸 Transaction ซื้อ'!G:G)/SUMIF('💸 Transaction ซื้อ'!B:B,A355,'💸 Transaction ซื้อ'!E:E),""),"-")</f>
        <v/>
      </c>
      <c r="G355" s="24" t="str">
        <f t="shared" si="1"/>
        <v/>
      </c>
      <c r="H355" s="25"/>
      <c r="I355" s="26"/>
      <c r="J355" s="26"/>
      <c r="K355" s="27" t="str">
        <f>IF(A355&lt;&gt;"",IF(E355="InActive","-",SUMIFS('💰 Transaction ขาย'!E:E,'💰 Transaction ขาย'!B:B,A355,'💰 Transaction ขาย'!A:A,"&gt;"&amp;'⚙️ Config'!$H$1-'⚙️ Config'!$H$2)),)</f>
        <v/>
      </c>
      <c r="L355" s="28" t="str">
        <f>IF(E355="InActive","-",IF(A355&lt;&gt;"",K355/'⚙️ Config'!$H$2,))</f>
        <v/>
      </c>
      <c r="M355" s="28" t="str">
        <f t="shared" si="2"/>
        <v/>
      </c>
      <c r="N355" s="28" t="str">
        <f>IF(A355&lt;&gt;"", SUMIFS('💰 Transaction ขาย'!F:F,'💰 Transaction ขาย'!B:B,A355,'💰 Transaction ขาย'!A:A,"&gt;="&amp;DATE(YEAR('⚙️ Config'!$H$1),1,1),'💰 Transaction ขาย'!A:A,"&lt;="&amp;DATE(YEAR('⚙️ Config'!$H$1),12,31)),)</f>
        <v/>
      </c>
    </row>
    <row r="356">
      <c r="A356" s="22"/>
      <c r="B356" s="22" t="str">
        <f>IF(A356&lt;&gt;"",SUMIFS('💸 Transaction ซื้อ'!E:E,'💸 Transaction ซื้อ'!B:B,A356)-SUMIFS('💰 Transaction ขาย'!E:E,'💰 Transaction ขาย'!B:B,A356),"")</f>
        <v/>
      </c>
      <c r="C356" s="23" t="str">
        <f>IF(A356&lt;&gt;"",vlookup(A356,'📦 ชื่อสินค้า'!A:E,5,false),"")</f>
        <v/>
      </c>
      <c r="D356" s="23" t="str">
        <f>IF(A356&lt;&gt;"",VLOOKUP(A356,'📦 ชื่อสินค้า'!A:F,6,false),"")</f>
        <v/>
      </c>
      <c r="E356" s="16" t="str">
        <f>IFERROR(IF(VLOOKUP(A356,'📦 ชื่อสินค้า'!A:G,7,false)="InActive","InActive",IF(A356&lt;&gt;"",IF(B356&lt;=0,"สินค้าหมด",IF(B356&lt;=C356,"ควรเติมทันที","OK")),"")),)</f>
        <v/>
      </c>
      <c r="F356" s="24" t="str">
        <f>IFERROR(IF(A356&lt;&gt;"", SUMIF('💸 Transaction ซื้อ'!B:B,A356,'💸 Transaction ซื้อ'!G:G)/SUMIF('💸 Transaction ซื้อ'!B:B,A356,'💸 Transaction ซื้อ'!E:E),""),"-")</f>
        <v/>
      </c>
      <c r="G356" s="24" t="str">
        <f t="shared" si="1"/>
        <v/>
      </c>
      <c r="H356" s="25"/>
      <c r="I356" s="26"/>
      <c r="J356" s="26"/>
      <c r="K356" s="27" t="str">
        <f>IF(A356&lt;&gt;"",IF(E356="InActive","-",SUMIFS('💰 Transaction ขาย'!E:E,'💰 Transaction ขาย'!B:B,A356,'💰 Transaction ขาย'!A:A,"&gt;"&amp;'⚙️ Config'!$H$1-'⚙️ Config'!$H$2)),)</f>
        <v/>
      </c>
      <c r="L356" s="28" t="str">
        <f>IF(E356="InActive","-",IF(A356&lt;&gt;"",K356/'⚙️ Config'!$H$2,))</f>
        <v/>
      </c>
      <c r="M356" s="28" t="str">
        <f t="shared" si="2"/>
        <v/>
      </c>
      <c r="N356" s="28" t="str">
        <f>IF(A356&lt;&gt;"", SUMIFS('💰 Transaction ขาย'!F:F,'💰 Transaction ขาย'!B:B,A356,'💰 Transaction ขาย'!A:A,"&gt;="&amp;DATE(YEAR('⚙️ Config'!$H$1),1,1),'💰 Transaction ขาย'!A:A,"&lt;="&amp;DATE(YEAR('⚙️ Config'!$H$1),12,31)),)</f>
        <v/>
      </c>
    </row>
    <row r="357">
      <c r="A357" s="22"/>
      <c r="B357" s="22" t="str">
        <f>IF(A357&lt;&gt;"",SUMIFS('💸 Transaction ซื้อ'!E:E,'💸 Transaction ซื้อ'!B:B,A357)-SUMIFS('💰 Transaction ขาย'!E:E,'💰 Transaction ขาย'!B:B,A357),"")</f>
        <v/>
      </c>
      <c r="C357" s="23" t="str">
        <f>IF(A357&lt;&gt;"",vlookup(A357,'📦 ชื่อสินค้า'!A:E,5,false),"")</f>
        <v/>
      </c>
      <c r="D357" s="23" t="str">
        <f>IF(A357&lt;&gt;"",VLOOKUP(A357,'📦 ชื่อสินค้า'!A:F,6,false),"")</f>
        <v/>
      </c>
      <c r="E357" s="16" t="str">
        <f>IFERROR(IF(VLOOKUP(A357,'📦 ชื่อสินค้า'!A:G,7,false)="InActive","InActive",IF(A357&lt;&gt;"",IF(B357&lt;=0,"สินค้าหมด",IF(B357&lt;=C357,"ควรเติมทันที","OK")),"")),)</f>
        <v/>
      </c>
      <c r="F357" s="24" t="str">
        <f>IFERROR(IF(A357&lt;&gt;"", SUMIF('💸 Transaction ซื้อ'!B:B,A357,'💸 Transaction ซื้อ'!G:G)/SUMIF('💸 Transaction ซื้อ'!B:B,A357,'💸 Transaction ซื้อ'!E:E),""),"-")</f>
        <v/>
      </c>
      <c r="G357" s="24" t="str">
        <f t="shared" si="1"/>
        <v/>
      </c>
      <c r="H357" s="25"/>
      <c r="I357" s="26"/>
      <c r="J357" s="26"/>
      <c r="K357" s="27" t="str">
        <f>IF(A357&lt;&gt;"",IF(E357="InActive","-",SUMIFS('💰 Transaction ขาย'!E:E,'💰 Transaction ขาย'!B:B,A357,'💰 Transaction ขาย'!A:A,"&gt;"&amp;'⚙️ Config'!$H$1-'⚙️ Config'!$H$2)),)</f>
        <v/>
      </c>
      <c r="L357" s="28" t="str">
        <f>IF(E357="InActive","-",IF(A357&lt;&gt;"",K357/'⚙️ Config'!$H$2,))</f>
        <v/>
      </c>
      <c r="M357" s="28" t="str">
        <f t="shared" si="2"/>
        <v/>
      </c>
      <c r="N357" s="28" t="str">
        <f>IF(A357&lt;&gt;"", SUMIFS('💰 Transaction ขาย'!F:F,'💰 Transaction ขาย'!B:B,A357,'💰 Transaction ขาย'!A:A,"&gt;="&amp;DATE(YEAR('⚙️ Config'!$H$1),1,1),'💰 Transaction ขาย'!A:A,"&lt;="&amp;DATE(YEAR('⚙️ Config'!$H$1),12,31)),)</f>
        <v/>
      </c>
    </row>
    <row r="358">
      <c r="A358" s="22"/>
      <c r="B358" s="22" t="str">
        <f>IF(A358&lt;&gt;"",SUMIFS('💸 Transaction ซื้อ'!E:E,'💸 Transaction ซื้อ'!B:B,A358)-SUMIFS('💰 Transaction ขาย'!E:E,'💰 Transaction ขาย'!B:B,A358),"")</f>
        <v/>
      </c>
      <c r="C358" s="23" t="str">
        <f>IF(A358&lt;&gt;"",vlookup(A358,'📦 ชื่อสินค้า'!A:E,5,false),"")</f>
        <v/>
      </c>
      <c r="D358" s="23" t="str">
        <f>IF(A358&lt;&gt;"",VLOOKUP(A358,'📦 ชื่อสินค้า'!A:F,6,false),"")</f>
        <v/>
      </c>
      <c r="E358" s="16" t="str">
        <f>IFERROR(IF(VLOOKUP(A358,'📦 ชื่อสินค้า'!A:G,7,false)="InActive","InActive",IF(A358&lt;&gt;"",IF(B358&lt;=0,"สินค้าหมด",IF(B358&lt;=C358,"ควรเติมทันที","OK")),"")),)</f>
        <v/>
      </c>
      <c r="F358" s="24" t="str">
        <f>IFERROR(IF(A358&lt;&gt;"", SUMIF('💸 Transaction ซื้อ'!B:B,A358,'💸 Transaction ซื้อ'!G:G)/SUMIF('💸 Transaction ซื้อ'!B:B,A358,'💸 Transaction ซื้อ'!E:E),""),"-")</f>
        <v/>
      </c>
      <c r="G358" s="24" t="str">
        <f t="shared" si="1"/>
        <v/>
      </c>
      <c r="H358" s="25"/>
      <c r="I358" s="26"/>
      <c r="J358" s="26"/>
      <c r="K358" s="27" t="str">
        <f>IF(A358&lt;&gt;"",IF(E358="InActive","-",SUMIFS('💰 Transaction ขาย'!E:E,'💰 Transaction ขาย'!B:B,A358,'💰 Transaction ขาย'!A:A,"&gt;"&amp;'⚙️ Config'!$H$1-'⚙️ Config'!$H$2)),)</f>
        <v/>
      </c>
      <c r="L358" s="28" t="str">
        <f>IF(E358="InActive","-",IF(A358&lt;&gt;"",K358/'⚙️ Config'!$H$2,))</f>
        <v/>
      </c>
      <c r="M358" s="28" t="str">
        <f t="shared" si="2"/>
        <v/>
      </c>
      <c r="N358" s="28" t="str">
        <f>IF(A358&lt;&gt;"", SUMIFS('💰 Transaction ขาย'!F:F,'💰 Transaction ขาย'!B:B,A358,'💰 Transaction ขาย'!A:A,"&gt;="&amp;DATE(YEAR('⚙️ Config'!$H$1),1,1),'💰 Transaction ขาย'!A:A,"&lt;="&amp;DATE(YEAR('⚙️ Config'!$H$1),12,31)),)</f>
        <v/>
      </c>
    </row>
    <row r="359">
      <c r="A359" s="22"/>
      <c r="B359" s="22" t="str">
        <f>IF(A359&lt;&gt;"",SUMIFS('💸 Transaction ซื้อ'!E:E,'💸 Transaction ซื้อ'!B:B,A359)-SUMIFS('💰 Transaction ขาย'!E:E,'💰 Transaction ขาย'!B:B,A359),"")</f>
        <v/>
      </c>
      <c r="C359" s="23" t="str">
        <f>IF(A359&lt;&gt;"",vlookup(A359,'📦 ชื่อสินค้า'!A:E,5,false),"")</f>
        <v/>
      </c>
      <c r="D359" s="23" t="str">
        <f>IF(A359&lt;&gt;"",VLOOKUP(A359,'📦 ชื่อสินค้า'!A:F,6,false),"")</f>
        <v/>
      </c>
      <c r="E359" s="16" t="str">
        <f>IFERROR(IF(VLOOKUP(A359,'📦 ชื่อสินค้า'!A:G,7,false)="InActive","InActive",IF(A359&lt;&gt;"",IF(B359&lt;=0,"สินค้าหมด",IF(B359&lt;=C359,"ควรเติมทันที","OK")),"")),)</f>
        <v/>
      </c>
      <c r="F359" s="24" t="str">
        <f>IFERROR(IF(A359&lt;&gt;"", SUMIF('💸 Transaction ซื้อ'!B:B,A359,'💸 Transaction ซื้อ'!G:G)/SUMIF('💸 Transaction ซื้อ'!B:B,A359,'💸 Transaction ซื้อ'!E:E),""),"-")</f>
        <v/>
      </c>
      <c r="G359" s="24" t="str">
        <f t="shared" si="1"/>
        <v/>
      </c>
      <c r="H359" s="25"/>
      <c r="I359" s="26"/>
      <c r="J359" s="26"/>
      <c r="K359" s="27" t="str">
        <f>IF(A359&lt;&gt;"",IF(E359="InActive","-",SUMIFS('💰 Transaction ขาย'!E:E,'💰 Transaction ขาย'!B:B,A359,'💰 Transaction ขาย'!A:A,"&gt;"&amp;'⚙️ Config'!$H$1-'⚙️ Config'!$H$2)),)</f>
        <v/>
      </c>
      <c r="L359" s="28" t="str">
        <f>IF(E359="InActive","-",IF(A359&lt;&gt;"",K359/'⚙️ Config'!$H$2,))</f>
        <v/>
      </c>
      <c r="M359" s="28" t="str">
        <f t="shared" si="2"/>
        <v/>
      </c>
      <c r="N359" s="28" t="str">
        <f>IF(A359&lt;&gt;"", SUMIFS('💰 Transaction ขาย'!F:F,'💰 Transaction ขาย'!B:B,A359,'💰 Transaction ขาย'!A:A,"&gt;="&amp;DATE(YEAR('⚙️ Config'!$H$1),1,1),'💰 Transaction ขาย'!A:A,"&lt;="&amp;DATE(YEAR('⚙️ Config'!$H$1),12,31)),)</f>
        <v/>
      </c>
    </row>
    <row r="360">
      <c r="A360" s="22"/>
      <c r="B360" s="22" t="str">
        <f>IF(A360&lt;&gt;"",SUMIFS('💸 Transaction ซื้อ'!E:E,'💸 Transaction ซื้อ'!B:B,A360)-SUMIFS('💰 Transaction ขาย'!E:E,'💰 Transaction ขาย'!B:B,A360),"")</f>
        <v/>
      </c>
      <c r="C360" s="23" t="str">
        <f>IF(A360&lt;&gt;"",vlookup(A360,'📦 ชื่อสินค้า'!A:E,5,false),"")</f>
        <v/>
      </c>
      <c r="D360" s="23" t="str">
        <f>IF(A360&lt;&gt;"",VLOOKUP(A360,'📦 ชื่อสินค้า'!A:F,6,false),"")</f>
        <v/>
      </c>
      <c r="E360" s="16" t="str">
        <f>IFERROR(IF(VLOOKUP(A360,'📦 ชื่อสินค้า'!A:G,7,false)="InActive","InActive",IF(A360&lt;&gt;"",IF(B360&lt;=0,"สินค้าหมด",IF(B360&lt;=C360,"ควรเติมทันที","OK")),"")),)</f>
        <v/>
      </c>
      <c r="F360" s="24" t="str">
        <f>IFERROR(IF(A360&lt;&gt;"", SUMIF('💸 Transaction ซื้อ'!B:B,A360,'💸 Transaction ซื้อ'!G:G)/SUMIF('💸 Transaction ซื้อ'!B:B,A360,'💸 Transaction ซื้อ'!E:E),""),"-")</f>
        <v/>
      </c>
      <c r="G360" s="24" t="str">
        <f t="shared" si="1"/>
        <v/>
      </c>
      <c r="H360" s="25"/>
      <c r="I360" s="26"/>
      <c r="J360" s="26"/>
      <c r="K360" s="27" t="str">
        <f>IF(A360&lt;&gt;"",IF(E360="InActive","-",SUMIFS('💰 Transaction ขาย'!E:E,'💰 Transaction ขาย'!B:B,A360,'💰 Transaction ขาย'!A:A,"&gt;"&amp;'⚙️ Config'!$H$1-'⚙️ Config'!$H$2)),)</f>
        <v/>
      </c>
      <c r="L360" s="28" t="str">
        <f>IF(E360="InActive","-",IF(A360&lt;&gt;"",K360/'⚙️ Config'!$H$2,))</f>
        <v/>
      </c>
      <c r="M360" s="28" t="str">
        <f t="shared" si="2"/>
        <v/>
      </c>
      <c r="N360" s="28" t="str">
        <f>IF(A360&lt;&gt;"", SUMIFS('💰 Transaction ขาย'!F:F,'💰 Transaction ขาย'!B:B,A360,'💰 Transaction ขาย'!A:A,"&gt;="&amp;DATE(YEAR('⚙️ Config'!$H$1),1,1),'💰 Transaction ขาย'!A:A,"&lt;="&amp;DATE(YEAR('⚙️ Config'!$H$1),12,31)),)</f>
        <v/>
      </c>
    </row>
    <row r="361">
      <c r="A361" s="22"/>
      <c r="B361" s="22" t="str">
        <f>IF(A361&lt;&gt;"",SUMIFS('💸 Transaction ซื้อ'!E:E,'💸 Transaction ซื้อ'!B:B,A361)-SUMIFS('💰 Transaction ขาย'!E:E,'💰 Transaction ขาย'!B:B,A361),"")</f>
        <v/>
      </c>
      <c r="C361" s="23" t="str">
        <f>IF(A361&lt;&gt;"",vlookup(A361,'📦 ชื่อสินค้า'!A:E,5,false),"")</f>
        <v/>
      </c>
      <c r="D361" s="23" t="str">
        <f>IF(A361&lt;&gt;"",VLOOKUP(A361,'📦 ชื่อสินค้า'!A:F,6,false),"")</f>
        <v/>
      </c>
      <c r="E361" s="16" t="str">
        <f>IFERROR(IF(VLOOKUP(A361,'📦 ชื่อสินค้า'!A:G,7,false)="InActive","InActive",IF(A361&lt;&gt;"",IF(B361&lt;=0,"สินค้าหมด",IF(B361&lt;=C361,"ควรเติมทันที","OK")),"")),)</f>
        <v/>
      </c>
      <c r="F361" s="24" t="str">
        <f>IFERROR(IF(A361&lt;&gt;"", SUMIF('💸 Transaction ซื้อ'!B:B,A361,'💸 Transaction ซื้อ'!G:G)/SUMIF('💸 Transaction ซื้อ'!B:B,A361,'💸 Transaction ซื้อ'!E:E),""),"-")</f>
        <v/>
      </c>
      <c r="G361" s="24" t="str">
        <f t="shared" si="1"/>
        <v/>
      </c>
      <c r="H361" s="25"/>
      <c r="I361" s="26"/>
      <c r="J361" s="26"/>
      <c r="K361" s="27" t="str">
        <f>IF(A361&lt;&gt;"",IF(E361="InActive","-",SUMIFS('💰 Transaction ขาย'!E:E,'💰 Transaction ขาย'!B:B,A361,'💰 Transaction ขาย'!A:A,"&gt;"&amp;'⚙️ Config'!$H$1-'⚙️ Config'!$H$2)),)</f>
        <v/>
      </c>
      <c r="L361" s="28" t="str">
        <f>IF(E361="InActive","-",IF(A361&lt;&gt;"",K361/'⚙️ Config'!$H$2,))</f>
        <v/>
      </c>
      <c r="M361" s="28" t="str">
        <f t="shared" si="2"/>
        <v/>
      </c>
      <c r="N361" s="28" t="str">
        <f>IF(A361&lt;&gt;"", SUMIFS('💰 Transaction ขาย'!F:F,'💰 Transaction ขาย'!B:B,A361,'💰 Transaction ขาย'!A:A,"&gt;="&amp;DATE(YEAR('⚙️ Config'!$H$1),1,1),'💰 Transaction ขาย'!A:A,"&lt;="&amp;DATE(YEAR('⚙️ Config'!$H$1),12,31)),)</f>
        <v/>
      </c>
    </row>
    <row r="362">
      <c r="A362" s="22"/>
      <c r="B362" s="22" t="str">
        <f>IF(A362&lt;&gt;"",SUMIFS('💸 Transaction ซื้อ'!E:E,'💸 Transaction ซื้อ'!B:B,A362)-SUMIFS('💰 Transaction ขาย'!E:E,'💰 Transaction ขาย'!B:B,A362),"")</f>
        <v/>
      </c>
      <c r="C362" s="23" t="str">
        <f>IF(A362&lt;&gt;"",vlookup(A362,'📦 ชื่อสินค้า'!A:E,5,false),"")</f>
        <v/>
      </c>
      <c r="D362" s="23" t="str">
        <f>IF(A362&lt;&gt;"",VLOOKUP(A362,'📦 ชื่อสินค้า'!A:F,6,false),"")</f>
        <v/>
      </c>
      <c r="E362" s="16" t="str">
        <f>IFERROR(IF(VLOOKUP(A362,'📦 ชื่อสินค้า'!A:G,7,false)="InActive","InActive",IF(A362&lt;&gt;"",IF(B362&lt;=0,"สินค้าหมด",IF(B362&lt;=C362,"ควรเติมทันที","OK")),"")),)</f>
        <v/>
      </c>
      <c r="F362" s="24" t="str">
        <f>IFERROR(IF(A362&lt;&gt;"", SUMIF('💸 Transaction ซื้อ'!B:B,A362,'💸 Transaction ซื้อ'!G:G)/SUMIF('💸 Transaction ซื้อ'!B:B,A362,'💸 Transaction ซื้อ'!E:E),""),"-")</f>
        <v/>
      </c>
      <c r="G362" s="24" t="str">
        <f t="shared" si="1"/>
        <v/>
      </c>
      <c r="H362" s="25"/>
      <c r="I362" s="26"/>
      <c r="J362" s="26"/>
      <c r="K362" s="27" t="str">
        <f>IF(A362&lt;&gt;"",IF(E362="InActive","-",SUMIFS('💰 Transaction ขาย'!E:E,'💰 Transaction ขาย'!B:B,A362,'💰 Transaction ขาย'!A:A,"&gt;"&amp;'⚙️ Config'!$H$1-'⚙️ Config'!$H$2)),)</f>
        <v/>
      </c>
      <c r="L362" s="28" t="str">
        <f>IF(E362="InActive","-",IF(A362&lt;&gt;"",K362/'⚙️ Config'!$H$2,))</f>
        <v/>
      </c>
      <c r="M362" s="28" t="str">
        <f t="shared" si="2"/>
        <v/>
      </c>
      <c r="N362" s="28" t="str">
        <f>IF(A362&lt;&gt;"", SUMIFS('💰 Transaction ขาย'!F:F,'💰 Transaction ขาย'!B:B,A362,'💰 Transaction ขาย'!A:A,"&gt;="&amp;DATE(YEAR('⚙️ Config'!$H$1),1,1),'💰 Transaction ขาย'!A:A,"&lt;="&amp;DATE(YEAR('⚙️ Config'!$H$1),12,31)),)</f>
        <v/>
      </c>
    </row>
    <row r="363">
      <c r="A363" s="22"/>
      <c r="B363" s="22" t="str">
        <f>IF(A363&lt;&gt;"",SUMIFS('💸 Transaction ซื้อ'!E:E,'💸 Transaction ซื้อ'!B:B,A363)-SUMIFS('💰 Transaction ขาย'!E:E,'💰 Transaction ขาย'!B:B,A363),"")</f>
        <v/>
      </c>
      <c r="C363" s="23" t="str">
        <f>IF(A363&lt;&gt;"",vlookup(A363,'📦 ชื่อสินค้า'!A:E,5,false),"")</f>
        <v/>
      </c>
      <c r="D363" s="23" t="str">
        <f>IF(A363&lt;&gt;"",VLOOKUP(A363,'📦 ชื่อสินค้า'!A:F,6,false),"")</f>
        <v/>
      </c>
      <c r="E363" s="16" t="str">
        <f>IFERROR(IF(VLOOKUP(A363,'📦 ชื่อสินค้า'!A:G,7,false)="InActive","InActive",IF(A363&lt;&gt;"",IF(B363&lt;=0,"สินค้าหมด",IF(B363&lt;=C363,"ควรเติมทันที","OK")),"")),)</f>
        <v/>
      </c>
      <c r="F363" s="24" t="str">
        <f>IFERROR(IF(A363&lt;&gt;"", SUMIF('💸 Transaction ซื้อ'!B:B,A363,'💸 Transaction ซื้อ'!G:G)/SUMIF('💸 Transaction ซื้อ'!B:B,A363,'💸 Transaction ซื้อ'!E:E),""),"-")</f>
        <v/>
      </c>
      <c r="G363" s="24" t="str">
        <f t="shared" si="1"/>
        <v/>
      </c>
      <c r="H363" s="25"/>
      <c r="I363" s="26"/>
      <c r="J363" s="26"/>
      <c r="K363" s="27" t="str">
        <f>IF(A363&lt;&gt;"",IF(E363="InActive","-",SUMIFS('💰 Transaction ขาย'!E:E,'💰 Transaction ขาย'!B:B,A363,'💰 Transaction ขาย'!A:A,"&gt;"&amp;'⚙️ Config'!$H$1-'⚙️ Config'!$H$2)),)</f>
        <v/>
      </c>
      <c r="L363" s="28" t="str">
        <f>IF(E363="InActive","-",IF(A363&lt;&gt;"",K363/'⚙️ Config'!$H$2,))</f>
        <v/>
      </c>
      <c r="M363" s="28" t="str">
        <f t="shared" si="2"/>
        <v/>
      </c>
      <c r="N363" s="28" t="str">
        <f>IF(A363&lt;&gt;"", SUMIFS('💰 Transaction ขาย'!F:F,'💰 Transaction ขาย'!B:B,A363,'💰 Transaction ขาย'!A:A,"&gt;="&amp;DATE(YEAR('⚙️ Config'!$H$1),1,1),'💰 Transaction ขาย'!A:A,"&lt;="&amp;DATE(YEAR('⚙️ Config'!$H$1),12,31)),)</f>
        <v/>
      </c>
    </row>
    <row r="364">
      <c r="A364" s="22"/>
      <c r="B364" s="22" t="str">
        <f>IF(A364&lt;&gt;"",SUMIFS('💸 Transaction ซื้อ'!E:E,'💸 Transaction ซื้อ'!B:B,A364)-SUMIFS('💰 Transaction ขาย'!E:E,'💰 Transaction ขาย'!B:B,A364),"")</f>
        <v/>
      </c>
      <c r="C364" s="23" t="str">
        <f>IF(A364&lt;&gt;"",vlookup(A364,'📦 ชื่อสินค้า'!A:E,5,false),"")</f>
        <v/>
      </c>
      <c r="D364" s="23" t="str">
        <f>IF(A364&lt;&gt;"",VLOOKUP(A364,'📦 ชื่อสินค้า'!A:F,6,false),"")</f>
        <v/>
      </c>
      <c r="E364" s="16" t="str">
        <f>IFERROR(IF(VLOOKUP(A364,'📦 ชื่อสินค้า'!A:G,7,false)="InActive","InActive",IF(A364&lt;&gt;"",IF(B364&lt;=0,"สินค้าหมด",IF(B364&lt;=C364,"ควรเติมทันที","OK")),"")),)</f>
        <v/>
      </c>
      <c r="F364" s="24" t="str">
        <f>IFERROR(IF(A364&lt;&gt;"", SUMIF('💸 Transaction ซื้อ'!B:B,A364,'💸 Transaction ซื้อ'!G:G)/SUMIF('💸 Transaction ซื้อ'!B:B,A364,'💸 Transaction ซื้อ'!E:E),""),"-")</f>
        <v/>
      </c>
      <c r="G364" s="24" t="str">
        <f t="shared" si="1"/>
        <v/>
      </c>
      <c r="H364" s="25"/>
      <c r="I364" s="26"/>
      <c r="J364" s="26"/>
      <c r="K364" s="27" t="str">
        <f>IF(A364&lt;&gt;"",IF(E364="InActive","-",SUMIFS('💰 Transaction ขาย'!E:E,'💰 Transaction ขาย'!B:B,A364,'💰 Transaction ขาย'!A:A,"&gt;"&amp;'⚙️ Config'!$H$1-'⚙️ Config'!$H$2)),)</f>
        <v/>
      </c>
      <c r="L364" s="28" t="str">
        <f>IF(E364="InActive","-",IF(A364&lt;&gt;"",K364/'⚙️ Config'!$H$2,))</f>
        <v/>
      </c>
      <c r="M364" s="28" t="str">
        <f t="shared" si="2"/>
        <v/>
      </c>
      <c r="N364" s="28" t="str">
        <f>IF(A364&lt;&gt;"", SUMIFS('💰 Transaction ขาย'!F:F,'💰 Transaction ขาย'!B:B,A364,'💰 Transaction ขาย'!A:A,"&gt;="&amp;DATE(YEAR('⚙️ Config'!$H$1),1,1),'💰 Transaction ขาย'!A:A,"&lt;="&amp;DATE(YEAR('⚙️ Config'!$H$1),12,31)),)</f>
        <v/>
      </c>
    </row>
    <row r="365">
      <c r="A365" s="22"/>
      <c r="B365" s="22" t="str">
        <f>IF(A365&lt;&gt;"",SUMIFS('💸 Transaction ซื้อ'!E:E,'💸 Transaction ซื้อ'!B:B,A365)-SUMIFS('💰 Transaction ขาย'!E:E,'💰 Transaction ขาย'!B:B,A365),"")</f>
        <v/>
      </c>
      <c r="C365" s="23" t="str">
        <f>IF(A365&lt;&gt;"",vlookup(A365,'📦 ชื่อสินค้า'!A:E,5,false),"")</f>
        <v/>
      </c>
      <c r="D365" s="23" t="str">
        <f>IF(A365&lt;&gt;"",VLOOKUP(A365,'📦 ชื่อสินค้า'!A:F,6,false),"")</f>
        <v/>
      </c>
      <c r="E365" s="16" t="str">
        <f>IFERROR(IF(VLOOKUP(A365,'📦 ชื่อสินค้า'!A:G,7,false)="InActive","InActive",IF(A365&lt;&gt;"",IF(B365&lt;=0,"สินค้าหมด",IF(B365&lt;=C365,"ควรเติมทันที","OK")),"")),)</f>
        <v/>
      </c>
      <c r="F365" s="24" t="str">
        <f>IFERROR(IF(A365&lt;&gt;"", SUMIF('💸 Transaction ซื้อ'!B:B,A365,'💸 Transaction ซื้อ'!G:G)/SUMIF('💸 Transaction ซื้อ'!B:B,A365,'💸 Transaction ซื้อ'!E:E),""),"-")</f>
        <v/>
      </c>
      <c r="G365" s="24" t="str">
        <f t="shared" si="1"/>
        <v/>
      </c>
      <c r="H365" s="25"/>
      <c r="I365" s="26"/>
      <c r="J365" s="26"/>
      <c r="K365" s="27" t="str">
        <f>IF(A365&lt;&gt;"",IF(E365="InActive","-",SUMIFS('💰 Transaction ขาย'!E:E,'💰 Transaction ขาย'!B:B,A365,'💰 Transaction ขาย'!A:A,"&gt;"&amp;'⚙️ Config'!$H$1-'⚙️ Config'!$H$2)),)</f>
        <v/>
      </c>
      <c r="L365" s="28" t="str">
        <f>IF(E365="InActive","-",IF(A365&lt;&gt;"",K365/'⚙️ Config'!$H$2,))</f>
        <v/>
      </c>
      <c r="M365" s="28" t="str">
        <f t="shared" si="2"/>
        <v/>
      </c>
      <c r="N365" s="28" t="str">
        <f>IF(A365&lt;&gt;"", SUMIFS('💰 Transaction ขาย'!F:F,'💰 Transaction ขาย'!B:B,A365,'💰 Transaction ขาย'!A:A,"&gt;="&amp;DATE(YEAR('⚙️ Config'!$H$1),1,1),'💰 Transaction ขาย'!A:A,"&lt;="&amp;DATE(YEAR('⚙️ Config'!$H$1),12,31)),)</f>
        <v/>
      </c>
    </row>
    <row r="366">
      <c r="A366" s="22"/>
      <c r="B366" s="22" t="str">
        <f>IF(A366&lt;&gt;"",SUMIFS('💸 Transaction ซื้อ'!E:E,'💸 Transaction ซื้อ'!B:B,A366)-SUMIFS('💰 Transaction ขาย'!E:E,'💰 Transaction ขาย'!B:B,A366),"")</f>
        <v/>
      </c>
      <c r="C366" s="23" t="str">
        <f>IF(A366&lt;&gt;"",vlookup(A366,'📦 ชื่อสินค้า'!A:E,5,false),"")</f>
        <v/>
      </c>
      <c r="D366" s="23" t="str">
        <f>IF(A366&lt;&gt;"",VLOOKUP(A366,'📦 ชื่อสินค้า'!A:F,6,false),"")</f>
        <v/>
      </c>
      <c r="E366" s="16" t="str">
        <f>IFERROR(IF(VLOOKUP(A366,'📦 ชื่อสินค้า'!A:G,7,false)="InActive","InActive",IF(A366&lt;&gt;"",IF(B366&lt;=0,"สินค้าหมด",IF(B366&lt;=C366,"ควรเติมทันที","OK")),"")),)</f>
        <v/>
      </c>
      <c r="F366" s="24" t="str">
        <f>IFERROR(IF(A366&lt;&gt;"", SUMIF('💸 Transaction ซื้อ'!B:B,A366,'💸 Transaction ซื้อ'!G:G)/SUMIF('💸 Transaction ซื้อ'!B:B,A366,'💸 Transaction ซื้อ'!E:E),""),"-")</f>
        <v/>
      </c>
      <c r="G366" s="24" t="str">
        <f t="shared" si="1"/>
        <v/>
      </c>
      <c r="H366" s="25"/>
      <c r="I366" s="26"/>
      <c r="J366" s="26"/>
      <c r="K366" s="27" t="str">
        <f>IF(A366&lt;&gt;"",IF(E366="InActive","-",SUMIFS('💰 Transaction ขาย'!E:E,'💰 Transaction ขาย'!B:B,A366,'💰 Transaction ขาย'!A:A,"&gt;"&amp;'⚙️ Config'!$H$1-'⚙️ Config'!$H$2)),)</f>
        <v/>
      </c>
      <c r="L366" s="28" t="str">
        <f>IF(E366="InActive","-",IF(A366&lt;&gt;"",K366/'⚙️ Config'!$H$2,))</f>
        <v/>
      </c>
      <c r="M366" s="28" t="str">
        <f t="shared" si="2"/>
        <v/>
      </c>
      <c r="N366" s="28" t="str">
        <f>IF(A366&lt;&gt;"", SUMIFS('💰 Transaction ขาย'!F:F,'💰 Transaction ขาย'!B:B,A366,'💰 Transaction ขาย'!A:A,"&gt;="&amp;DATE(YEAR('⚙️ Config'!$H$1),1,1),'💰 Transaction ขาย'!A:A,"&lt;="&amp;DATE(YEAR('⚙️ Config'!$H$1),12,31)),)</f>
        <v/>
      </c>
    </row>
    <row r="367">
      <c r="A367" s="22"/>
      <c r="B367" s="22" t="str">
        <f>IF(A367&lt;&gt;"",SUMIFS('💸 Transaction ซื้อ'!E:E,'💸 Transaction ซื้อ'!B:B,A367)-SUMIFS('💰 Transaction ขาย'!E:E,'💰 Transaction ขาย'!B:B,A367),"")</f>
        <v/>
      </c>
      <c r="C367" s="23" t="str">
        <f>IF(A367&lt;&gt;"",vlookup(A367,'📦 ชื่อสินค้า'!A:E,5,false),"")</f>
        <v/>
      </c>
      <c r="D367" s="23" t="str">
        <f>IF(A367&lt;&gt;"",VLOOKUP(A367,'📦 ชื่อสินค้า'!A:F,6,false),"")</f>
        <v/>
      </c>
      <c r="E367" s="16" t="str">
        <f>IFERROR(IF(VLOOKUP(A367,'📦 ชื่อสินค้า'!A:G,7,false)="InActive","InActive",IF(A367&lt;&gt;"",IF(B367&lt;=0,"สินค้าหมด",IF(B367&lt;=C367,"ควรเติมทันที","OK")),"")),)</f>
        <v/>
      </c>
      <c r="F367" s="24" t="str">
        <f>IFERROR(IF(A367&lt;&gt;"", SUMIF('💸 Transaction ซื้อ'!B:B,A367,'💸 Transaction ซื้อ'!G:G)/SUMIF('💸 Transaction ซื้อ'!B:B,A367,'💸 Transaction ซื้อ'!E:E),""),"-")</f>
        <v/>
      </c>
      <c r="G367" s="24" t="str">
        <f t="shared" si="1"/>
        <v/>
      </c>
      <c r="H367" s="25"/>
      <c r="I367" s="26"/>
      <c r="J367" s="26"/>
      <c r="K367" s="27" t="str">
        <f>IF(A367&lt;&gt;"",IF(E367="InActive","-",SUMIFS('💰 Transaction ขาย'!E:E,'💰 Transaction ขาย'!B:B,A367,'💰 Transaction ขาย'!A:A,"&gt;"&amp;'⚙️ Config'!$H$1-'⚙️ Config'!$H$2)),)</f>
        <v/>
      </c>
      <c r="L367" s="28" t="str">
        <f>IF(E367="InActive","-",IF(A367&lt;&gt;"",K367/'⚙️ Config'!$H$2,))</f>
        <v/>
      </c>
      <c r="M367" s="28" t="str">
        <f t="shared" si="2"/>
        <v/>
      </c>
      <c r="N367" s="28" t="str">
        <f>IF(A367&lt;&gt;"", SUMIFS('💰 Transaction ขาย'!F:F,'💰 Transaction ขาย'!B:B,A367,'💰 Transaction ขาย'!A:A,"&gt;="&amp;DATE(YEAR('⚙️ Config'!$H$1),1,1),'💰 Transaction ขาย'!A:A,"&lt;="&amp;DATE(YEAR('⚙️ Config'!$H$1),12,31)),)</f>
        <v/>
      </c>
    </row>
    <row r="368">
      <c r="A368" s="22"/>
      <c r="B368" s="22" t="str">
        <f>IF(A368&lt;&gt;"",SUMIFS('💸 Transaction ซื้อ'!E:E,'💸 Transaction ซื้อ'!B:B,A368)-SUMIFS('💰 Transaction ขาย'!E:E,'💰 Transaction ขาย'!B:B,A368),"")</f>
        <v/>
      </c>
      <c r="C368" s="23" t="str">
        <f>IF(A368&lt;&gt;"",vlookup(A368,'📦 ชื่อสินค้า'!A:E,5,false),"")</f>
        <v/>
      </c>
      <c r="D368" s="23" t="str">
        <f>IF(A368&lt;&gt;"",VLOOKUP(A368,'📦 ชื่อสินค้า'!A:F,6,false),"")</f>
        <v/>
      </c>
      <c r="E368" s="16" t="str">
        <f>IFERROR(IF(VLOOKUP(A368,'📦 ชื่อสินค้า'!A:G,7,false)="InActive","InActive",IF(A368&lt;&gt;"",IF(B368&lt;=0,"สินค้าหมด",IF(B368&lt;=C368,"ควรเติมทันที","OK")),"")),)</f>
        <v/>
      </c>
      <c r="F368" s="24" t="str">
        <f>IFERROR(IF(A368&lt;&gt;"", SUMIF('💸 Transaction ซื้อ'!B:B,A368,'💸 Transaction ซื้อ'!G:G)/SUMIF('💸 Transaction ซื้อ'!B:B,A368,'💸 Transaction ซื้อ'!E:E),""),"-")</f>
        <v/>
      </c>
      <c r="G368" s="24" t="str">
        <f t="shared" si="1"/>
        <v/>
      </c>
      <c r="H368" s="25"/>
      <c r="I368" s="26"/>
      <c r="J368" s="26"/>
      <c r="K368" s="27" t="str">
        <f>IF(A368&lt;&gt;"",IF(E368="InActive","-",SUMIFS('💰 Transaction ขาย'!E:E,'💰 Transaction ขาย'!B:B,A368,'💰 Transaction ขาย'!A:A,"&gt;"&amp;'⚙️ Config'!$H$1-'⚙️ Config'!$H$2)),)</f>
        <v/>
      </c>
      <c r="L368" s="28" t="str">
        <f>IF(E368="InActive","-",IF(A368&lt;&gt;"",K368/'⚙️ Config'!$H$2,))</f>
        <v/>
      </c>
      <c r="M368" s="28" t="str">
        <f t="shared" si="2"/>
        <v/>
      </c>
      <c r="N368" s="28" t="str">
        <f>IF(A368&lt;&gt;"", SUMIFS('💰 Transaction ขาย'!F:F,'💰 Transaction ขาย'!B:B,A368,'💰 Transaction ขาย'!A:A,"&gt;="&amp;DATE(YEAR('⚙️ Config'!$H$1),1,1),'💰 Transaction ขาย'!A:A,"&lt;="&amp;DATE(YEAR('⚙️ Config'!$H$1),12,31)),)</f>
        <v/>
      </c>
    </row>
    <row r="369">
      <c r="A369" s="22"/>
      <c r="B369" s="22" t="str">
        <f>IF(A369&lt;&gt;"",SUMIFS('💸 Transaction ซื้อ'!E:E,'💸 Transaction ซื้อ'!B:B,A369)-SUMIFS('💰 Transaction ขาย'!E:E,'💰 Transaction ขาย'!B:B,A369),"")</f>
        <v/>
      </c>
      <c r="C369" s="23" t="str">
        <f>IF(A369&lt;&gt;"",vlookup(A369,'📦 ชื่อสินค้า'!A:E,5,false),"")</f>
        <v/>
      </c>
      <c r="D369" s="23" t="str">
        <f>IF(A369&lt;&gt;"",VLOOKUP(A369,'📦 ชื่อสินค้า'!A:F,6,false),"")</f>
        <v/>
      </c>
      <c r="E369" s="16" t="str">
        <f>IFERROR(IF(VLOOKUP(A369,'📦 ชื่อสินค้า'!A:G,7,false)="InActive","InActive",IF(A369&lt;&gt;"",IF(B369&lt;=0,"สินค้าหมด",IF(B369&lt;=C369,"ควรเติมทันที","OK")),"")),)</f>
        <v/>
      </c>
      <c r="F369" s="24" t="str">
        <f>IFERROR(IF(A369&lt;&gt;"", SUMIF('💸 Transaction ซื้อ'!B:B,A369,'💸 Transaction ซื้อ'!G:G)/SUMIF('💸 Transaction ซื้อ'!B:B,A369,'💸 Transaction ซื้อ'!E:E),""),"-")</f>
        <v/>
      </c>
      <c r="G369" s="24" t="str">
        <f t="shared" si="1"/>
        <v/>
      </c>
      <c r="H369" s="25"/>
      <c r="I369" s="26"/>
      <c r="J369" s="26"/>
      <c r="K369" s="27" t="str">
        <f>IF(A369&lt;&gt;"",IF(E369="InActive","-",SUMIFS('💰 Transaction ขาย'!E:E,'💰 Transaction ขาย'!B:B,A369,'💰 Transaction ขาย'!A:A,"&gt;"&amp;'⚙️ Config'!$H$1-'⚙️ Config'!$H$2)),)</f>
        <v/>
      </c>
      <c r="L369" s="28" t="str">
        <f>IF(E369="InActive","-",IF(A369&lt;&gt;"",K369/'⚙️ Config'!$H$2,))</f>
        <v/>
      </c>
      <c r="M369" s="28" t="str">
        <f t="shared" si="2"/>
        <v/>
      </c>
      <c r="N369" s="28" t="str">
        <f>IF(A369&lt;&gt;"", SUMIFS('💰 Transaction ขาย'!F:F,'💰 Transaction ขาย'!B:B,A369,'💰 Transaction ขาย'!A:A,"&gt;="&amp;DATE(YEAR('⚙️ Config'!$H$1),1,1),'💰 Transaction ขาย'!A:A,"&lt;="&amp;DATE(YEAR('⚙️ Config'!$H$1),12,31)),)</f>
        <v/>
      </c>
    </row>
    <row r="370">
      <c r="A370" s="22"/>
      <c r="B370" s="22" t="str">
        <f>IF(A370&lt;&gt;"",SUMIFS('💸 Transaction ซื้อ'!E:E,'💸 Transaction ซื้อ'!B:B,A370)-SUMIFS('💰 Transaction ขาย'!E:E,'💰 Transaction ขาย'!B:B,A370),"")</f>
        <v/>
      </c>
      <c r="C370" s="23" t="str">
        <f>IF(A370&lt;&gt;"",vlookup(A370,'📦 ชื่อสินค้า'!A:E,5,false),"")</f>
        <v/>
      </c>
      <c r="D370" s="23" t="str">
        <f>IF(A370&lt;&gt;"",VLOOKUP(A370,'📦 ชื่อสินค้า'!A:F,6,false),"")</f>
        <v/>
      </c>
      <c r="E370" s="16" t="str">
        <f>IFERROR(IF(VLOOKUP(A370,'📦 ชื่อสินค้า'!A:G,7,false)="InActive","InActive",IF(A370&lt;&gt;"",IF(B370&lt;=0,"สินค้าหมด",IF(B370&lt;=C370,"ควรเติมทันที","OK")),"")),)</f>
        <v/>
      </c>
      <c r="F370" s="24" t="str">
        <f>IFERROR(IF(A370&lt;&gt;"", SUMIF('💸 Transaction ซื้อ'!B:B,A370,'💸 Transaction ซื้อ'!G:G)/SUMIF('💸 Transaction ซื้อ'!B:B,A370,'💸 Transaction ซื้อ'!E:E),""),"-")</f>
        <v/>
      </c>
      <c r="G370" s="24" t="str">
        <f t="shared" si="1"/>
        <v/>
      </c>
      <c r="H370" s="25"/>
      <c r="I370" s="26"/>
      <c r="J370" s="26"/>
      <c r="K370" s="27" t="str">
        <f>IF(A370&lt;&gt;"",IF(E370="InActive","-",SUMIFS('💰 Transaction ขาย'!E:E,'💰 Transaction ขาย'!B:B,A370,'💰 Transaction ขาย'!A:A,"&gt;"&amp;'⚙️ Config'!$H$1-'⚙️ Config'!$H$2)),)</f>
        <v/>
      </c>
      <c r="L370" s="28" t="str">
        <f>IF(E370="InActive","-",IF(A370&lt;&gt;"",K370/'⚙️ Config'!$H$2,))</f>
        <v/>
      </c>
      <c r="M370" s="28" t="str">
        <f t="shared" si="2"/>
        <v/>
      </c>
      <c r="N370" s="28" t="str">
        <f>IF(A370&lt;&gt;"", SUMIFS('💰 Transaction ขาย'!F:F,'💰 Transaction ขาย'!B:B,A370,'💰 Transaction ขาย'!A:A,"&gt;="&amp;DATE(YEAR('⚙️ Config'!$H$1),1,1),'💰 Transaction ขาย'!A:A,"&lt;="&amp;DATE(YEAR('⚙️ Config'!$H$1),12,31)),)</f>
        <v/>
      </c>
    </row>
    <row r="371">
      <c r="A371" s="22"/>
      <c r="B371" s="22" t="str">
        <f>IF(A371&lt;&gt;"",SUMIFS('💸 Transaction ซื้อ'!E:E,'💸 Transaction ซื้อ'!B:B,A371)-SUMIFS('💰 Transaction ขาย'!E:E,'💰 Transaction ขาย'!B:B,A371),"")</f>
        <v/>
      </c>
      <c r="C371" s="23" t="str">
        <f>IF(A371&lt;&gt;"",vlookup(A371,'📦 ชื่อสินค้า'!A:E,5,false),"")</f>
        <v/>
      </c>
      <c r="D371" s="23" t="str">
        <f>IF(A371&lt;&gt;"",VLOOKUP(A371,'📦 ชื่อสินค้า'!A:F,6,false),"")</f>
        <v/>
      </c>
      <c r="E371" s="16" t="str">
        <f>IFERROR(IF(VLOOKUP(A371,'📦 ชื่อสินค้า'!A:G,7,false)="InActive","InActive",IF(A371&lt;&gt;"",IF(B371&lt;=0,"สินค้าหมด",IF(B371&lt;=C371,"ควรเติมทันที","OK")),"")),)</f>
        <v/>
      </c>
      <c r="F371" s="24" t="str">
        <f>IFERROR(IF(A371&lt;&gt;"", SUMIF('💸 Transaction ซื้อ'!B:B,A371,'💸 Transaction ซื้อ'!G:G)/SUMIF('💸 Transaction ซื้อ'!B:B,A371,'💸 Transaction ซื้อ'!E:E),""),"-")</f>
        <v/>
      </c>
      <c r="G371" s="24" t="str">
        <f t="shared" si="1"/>
        <v/>
      </c>
      <c r="H371" s="25"/>
      <c r="I371" s="26"/>
      <c r="J371" s="26"/>
      <c r="K371" s="27" t="str">
        <f>IF(A371&lt;&gt;"",IF(E371="InActive","-",SUMIFS('💰 Transaction ขาย'!E:E,'💰 Transaction ขาย'!B:B,A371,'💰 Transaction ขาย'!A:A,"&gt;"&amp;'⚙️ Config'!$H$1-'⚙️ Config'!$H$2)),)</f>
        <v/>
      </c>
      <c r="L371" s="28" t="str">
        <f>IF(E371="InActive","-",IF(A371&lt;&gt;"",K371/'⚙️ Config'!$H$2,))</f>
        <v/>
      </c>
      <c r="M371" s="28" t="str">
        <f t="shared" si="2"/>
        <v/>
      </c>
      <c r="N371" s="28" t="str">
        <f>IF(A371&lt;&gt;"", SUMIFS('💰 Transaction ขาย'!F:F,'💰 Transaction ขาย'!B:B,A371,'💰 Transaction ขาย'!A:A,"&gt;="&amp;DATE(YEAR('⚙️ Config'!$H$1),1,1),'💰 Transaction ขาย'!A:A,"&lt;="&amp;DATE(YEAR('⚙️ Config'!$H$1),12,31)),)</f>
        <v/>
      </c>
    </row>
    <row r="372">
      <c r="A372" s="22"/>
      <c r="B372" s="22" t="str">
        <f>IF(A372&lt;&gt;"",SUMIFS('💸 Transaction ซื้อ'!E:E,'💸 Transaction ซื้อ'!B:B,A372)-SUMIFS('💰 Transaction ขาย'!E:E,'💰 Transaction ขาย'!B:B,A372),"")</f>
        <v/>
      </c>
      <c r="C372" s="23" t="str">
        <f>IF(A372&lt;&gt;"",vlookup(A372,'📦 ชื่อสินค้า'!A:E,5,false),"")</f>
        <v/>
      </c>
      <c r="D372" s="23" t="str">
        <f>IF(A372&lt;&gt;"",VLOOKUP(A372,'📦 ชื่อสินค้า'!A:F,6,false),"")</f>
        <v/>
      </c>
      <c r="E372" s="16" t="str">
        <f>IFERROR(IF(VLOOKUP(A372,'📦 ชื่อสินค้า'!A:G,7,false)="InActive","InActive",IF(A372&lt;&gt;"",IF(B372&lt;=0,"สินค้าหมด",IF(B372&lt;=C372,"ควรเติมทันที","OK")),"")),)</f>
        <v/>
      </c>
      <c r="F372" s="24" t="str">
        <f>IFERROR(IF(A372&lt;&gt;"", SUMIF('💸 Transaction ซื้อ'!B:B,A372,'💸 Transaction ซื้อ'!G:G)/SUMIF('💸 Transaction ซื้อ'!B:B,A372,'💸 Transaction ซื้อ'!E:E),""),"-")</f>
        <v/>
      </c>
      <c r="G372" s="24" t="str">
        <f t="shared" si="1"/>
        <v/>
      </c>
      <c r="H372" s="25"/>
      <c r="I372" s="26"/>
      <c r="J372" s="26"/>
      <c r="K372" s="27" t="str">
        <f>IF(A372&lt;&gt;"",IF(E372="InActive","-",SUMIFS('💰 Transaction ขาย'!E:E,'💰 Transaction ขาย'!B:B,A372,'💰 Transaction ขาย'!A:A,"&gt;"&amp;'⚙️ Config'!$H$1-'⚙️ Config'!$H$2)),)</f>
        <v/>
      </c>
      <c r="L372" s="28" t="str">
        <f>IF(E372="InActive","-",IF(A372&lt;&gt;"",K372/'⚙️ Config'!$H$2,))</f>
        <v/>
      </c>
      <c r="M372" s="28" t="str">
        <f t="shared" si="2"/>
        <v/>
      </c>
      <c r="N372" s="28" t="str">
        <f>IF(A372&lt;&gt;"", SUMIFS('💰 Transaction ขาย'!F:F,'💰 Transaction ขาย'!B:B,A372,'💰 Transaction ขาย'!A:A,"&gt;="&amp;DATE(YEAR('⚙️ Config'!$H$1),1,1),'💰 Transaction ขาย'!A:A,"&lt;="&amp;DATE(YEAR('⚙️ Config'!$H$1),12,31)),)</f>
        <v/>
      </c>
    </row>
    <row r="373">
      <c r="A373" s="22"/>
      <c r="B373" s="22" t="str">
        <f>IF(A373&lt;&gt;"",SUMIFS('💸 Transaction ซื้อ'!E:E,'💸 Transaction ซื้อ'!B:B,A373)-SUMIFS('💰 Transaction ขาย'!E:E,'💰 Transaction ขาย'!B:B,A373),"")</f>
        <v/>
      </c>
      <c r="C373" s="23" t="str">
        <f>IF(A373&lt;&gt;"",vlookup(A373,'📦 ชื่อสินค้า'!A:E,5,false),"")</f>
        <v/>
      </c>
      <c r="D373" s="23" t="str">
        <f>IF(A373&lt;&gt;"",VLOOKUP(A373,'📦 ชื่อสินค้า'!A:F,6,false),"")</f>
        <v/>
      </c>
      <c r="E373" s="16" t="str">
        <f>IFERROR(IF(VLOOKUP(A373,'📦 ชื่อสินค้า'!A:G,7,false)="InActive","InActive",IF(A373&lt;&gt;"",IF(B373&lt;=0,"สินค้าหมด",IF(B373&lt;=C373,"ควรเติมทันที","OK")),"")),)</f>
        <v/>
      </c>
      <c r="F373" s="24" t="str">
        <f>IFERROR(IF(A373&lt;&gt;"", SUMIF('💸 Transaction ซื้อ'!B:B,A373,'💸 Transaction ซื้อ'!G:G)/SUMIF('💸 Transaction ซื้อ'!B:B,A373,'💸 Transaction ซื้อ'!E:E),""),"-")</f>
        <v/>
      </c>
      <c r="G373" s="24" t="str">
        <f t="shared" si="1"/>
        <v/>
      </c>
      <c r="H373" s="25"/>
      <c r="I373" s="26"/>
      <c r="J373" s="26"/>
      <c r="K373" s="27" t="str">
        <f>IF(A373&lt;&gt;"",IF(E373="InActive","-",SUMIFS('💰 Transaction ขาย'!E:E,'💰 Transaction ขาย'!B:B,A373,'💰 Transaction ขาย'!A:A,"&gt;"&amp;'⚙️ Config'!$H$1-'⚙️ Config'!$H$2)),)</f>
        <v/>
      </c>
      <c r="L373" s="28" t="str">
        <f>IF(E373="InActive","-",IF(A373&lt;&gt;"",K373/'⚙️ Config'!$H$2,))</f>
        <v/>
      </c>
      <c r="M373" s="28" t="str">
        <f t="shared" si="2"/>
        <v/>
      </c>
      <c r="N373" s="28" t="str">
        <f>IF(A373&lt;&gt;"", SUMIFS('💰 Transaction ขาย'!F:F,'💰 Transaction ขาย'!B:B,A373,'💰 Transaction ขาย'!A:A,"&gt;="&amp;DATE(YEAR('⚙️ Config'!$H$1),1,1),'💰 Transaction ขาย'!A:A,"&lt;="&amp;DATE(YEAR('⚙️ Config'!$H$1),12,31)),)</f>
        <v/>
      </c>
    </row>
    <row r="374">
      <c r="A374" s="22"/>
      <c r="B374" s="22" t="str">
        <f>IF(A374&lt;&gt;"",SUMIFS('💸 Transaction ซื้อ'!E:E,'💸 Transaction ซื้อ'!B:B,A374)-SUMIFS('💰 Transaction ขาย'!E:E,'💰 Transaction ขาย'!B:B,A374),"")</f>
        <v/>
      </c>
      <c r="C374" s="23" t="str">
        <f>IF(A374&lt;&gt;"",vlookup(A374,'📦 ชื่อสินค้า'!A:E,5,false),"")</f>
        <v/>
      </c>
      <c r="D374" s="23" t="str">
        <f>IF(A374&lt;&gt;"",VLOOKUP(A374,'📦 ชื่อสินค้า'!A:F,6,false),"")</f>
        <v/>
      </c>
      <c r="E374" s="16" t="str">
        <f>IFERROR(IF(VLOOKUP(A374,'📦 ชื่อสินค้า'!A:G,7,false)="InActive","InActive",IF(A374&lt;&gt;"",IF(B374&lt;=0,"สินค้าหมด",IF(B374&lt;=C374,"ควรเติมทันที","OK")),"")),)</f>
        <v/>
      </c>
      <c r="F374" s="24" t="str">
        <f>IFERROR(IF(A374&lt;&gt;"", SUMIF('💸 Transaction ซื้อ'!B:B,A374,'💸 Transaction ซื้อ'!G:G)/SUMIF('💸 Transaction ซื้อ'!B:B,A374,'💸 Transaction ซื้อ'!E:E),""),"-")</f>
        <v/>
      </c>
      <c r="G374" s="24" t="str">
        <f t="shared" si="1"/>
        <v/>
      </c>
      <c r="H374" s="25"/>
      <c r="I374" s="26"/>
      <c r="J374" s="26"/>
      <c r="K374" s="27" t="str">
        <f>IF(A374&lt;&gt;"",IF(E374="InActive","-",SUMIFS('💰 Transaction ขาย'!E:E,'💰 Transaction ขาย'!B:B,A374,'💰 Transaction ขาย'!A:A,"&gt;"&amp;'⚙️ Config'!$H$1-'⚙️ Config'!$H$2)),)</f>
        <v/>
      </c>
      <c r="L374" s="28" t="str">
        <f>IF(E374="InActive","-",IF(A374&lt;&gt;"",K374/'⚙️ Config'!$H$2,))</f>
        <v/>
      </c>
      <c r="M374" s="28" t="str">
        <f t="shared" si="2"/>
        <v/>
      </c>
      <c r="N374" s="28" t="str">
        <f>IF(A374&lt;&gt;"", SUMIFS('💰 Transaction ขาย'!F:F,'💰 Transaction ขาย'!B:B,A374,'💰 Transaction ขาย'!A:A,"&gt;="&amp;DATE(YEAR('⚙️ Config'!$H$1),1,1),'💰 Transaction ขาย'!A:A,"&lt;="&amp;DATE(YEAR('⚙️ Config'!$H$1),12,31)),)</f>
        <v/>
      </c>
    </row>
    <row r="375">
      <c r="A375" s="22"/>
      <c r="B375" s="22" t="str">
        <f>IF(A375&lt;&gt;"",SUMIFS('💸 Transaction ซื้อ'!E:E,'💸 Transaction ซื้อ'!B:B,A375)-SUMIFS('💰 Transaction ขาย'!E:E,'💰 Transaction ขาย'!B:B,A375),"")</f>
        <v/>
      </c>
      <c r="C375" s="23" t="str">
        <f>IF(A375&lt;&gt;"",vlookup(A375,'📦 ชื่อสินค้า'!A:E,5,false),"")</f>
        <v/>
      </c>
      <c r="D375" s="23" t="str">
        <f>IF(A375&lt;&gt;"",VLOOKUP(A375,'📦 ชื่อสินค้า'!A:F,6,false),"")</f>
        <v/>
      </c>
      <c r="E375" s="16" t="str">
        <f>IFERROR(IF(VLOOKUP(A375,'📦 ชื่อสินค้า'!A:G,7,false)="InActive","InActive",IF(A375&lt;&gt;"",IF(B375&lt;=0,"สินค้าหมด",IF(B375&lt;=C375,"ควรเติมทันที","OK")),"")),)</f>
        <v/>
      </c>
      <c r="F375" s="24" t="str">
        <f>IFERROR(IF(A375&lt;&gt;"", SUMIF('💸 Transaction ซื้อ'!B:B,A375,'💸 Transaction ซื้อ'!G:G)/SUMIF('💸 Transaction ซื้อ'!B:B,A375,'💸 Transaction ซื้อ'!E:E),""),"-")</f>
        <v/>
      </c>
      <c r="G375" s="24" t="str">
        <f t="shared" si="1"/>
        <v/>
      </c>
      <c r="H375" s="25"/>
      <c r="I375" s="26"/>
      <c r="J375" s="26"/>
      <c r="K375" s="27" t="str">
        <f>IF(A375&lt;&gt;"",IF(E375="InActive","-",SUMIFS('💰 Transaction ขาย'!E:E,'💰 Transaction ขาย'!B:B,A375,'💰 Transaction ขาย'!A:A,"&gt;"&amp;'⚙️ Config'!$H$1-'⚙️ Config'!$H$2)),)</f>
        <v/>
      </c>
      <c r="L375" s="28" t="str">
        <f>IF(E375="InActive","-",IF(A375&lt;&gt;"",K375/'⚙️ Config'!$H$2,))</f>
        <v/>
      </c>
      <c r="M375" s="28" t="str">
        <f t="shared" si="2"/>
        <v/>
      </c>
      <c r="N375" s="28" t="str">
        <f>IF(A375&lt;&gt;"", SUMIFS('💰 Transaction ขาย'!F:F,'💰 Transaction ขาย'!B:B,A375,'💰 Transaction ขาย'!A:A,"&gt;="&amp;DATE(YEAR('⚙️ Config'!$H$1),1,1),'💰 Transaction ขาย'!A:A,"&lt;="&amp;DATE(YEAR('⚙️ Config'!$H$1),12,31)),)</f>
        <v/>
      </c>
    </row>
    <row r="376">
      <c r="A376" s="22"/>
      <c r="B376" s="22" t="str">
        <f>IF(A376&lt;&gt;"",SUMIFS('💸 Transaction ซื้อ'!E:E,'💸 Transaction ซื้อ'!B:B,A376)-SUMIFS('💰 Transaction ขาย'!E:E,'💰 Transaction ขาย'!B:B,A376),"")</f>
        <v/>
      </c>
      <c r="C376" s="23" t="str">
        <f>IF(A376&lt;&gt;"",vlookup(A376,'📦 ชื่อสินค้า'!A:E,5,false),"")</f>
        <v/>
      </c>
      <c r="D376" s="23" t="str">
        <f>IF(A376&lt;&gt;"",VLOOKUP(A376,'📦 ชื่อสินค้า'!A:F,6,false),"")</f>
        <v/>
      </c>
      <c r="E376" s="16" t="str">
        <f>IFERROR(IF(VLOOKUP(A376,'📦 ชื่อสินค้า'!A:G,7,false)="InActive","InActive",IF(A376&lt;&gt;"",IF(B376&lt;=0,"สินค้าหมด",IF(B376&lt;=C376,"ควรเติมทันที","OK")),"")),)</f>
        <v/>
      </c>
      <c r="F376" s="24" t="str">
        <f>IFERROR(IF(A376&lt;&gt;"", SUMIF('💸 Transaction ซื้อ'!B:B,A376,'💸 Transaction ซื้อ'!G:G)/SUMIF('💸 Transaction ซื้อ'!B:B,A376,'💸 Transaction ซื้อ'!E:E),""),"-")</f>
        <v/>
      </c>
      <c r="G376" s="24" t="str">
        <f t="shared" si="1"/>
        <v/>
      </c>
      <c r="H376" s="25"/>
      <c r="I376" s="26"/>
      <c r="J376" s="26"/>
      <c r="K376" s="27" t="str">
        <f>IF(A376&lt;&gt;"",IF(E376="InActive","-",SUMIFS('💰 Transaction ขาย'!E:E,'💰 Transaction ขาย'!B:B,A376,'💰 Transaction ขาย'!A:A,"&gt;"&amp;'⚙️ Config'!$H$1-'⚙️ Config'!$H$2)),)</f>
        <v/>
      </c>
      <c r="L376" s="28" t="str">
        <f>IF(E376="InActive","-",IF(A376&lt;&gt;"",K376/'⚙️ Config'!$H$2,))</f>
        <v/>
      </c>
      <c r="M376" s="28" t="str">
        <f t="shared" si="2"/>
        <v/>
      </c>
      <c r="N376" s="28" t="str">
        <f>IF(A376&lt;&gt;"", SUMIFS('💰 Transaction ขาย'!F:F,'💰 Transaction ขาย'!B:B,A376,'💰 Transaction ขาย'!A:A,"&gt;="&amp;DATE(YEAR('⚙️ Config'!$H$1),1,1),'💰 Transaction ขาย'!A:A,"&lt;="&amp;DATE(YEAR('⚙️ Config'!$H$1),12,31)),)</f>
        <v/>
      </c>
    </row>
    <row r="377">
      <c r="A377" s="22"/>
      <c r="B377" s="22" t="str">
        <f>IF(A377&lt;&gt;"",SUMIFS('💸 Transaction ซื้อ'!E:E,'💸 Transaction ซื้อ'!B:B,A377)-SUMIFS('💰 Transaction ขาย'!E:E,'💰 Transaction ขาย'!B:B,A377),"")</f>
        <v/>
      </c>
      <c r="C377" s="23" t="str">
        <f>IF(A377&lt;&gt;"",vlookup(A377,'📦 ชื่อสินค้า'!A:E,5,false),"")</f>
        <v/>
      </c>
      <c r="D377" s="23" t="str">
        <f>IF(A377&lt;&gt;"",VLOOKUP(A377,'📦 ชื่อสินค้า'!A:F,6,false),"")</f>
        <v/>
      </c>
      <c r="E377" s="16" t="str">
        <f>IFERROR(IF(VLOOKUP(A377,'📦 ชื่อสินค้า'!A:G,7,false)="InActive","InActive",IF(A377&lt;&gt;"",IF(B377&lt;=0,"สินค้าหมด",IF(B377&lt;=C377,"ควรเติมทันที","OK")),"")),)</f>
        <v/>
      </c>
      <c r="F377" s="24" t="str">
        <f>IFERROR(IF(A377&lt;&gt;"", SUMIF('💸 Transaction ซื้อ'!B:B,A377,'💸 Transaction ซื้อ'!G:G)/SUMIF('💸 Transaction ซื้อ'!B:B,A377,'💸 Transaction ซื้อ'!E:E),""),"-")</f>
        <v/>
      </c>
      <c r="G377" s="24" t="str">
        <f t="shared" si="1"/>
        <v/>
      </c>
      <c r="H377" s="25"/>
      <c r="I377" s="26"/>
      <c r="J377" s="26"/>
      <c r="K377" s="27" t="str">
        <f>IF(A377&lt;&gt;"",IF(E377="InActive","-",SUMIFS('💰 Transaction ขาย'!E:E,'💰 Transaction ขาย'!B:B,A377,'💰 Transaction ขาย'!A:A,"&gt;"&amp;'⚙️ Config'!$H$1-'⚙️ Config'!$H$2)),)</f>
        <v/>
      </c>
      <c r="L377" s="28" t="str">
        <f>IF(E377="InActive","-",IF(A377&lt;&gt;"",K377/'⚙️ Config'!$H$2,))</f>
        <v/>
      </c>
      <c r="M377" s="28" t="str">
        <f t="shared" si="2"/>
        <v/>
      </c>
      <c r="N377" s="28" t="str">
        <f>IF(A377&lt;&gt;"", SUMIFS('💰 Transaction ขาย'!F:F,'💰 Transaction ขาย'!B:B,A377,'💰 Transaction ขาย'!A:A,"&gt;="&amp;DATE(YEAR('⚙️ Config'!$H$1),1,1),'💰 Transaction ขาย'!A:A,"&lt;="&amp;DATE(YEAR('⚙️ Config'!$H$1),12,31)),)</f>
        <v/>
      </c>
    </row>
    <row r="378">
      <c r="A378" s="22"/>
      <c r="B378" s="22" t="str">
        <f>IF(A378&lt;&gt;"",SUMIFS('💸 Transaction ซื้อ'!E:E,'💸 Transaction ซื้อ'!B:B,A378)-SUMIFS('💰 Transaction ขาย'!E:E,'💰 Transaction ขาย'!B:B,A378),"")</f>
        <v/>
      </c>
      <c r="C378" s="23" t="str">
        <f>IF(A378&lt;&gt;"",vlookup(A378,'📦 ชื่อสินค้า'!A:E,5,false),"")</f>
        <v/>
      </c>
      <c r="D378" s="23" t="str">
        <f>IF(A378&lt;&gt;"",VLOOKUP(A378,'📦 ชื่อสินค้า'!A:F,6,false),"")</f>
        <v/>
      </c>
      <c r="E378" s="16" t="str">
        <f>IFERROR(IF(VLOOKUP(A378,'📦 ชื่อสินค้า'!A:G,7,false)="InActive","InActive",IF(A378&lt;&gt;"",IF(B378&lt;=0,"สินค้าหมด",IF(B378&lt;=C378,"ควรเติมทันที","OK")),"")),)</f>
        <v/>
      </c>
      <c r="F378" s="24" t="str">
        <f>IFERROR(IF(A378&lt;&gt;"", SUMIF('💸 Transaction ซื้อ'!B:B,A378,'💸 Transaction ซื้อ'!G:G)/SUMIF('💸 Transaction ซื้อ'!B:B,A378,'💸 Transaction ซื้อ'!E:E),""),"-")</f>
        <v/>
      </c>
      <c r="G378" s="24" t="str">
        <f t="shared" si="1"/>
        <v/>
      </c>
      <c r="H378" s="25"/>
      <c r="I378" s="26"/>
      <c r="J378" s="26"/>
      <c r="K378" s="27" t="str">
        <f>IF(A378&lt;&gt;"",IF(E378="InActive","-",SUMIFS('💰 Transaction ขาย'!E:E,'💰 Transaction ขาย'!B:B,A378,'💰 Transaction ขาย'!A:A,"&gt;"&amp;'⚙️ Config'!$H$1-'⚙️ Config'!$H$2)),)</f>
        <v/>
      </c>
      <c r="L378" s="28" t="str">
        <f>IF(E378="InActive","-",IF(A378&lt;&gt;"",K378/'⚙️ Config'!$H$2,))</f>
        <v/>
      </c>
      <c r="M378" s="28" t="str">
        <f t="shared" si="2"/>
        <v/>
      </c>
      <c r="N378" s="28" t="str">
        <f>IF(A378&lt;&gt;"", SUMIFS('💰 Transaction ขาย'!F:F,'💰 Transaction ขาย'!B:B,A378,'💰 Transaction ขาย'!A:A,"&gt;="&amp;DATE(YEAR('⚙️ Config'!$H$1),1,1),'💰 Transaction ขาย'!A:A,"&lt;="&amp;DATE(YEAR('⚙️ Config'!$H$1),12,31)),)</f>
        <v/>
      </c>
    </row>
    <row r="379">
      <c r="A379" s="22"/>
      <c r="B379" s="22" t="str">
        <f>IF(A379&lt;&gt;"",SUMIFS('💸 Transaction ซื้อ'!E:E,'💸 Transaction ซื้อ'!B:B,A379)-SUMIFS('💰 Transaction ขาย'!E:E,'💰 Transaction ขาย'!B:B,A379),"")</f>
        <v/>
      </c>
      <c r="C379" s="23" t="str">
        <f>IF(A379&lt;&gt;"",vlookup(A379,'📦 ชื่อสินค้า'!A:E,5,false),"")</f>
        <v/>
      </c>
      <c r="D379" s="23" t="str">
        <f>IF(A379&lt;&gt;"",VLOOKUP(A379,'📦 ชื่อสินค้า'!A:F,6,false),"")</f>
        <v/>
      </c>
      <c r="E379" s="16" t="str">
        <f>IFERROR(IF(VLOOKUP(A379,'📦 ชื่อสินค้า'!A:G,7,false)="InActive","InActive",IF(A379&lt;&gt;"",IF(B379&lt;=0,"สินค้าหมด",IF(B379&lt;=C379,"ควรเติมทันที","OK")),"")),)</f>
        <v/>
      </c>
      <c r="F379" s="24" t="str">
        <f>IFERROR(IF(A379&lt;&gt;"", SUMIF('💸 Transaction ซื้อ'!B:B,A379,'💸 Transaction ซื้อ'!G:G)/SUMIF('💸 Transaction ซื้อ'!B:B,A379,'💸 Transaction ซื้อ'!E:E),""),"-")</f>
        <v/>
      </c>
      <c r="G379" s="24" t="str">
        <f t="shared" si="1"/>
        <v/>
      </c>
      <c r="H379" s="25"/>
      <c r="I379" s="26"/>
      <c r="J379" s="26"/>
      <c r="K379" s="27" t="str">
        <f>IF(A379&lt;&gt;"",IF(E379="InActive","-",SUMIFS('💰 Transaction ขาย'!E:E,'💰 Transaction ขาย'!B:B,A379,'💰 Transaction ขาย'!A:A,"&gt;"&amp;'⚙️ Config'!$H$1-'⚙️ Config'!$H$2)),)</f>
        <v/>
      </c>
      <c r="L379" s="28" t="str">
        <f>IF(E379="InActive","-",IF(A379&lt;&gt;"",K379/'⚙️ Config'!$H$2,))</f>
        <v/>
      </c>
      <c r="M379" s="28" t="str">
        <f t="shared" si="2"/>
        <v/>
      </c>
      <c r="N379" s="28" t="str">
        <f>IF(A379&lt;&gt;"", SUMIFS('💰 Transaction ขาย'!F:F,'💰 Transaction ขาย'!B:B,A379,'💰 Transaction ขาย'!A:A,"&gt;="&amp;DATE(YEAR('⚙️ Config'!$H$1),1,1),'💰 Transaction ขาย'!A:A,"&lt;="&amp;DATE(YEAR('⚙️ Config'!$H$1),12,31)),)</f>
        <v/>
      </c>
    </row>
    <row r="380">
      <c r="A380" s="22"/>
      <c r="B380" s="22" t="str">
        <f>IF(A380&lt;&gt;"",SUMIFS('💸 Transaction ซื้อ'!E:E,'💸 Transaction ซื้อ'!B:B,A380)-SUMIFS('💰 Transaction ขาย'!E:E,'💰 Transaction ขาย'!B:B,A380),"")</f>
        <v/>
      </c>
      <c r="C380" s="23" t="str">
        <f>IF(A380&lt;&gt;"",vlookup(A380,'📦 ชื่อสินค้า'!A:E,5,false),"")</f>
        <v/>
      </c>
      <c r="D380" s="23" t="str">
        <f>IF(A380&lt;&gt;"",VLOOKUP(A380,'📦 ชื่อสินค้า'!A:F,6,false),"")</f>
        <v/>
      </c>
      <c r="E380" s="16" t="str">
        <f>IFERROR(IF(VLOOKUP(A380,'📦 ชื่อสินค้า'!A:G,7,false)="InActive","InActive",IF(A380&lt;&gt;"",IF(B380&lt;=0,"สินค้าหมด",IF(B380&lt;=C380,"ควรเติมทันที","OK")),"")),)</f>
        <v/>
      </c>
      <c r="F380" s="24" t="str">
        <f>IFERROR(IF(A380&lt;&gt;"", SUMIF('💸 Transaction ซื้อ'!B:B,A380,'💸 Transaction ซื้อ'!G:G)/SUMIF('💸 Transaction ซื้อ'!B:B,A380,'💸 Transaction ซื้อ'!E:E),""),"-")</f>
        <v/>
      </c>
      <c r="G380" s="24" t="str">
        <f t="shared" si="1"/>
        <v/>
      </c>
      <c r="H380" s="25"/>
      <c r="I380" s="26"/>
      <c r="J380" s="26"/>
      <c r="K380" s="27" t="str">
        <f>IF(A380&lt;&gt;"",IF(E380="InActive","-",SUMIFS('💰 Transaction ขาย'!E:E,'💰 Transaction ขาย'!B:B,A380,'💰 Transaction ขาย'!A:A,"&gt;"&amp;'⚙️ Config'!$H$1-'⚙️ Config'!$H$2)),)</f>
        <v/>
      </c>
      <c r="L380" s="28" t="str">
        <f>IF(E380="InActive","-",IF(A380&lt;&gt;"",K380/'⚙️ Config'!$H$2,))</f>
        <v/>
      </c>
      <c r="M380" s="28" t="str">
        <f t="shared" si="2"/>
        <v/>
      </c>
      <c r="N380" s="28" t="str">
        <f>IF(A380&lt;&gt;"", SUMIFS('💰 Transaction ขาย'!F:F,'💰 Transaction ขาย'!B:B,A380,'💰 Transaction ขาย'!A:A,"&gt;="&amp;DATE(YEAR('⚙️ Config'!$H$1),1,1),'💰 Transaction ขาย'!A:A,"&lt;="&amp;DATE(YEAR('⚙️ Config'!$H$1),12,31)),)</f>
        <v/>
      </c>
    </row>
    <row r="381">
      <c r="A381" s="22"/>
      <c r="B381" s="22" t="str">
        <f>IF(A381&lt;&gt;"",SUMIFS('💸 Transaction ซื้อ'!E:E,'💸 Transaction ซื้อ'!B:B,A381)-SUMIFS('💰 Transaction ขาย'!E:E,'💰 Transaction ขาย'!B:B,A381),"")</f>
        <v/>
      </c>
      <c r="C381" s="23" t="str">
        <f>IF(A381&lt;&gt;"",vlookup(A381,'📦 ชื่อสินค้า'!A:E,5,false),"")</f>
        <v/>
      </c>
      <c r="D381" s="23" t="str">
        <f>IF(A381&lt;&gt;"",VLOOKUP(A381,'📦 ชื่อสินค้า'!A:F,6,false),"")</f>
        <v/>
      </c>
      <c r="E381" s="16" t="str">
        <f>IFERROR(IF(VLOOKUP(A381,'📦 ชื่อสินค้า'!A:G,7,false)="InActive","InActive",IF(A381&lt;&gt;"",IF(B381&lt;=0,"สินค้าหมด",IF(B381&lt;=C381,"ควรเติมทันที","OK")),"")),)</f>
        <v/>
      </c>
      <c r="F381" s="24" t="str">
        <f>IFERROR(IF(A381&lt;&gt;"", SUMIF('💸 Transaction ซื้อ'!B:B,A381,'💸 Transaction ซื้อ'!G:G)/SUMIF('💸 Transaction ซื้อ'!B:B,A381,'💸 Transaction ซื้อ'!E:E),""),"-")</f>
        <v/>
      </c>
      <c r="G381" s="24" t="str">
        <f t="shared" si="1"/>
        <v/>
      </c>
      <c r="H381" s="25"/>
      <c r="I381" s="26"/>
      <c r="J381" s="26"/>
      <c r="K381" s="27" t="str">
        <f>IF(A381&lt;&gt;"",IF(E381="InActive","-",SUMIFS('💰 Transaction ขาย'!E:E,'💰 Transaction ขาย'!B:B,A381,'💰 Transaction ขาย'!A:A,"&gt;"&amp;'⚙️ Config'!$H$1-'⚙️ Config'!$H$2)),)</f>
        <v/>
      </c>
      <c r="L381" s="28" t="str">
        <f>IF(E381="InActive","-",IF(A381&lt;&gt;"",K381/'⚙️ Config'!$H$2,))</f>
        <v/>
      </c>
      <c r="M381" s="28" t="str">
        <f t="shared" si="2"/>
        <v/>
      </c>
      <c r="N381" s="28" t="str">
        <f>IF(A381&lt;&gt;"", SUMIFS('💰 Transaction ขาย'!F:F,'💰 Transaction ขาย'!B:B,A381,'💰 Transaction ขาย'!A:A,"&gt;="&amp;DATE(YEAR('⚙️ Config'!$H$1),1,1),'💰 Transaction ขาย'!A:A,"&lt;="&amp;DATE(YEAR('⚙️ Config'!$H$1),12,31)),)</f>
        <v/>
      </c>
    </row>
    <row r="382">
      <c r="A382" s="22"/>
      <c r="B382" s="22" t="str">
        <f>IF(A382&lt;&gt;"",SUMIFS('💸 Transaction ซื้อ'!E:E,'💸 Transaction ซื้อ'!B:B,A382)-SUMIFS('💰 Transaction ขาย'!E:E,'💰 Transaction ขาย'!B:B,A382),"")</f>
        <v/>
      </c>
      <c r="C382" s="23" t="str">
        <f>IF(A382&lt;&gt;"",vlookup(A382,'📦 ชื่อสินค้า'!A:E,5,false),"")</f>
        <v/>
      </c>
      <c r="D382" s="23" t="str">
        <f>IF(A382&lt;&gt;"",VLOOKUP(A382,'📦 ชื่อสินค้า'!A:F,6,false),"")</f>
        <v/>
      </c>
      <c r="E382" s="16" t="str">
        <f>IFERROR(IF(VLOOKUP(A382,'📦 ชื่อสินค้า'!A:G,7,false)="InActive","InActive",IF(A382&lt;&gt;"",IF(B382&lt;=0,"สินค้าหมด",IF(B382&lt;=C382,"ควรเติมทันที","OK")),"")),)</f>
        <v/>
      </c>
      <c r="F382" s="24" t="str">
        <f>IFERROR(IF(A382&lt;&gt;"", SUMIF('💸 Transaction ซื้อ'!B:B,A382,'💸 Transaction ซื้อ'!G:G)/SUMIF('💸 Transaction ซื้อ'!B:B,A382,'💸 Transaction ซื้อ'!E:E),""),"-")</f>
        <v/>
      </c>
      <c r="G382" s="24" t="str">
        <f t="shared" si="1"/>
        <v/>
      </c>
      <c r="H382" s="25"/>
      <c r="I382" s="26"/>
      <c r="J382" s="26"/>
      <c r="K382" s="27" t="str">
        <f>IF(A382&lt;&gt;"",IF(E382="InActive","-",SUMIFS('💰 Transaction ขาย'!E:E,'💰 Transaction ขาย'!B:B,A382,'💰 Transaction ขาย'!A:A,"&gt;"&amp;'⚙️ Config'!$H$1-'⚙️ Config'!$H$2)),)</f>
        <v/>
      </c>
      <c r="L382" s="28" t="str">
        <f>IF(E382="InActive","-",IF(A382&lt;&gt;"",K382/'⚙️ Config'!$H$2,))</f>
        <v/>
      </c>
      <c r="M382" s="28" t="str">
        <f t="shared" si="2"/>
        <v/>
      </c>
      <c r="N382" s="28" t="str">
        <f>IF(A382&lt;&gt;"", SUMIFS('💰 Transaction ขาย'!F:F,'💰 Transaction ขาย'!B:B,A382,'💰 Transaction ขาย'!A:A,"&gt;="&amp;DATE(YEAR('⚙️ Config'!$H$1),1,1),'💰 Transaction ขาย'!A:A,"&lt;="&amp;DATE(YEAR('⚙️ Config'!$H$1),12,31)),)</f>
        <v/>
      </c>
    </row>
    <row r="383">
      <c r="A383" s="22"/>
      <c r="B383" s="22" t="str">
        <f>IF(A383&lt;&gt;"",SUMIFS('💸 Transaction ซื้อ'!E:E,'💸 Transaction ซื้อ'!B:B,A383)-SUMIFS('💰 Transaction ขาย'!E:E,'💰 Transaction ขาย'!B:B,A383),"")</f>
        <v/>
      </c>
      <c r="C383" s="23" t="str">
        <f>IF(A383&lt;&gt;"",vlookup(A383,'📦 ชื่อสินค้า'!A:E,5,false),"")</f>
        <v/>
      </c>
      <c r="D383" s="23" t="str">
        <f>IF(A383&lt;&gt;"",VLOOKUP(A383,'📦 ชื่อสินค้า'!A:F,6,false),"")</f>
        <v/>
      </c>
      <c r="E383" s="16" t="str">
        <f>IFERROR(IF(VLOOKUP(A383,'📦 ชื่อสินค้า'!A:G,7,false)="InActive","InActive",IF(A383&lt;&gt;"",IF(B383&lt;=0,"สินค้าหมด",IF(B383&lt;=C383,"ควรเติมทันที","OK")),"")),)</f>
        <v/>
      </c>
      <c r="F383" s="24" t="str">
        <f>IFERROR(IF(A383&lt;&gt;"", SUMIF('💸 Transaction ซื้อ'!B:B,A383,'💸 Transaction ซื้อ'!G:G)/SUMIF('💸 Transaction ซื้อ'!B:B,A383,'💸 Transaction ซื้อ'!E:E),""),"-")</f>
        <v/>
      </c>
      <c r="G383" s="24" t="str">
        <f t="shared" si="1"/>
        <v/>
      </c>
      <c r="H383" s="25"/>
      <c r="I383" s="26"/>
      <c r="J383" s="26"/>
      <c r="K383" s="27" t="str">
        <f>IF(A383&lt;&gt;"",IF(E383="InActive","-",SUMIFS('💰 Transaction ขาย'!E:E,'💰 Transaction ขาย'!B:B,A383,'💰 Transaction ขาย'!A:A,"&gt;"&amp;'⚙️ Config'!$H$1-'⚙️ Config'!$H$2)),)</f>
        <v/>
      </c>
      <c r="L383" s="28" t="str">
        <f>IF(E383="InActive","-",IF(A383&lt;&gt;"",K383/'⚙️ Config'!$H$2,))</f>
        <v/>
      </c>
      <c r="M383" s="28" t="str">
        <f t="shared" si="2"/>
        <v/>
      </c>
      <c r="N383" s="28" t="str">
        <f>IF(A383&lt;&gt;"", SUMIFS('💰 Transaction ขาย'!F:F,'💰 Transaction ขาย'!B:B,A383,'💰 Transaction ขาย'!A:A,"&gt;="&amp;DATE(YEAR('⚙️ Config'!$H$1),1,1),'💰 Transaction ขาย'!A:A,"&lt;="&amp;DATE(YEAR('⚙️ Config'!$H$1),12,31)),)</f>
        <v/>
      </c>
    </row>
    <row r="384">
      <c r="A384" s="22"/>
      <c r="B384" s="22" t="str">
        <f>IF(A384&lt;&gt;"",SUMIFS('💸 Transaction ซื้อ'!E:E,'💸 Transaction ซื้อ'!B:B,A384)-SUMIFS('💰 Transaction ขาย'!E:E,'💰 Transaction ขาย'!B:B,A384),"")</f>
        <v/>
      </c>
      <c r="C384" s="23" t="str">
        <f>IF(A384&lt;&gt;"",vlookup(A384,'📦 ชื่อสินค้า'!A:E,5,false),"")</f>
        <v/>
      </c>
      <c r="D384" s="23" t="str">
        <f>IF(A384&lt;&gt;"",VLOOKUP(A384,'📦 ชื่อสินค้า'!A:F,6,false),"")</f>
        <v/>
      </c>
      <c r="E384" s="16" t="str">
        <f>IFERROR(IF(VLOOKUP(A384,'📦 ชื่อสินค้า'!A:G,7,false)="InActive","InActive",IF(A384&lt;&gt;"",IF(B384&lt;=0,"สินค้าหมด",IF(B384&lt;=C384,"ควรเติมทันที","OK")),"")),)</f>
        <v/>
      </c>
      <c r="F384" s="24" t="str">
        <f>IFERROR(IF(A384&lt;&gt;"", SUMIF('💸 Transaction ซื้อ'!B:B,A384,'💸 Transaction ซื้อ'!G:G)/SUMIF('💸 Transaction ซื้อ'!B:B,A384,'💸 Transaction ซื้อ'!E:E),""),"-")</f>
        <v/>
      </c>
      <c r="G384" s="24" t="str">
        <f t="shared" si="1"/>
        <v/>
      </c>
      <c r="H384" s="25"/>
      <c r="I384" s="26"/>
      <c r="J384" s="26"/>
      <c r="K384" s="27" t="str">
        <f>IF(A384&lt;&gt;"",IF(E384="InActive","-",SUMIFS('💰 Transaction ขาย'!E:E,'💰 Transaction ขาย'!B:B,A384,'💰 Transaction ขาย'!A:A,"&gt;"&amp;'⚙️ Config'!$H$1-'⚙️ Config'!$H$2)),)</f>
        <v/>
      </c>
      <c r="L384" s="28" t="str">
        <f>IF(E384="InActive","-",IF(A384&lt;&gt;"",K384/'⚙️ Config'!$H$2,))</f>
        <v/>
      </c>
      <c r="M384" s="28" t="str">
        <f t="shared" si="2"/>
        <v/>
      </c>
      <c r="N384" s="28" t="str">
        <f>IF(A384&lt;&gt;"", SUMIFS('💰 Transaction ขาย'!F:F,'💰 Transaction ขาย'!B:B,A384,'💰 Transaction ขาย'!A:A,"&gt;="&amp;DATE(YEAR('⚙️ Config'!$H$1),1,1),'💰 Transaction ขาย'!A:A,"&lt;="&amp;DATE(YEAR('⚙️ Config'!$H$1),12,31)),)</f>
        <v/>
      </c>
    </row>
    <row r="385">
      <c r="A385" s="22"/>
      <c r="B385" s="22" t="str">
        <f>IF(A385&lt;&gt;"",SUMIFS('💸 Transaction ซื้อ'!E:E,'💸 Transaction ซื้อ'!B:B,A385)-SUMIFS('💰 Transaction ขาย'!E:E,'💰 Transaction ขาย'!B:B,A385),"")</f>
        <v/>
      </c>
      <c r="C385" s="23" t="str">
        <f>IF(A385&lt;&gt;"",vlookup(A385,'📦 ชื่อสินค้า'!A:E,5,false),"")</f>
        <v/>
      </c>
      <c r="D385" s="23" t="str">
        <f>IF(A385&lt;&gt;"",VLOOKUP(A385,'📦 ชื่อสินค้า'!A:F,6,false),"")</f>
        <v/>
      </c>
      <c r="E385" s="16" t="str">
        <f>IFERROR(IF(VLOOKUP(A385,'📦 ชื่อสินค้า'!A:G,7,false)="InActive","InActive",IF(A385&lt;&gt;"",IF(B385&lt;=0,"สินค้าหมด",IF(B385&lt;=C385,"ควรเติมทันที","OK")),"")),)</f>
        <v/>
      </c>
      <c r="F385" s="24" t="str">
        <f>IFERROR(IF(A385&lt;&gt;"", SUMIF('💸 Transaction ซื้อ'!B:B,A385,'💸 Transaction ซื้อ'!G:G)/SUMIF('💸 Transaction ซื้อ'!B:B,A385,'💸 Transaction ซื้อ'!E:E),""),"-")</f>
        <v/>
      </c>
      <c r="G385" s="24" t="str">
        <f t="shared" si="1"/>
        <v/>
      </c>
      <c r="H385" s="25"/>
      <c r="I385" s="26"/>
      <c r="J385" s="26"/>
      <c r="K385" s="27" t="str">
        <f>IF(A385&lt;&gt;"",IF(E385="InActive","-",SUMIFS('💰 Transaction ขาย'!E:E,'💰 Transaction ขาย'!B:B,A385,'💰 Transaction ขาย'!A:A,"&gt;"&amp;'⚙️ Config'!$H$1-'⚙️ Config'!$H$2)),)</f>
        <v/>
      </c>
      <c r="L385" s="28" t="str">
        <f>IF(E385="InActive","-",IF(A385&lt;&gt;"",K385/'⚙️ Config'!$H$2,))</f>
        <v/>
      </c>
      <c r="M385" s="28" t="str">
        <f t="shared" si="2"/>
        <v/>
      </c>
      <c r="N385" s="28" t="str">
        <f>IF(A385&lt;&gt;"", SUMIFS('💰 Transaction ขาย'!F:F,'💰 Transaction ขาย'!B:B,A385,'💰 Transaction ขาย'!A:A,"&gt;="&amp;DATE(YEAR('⚙️ Config'!$H$1),1,1),'💰 Transaction ขาย'!A:A,"&lt;="&amp;DATE(YEAR('⚙️ Config'!$H$1),12,31)),)</f>
        <v/>
      </c>
    </row>
    <row r="386">
      <c r="A386" s="22"/>
      <c r="B386" s="22" t="str">
        <f>IF(A386&lt;&gt;"",SUMIFS('💸 Transaction ซื้อ'!E:E,'💸 Transaction ซื้อ'!B:B,A386)-SUMIFS('💰 Transaction ขาย'!E:E,'💰 Transaction ขาย'!B:B,A386),"")</f>
        <v/>
      </c>
      <c r="C386" s="23" t="str">
        <f>IF(A386&lt;&gt;"",vlookup(A386,'📦 ชื่อสินค้า'!A:E,5,false),"")</f>
        <v/>
      </c>
      <c r="D386" s="23" t="str">
        <f>IF(A386&lt;&gt;"",VLOOKUP(A386,'📦 ชื่อสินค้า'!A:F,6,false),"")</f>
        <v/>
      </c>
      <c r="E386" s="16" t="str">
        <f>IFERROR(IF(VLOOKUP(A386,'📦 ชื่อสินค้า'!A:G,7,false)="InActive","InActive",IF(A386&lt;&gt;"",IF(B386&lt;=0,"สินค้าหมด",IF(B386&lt;=C386,"ควรเติมทันที","OK")),"")),)</f>
        <v/>
      </c>
      <c r="F386" s="24" t="str">
        <f>IFERROR(IF(A386&lt;&gt;"", SUMIF('💸 Transaction ซื้อ'!B:B,A386,'💸 Transaction ซื้อ'!G:G)/SUMIF('💸 Transaction ซื้อ'!B:B,A386,'💸 Transaction ซื้อ'!E:E),""),"-")</f>
        <v/>
      </c>
      <c r="G386" s="24" t="str">
        <f t="shared" si="1"/>
        <v/>
      </c>
      <c r="H386" s="25"/>
      <c r="I386" s="26"/>
      <c r="J386" s="26"/>
      <c r="K386" s="27" t="str">
        <f>IF(A386&lt;&gt;"",IF(E386="InActive","-",SUMIFS('💰 Transaction ขาย'!E:E,'💰 Transaction ขาย'!B:B,A386,'💰 Transaction ขาย'!A:A,"&gt;"&amp;'⚙️ Config'!$H$1-'⚙️ Config'!$H$2)),)</f>
        <v/>
      </c>
      <c r="L386" s="28" t="str">
        <f>IF(E386="InActive","-",IF(A386&lt;&gt;"",K386/'⚙️ Config'!$H$2,))</f>
        <v/>
      </c>
      <c r="M386" s="28" t="str">
        <f t="shared" si="2"/>
        <v/>
      </c>
      <c r="N386" s="28" t="str">
        <f>IF(A386&lt;&gt;"", SUMIFS('💰 Transaction ขาย'!F:F,'💰 Transaction ขาย'!B:B,A386,'💰 Transaction ขาย'!A:A,"&gt;="&amp;DATE(YEAR('⚙️ Config'!$H$1),1,1),'💰 Transaction ขาย'!A:A,"&lt;="&amp;DATE(YEAR('⚙️ Config'!$H$1),12,31)),)</f>
        <v/>
      </c>
    </row>
    <row r="387">
      <c r="A387" s="22"/>
      <c r="B387" s="22" t="str">
        <f>IF(A387&lt;&gt;"",SUMIFS('💸 Transaction ซื้อ'!E:E,'💸 Transaction ซื้อ'!B:B,A387)-SUMIFS('💰 Transaction ขาย'!E:E,'💰 Transaction ขาย'!B:B,A387),"")</f>
        <v/>
      </c>
      <c r="C387" s="23" t="str">
        <f>IF(A387&lt;&gt;"",vlookup(A387,'📦 ชื่อสินค้า'!A:E,5,false),"")</f>
        <v/>
      </c>
      <c r="D387" s="23" t="str">
        <f>IF(A387&lt;&gt;"",VLOOKUP(A387,'📦 ชื่อสินค้า'!A:F,6,false),"")</f>
        <v/>
      </c>
      <c r="E387" s="16" t="str">
        <f>IFERROR(IF(VLOOKUP(A387,'📦 ชื่อสินค้า'!A:G,7,false)="InActive","InActive",IF(A387&lt;&gt;"",IF(B387&lt;=0,"สินค้าหมด",IF(B387&lt;=C387,"ควรเติมทันที","OK")),"")),)</f>
        <v/>
      </c>
      <c r="F387" s="24" t="str">
        <f>IFERROR(IF(A387&lt;&gt;"", SUMIF('💸 Transaction ซื้อ'!B:B,A387,'💸 Transaction ซื้อ'!G:G)/SUMIF('💸 Transaction ซื้อ'!B:B,A387,'💸 Transaction ซื้อ'!E:E),""),"-")</f>
        <v/>
      </c>
      <c r="G387" s="24" t="str">
        <f t="shared" si="1"/>
        <v/>
      </c>
      <c r="H387" s="25"/>
      <c r="I387" s="26"/>
      <c r="J387" s="26"/>
      <c r="K387" s="27" t="str">
        <f>IF(A387&lt;&gt;"",IF(E387="InActive","-",SUMIFS('💰 Transaction ขาย'!E:E,'💰 Transaction ขาย'!B:B,A387,'💰 Transaction ขาย'!A:A,"&gt;"&amp;'⚙️ Config'!$H$1-'⚙️ Config'!$H$2)),)</f>
        <v/>
      </c>
      <c r="L387" s="28" t="str">
        <f>IF(E387="InActive","-",IF(A387&lt;&gt;"",K387/'⚙️ Config'!$H$2,))</f>
        <v/>
      </c>
      <c r="M387" s="28" t="str">
        <f t="shared" si="2"/>
        <v/>
      </c>
      <c r="N387" s="28" t="str">
        <f>IF(A387&lt;&gt;"", SUMIFS('💰 Transaction ขาย'!F:F,'💰 Transaction ขาย'!B:B,A387,'💰 Transaction ขาย'!A:A,"&gt;="&amp;DATE(YEAR('⚙️ Config'!$H$1),1,1),'💰 Transaction ขาย'!A:A,"&lt;="&amp;DATE(YEAR('⚙️ Config'!$H$1),12,31)),)</f>
        <v/>
      </c>
    </row>
    <row r="388">
      <c r="A388" s="22"/>
      <c r="B388" s="22" t="str">
        <f>IF(A388&lt;&gt;"",SUMIFS('💸 Transaction ซื้อ'!E:E,'💸 Transaction ซื้อ'!B:B,A388)-SUMIFS('💰 Transaction ขาย'!E:E,'💰 Transaction ขาย'!B:B,A388),"")</f>
        <v/>
      </c>
      <c r="C388" s="23" t="str">
        <f>IF(A388&lt;&gt;"",vlookup(A388,'📦 ชื่อสินค้า'!A:E,5,false),"")</f>
        <v/>
      </c>
      <c r="D388" s="23" t="str">
        <f>IF(A388&lt;&gt;"",VLOOKUP(A388,'📦 ชื่อสินค้า'!A:F,6,false),"")</f>
        <v/>
      </c>
      <c r="E388" s="16" t="str">
        <f>IFERROR(IF(VLOOKUP(A388,'📦 ชื่อสินค้า'!A:G,7,false)="InActive","InActive",IF(A388&lt;&gt;"",IF(B388&lt;=0,"สินค้าหมด",IF(B388&lt;=C388,"ควรเติมทันที","OK")),"")),)</f>
        <v/>
      </c>
      <c r="F388" s="24" t="str">
        <f>IFERROR(IF(A388&lt;&gt;"", SUMIF('💸 Transaction ซื้อ'!B:B,A388,'💸 Transaction ซื้อ'!G:G)/SUMIF('💸 Transaction ซื้อ'!B:B,A388,'💸 Transaction ซื้อ'!E:E),""),"-")</f>
        <v/>
      </c>
      <c r="G388" s="24" t="str">
        <f t="shared" si="1"/>
        <v/>
      </c>
      <c r="H388" s="25"/>
      <c r="I388" s="26"/>
      <c r="J388" s="26"/>
      <c r="K388" s="27" t="str">
        <f>IF(A388&lt;&gt;"",IF(E388="InActive","-",SUMIFS('💰 Transaction ขาย'!E:E,'💰 Transaction ขาย'!B:B,A388,'💰 Transaction ขาย'!A:A,"&gt;"&amp;'⚙️ Config'!$H$1-'⚙️ Config'!$H$2)),)</f>
        <v/>
      </c>
      <c r="L388" s="28" t="str">
        <f>IF(E388="InActive","-",IF(A388&lt;&gt;"",K388/'⚙️ Config'!$H$2,))</f>
        <v/>
      </c>
      <c r="M388" s="28" t="str">
        <f t="shared" si="2"/>
        <v/>
      </c>
      <c r="N388" s="28" t="str">
        <f>IF(A388&lt;&gt;"", SUMIFS('💰 Transaction ขาย'!F:F,'💰 Transaction ขาย'!B:B,A388,'💰 Transaction ขาย'!A:A,"&gt;="&amp;DATE(YEAR('⚙️ Config'!$H$1),1,1),'💰 Transaction ขาย'!A:A,"&lt;="&amp;DATE(YEAR('⚙️ Config'!$H$1),12,31)),)</f>
        <v/>
      </c>
    </row>
    <row r="389">
      <c r="A389" s="22"/>
      <c r="B389" s="22" t="str">
        <f>IF(A389&lt;&gt;"",SUMIFS('💸 Transaction ซื้อ'!E:E,'💸 Transaction ซื้อ'!B:B,A389)-SUMIFS('💰 Transaction ขาย'!E:E,'💰 Transaction ขาย'!B:B,A389),"")</f>
        <v/>
      </c>
      <c r="C389" s="23" t="str">
        <f>IF(A389&lt;&gt;"",vlookup(A389,'📦 ชื่อสินค้า'!A:E,5,false),"")</f>
        <v/>
      </c>
      <c r="D389" s="23" t="str">
        <f>IF(A389&lt;&gt;"",VLOOKUP(A389,'📦 ชื่อสินค้า'!A:F,6,false),"")</f>
        <v/>
      </c>
      <c r="E389" s="16" t="str">
        <f>IFERROR(IF(VLOOKUP(A389,'📦 ชื่อสินค้า'!A:G,7,false)="InActive","InActive",IF(A389&lt;&gt;"",IF(B389&lt;=0,"สินค้าหมด",IF(B389&lt;=C389,"ควรเติมทันที","OK")),"")),)</f>
        <v/>
      </c>
      <c r="F389" s="24" t="str">
        <f>IFERROR(IF(A389&lt;&gt;"", SUMIF('💸 Transaction ซื้อ'!B:B,A389,'💸 Transaction ซื้อ'!G:G)/SUMIF('💸 Transaction ซื้อ'!B:B,A389,'💸 Transaction ซื้อ'!E:E),""),"-")</f>
        <v/>
      </c>
      <c r="G389" s="24" t="str">
        <f t="shared" si="1"/>
        <v/>
      </c>
      <c r="H389" s="25"/>
      <c r="I389" s="26"/>
      <c r="J389" s="26"/>
      <c r="K389" s="27" t="str">
        <f>IF(A389&lt;&gt;"",IF(E389="InActive","-",SUMIFS('💰 Transaction ขาย'!E:E,'💰 Transaction ขาย'!B:B,A389,'💰 Transaction ขาย'!A:A,"&gt;"&amp;'⚙️ Config'!$H$1-'⚙️ Config'!$H$2)),)</f>
        <v/>
      </c>
      <c r="L389" s="28" t="str">
        <f>IF(E389="InActive","-",IF(A389&lt;&gt;"",K389/'⚙️ Config'!$H$2,))</f>
        <v/>
      </c>
      <c r="M389" s="28" t="str">
        <f t="shared" si="2"/>
        <v/>
      </c>
      <c r="N389" s="28" t="str">
        <f>IF(A389&lt;&gt;"", SUMIFS('💰 Transaction ขาย'!F:F,'💰 Transaction ขาย'!B:B,A389,'💰 Transaction ขาย'!A:A,"&gt;="&amp;DATE(YEAR('⚙️ Config'!$H$1),1,1),'💰 Transaction ขาย'!A:A,"&lt;="&amp;DATE(YEAR('⚙️ Config'!$H$1),12,31)),)</f>
        <v/>
      </c>
    </row>
    <row r="390">
      <c r="A390" s="22"/>
      <c r="B390" s="22" t="str">
        <f>IF(A390&lt;&gt;"",SUMIFS('💸 Transaction ซื้อ'!E:E,'💸 Transaction ซื้อ'!B:B,A390)-SUMIFS('💰 Transaction ขาย'!E:E,'💰 Transaction ขาย'!B:B,A390),"")</f>
        <v/>
      </c>
      <c r="C390" s="23" t="str">
        <f>IF(A390&lt;&gt;"",vlookup(A390,'📦 ชื่อสินค้า'!A:E,5,false),"")</f>
        <v/>
      </c>
      <c r="D390" s="23" t="str">
        <f>IF(A390&lt;&gt;"",VLOOKUP(A390,'📦 ชื่อสินค้า'!A:F,6,false),"")</f>
        <v/>
      </c>
      <c r="E390" s="16" t="str">
        <f>IFERROR(IF(VLOOKUP(A390,'📦 ชื่อสินค้า'!A:G,7,false)="InActive","InActive",IF(A390&lt;&gt;"",IF(B390&lt;=0,"สินค้าหมด",IF(B390&lt;=C390,"ควรเติมทันที","OK")),"")),)</f>
        <v/>
      </c>
      <c r="F390" s="24" t="str">
        <f>IFERROR(IF(A390&lt;&gt;"", SUMIF('💸 Transaction ซื้อ'!B:B,A390,'💸 Transaction ซื้อ'!G:G)/SUMIF('💸 Transaction ซื้อ'!B:B,A390,'💸 Transaction ซื้อ'!E:E),""),"-")</f>
        <v/>
      </c>
      <c r="G390" s="24" t="str">
        <f t="shared" si="1"/>
        <v/>
      </c>
      <c r="H390" s="25"/>
      <c r="I390" s="26"/>
      <c r="J390" s="26"/>
      <c r="K390" s="27" t="str">
        <f>IF(A390&lt;&gt;"",IF(E390="InActive","-",SUMIFS('💰 Transaction ขาย'!E:E,'💰 Transaction ขาย'!B:B,A390,'💰 Transaction ขาย'!A:A,"&gt;"&amp;'⚙️ Config'!$H$1-'⚙️ Config'!$H$2)),)</f>
        <v/>
      </c>
      <c r="L390" s="28" t="str">
        <f>IF(E390="InActive","-",IF(A390&lt;&gt;"",K390/'⚙️ Config'!$H$2,))</f>
        <v/>
      </c>
      <c r="M390" s="28" t="str">
        <f t="shared" si="2"/>
        <v/>
      </c>
      <c r="N390" s="28" t="str">
        <f>IF(A390&lt;&gt;"", SUMIFS('💰 Transaction ขาย'!F:F,'💰 Transaction ขาย'!B:B,A390,'💰 Transaction ขาย'!A:A,"&gt;="&amp;DATE(YEAR('⚙️ Config'!$H$1),1,1),'💰 Transaction ขาย'!A:A,"&lt;="&amp;DATE(YEAR('⚙️ Config'!$H$1),12,31)),)</f>
        <v/>
      </c>
    </row>
    <row r="391">
      <c r="A391" s="22"/>
      <c r="B391" s="22" t="str">
        <f>IF(A391&lt;&gt;"",SUMIFS('💸 Transaction ซื้อ'!E:E,'💸 Transaction ซื้อ'!B:B,A391)-SUMIFS('💰 Transaction ขาย'!E:E,'💰 Transaction ขาย'!B:B,A391),"")</f>
        <v/>
      </c>
      <c r="C391" s="23" t="str">
        <f>IF(A391&lt;&gt;"",vlookup(A391,'📦 ชื่อสินค้า'!A:E,5,false),"")</f>
        <v/>
      </c>
      <c r="D391" s="23" t="str">
        <f>IF(A391&lt;&gt;"",VLOOKUP(A391,'📦 ชื่อสินค้า'!A:F,6,false),"")</f>
        <v/>
      </c>
      <c r="E391" s="16" t="str">
        <f>IFERROR(IF(VLOOKUP(A391,'📦 ชื่อสินค้า'!A:G,7,false)="InActive","InActive",IF(A391&lt;&gt;"",IF(B391&lt;=0,"สินค้าหมด",IF(B391&lt;=C391,"ควรเติมทันที","OK")),"")),)</f>
        <v/>
      </c>
      <c r="F391" s="24" t="str">
        <f>IFERROR(IF(A391&lt;&gt;"", SUMIF('💸 Transaction ซื้อ'!B:B,A391,'💸 Transaction ซื้อ'!G:G)/SUMIF('💸 Transaction ซื้อ'!B:B,A391,'💸 Transaction ซื้อ'!E:E),""),"-")</f>
        <v/>
      </c>
      <c r="G391" s="24" t="str">
        <f t="shared" si="1"/>
        <v/>
      </c>
      <c r="H391" s="25"/>
      <c r="I391" s="26"/>
      <c r="J391" s="26"/>
      <c r="K391" s="27" t="str">
        <f>IF(A391&lt;&gt;"",IF(E391="InActive","-",SUMIFS('💰 Transaction ขาย'!E:E,'💰 Transaction ขาย'!B:B,A391,'💰 Transaction ขาย'!A:A,"&gt;"&amp;'⚙️ Config'!$H$1-'⚙️ Config'!$H$2)),)</f>
        <v/>
      </c>
      <c r="L391" s="28" t="str">
        <f>IF(E391="InActive","-",IF(A391&lt;&gt;"",K391/'⚙️ Config'!$H$2,))</f>
        <v/>
      </c>
      <c r="M391" s="28" t="str">
        <f t="shared" si="2"/>
        <v/>
      </c>
      <c r="N391" s="28" t="str">
        <f>IF(A391&lt;&gt;"", SUMIFS('💰 Transaction ขาย'!F:F,'💰 Transaction ขาย'!B:B,A391,'💰 Transaction ขาย'!A:A,"&gt;="&amp;DATE(YEAR('⚙️ Config'!$H$1),1,1),'💰 Transaction ขาย'!A:A,"&lt;="&amp;DATE(YEAR('⚙️ Config'!$H$1),12,31)),)</f>
        <v/>
      </c>
    </row>
    <row r="392">
      <c r="A392" s="22"/>
      <c r="B392" s="22" t="str">
        <f>IF(A392&lt;&gt;"",SUMIFS('💸 Transaction ซื้อ'!E:E,'💸 Transaction ซื้อ'!B:B,A392)-SUMIFS('💰 Transaction ขาย'!E:E,'💰 Transaction ขาย'!B:B,A392),"")</f>
        <v/>
      </c>
      <c r="C392" s="23" t="str">
        <f>IF(A392&lt;&gt;"",vlookup(A392,'📦 ชื่อสินค้า'!A:E,5,false),"")</f>
        <v/>
      </c>
      <c r="D392" s="23" t="str">
        <f>IF(A392&lt;&gt;"",VLOOKUP(A392,'📦 ชื่อสินค้า'!A:F,6,false),"")</f>
        <v/>
      </c>
      <c r="E392" s="16" t="str">
        <f>IFERROR(IF(VLOOKUP(A392,'📦 ชื่อสินค้า'!A:G,7,false)="InActive","InActive",IF(A392&lt;&gt;"",IF(B392&lt;=0,"สินค้าหมด",IF(B392&lt;=C392,"ควรเติมทันที","OK")),"")),)</f>
        <v/>
      </c>
      <c r="F392" s="24" t="str">
        <f>IFERROR(IF(A392&lt;&gt;"", SUMIF('💸 Transaction ซื้อ'!B:B,A392,'💸 Transaction ซื้อ'!G:G)/SUMIF('💸 Transaction ซื้อ'!B:B,A392,'💸 Transaction ซื้อ'!E:E),""),"-")</f>
        <v/>
      </c>
      <c r="G392" s="24" t="str">
        <f t="shared" si="1"/>
        <v/>
      </c>
      <c r="H392" s="25"/>
      <c r="I392" s="26"/>
      <c r="J392" s="26"/>
      <c r="K392" s="27" t="str">
        <f>IF(A392&lt;&gt;"",IF(E392="InActive","-",SUMIFS('💰 Transaction ขาย'!E:E,'💰 Transaction ขาย'!B:B,A392,'💰 Transaction ขาย'!A:A,"&gt;"&amp;'⚙️ Config'!$H$1-'⚙️ Config'!$H$2)),)</f>
        <v/>
      </c>
      <c r="L392" s="28" t="str">
        <f>IF(E392="InActive","-",IF(A392&lt;&gt;"",K392/'⚙️ Config'!$H$2,))</f>
        <v/>
      </c>
      <c r="M392" s="28" t="str">
        <f t="shared" si="2"/>
        <v/>
      </c>
      <c r="N392" s="28" t="str">
        <f>IF(A392&lt;&gt;"", SUMIFS('💰 Transaction ขาย'!F:F,'💰 Transaction ขาย'!B:B,A392,'💰 Transaction ขาย'!A:A,"&gt;="&amp;DATE(YEAR('⚙️ Config'!$H$1),1,1),'💰 Transaction ขาย'!A:A,"&lt;="&amp;DATE(YEAR('⚙️ Config'!$H$1),12,31)),)</f>
        <v/>
      </c>
    </row>
    <row r="393">
      <c r="A393" s="22"/>
      <c r="B393" s="22" t="str">
        <f>IF(A393&lt;&gt;"",SUMIFS('💸 Transaction ซื้อ'!E:E,'💸 Transaction ซื้อ'!B:B,A393)-SUMIFS('💰 Transaction ขาย'!E:E,'💰 Transaction ขาย'!B:B,A393),"")</f>
        <v/>
      </c>
      <c r="C393" s="23" t="str">
        <f>IF(A393&lt;&gt;"",vlookup(A393,'📦 ชื่อสินค้า'!A:E,5,false),"")</f>
        <v/>
      </c>
      <c r="D393" s="23" t="str">
        <f>IF(A393&lt;&gt;"",VLOOKUP(A393,'📦 ชื่อสินค้า'!A:F,6,false),"")</f>
        <v/>
      </c>
      <c r="E393" s="16" t="str">
        <f>IFERROR(IF(VLOOKUP(A393,'📦 ชื่อสินค้า'!A:G,7,false)="InActive","InActive",IF(A393&lt;&gt;"",IF(B393&lt;=0,"สินค้าหมด",IF(B393&lt;=C393,"ควรเติมทันที","OK")),"")),)</f>
        <v/>
      </c>
      <c r="F393" s="24" t="str">
        <f>IFERROR(IF(A393&lt;&gt;"", SUMIF('💸 Transaction ซื้อ'!B:B,A393,'💸 Transaction ซื้อ'!G:G)/SUMIF('💸 Transaction ซื้อ'!B:B,A393,'💸 Transaction ซื้อ'!E:E),""),"-")</f>
        <v/>
      </c>
      <c r="G393" s="24" t="str">
        <f t="shared" si="1"/>
        <v/>
      </c>
      <c r="H393" s="25"/>
      <c r="I393" s="26"/>
      <c r="J393" s="26"/>
      <c r="K393" s="27" t="str">
        <f>IF(A393&lt;&gt;"",IF(E393="InActive","-",SUMIFS('💰 Transaction ขาย'!E:E,'💰 Transaction ขาย'!B:B,A393,'💰 Transaction ขาย'!A:A,"&gt;"&amp;'⚙️ Config'!$H$1-'⚙️ Config'!$H$2)),)</f>
        <v/>
      </c>
      <c r="L393" s="28" t="str">
        <f>IF(E393="InActive","-",IF(A393&lt;&gt;"",K393/'⚙️ Config'!$H$2,))</f>
        <v/>
      </c>
      <c r="M393" s="28" t="str">
        <f t="shared" si="2"/>
        <v/>
      </c>
      <c r="N393" s="28" t="str">
        <f>IF(A393&lt;&gt;"", SUMIFS('💰 Transaction ขาย'!F:F,'💰 Transaction ขาย'!B:B,A393,'💰 Transaction ขาย'!A:A,"&gt;="&amp;DATE(YEAR('⚙️ Config'!$H$1),1,1),'💰 Transaction ขาย'!A:A,"&lt;="&amp;DATE(YEAR('⚙️ Config'!$H$1),12,31)),)</f>
        <v/>
      </c>
    </row>
    <row r="394">
      <c r="A394" s="22"/>
      <c r="B394" s="22" t="str">
        <f>IF(A394&lt;&gt;"",SUMIFS('💸 Transaction ซื้อ'!E:E,'💸 Transaction ซื้อ'!B:B,A394)-SUMIFS('💰 Transaction ขาย'!E:E,'💰 Transaction ขาย'!B:B,A394),"")</f>
        <v/>
      </c>
      <c r="C394" s="23" t="str">
        <f>IF(A394&lt;&gt;"",vlookup(A394,'📦 ชื่อสินค้า'!A:E,5,false),"")</f>
        <v/>
      </c>
      <c r="D394" s="23" t="str">
        <f>IF(A394&lt;&gt;"",VLOOKUP(A394,'📦 ชื่อสินค้า'!A:F,6,false),"")</f>
        <v/>
      </c>
      <c r="E394" s="16" t="str">
        <f>IFERROR(IF(VLOOKUP(A394,'📦 ชื่อสินค้า'!A:G,7,false)="InActive","InActive",IF(A394&lt;&gt;"",IF(B394&lt;=0,"สินค้าหมด",IF(B394&lt;=C394,"ควรเติมทันที","OK")),"")),)</f>
        <v/>
      </c>
      <c r="F394" s="24" t="str">
        <f>IFERROR(IF(A394&lt;&gt;"", SUMIF('💸 Transaction ซื้อ'!B:B,A394,'💸 Transaction ซื้อ'!G:G)/SUMIF('💸 Transaction ซื้อ'!B:B,A394,'💸 Transaction ซื้อ'!E:E),""),"-")</f>
        <v/>
      </c>
      <c r="G394" s="24" t="str">
        <f t="shared" si="1"/>
        <v/>
      </c>
      <c r="H394" s="25"/>
      <c r="I394" s="26"/>
      <c r="J394" s="26"/>
      <c r="K394" s="27" t="str">
        <f>IF(A394&lt;&gt;"",IF(E394="InActive","-",SUMIFS('💰 Transaction ขาย'!E:E,'💰 Transaction ขาย'!B:B,A394,'💰 Transaction ขาย'!A:A,"&gt;"&amp;'⚙️ Config'!$H$1-'⚙️ Config'!$H$2)),)</f>
        <v/>
      </c>
      <c r="L394" s="28" t="str">
        <f>IF(E394="InActive","-",IF(A394&lt;&gt;"",K394/'⚙️ Config'!$H$2,))</f>
        <v/>
      </c>
      <c r="M394" s="28" t="str">
        <f t="shared" si="2"/>
        <v/>
      </c>
      <c r="N394" s="28" t="str">
        <f>IF(A394&lt;&gt;"", SUMIFS('💰 Transaction ขาย'!F:F,'💰 Transaction ขาย'!B:B,A394,'💰 Transaction ขาย'!A:A,"&gt;="&amp;DATE(YEAR('⚙️ Config'!$H$1),1,1),'💰 Transaction ขาย'!A:A,"&lt;="&amp;DATE(YEAR('⚙️ Config'!$H$1),12,31)),)</f>
        <v/>
      </c>
    </row>
    <row r="395">
      <c r="A395" s="22"/>
      <c r="B395" s="22" t="str">
        <f>IF(A395&lt;&gt;"",SUMIFS('💸 Transaction ซื้อ'!E:E,'💸 Transaction ซื้อ'!B:B,A395)-SUMIFS('💰 Transaction ขาย'!E:E,'💰 Transaction ขาย'!B:B,A395),"")</f>
        <v/>
      </c>
      <c r="C395" s="23" t="str">
        <f>IF(A395&lt;&gt;"",vlookup(A395,'📦 ชื่อสินค้า'!A:E,5,false),"")</f>
        <v/>
      </c>
      <c r="D395" s="23" t="str">
        <f>IF(A395&lt;&gt;"",VLOOKUP(A395,'📦 ชื่อสินค้า'!A:F,6,false),"")</f>
        <v/>
      </c>
      <c r="E395" s="16" t="str">
        <f>IFERROR(IF(VLOOKUP(A395,'📦 ชื่อสินค้า'!A:G,7,false)="InActive","InActive",IF(A395&lt;&gt;"",IF(B395&lt;=0,"สินค้าหมด",IF(B395&lt;=C395,"ควรเติมทันที","OK")),"")),)</f>
        <v/>
      </c>
      <c r="F395" s="24" t="str">
        <f>IFERROR(IF(A395&lt;&gt;"", SUMIF('💸 Transaction ซื้อ'!B:B,A395,'💸 Transaction ซื้อ'!G:G)/SUMIF('💸 Transaction ซื้อ'!B:B,A395,'💸 Transaction ซื้อ'!E:E),""),"-")</f>
        <v/>
      </c>
      <c r="G395" s="24" t="str">
        <f t="shared" si="1"/>
        <v/>
      </c>
      <c r="H395" s="25"/>
      <c r="I395" s="26"/>
      <c r="J395" s="26"/>
      <c r="K395" s="27" t="str">
        <f>IF(A395&lt;&gt;"",IF(E395="InActive","-",SUMIFS('💰 Transaction ขาย'!E:E,'💰 Transaction ขาย'!B:B,A395,'💰 Transaction ขาย'!A:A,"&gt;"&amp;'⚙️ Config'!$H$1-'⚙️ Config'!$H$2)),)</f>
        <v/>
      </c>
      <c r="L395" s="28" t="str">
        <f>IF(E395="InActive","-",IF(A395&lt;&gt;"",K395/'⚙️ Config'!$H$2,))</f>
        <v/>
      </c>
      <c r="M395" s="28" t="str">
        <f t="shared" si="2"/>
        <v/>
      </c>
      <c r="N395" s="28" t="str">
        <f>IF(A395&lt;&gt;"", SUMIFS('💰 Transaction ขาย'!F:F,'💰 Transaction ขาย'!B:B,A395,'💰 Transaction ขาย'!A:A,"&gt;="&amp;DATE(YEAR('⚙️ Config'!$H$1),1,1),'💰 Transaction ขาย'!A:A,"&lt;="&amp;DATE(YEAR('⚙️ Config'!$H$1),12,31)),)</f>
        <v/>
      </c>
    </row>
    <row r="396">
      <c r="A396" s="22"/>
      <c r="B396" s="22" t="str">
        <f>IF(A396&lt;&gt;"",SUMIFS('💸 Transaction ซื้อ'!E:E,'💸 Transaction ซื้อ'!B:B,A396)-SUMIFS('💰 Transaction ขาย'!E:E,'💰 Transaction ขาย'!B:B,A396),"")</f>
        <v/>
      </c>
      <c r="C396" s="23" t="str">
        <f>IF(A396&lt;&gt;"",vlookup(A396,'📦 ชื่อสินค้า'!A:E,5,false),"")</f>
        <v/>
      </c>
      <c r="D396" s="23" t="str">
        <f>IF(A396&lt;&gt;"",VLOOKUP(A396,'📦 ชื่อสินค้า'!A:F,6,false),"")</f>
        <v/>
      </c>
      <c r="E396" s="16" t="str">
        <f>IFERROR(IF(VLOOKUP(A396,'📦 ชื่อสินค้า'!A:G,7,false)="InActive","InActive",IF(A396&lt;&gt;"",IF(B396&lt;=0,"สินค้าหมด",IF(B396&lt;=C396,"ควรเติมทันที","OK")),"")),)</f>
        <v/>
      </c>
      <c r="F396" s="24" t="str">
        <f>IFERROR(IF(A396&lt;&gt;"", SUMIF('💸 Transaction ซื้อ'!B:B,A396,'💸 Transaction ซื้อ'!G:G)/SUMIF('💸 Transaction ซื้อ'!B:B,A396,'💸 Transaction ซื้อ'!E:E),""),"-")</f>
        <v/>
      </c>
      <c r="G396" s="24" t="str">
        <f t="shared" si="1"/>
        <v/>
      </c>
      <c r="H396" s="25"/>
      <c r="I396" s="26"/>
      <c r="J396" s="26"/>
      <c r="K396" s="27" t="str">
        <f>IF(A396&lt;&gt;"",IF(E396="InActive","-",SUMIFS('💰 Transaction ขาย'!E:E,'💰 Transaction ขาย'!B:B,A396,'💰 Transaction ขาย'!A:A,"&gt;"&amp;'⚙️ Config'!$H$1-'⚙️ Config'!$H$2)),)</f>
        <v/>
      </c>
      <c r="L396" s="28" t="str">
        <f>IF(E396="InActive","-",IF(A396&lt;&gt;"",K396/'⚙️ Config'!$H$2,))</f>
        <v/>
      </c>
      <c r="M396" s="28" t="str">
        <f t="shared" si="2"/>
        <v/>
      </c>
      <c r="N396" s="28" t="str">
        <f>IF(A396&lt;&gt;"", SUMIFS('💰 Transaction ขาย'!F:F,'💰 Transaction ขาย'!B:B,A396,'💰 Transaction ขาย'!A:A,"&gt;="&amp;DATE(YEAR('⚙️ Config'!$H$1),1,1),'💰 Transaction ขาย'!A:A,"&lt;="&amp;DATE(YEAR('⚙️ Config'!$H$1),12,31)),)</f>
        <v/>
      </c>
    </row>
    <row r="397">
      <c r="A397" s="22"/>
      <c r="B397" s="22" t="str">
        <f>IF(A397&lt;&gt;"",SUMIFS('💸 Transaction ซื้อ'!E:E,'💸 Transaction ซื้อ'!B:B,A397)-SUMIFS('💰 Transaction ขาย'!E:E,'💰 Transaction ขาย'!B:B,A397),"")</f>
        <v/>
      </c>
      <c r="C397" s="23" t="str">
        <f>IF(A397&lt;&gt;"",vlookup(A397,'📦 ชื่อสินค้า'!A:E,5,false),"")</f>
        <v/>
      </c>
      <c r="D397" s="23" t="str">
        <f>IF(A397&lt;&gt;"",VLOOKUP(A397,'📦 ชื่อสินค้า'!A:F,6,false),"")</f>
        <v/>
      </c>
      <c r="E397" s="16" t="str">
        <f>IFERROR(IF(VLOOKUP(A397,'📦 ชื่อสินค้า'!A:G,7,false)="InActive","InActive",IF(A397&lt;&gt;"",IF(B397&lt;=0,"สินค้าหมด",IF(B397&lt;=C397,"ควรเติมทันที","OK")),"")),)</f>
        <v/>
      </c>
      <c r="F397" s="24" t="str">
        <f>IFERROR(IF(A397&lt;&gt;"", SUMIF('💸 Transaction ซื้อ'!B:B,A397,'💸 Transaction ซื้อ'!G:G)/SUMIF('💸 Transaction ซื้อ'!B:B,A397,'💸 Transaction ซื้อ'!E:E),""),"-")</f>
        <v/>
      </c>
      <c r="G397" s="24" t="str">
        <f t="shared" si="1"/>
        <v/>
      </c>
      <c r="H397" s="25"/>
      <c r="I397" s="26"/>
      <c r="J397" s="26"/>
      <c r="K397" s="27" t="str">
        <f>IF(A397&lt;&gt;"",IF(E397="InActive","-",SUMIFS('💰 Transaction ขาย'!E:E,'💰 Transaction ขาย'!B:B,A397,'💰 Transaction ขาย'!A:A,"&gt;"&amp;'⚙️ Config'!$H$1-'⚙️ Config'!$H$2)),)</f>
        <v/>
      </c>
      <c r="L397" s="28" t="str">
        <f>IF(E397="InActive","-",IF(A397&lt;&gt;"",K397/'⚙️ Config'!$H$2,))</f>
        <v/>
      </c>
      <c r="M397" s="28" t="str">
        <f t="shared" si="2"/>
        <v/>
      </c>
      <c r="N397" s="28" t="str">
        <f>IF(A397&lt;&gt;"", SUMIFS('💰 Transaction ขาย'!F:F,'💰 Transaction ขาย'!B:B,A397,'💰 Transaction ขาย'!A:A,"&gt;="&amp;DATE(YEAR('⚙️ Config'!$H$1),1,1),'💰 Transaction ขาย'!A:A,"&lt;="&amp;DATE(YEAR('⚙️ Config'!$H$1),12,31)),)</f>
        <v/>
      </c>
    </row>
    <row r="398">
      <c r="A398" s="22"/>
      <c r="B398" s="22" t="str">
        <f>IF(A398&lt;&gt;"",SUMIFS('💸 Transaction ซื้อ'!E:E,'💸 Transaction ซื้อ'!B:B,A398)-SUMIFS('💰 Transaction ขาย'!E:E,'💰 Transaction ขาย'!B:B,A398),"")</f>
        <v/>
      </c>
      <c r="C398" s="23" t="str">
        <f>IF(A398&lt;&gt;"",vlookup(A398,'📦 ชื่อสินค้า'!A:E,5,false),"")</f>
        <v/>
      </c>
      <c r="D398" s="23" t="str">
        <f>IF(A398&lt;&gt;"",VLOOKUP(A398,'📦 ชื่อสินค้า'!A:F,6,false),"")</f>
        <v/>
      </c>
      <c r="E398" s="16" t="str">
        <f>IFERROR(IF(VLOOKUP(A398,'📦 ชื่อสินค้า'!A:G,7,false)="InActive","InActive",IF(A398&lt;&gt;"",IF(B398&lt;=0,"สินค้าหมด",IF(B398&lt;=C398,"ควรเติมทันที","OK")),"")),)</f>
        <v/>
      </c>
      <c r="F398" s="24" t="str">
        <f>IFERROR(IF(A398&lt;&gt;"", SUMIF('💸 Transaction ซื้อ'!B:B,A398,'💸 Transaction ซื้อ'!G:G)/SUMIF('💸 Transaction ซื้อ'!B:B,A398,'💸 Transaction ซื้อ'!E:E),""),"-")</f>
        <v/>
      </c>
      <c r="G398" s="24" t="str">
        <f t="shared" si="1"/>
        <v/>
      </c>
      <c r="H398" s="25"/>
      <c r="I398" s="26"/>
      <c r="J398" s="26"/>
      <c r="K398" s="27" t="str">
        <f>IF(A398&lt;&gt;"",IF(E398="InActive","-",SUMIFS('💰 Transaction ขาย'!E:E,'💰 Transaction ขาย'!B:B,A398,'💰 Transaction ขาย'!A:A,"&gt;"&amp;'⚙️ Config'!$H$1-'⚙️ Config'!$H$2)),)</f>
        <v/>
      </c>
      <c r="L398" s="28" t="str">
        <f>IF(E398="InActive","-",IF(A398&lt;&gt;"",K398/'⚙️ Config'!$H$2,))</f>
        <v/>
      </c>
      <c r="M398" s="28" t="str">
        <f t="shared" si="2"/>
        <v/>
      </c>
      <c r="N398" s="28" t="str">
        <f>IF(A398&lt;&gt;"", SUMIFS('💰 Transaction ขาย'!F:F,'💰 Transaction ขาย'!B:B,A398,'💰 Transaction ขาย'!A:A,"&gt;="&amp;DATE(YEAR('⚙️ Config'!$H$1),1,1),'💰 Transaction ขาย'!A:A,"&lt;="&amp;DATE(YEAR('⚙️ Config'!$H$1),12,31)),)</f>
        <v/>
      </c>
    </row>
    <row r="399">
      <c r="A399" s="22"/>
      <c r="B399" s="22" t="str">
        <f>IF(A399&lt;&gt;"",SUMIFS('💸 Transaction ซื้อ'!E:E,'💸 Transaction ซื้อ'!B:B,A399)-SUMIFS('💰 Transaction ขาย'!E:E,'💰 Transaction ขาย'!B:B,A399),"")</f>
        <v/>
      </c>
      <c r="C399" s="23" t="str">
        <f>IF(A399&lt;&gt;"",vlookup(A399,'📦 ชื่อสินค้า'!A:E,5,false),"")</f>
        <v/>
      </c>
      <c r="D399" s="23" t="str">
        <f>IF(A399&lt;&gt;"",VLOOKUP(A399,'📦 ชื่อสินค้า'!A:F,6,false),"")</f>
        <v/>
      </c>
      <c r="E399" s="16" t="str">
        <f>IFERROR(IF(VLOOKUP(A399,'📦 ชื่อสินค้า'!A:G,7,false)="InActive","InActive",IF(A399&lt;&gt;"",IF(B399&lt;=0,"สินค้าหมด",IF(B399&lt;=C399,"ควรเติมทันที","OK")),"")),)</f>
        <v/>
      </c>
      <c r="F399" s="24" t="str">
        <f>IFERROR(IF(A399&lt;&gt;"", SUMIF('💸 Transaction ซื้อ'!B:B,A399,'💸 Transaction ซื้อ'!G:G)/SUMIF('💸 Transaction ซื้อ'!B:B,A399,'💸 Transaction ซื้อ'!E:E),""),"-")</f>
        <v/>
      </c>
      <c r="G399" s="24" t="str">
        <f t="shared" si="1"/>
        <v/>
      </c>
      <c r="H399" s="25"/>
      <c r="I399" s="26"/>
      <c r="J399" s="26"/>
      <c r="K399" s="27" t="str">
        <f>IF(A399&lt;&gt;"",IF(E399="InActive","-",SUMIFS('💰 Transaction ขาย'!E:E,'💰 Transaction ขาย'!B:B,A399,'💰 Transaction ขาย'!A:A,"&gt;"&amp;'⚙️ Config'!$H$1-'⚙️ Config'!$H$2)),)</f>
        <v/>
      </c>
      <c r="L399" s="28" t="str">
        <f>IF(E399="InActive","-",IF(A399&lt;&gt;"",K399/'⚙️ Config'!$H$2,))</f>
        <v/>
      </c>
      <c r="M399" s="28" t="str">
        <f t="shared" si="2"/>
        <v/>
      </c>
      <c r="N399" s="28" t="str">
        <f>IF(A399&lt;&gt;"", SUMIFS('💰 Transaction ขาย'!F:F,'💰 Transaction ขาย'!B:B,A399,'💰 Transaction ขาย'!A:A,"&gt;="&amp;DATE(YEAR('⚙️ Config'!$H$1),1,1),'💰 Transaction ขาย'!A:A,"&lt;="&amp;DATE(YEAR('⚙️ Config'!$H$1),12,31)),)</f>
        <v/>
      </c>
    </row>
    <row r="400">
      <c r="A400" s="22"/>
      <c r="B400" s="22" t="str">
        <f>IF(A400&lt;&gt;"",SUMIFS('💸 Transaction ซื้อ'!E:E,'💸 Transaction ซื้อ'!B:B,A400)-SUMIFS('💰 Transaction ขาย'!E:E,'💰 Transaction ขาย'!B:B,A400),"")</f>
        <v/>
      </c>
      <c r="C400" s="23" t="str">
        <f>IF(A400&lt;&gt;"",vlookup(A400,'📦 ชื่อสินค้า'!A:E,5,false),"")</f>
        <v/>
      </c>
      <c r="D400" s="23" t="str">
        <f>IF(A400&lt;&gt;"",VLOOKUP(A400,'📦 ชื่อสินค้า'!A:F,6,false),"")</f>
        <v/>
      </c>
      <c r="E400" s="16" t="str">
        <f>IFERROR(IF(VLOOKUP(A400,'📦 ชื่อสินค้า'!A:G,7,false)="InActive","InActive",IF(A400&lt;&gt;"",IF(B400&lt;=0,"สินค้าหมด",IF(B400&lt;=C400,"ควรเติมทันที","OK")),"")),)</f>
        <v/>
      </c>
      <c r="F400" s="24" t="str">
        <f>IFERROR(IF(A400&lt;&gt;"", SUMIF('💸 Transaction ซื้อ'!B:B,A400,'💸 Transaction ซื้อ'!G:G)/SUMIF('💸 Transaction ซื้อ'!B:B,A400,'💸 Transaction ซื้อ'!E:E),""),"-")</f>
        <v/>
      </c>
      <c r="G400" s="24" t="str">
        <f t="shared" si="1"/>
        <v/>
      </c>
      <c r="H400" s="25"/>
      <c r="I400" s="26"/>
      <c r="J400" s="26"/>
      <c r="K400" s="27" t="str">
        <f>IF(A400&lt;&gt;"",IF(E400="InActive","-",SUMIFS('💰 Transaction ขาย'!E:E,'💰 Transaction ขาย'!B:B,A400,'💰 Transaction ขาย'!A:A,"&gt;"&amp;'⚙️ Config'!$H$1-'⚙️ Config'!$H$2)),)</f>
        <v/>
      </c>
      <c r="L400" s="28" t="str">
        <f>IF(E400="InActive","-",IF(A400&lt;&gt;"",K400/'⚙️ Config'!$H$2,))</f>
        <v/>
      </c>
      <c r="M400" s="28" t="str">
        <f t="shared" si="2"/>
        <v/>
      </c>
      <c r="N400" s="28" t="str">
        <f>IF(A400&lt;&gt;"", SUMIFS('💰 Transaction ขาย'!F:F,'💰 Transaction ขาย'!B:B,A400,'💰 Transaction ขาย'!A:A,"&gt;="&amp;DATE(YEAR('⚙️ Config'!$H$1),1,1),'💰 Transaction ขาย'!A:A,"&lt;="&amp;DATE(YEAR('⚙️ Config'!$H$1),12,31)),)</f>
        <v/>
      </c>
    </row>
    <row r="401">
      <c r="A401" s="22"/>
      <c r="B401" s="22" t="str">
        <f>IF(A401&lt;&gt;"",SUMIFS('💸 Transaction ซื้อ'!E:E,'💸 Transaction ซื้อ'!B:B,A401)-SUMIFS('💰 Transaction ขาย'!E:E,'💰 Transaction ขาย'!B:B,A401),"")</f>
        <v/>
      </c>
      <c r="C401" s="23" t="str">
        <f>IF(A401&lt;&gt;"",vlookup(A401,'📦 ชื่อสินค้า'!A:E,5,false),"")</f>
        <v/>
      </c>
      <c r="D401" s="23" t="str">
        <f>IF(A401&lt;&gt;"",VLOOKUP(A401,'📦 ชื่อสินค้า'!A:F,6,false),"")</f>
        <v/>
      </c>
      <c r="E401" s="16" t="str">
        <f>IFERROR(IF(VLOOKUP(A401,'📦 ชื่อสินค้า'!A:G,7,false)="InActive","InActive",IF(A401&lt;&gt;"",IF(B401&lt;=0,"สินค้าหมด",IF(B401&lt;=C401,"ควรเติมทันที","OK")),"")),)</f>
        <v/>
      </c>
      <c r="F401" s="24" t="str">
        <f>IFERROR(IF(A401&lt;&gt;"", SUMIF('💸 Transaction ซื้อ'!B:B,A401,'💸 Transaction ซื้อ'!G:G)/SUMIF('💸 Transaction ซื้อ'!B:B,A401,'💸 Transaction ซื้อ'!E:E),""),"-")</f>
        <v/>
      </c>
      <c r="G401" s="24" t="str">
        <f t="shared" si="1"/>
        <v/>
      </c>
      <c r="H401" s="25"/>
      <c r="I401" s="26"/>
      <c r="J401" s="26"/>
      <c r="K401" s="27" t="str">
        <f>IF(A401&lt;&gt;"",IF(E401="InActive","-",SUMIFS('💰 Transaction ขาย'!E:E,'💰 Transaction ขาย'!B:B,A401,'💰 Transaction ขาย'!A:A,"&gt;"&amp;'⚙️ Config'!$H$1-'⚙️ Config'!$H$2)),)</f>
        <v/>
      </c>
      <c r="L401" s="28" t="str">
        <f>IF(E401="InActive","-",IF(A401&lt;&gt;"",K401/'⚙️ Config'!$H$2,))</f>
        <v/>
      </c>
      <c r="M401" s="28" t="str">
        <f t="shared" si="2"/>
        <v/>
      </c>
      <c r="N401" s="28" t="str">
        <f>IF(A401&lt;&gt;"", SUMIFS('💰 Transaction ขาย'!F:F,'💰 Transaction ขาย'!B:B,A401,'💰 Transaction ขาย'!A:A,"&gt;="&amp;DATE(YEAR('⚙️ Config'!$H$1),1,1),'💰 Transaction ขาย'!A:A,"&lt;="&amp;DATE(YEAR('⚙️ Config'!$H$1),12,31)),)</f>
        <v/>
      </c>
    </row>
    <row r="402">
      <c r="A402" s="22"/>
      <c r="B402" s="22" t="str">
        <f>IF(A402&lt;&gt;"",SUMIFS('💸 Transaction ซื้อ'!E:E,'💸 Transaction ซื้อ'!B:B,A402)-SUMIFS('💰 Transaction ขาย'!E:E,'💰 Transaction ขาย'!B:B,A402),"")</f>
        <v/>
      </c>
      <c r="C402" s="23" t="str">
        <f>IF(A402&lt;&gt;"",vlookup(A402,'📦 ชื่อสินค้า'!A:E,5,false),"")</f>
        <v/>
      </c>
      <c r="D402" s="23" t="str">
        <f>IF(A402&lt;&gt;"",VLOOKUP(A402,'📦 ชื่อสินค้า'!A:F,6,false),"")</f>
        <v/>
      </c>
      <c r="E402" s="16" t="str">
        <f>IFERROR(IF(VLOOKUP(A402,'📦 ชื่อสินค้า'!A:G,7,false)="InActive","InActive",IF(A402&lt;&gt;"",IF(B402&lt;=0,"สินค้าหมด",IF(B402&lt;=C402,"ควรเติมทันที","OK")),"")),)</f>
        <v/>
      </c>
      <c r="F402" s="24" t="str">
        <f>IFERROR(IF(A402&lt;&gt;"", SUMIF('💸 Transaction ซื้อ'!B:B,A402,'💸 Transaction ซื้อ'!G:G)/SUMIF('💸 Transaction ซื้อ'!B:B,A402,'💸 Transaction ซื้อ'!E:E),""),"-")</f>
        <v/>
      </c>
      <c r="G402" s="24" t="str">
        <f t="shared" si="1"/>
        <v/>
      </c>
      <c r="H402" s="25"/>
      <c r="I402" s="26"/>
      <c r="J402" s="26"/>
      <c r="K402" s="27" t="str">
        <f>IF(A402&lt;&gt;"",IF(E402="InActive","-",SUMIFS('💰 Transaction ขาย'!E:E,'💰 Transaction ขาย'!B:B,A402,'💰 Transaction ขาย'!A:A,"&gt;"&amp;'⚙️ Config'!$H$1-'⚙️ Config'!$H$2)),)</f>
        <v/>
      </c>
      <c r="L402" s="28" t="str">
        <f>IF(E402="InActive","-",IF(A402&lt;&gt;"",K402/'⚙️ Config'!$H$2,))</f>
        <v/>
      </c>
      <c r="M402" s="28" t="str">
        <f t="shared" si="2"/>
        <v/>
      </c>
      <c r="N402" s="28" t="str">
        <f>IF(A402&lt;&gt;"", SUMIFS('💰 Transaction ขาย'!F:F,'💰 Transaction ขาย'!B:B,A402,'💰 Transaction ขาย'!A:A,"&gt;="&amp;DATE(YEAR('⚙️ Config'!$H$1),1,1),'💰 Transaction ขาย'!A:A,"&lt;="&amp;DATE(YEAR('⚙️ Config'!$H$1),12,31)),)</f>
        <v/>
      </c>
    </row>
    <row r="403">
      <c r="A403" s="22"/>
      <c r="B403" s="22" t="str">
        <f>IF(A403&lt;&gt;"",SUMIFS('💸 Transaction ซื้อ'!E:E,'💸 Transaction ซื้อ'!B:B,A403)-SUMIFS('💰 Transaction ขาย'!E:E,'💰 Transaction ขาย'!B:B,A403),"")</f>
        <v/>
      </c>
      <c r="C403" s="23" t="str">
        <f>IF(A403&lt;&gt;"",vlookup(A403,'📦 ชื่อสินค้า'!A:E,5,false),"")</f>
        <v/>
      </c>
      <c r="D403" s="23" t="str">
        <f>IF(A403&lt;&gt;"",VLOOKUP(A403,'📦 ชื่อสินค้า'!A:F,6,false),"")</f>
        <v/>
      </c>
      <c r="E403" s="16" t="str">
        <f>IFERROR(IF(VLOOKUP(A403,'📦 ชื่อสินค้า'!A:G,7,false)="InActive","InActive",IF(A403&lt;&gt;"",IF(B403&lt;=0,"สินค้าหมด",IF(B403&lt;=C403,"ควรเติมทันที","OK")),"")),)</f>
        <v/>
      </c>
      <c r="F403" s="24" t="str">
        <f>IFERROR(IF(A403&lt;&gt;"", SUMIF('💸 Transaction ซื้อ'!B:B,A403,'💸 Transaction ซื้อ'!G:G)/SUMIF('💸 Transaction ซื้อ'!B:B,A403,'💸 Transaction ซื้อ'!E:E),""),"-")</f>
        <v/>
      </c>
      <c r="G403" s="24" t="str">
        <f t="shared" si="1"/>
        <v/>
      </c>
      <c r="H403" s="25"/>
      <c r="I403" s="26"/>
      <c r="J403" s="26"/>
      <c r="K403" s="27" t="str">
        <f>IF(A403&lt;&gt;"",IF(E403="InActive","-",SUMIFS('💰 Transaction ขาย'!E:E,'💰 Transaction ขาย'!B:B,A403,'💰 Transaction ขาย'!A:A,"&gt;"&amp;'⚙️ Config'!$H$1-'⚙️ Config'!$H$2)),)</f>
        <v/>
      </c>
      <c r="L403" s="28" t="str">
        <f>IF(E403="InActive","-",IF(A403&lt;&gt;"",K403/'⚙️ Config'!$H$2,))</f>
        <v/>
      </c>
      <c r="M403" s="28" t="str">
        <f t="shared" si="2"/>
        <v/>
      </c>
      <c r="N403" s="28" t="str">
        <f>IF(A403&lt;&gt;"", SUMIFS('💰 Transaction ขาย'!F:F,'💰 Transaction ขาย'!B:B,A403,'💰 Transaction ขาย'!A:A,"&gt;="&amp;DATE(YEAR('⚙️ Config'!$H$1),1,1),'💰 Transaction ขาย'!A:A,"&lt;="&amp;DATE(YEAR('⚙️ Config'!$H$1),12,31)),)</f>
        <v/>
      </c>
    </row>
    <row r="404">
      <c r="A404" s="22"/>
      <c r="B404" s="22" t="str">
        <f>IF(A404&lt;&gt;"",SUMIFS('💸 Transaction ซื้อ'!E:E,'💸 Transaction ซื้อ'!B:B,A404)-SUMIFS('💰 Transaction ขาย'!E:E,'💰 Transaction ขาย'!B:B,A404),"")</f>
        <v/>
      </c>
      <c r="C404" s="23" t="str">
        <f>IF(A404&lt;&gt;"",vlookup(A404,'📦 ชื่อสินค้า'!A:E,5,false),"")</f>
        <v/>
      </c>
      <c r="D404" s="23" t="str">
        <f>IF(A404&lt;&gt;"",VLOOKUP(A404,'📦 ชื่อสินค้า'!A:F,6,false),"")</f>
        <v/>
      </c>
      <c r="E404" s="16" t="str">
        <f>IFERROR(IF(VLOOKUP(A404,'📦 ชื่อสินค้า'!A:G,7,false)="InActive","InActive",IF(A404&lt;&gt;"",IF(B404&lt;=0,"สินค้าหมด",IF(B404&lt;=C404,"ควรเติมทันที","OK")),"")),)</f>
        <v/>
      </c>
      <c r="F404" s="24" t="str">
        <f>IFERROR(IF(A404&lt;&gt;"", SUMIF('💸 Transaction ซื้อ'!B:B,A404,'💸 Transaction ซื้อ'!G:G)/SUMIF('💸 Transaction ซื้อ'!B:B,A404,'💸 Transaction ซื้อ'!E:E),""),"-")</f>
        <v/>
      </c>
      <c r="G404" s="24" t="str">
        <f t="shared" si="1"/>
        <v/>
      </c>
      <c r="H404" s="25"/>
      <c r="I404" s="26"/>
      <c r="J404" s="26"/>
      <c r="K404" s="27" t="str">
        <f>IF(A404&lt;&gt;"",IF(E404="InActive","-",SUMIFS('💰 Transaction ขาย'!E:E,'💰 Transaction ขาย'!B:B,A404,'💰 Transaction ขาย'!A:A,"&gt;"&amp;'⚙️ Config'!$H$1-'⚙️ Config'!$H$2)),)</f>
        <v/>
      </c>
      <c r="L404" s="28" t="str">
        <f>IF(E404="InActive","-",IF(A404&lt;&gt;"",K404/'⚙️ Config'!$H$2,))</f>
        <v/>
      </c>
      <c r="M404" s="28" t="str">
        <f t="shared" si="2"/>
        <v/>
      </c>
      <c r="N404" s="28" t="str">
        <f>IF(A404&lt;&gt;"", SUMIFS('💰 Transaction ขาย'!F:F,'💰 Transaction ขาย'!B:B,A404,'💰 Transaction ขาย'!A:A,"&gt;="&amp;DATE(YEAR('⚙️ Config'!$H$1),1,1),'💰 Transaction ขาย'!A:A,"&lt;="&amp;DATE(YEAR('⚙️ Config'!$H$1),12,31)),)</f>
        <v/>
      </c>
    </row>
    <row r="405">
      <c r="A405" s="22"/>
      <c r="B405" s="22" t="str">
        <f>IF(A405&lt;&gt;"",SUMIFS('💸 Transaction ซื้อ'!E:E,'💸 Transaction ซื้อ'!B:B,A405)-SUMIFS('💰 Transaction ขาย'!E:E,'💰 Transaction ขาย'!B:B,A405),"")</f>
        <v/>
      </c>
      <c r="C405" s="23" t="str">
        <f>IF(A405&lt;&gt;"",vlookup(A405,'📦 ชื่อสินค้า'!A:E,5,false),"")</f>
        <v/>
      </c>
      <c r="D405" s="23" t="str">
        <f>IF(A405&lt;&gt;"",VLOOKUP(A405,'📦 ชื่อสินค้า'!A:F,6,false),"")</f>
        <v/>
      </c>
      <c r="E405" s="16" t="str">
        <f>IFERROR(IF(VLOOKUP(A405,'📦 ชื่อสินค้า'!A:G,7,false)="InActive","InActive",IF(A405&lt;&gt;"",IF(B405&lt;=0,"สินค้าหมด",IF(B405&lt;=C405,"ควรเติมทันที","OK")),"")),)</f>
        <v/>
      </c>
      <c r="F405" s="24" t="str">
        <f>IFERROR(IF(A405&lt;&gt;"", SUMIF('💸 Transaction ซื้อ'!B:B,A405,'💸 Transaction ซื้อ'!G:G)/SUMIF('💸 Transaction ซื้อ'!B:B,A405,'💸 Transaction ซื้อ'!E:E),""),"-")</f>
        <v/>
      </c>
      <c r="G405" s="24" t="str">
        <f t="shared" si="1"/>
        <v/>
      </c>
      <c r="H405" s="25"/>
      <c r="I405" s="26"/>
      <c r="J405" s="26"/>
      <c r="K405" s="27" t="str">
        <f>IF(A405&lt;&gt;"",IF(E405="InActive","-",SUMIFS('💰 Transaction ขาย'!E:E,'💰 Transaction ขาย'!B:B,A405,'💰 Transaction ขาย'!A:A,"&gt;"&amp;'⚙️ Config'!$H$1-'⚙️ Config'!$H$2)),)</f>
        <v/>
      </c>
      <c r="L405" s="28" t="str">
        <f>IF(E405="InActive","-",IF(A405&lt;&gt;"",K405/'⚙️ Config'!$H$2,))</f>
        <v/>
      </c>
      <c r="M405" s="28" t="str">
        <f t="shared" si="2"/>
        <v/>
      </c>
      <c r="N405" s="28" t="str">
        <f>IF(A405&lt;&gt;"", SUMIFS('💰 Transaction ขาย'!F:F,'💰 Transaction ขาย'!B:B,A405,'💰 Transaction ขาย'!A:A,"&gt;="&amp;DATE(YEAR('⚙️ Config'!$H$1),1,1),'💰 Transaction ขาย'!A:A,"&lt;="&amp;DATE(YEAR('⚙️ Config'!$H$1),12,31)),)</f>
        <v/>
      </c>
    </row>
    <row r="406">
      <c r="A406" s="22"/>
      <c r="B406" s="22" t="str">
        <f>IF(A406&lt;&gt;"",SUMIFS('💸 Transaction ซื้อ'!E:E,'💸 Transaction ซื้อ'!B:B,A406)-SUMIFS('💰 Transaction ขาย'!E:E,'💰 Transaction ขาย'!B:B,A406),"")</f>
        <v/>
      </c>
      <c r="C406" s="23" t="str">
        <f>IF(A406&lt;&gt;"",vlookup(A406,'📦 ชื่อสินค้า'!A:E,5,false),"")</f>
        <v/>
      </c>
      <c r="D406" s="23" t="str">
        <f>IF(A406&lt;&gt;"",VLOOKUP(A406,'📦 ชื่อสินค้า'!A:F,6,false),"")</f>
        <v/>
      </c>
      <c r="E406" s="16" t="str">
        <f>IFERROR(IF(VLOOKUP(A406,'📦 ชื่อสินค้า'!A:G,7,false)="InActive","InActive",IF(A406&lt;&gt;"",IF(B406&lt;=0,"สินค้าหมด",IF(B406&lt;=C406,"ควรเติมทันที","OK")),"")),)</f>
        <v/>
      </c>
      <c r="F406" s="24" t="str">
        <f>IFERROR(IF(A406&lt;&gt;"", SUMIF('💸 Transaction ซื้อ'!B:B,A406,'💸 Transaction ซื้อ'!G:G)/SUMIF('💸 Transaction ซื้อ'!B:B,A406,'💸 Transaction ซื้อ'!E:E),""),"-")</f>
        <v/>
      </c>
      <c r="G406" s="24" t="str">
        <f t="shared" si="1"/>
        <v/>
      </c>
      <c r="H406" s="25"/>
      <c r="I406" s="26"/>
      <c r="J406" s="26"/>
      <c r="K406" s="27" t="str">
        <f>IF(A406&lt;&gt;"",IF(E406="InActive","-",SUMIFS('💰 Transaction ขาย'!E:E,'💰 Transaction ขาย'!B:B,A406,'💰 Transaction ขาย'!A:A,"&gt;"&amp;'⚙️ Config'!$H$1-'⚙️ Config'!$H$2)),)</f>
        <v/>
      </c>
      <c r="L406" s="28" t="str">
        <f>IF(E406="InActive","-",IF(A406&lt;&gt;"",K406/'⚙️ Config'!$H$2,))</f>
        <v/>
      </c>
      <c r="M406" s="28" t="str">
        <f t="shared" si="2"/>
        <v/>
      </c>
      <c r="N406" s="28" t="str">
        <f>IF(A406&lt;&gt;"", SUMIFS('💰 Transaction ขาย'!F:F,'💰 Transaction ขาย'!B:B,A406,'💰 Transaction ขาย'!A:A,"&gt;="&amp;DATE(YEAR('⚙️ Config'!$H$1),1,1),'💰 Transaction ขาย'!A:A,"&lt;="&amp;DATE(YEAR('⚙️ Config'!$H$1),12,31)),)</f>
        <v/>
      </c>
    </row>
    <row r="407">
      <c r="A407" s="22"/>
      <c r="B407" s="22" t="str">
        <f>IF(A407&lt;&gt;"",SUMIFS('💸 Transaction ซื้อ'!E:E,'💸 Transaction ซื้อ'!B:B,A407)-SUMIFS('💰 Transaction ขาย'!E:E,'💰 Transaction ขาย'!B:B,A407),"")</f>
        <v/>
      </c>
      <c r="C407" s="23" t="str">
        <f>IF(A407&lt;&gt;"",vlookup(A407,'📦 ชื่อสินค้า'!A:E,5,false),"")</f>
        <v/>
      </c>
      <c r="D407" s="23" t="str">
        <f>IF(A407&lt;&gt;"",VLOOKUP(A407,'📦 ชื่อสินค้า'!A:F,6,false),"")</f>
        <v/>
      </c>
      <c r="E407" s="16" t="str">
        <f>IFERROR(IF(VLOOKUP(A407,'📦 ชื่อสินค้า'!A:G,7,false)="InActive","InActive",IF(A407&lt;&gt;"",IF(B407&lt;=0,"สินค้าหมด",IF(B407&lt;=C407,"ควรเติมทันที","OK")),"")),)</f>
        <v/>
      </c>
      <c r="F407" s="24" t="str">
        <f>IFERROR(IF(A407&lt;&gt;"", SUMIF('💸 Transaction ซื้อ'!B:B,A407,'💸 Transaction ซื้อ'!G:G)/SUMIF('💸 Transaction ซื้อ'!B:B,A407,'💸 Transaction ซื้อ'!E:E),""),"-")</f>
        <v/>
      </c>
      <c r="G407" s="24" t="str">
        <f t="shared" si="1"/>
        <v/>
      </c>
      <c r="H407" s="25"/>
      <c r="I407" s="26"/>
      <c r="J407" s="26"/>
      <c r="K407" s="27" t="str">
        <f>IF(A407&lt;&gt;"",IF(E407="InActive","-",SUMIFS('💰 Transaction ขาย'!E:E,'💰 Transaction ขาย'!B:B,A407,'💰 Transaction ขาย'!A:A,"&gt;"&amp;'⚙️ Config'!$H$1-'⚙️ Config'!$H$2)),)</f>
        <v/>
      </c>
      <c r="L407" s="28" t="str">
        <f>IF(E407="InActive","-",IF(A407&lt;&gt;"",K407/'⚙️ Config'!$H$2,))</f>
        <v/>
      </c>
      <c r="M407" s="28" t="str">
        <f t="shared" si="2"/>
        <v/>
      </c>
      <c r="N407" s="28" t="str">
        <f>IF(A407&lt;&gt;"", SUMIFS('💰 Transaction ขาย'!F:F,'💰 Transaction ขาย'!B:B,A407,'💰 Transaction ขาย'!A:A,"&gt;="&amp;DATE(YEAR('⚙️ Config'!$H$1),1,1),'💰 Transaction ขาย'!A:A,"&lt;="&amp;DATE(YEAR('⚙️ Config'!$H$1),12,31)),)</f>
        <v/>
      </c>
    </row>
    <row r="408">
      <c r="A408" s="22"/>
      <c r="B408" s="22" t="str">
        <f>IF(A408&lt;&gt;"",SUMIFS('💸 Transaction ซื้อ'!E:E,'💸 Transaction ซื้อ'!B:B,A408)-SUMIFS('💰 Transaction ขาย'!E:E,'💰 Transaction ขาย'!B:B,A408),"")</f>
        <v/>
      </c>
      <c r="C408" s="23" t="str">
        <f>IF(A408&lt;&gt;"",vlookup(A408,'📦 ชื่อสินค้า'!A:E,5,false),"")</f>
        <v/>
      </c>
      <c r="D408" s="23" t="str">
        <f>IF(A408&lt;&gt;"",VLOOKUP(A408,'📦 ชื่อสินค้า'!A:F,6,false),"")</f>
        <v/>
      </c>
      <c r="E408" s="16" t="str">
        <f>IFERROR(IF(VLOOKUP(A408,'📦 ชื่อสินค้า'!A:G,7,false)="InActive","InActive",IF(A408&lt;&gt;"",IF(B408&lt;=0,"สินค้าหมด",IF(B408&lt;=C408,"ควรเติมทันที","OK")),"")),)</f>
        <v/>
      </c>
      <c r="F408" s="24" t="str">
        <f>IFERROR(IF(A408&lt;&gt;"", SUMIF('💸 Transaction ซื้อ'!B:B,A408,'💸 Transaction ซื้อ'!G:G)/SUMIF('💸 Transaction ซื้อ'!B:B,A408,'💸 Transaction ซื้อ'!E:E),""),"-")</f>
        <v/>
      </c>
      <c r="G408" s="24" t="str">
        <f t="shared" si="1"/>
        <v/>
      </c>
      <c r="H408" s="25"/>
      <c r="I408" s="26"/>
      <c r="J408" s="26"/>
      <c r="K408" s="27" t="str">
        <f>IF(A408&lt;&gt;"",IF(E408="InActive","-",SUMIFS('💰 Transaction ขาย'!E:E,'💰 Transaction ขาย'!B:B,A408,'💰 Transaction ขาย'!A:A,"&gt;"&amp;'⚙️ Config'!$H$1-'⚙️ Config'!$H$2)),)</f>
        <v/>
      </c>
      <c r="L408" s="28" t="str">
        <f>IF(E408="InActive","-",IF(A408&lt;&gt;"",K408/'⚙️ Config'!$H$2,))</f>
        <v/>
      </c>
      <c r="M408" s="28" t="str">
        <f t="shared" si="2"/>
        <v/>
      </c>
      <c r="N408" s="28" t="str">
        <f>IF(A408&lt;&gt;"", SUMIFS('💰 Transaction ขาย'!F:F,'💰 Transaction ขาย'!B:B,A408,'💰 Transaction ขาย'!A:A,"&gt;="&amp;DATE(YEAR('⚙️ Config'!$H$1),1,1),'💰 Transaction ขาย'!A:A,"&lt;="&amp;DATE(YEAR('⚙️ Config'!$H$1),12,31)),)</f>
        <v/>
      </c>
    </row>
    <row r="409">
      <c r="A409" s="22"/>
      <c r="B409" s="22" t="str">
        <f>IF(A409&lt;&gt;"",SUMIFS('💸 Transaction ซื้อ'!E:E,'💸 Transaction ซื้อ'!B:B,A409)-SUMIFS('💰 Transaction ขาย'!E:E,'💰 Transaction ขาย'!B:B,A409),"")</f>
        <v/>
      </c>
      <c r="C409" s="23" t="str">
        <f>IF(A409&lt;&gt;"",vlookup(A409,'📦 ชื่อสินค้า'!A:E,5,false),"")</f>
        <v/>
      </c>
      <c r="D409" s="23" t="str">
        <f>IF(A409&lt;&gt;"",VLOOKUP(A409,'📦 ชื่อสินค้า'!A:F,6,false),"")</f>
        <v/>
      </c>
      <c r="E409" s="16" t="str">
        <f>IFERROR(IF(VLOOKUP(A409,'📦 ชื่อสินค้า'!A:G,7,false)="InActive","InActive",IF(A409&lt;&gt;"",IF(B409&lt;=0,"สินค้าหมด",IF(B409&lt;=C409,"ควรเติมทันที","OK")),"")),)</f>
        <v/>
      </c>
      <c r="F409" s="24" t="str">
        <f>IFERROR(IF(A409&lt;&gt;"", SUMIF('💸 Transaction ซื้อ'!B:B,A409,'💸 Transaction ซื้อ'!G:G)/SUMIF('💸 Transaction ซื้อ'!B:B,A409,'💸 Transaction ซื้อ'!E:E),""),"-")</f>
        <v/>
      </c>
      <c r="G409" s="24" t="str">
        <f t="shared" si="1"/>
        <v/>
      </c>
      <c r="H409" s="25"/>
      <c r="I409" s="26"/>
      <c r="J409" s="26"/>
      <c r="K409" s="27" t="str">
        <f>IF(A409&lt;&gt;"",IF(E409="InActive","-",SUMIFS('💰 Transaction ขาย'!E:E,'💰 Transaction ขาย'!B:B,A409,'💰 Transaction ขาย'!A:A,"&gt;"&amp;'⚙️ Config'!$H$1-'⚙️ Config'!$H$2)),)</f>
        <v/>
      </c>
      <c r="L409" s="28" t="str">
        <f>IF(E409="InActive","-",IF(A409&lt;&gt;"",K409/'⚙️ Config'!$H$2,))</f>
        <v/>
      </c>
      <c r="M409" s="28" t="str">
        <f t="shared" si="2"/>
        <v/>
      </c>
      <c r="N409" s="28" t="str">
        <f>IF(A409&lt;&gt;"", SUMIFS('💰 Transaction ขาย'!F:F,'💰 Transaction ขาย'!B:B,A409,'💰 Transaction ขาย'!A:A,"&gt;="&amp;DATE(YEAR('⚙️ Config'!$H$1),1,1),'💰 Transaction ขาย'!A:A,"&lt;="&amp;DATE(YEAR('⚙️ Config'!$H$1),12,31)),)</f>
        <v/>
      </c>
    </row>
    <row r="410">
      <c r="A410" s="22"/>
      <c r="B410" s="22" t="str">
        <f>IF(A410&lt;&gt;"",SUMIFS('💸 Transaction ซื้อ'!E:E,'💸 Transaction ซื้อ'!B:B,A410)-SUMIFS('💰 Transaction ขาย'!E:E,'💰 Transaction ขาย'!B:B,A410),"")</f>
        <v/>
      </c>
      <c r="C410" s="23" t="str">
        <f>IF(A410&lt;&gt;"",vlookup(A410,'📦 ชื่อสินค้า'!A:E,5,false),"")</f>
        <v/>
      </c>
      <c r="D410" s="23" t="str">
        <f>IF(A410&lt;&gt;"",VLOOKUP(A410,'📦 ชื่อสินค้า'!A:F,6,false),"")</f>
        <v/>
      </c>
      <c r="E410" s="16" t="str">
        <f>IFERROR(IF(VLOOKUP(A410,'📦 ชื่อสินค้า'!A:G,7,false)="InActive","InActive",IF(A410&lt;&gt;"",IF(B410&lt;=0,"สินค้าหมด",IF(B410&lt;=C410,"ควรเติมทันที","OK")),"")),)</f>
        <v/>
      </c>
      <c r="F410" s="24" t="str">
        <f>IFERROR(IF(A410&lt;&gt;"", SUMIF('💸 Transaction ซื้อ'!B:B,A410,'💸 Transaction ซื้อ'!G:G)/SUMIF('💸 Transaction ซื้อ'!B:B,A410,'💸 Transaction ซื้อ'!E:E),""),"-")</f>
        <v/>
      </c>
      <c r="G410" s="24" t="str">
        <f t="shared" si="1"/>
        <v/>
      </c>
      <c r="H410" s="25"/>
      <c r="I410" s="26"/>
      <c r="J410" s="26"/>
      <c r="K410" s="27" t="str">
        <f>IF(A410&lt;&gt;"",IF(E410="InActive","-",SUMIFS('💰 Transaction ขาย'!E:E,'💰 Transaction ขาย'!B:B,A410,'💰 Transaction ขาย'!A:A,"&gt;"&amp;'⚙️ Config'!$H$1-'⚙️ Config'!$H$2)),)</f>
        <v/>
      </c>
      <c r="L410" s="28" t="str">
        <f>IF(E410="InActive","-",IF(A410&lt;&gt;"",K410/'⚙️ Config'!$H$2,))</f>
        <v/>
      </c>
      <c r="M410" s="28" t="str">
        <f t="shared" si="2"/>
        <v/>
      </c>
      <c r="N410" s="28" t="str">
        <f>IF(A410&lt;&gt;"", SUMIFS('💰 Transaction ขาย'!F:F,'💰 Transaction ขาย'!B:B,A410,'💰 Transaction ขาย'!A:A,"&gt;="&amp;DATE(YEAR('⚙️ Config'!$H$1),1,1),'💰 Transaction ขาย'!A:A,"&lt;="&amp;DATE(YEAR('⚙️ Config'!$H$1),12,31)),)</f>
        <v/>
      </c>
    </row>
    <row r="411">
      <c r="A411" s="22"/>
      <c r="B411" s="22" t="str">
        <f>IF(A411&lt;&gt;"",SUMIFS('💸 Transaction ซื้อ'!E:E,'💸 Transaction ซื้อ'!B:B,A411)-SUMIFS('💰 Transaction ขาย'!E:E,'💰 Transaction ขาย'!B:B,A411),"")</f>
        <v/>
      </c>
      <c r="C411" s="23" t="str">
        <f>IF(A411&lt;&gt;"",vlookup(A411,'📦 ชื่อสินค้า'!A:E,5,false),"")</f>
        <v/>
      </c>
      <c r="D411" s="23" t="str">
        <f>IF(A411&lt;&gt;"",VLOOKUP(A411,'📦 ชื่อสินค้า'!A:F,6,false),"")</f>
        <v/>
      </c>
      <c r="E411" s="16" t="str">
        <f>IFERROR(IF(VLOOKUP(A411,'📦 ชื่อสินค้า'!A:G,7,false)="InActive","InActive",IF(A411&lt;&gt;"",IF(B411&lt;=0,"สินค้าหมด",IF(B411&lt;=C411,"ควรเติมทันที","OK")),"")),)</f>
        <v/>
      </c>
      <c r="F411" s="24" t="str">
        <f>IFERROR(IF(A411&lt;&gt;"", SUMIF('💸 Transaction ซื้อ'!B:B,A411,'💸 Transaction ซื้อ'!G:G)/SUMIF('💸 Transaction ซื้อ'!B:B,A411,'💸 Transaction ซื้อ'!E:E),""),"-")</f>
        <v/>
      </c>
      <c r="G411" s="24" t="str">
        <f t="shared" si="1"/>
        <v/>
      </c>
      <c r="H411" s="25"/>
      <c r="I411" s="26"/>
      <c r="J411" s="26"/>
      <c r="K411" s="27" t="str">
        <f>IF(A411&lt;&gt;"",IF(E411="InActive","-",SUMIFS('💰 Transaction ขาย'!E:E,'💰 Transaction ขาย'!B:B,A411,'💰 Transaction ขาย'!A:A,"&gt;"&amp;'⚙️ Config'!$H$1-'⚙️ Config'!$H$2)),)</f>
        <v/>
      </c>
      <c r="L411" s="28" t="str">
        <f>IF(E411="InActive","-",IF(A411&lt;&gt;"",K411/'⚙️ Config'!$H$2,))</f>
        <v/>
      </c>
      <c r="M411" s="28" t="str">
        <f t="shared" si="2"/>
        <v/>
      </c>
      <c r="N411" s="28" t="str">
        <f>IF(A411&lt;&gt;"", SUMIFS('💰 Transaction ขาย'!F:F,'💰 Transaction ขาย'!B:B,A411,'💰 Transaction ขาย'!A:A,"&gt;="&amp;DATE(YEAR('⚙️ Config'!$H$1),1,1),'💰 Transaction ขาย'!A:A,"&lt;="&amp;DATE(YEAR('⚙️ Config'!$H$1),12,31)),)</f>
        <v/>
      </c>
    </row>
    <row r="412">
      <c r="A412" s="22"/>
      <c r="B412" s="22" t="str">
        <f>IF(A412&lt;&gt;"",SUMIFS('💸 Transaction ซื้อ'!E:E,'💸 Transaction ซื้อ'!B:B,A412)-SUMIFS('💰 Transaction ขาย'!E:E,'💰 Transaction ขาย'!B:B,A412),"")</f>
        <v/>
      </c>
      <c r="C412" s="23" t="str">
        <f>IF(A412&lt;&gt;"",vlookup(A412,'📦 ชื่อสินค้า'!A:E,5,false),"")</f>
        <v/>
      </c>
      <c r="D412" s="23" t="str">
        <f>IF(A412&lt;&gt;"",VLOOKUP(A412,'📦 ชื่อสินค้า'!A:F,6,false),"")</f>
        <v/>
      </c>
      <c r="E412" s="16" t="str">
        <f>IFERROR(IF(VLOOKUP(A412,'📦 ชื่อสินค้า'!A:G,7,false)="InActive","InActive",IF(A412&lt;&gt;"",IF(B412&lt;=0,"สินค้าหมด",IF(B412&lt;=C412,"ควรเติมทันที","OK")),"")),)</f>
        <v/>
      </c>
      <c r="F412" s="24" t="str">
        <f>IFERROR(IF(A412&lt;&gt;"", SUMIF('💸 Transaction ซื้อ'!B:B,A412,'💸 Transaction ซื้อ'!G:G)/SUMIF('💸 Transaction ซื้อ'!B:B,A412,'💸 Transaction ซื้อ'!E:E),""),"-")</f>
        <v/>
      </c>
      <c r="G412" s="24" t="str">
        <f t="shared" si="1"/>
        <v/>
      </c>
      <c r="H412" s="25"/>
      <c r="I412" s="26"/>
      <c r="J412" s="26"/>
      <c r="K412" s="27" t="str">
        <f>IF(A412&lt;&gt;"",IF(E412="InActive","-",SUMIFS('💰 Transaction ขาย'!E:E,'💰 Transaction ขาย'!B:B,A412,'💰 Transaction ขาย'!A:A,"&gt;"&amp;'⚙️ Config'!$H$1-'⚙️ Config'!$H$2)),)</f>
        <v/>
      </c>
      <c r="L412" s="28" t="str">
        <f>IF(E412="InActive","-",IF(A412&lt;&gt;"",K412/'⚙️ Config'!$H$2,))</f>
        <v/>
      </c>
      <c r="M412" s="28" t="str">
        <f t="shared" si="2"/>
        <v/>
      </c>
      <c r="N412" s="28" t="str">
        <f>IF(A412&lt;&gt;"", SUMIFS('💰 Transaction ขาย'!F:F,'💰 Transaction ขาย'!B:B,A412,'💰 Transaction ขาย'!A:A,"&gt;="&amp;DATE(YEAR('⚙️ Config'!$H$1),1,1),'💰 Transaction ขาย'!A:A,"&lt;="&amp;DATE(YEAR('⚙️ Config'!$H$1),12,31)),)</f>
        <v/>
      </c>
    </row>
    <row r="413">
      <c r="A413" s="22"/>
      <c r="B413" s="22" t="str">
        <f>IF(A413&lt;&gt;"",SUMIFS('💸 Transaction ซื้อ'!E:E,'💸 Transaction ซื้อ'!B:B,A413)-SUMIFS('💰 Transaction ขาย'!E:E,'💰 Transaction ขาย'!B:B,A413),"")</f>
        <v/>
      </c>
      <c r="C413" s="23" t="str">
        <f>IF(A413&lt;&gt;"",vlookup(A413,'📦 ชื่อสินค้า'!A:E,5,false),"")</f>
        <v/>
      </c>
      <c r="D413" s="23" t="str">
        <f>IF(A413&lt;&gt;"",VLOOKUP(A413,'📦 ชื่อสินค้า'!A:F,6,false),"")</f>
        <v/>
      </c>
      <c r="E413" s="16" t="str">
        <f>IFERROR(IF(VLOOKUP(A413,'📦 ชื่อสินค้า'!A:G,7,false)="InActive","InActive",IF(A413&lt;&gt;"",IF(B413&lt;=0,"สินค้าหมด",IF(B413&lt;=C413,"ควรเติมทันที","OK")),"")),)</f>
        <v/>
      </c>
      <c r="F413" s="24" t="str">
        <f>IFERROR(IF(A413&lt;&gt;"", SUMIF('💸 Transaction ซื้อ'!B:B,A413,'💸 Transaction ซื้อ'!G:G)/SUMIF('💸 Transaction ซื้อ'!B:B,A413,'💸 Transaction ซื้อ'!E:E),""),"-")</f>
        <v/>
      </c>
      <c r="G413" s="24" t="str">
        <f t="shared" si="1"/>
        <v/>
      </c>
      <c r="H413" s="25"/>
      <c r="I413" s="26"/>
      <c r="J413" s="26"/>
      <c r="K413" s="27" t="str">
        <f>IF(A413&lt;&gt;"",IF(E413="InActive","-",SUMIFS('💰 Transaction ขาย'!E:E,'💰 Transaction ขาย'!B:B,A413,'💰 Transaction ขาย'!A:A,"&gt;"&amp;'⚙️ Config'!$H$1-'⚙️ Config'!$H$2)),)</f>
        <v/>
      </c>
      <c r="L413" s="28" t="str">
        <f>IF(E413="InActive","-",IF(A413&lt;&gt;"",K413/'⚙️ Config'!$H$2,))</f>
        <v/>
      </c>
      <c r="M413" s="28" t="str">
        <f t="shared" si="2"/>
        <v/>
      </c>
      <c r="N413" s="28" t="str">
        <f>IF(A413&lt;&gt;"", SUMIFS('💰 Transaction ขาย'!F:F,'💰 Transaction ขาย'!B:B,A413,'💰 Transaction ขาย'!A:A,"&gt;="&amp;DATE(YEAR('⚙️ Config'!$H$1),1,1),'💰 Transaction ขาย'!A:A,"&lt;="&amp;DATE(YEAR('⚙️ Config'!$H$1),12,31)),)</f>
        <v/>
      </c>
    </row>
    <row r="414">
      <c r="A414" s="22"/>
      <c r="B414" s="22" t="str">
        <f>IF(A414&lt;&gt;"",SUMIFS('💸 Transaction ซื้อ'!E:E,'💸 Transaction ซื้อ'!B:B,A414)-SUMIFS('💰 Transaction ขาย'!E:E,'💰 Transaction ขาย'!B:B,A414),"")</f>
        <v/>
      </c>
      <c r="C414" s="23" t="str">
        <f>IF(A414&lt;&gt;"",vlookup(A414,'📦 ชื่อสินค้า'!A:E,5,false),"")</f>
        <v/>
      </c>
      <c r="D414" s="23" t="str">
        <f>IF(A414&lt;&gt;"",VLOOKUP(A414,'📦 ชื่อสินค้า'!A:F,6,false),"")</f>
        <v/>
      </c>
      <c r="E414" s="16" t="str">
        <f>IFERROR(IF(VLOOKUP(A414,'📦 ชื่อสินค้า'!A:G,7,false)="InActive","InActive",IF(A414&lt;&gt;"",IF(B414&lt;=0,"สินค้าหมด",IF(B414&lt;=C414,"ควรเติมทันที","OK")),"")),)</f>
        <v/>
      </c>
      <c r="F414" s="24" t="str">
        <f>IFERROR(IF(A414&lt;&gt;"", SUMIF('💸 Transaction ซื้อ'!B:B,A414,'💸 Transaction ซื้อ'!G:G)/SUMIF('💸 Transaction ซื้อ'!B:B,A414,'💸 Transaction ซื้อ'!E:E),""),"-")</f>
        <v/>
      </c>
      <c r="G414" s="24" t="str">
        <f t="shared" si="1"/>
        <v/>
      </c>
      <c r="H414" s="25"/>
      <c r="I414" s="26"/>
      <c r="J414" s="26"/>
      <c r="K414" s="27" t="str">
        <f>IF(A414&lt;&gt;"",IF(E414="InActive","-",SUMIFS('💰 Transaction ขาย'!E:E,'💰 Transaction ขาย'!B:B,A414,'💰 Transaction ขาย'!A:A,"&gt;"&amp;'⚙️ Config'!$H$1-'⚙️ Config'!$H$2)),)</f>
        <v/>
      </c>
      <c r="L414" s="28" t="str">
        <f>IF(E414="InActive","-",IF(A414&lt;&gt;"",K414/'⚙️ Config'!$H$2,))</f>
        <v/>
      </c>
      <c r="M414" s="28" t="str">
        <f t="shared" si="2"/>
        <v/>
      </c>
      <c r="N414" s="28" t="str">
        <f>IF(A414&lt;&gt;"", SUMIFS('💰 Transaction ขาย'!F:F,'💰 Transaction ขาย'!B:B,A414,'💰 Transaction ขาย'!A:A,"&gt;="&amp;DATE(YEAR('⚙️ Config'!$H$1),1,1),'💰 Transaction ขาย'!A:A,"&lt;="&amp;DATE(YEAR('⚙️ Config'!$H$1),12,31)),)</f>
        <v/>
      </c>
    </row>
    <row r="415">
      <c r="A415" s="22"/>
      <c r="B415" s="22" t="str">
        <f>IF(A415&lt;&gt;"",SUMIFS('💸 Transaction ซื้อ'!E:E,'💸 Transaction ซื้อ'!B:B,A415)-SUMIFS('💰 Transaction ขาย'!E:E,'💰 Transaction ขาย'!B:B,A415),"")</f>
        <v/>
      </c>
      <c r="C415" s="23" t="str">
        <f>IF(A415&lt;&gt;"",vlookup(A415,'📦 ชื่อสินค้า'!A:E,5,false),"")</f>
        <v/>
      </c>
      <c r="D415" s="23" t="str">
        <f>IF(A415&lt;&gt;"",VLOOKUP(A415,'📦 ชื่อสินค้า'!A:F,6,false),"")</f>
        <v/>
      </c>
      <c r="E415" s="16" t="str">
        <f>IFERROR(IF(VLOOKUP(A415,'📦 ชื่อสินค้า'!A:G,7,false)="InActive","InActive",IF(A415&lt;&gt;"",IF(B415&lt;=0,"สินค้าหมด",IF(B415&lt;=C415,"ควรเติมทันที","OK")),"")),)</f>
        <v/>
      </c>
      <c r="F415" s="24" t="str">
        <f>IFERROR(IF(A415&lt;&gt;"", SUMIF('💸 Transaction ซื้อ'!B:B,A415,'💸 Transaction ซื้อ'!G:G)/SUMIF('💸 Transaction ซื้อ'!B:B,A415,'💸 Transaction ซื้อ'!E:E),""),"-")</f>
        <v/>
      </c>
      <c r="G415" s="24" t="str">
        <f t="shared" si="1"/>
        <v/>
      </c>
      <c r="H415" s="25"/>
      <c r="I415" s="26"/>
      <c r="J415" s="26"/>
      <c r="K415" s="27" t="str">
        <f>IF(A415&lt;&gt;"",IF(E415="InActive","-",SUMIFS('💰 Transaction ขาย'!E:E,'💰 Transaction ขาย'!B:B,A415,'💰 Transaction ขาย'!A:A,"&gt;"&amp;'⚙️ Config'!$H$1-'⚙️ Config'!$H$2)),)</f>
        <v/>
      </c>
      <c r="L415" s="28" t="str">
        <f>IF(E415="InActive","-",IF(A415&lt;&gt;"",K415/'⚙️ Config'!$H$2,))</f>
        <v/>
      </c>
      <c r="M415" s="28" t="str">
        <f t="shared" si="2"/>
        <v/>
      </c>
      <c r="N415" s="28" t="str">
        <f>IF(A415&lt;&gt;"", SUMIFS('💰 Transaction ขาย'!F:F,'💰 Transaction ขาย'!B:B,A415,'💰 Transaction ขาย'!A:A,"&gt;="&amp;DATE(YEAR('⚙️ Config'!$H$1),1,1),'💰 Transaction ขาย'!A:A,"&lt;="&amp;DATE(YEAR('⚙️ Config'!$H$1),12,31)),)</f>
        <v/>
      </c>
    </row>
    <row r="416">
      <c r="A416" s="22"/>
      <c r="B416" s="22" t="str">
        <f>IF(A416&lt;&gt;"",SUMIFS('💸 Transaction ซื้อ'!E:E,'💸 Transaction ซื้อ'!B:B,A416)-SUMIFS('💰 Transaction ขาย'!E:E,'💰 Transaction ขาย'!B:B,A416),"")</f>
        <v/>
      </c>
      <c r="C416" s="23" t="str">
        <f>IF(A416&lt;&gt;"",vlookup(A416,'📦 ชื่อสินค้า'!A:E,5,false),"")</f>
        <v/>
      </c>
      <c r="D416" s="23" t="str">
        <f>IF(A416&lt;&gt;"",VLOOKUP(A416,'📦 ชื่อสินค้า'!A:F,6,false),"")</f>
        <v/>
      </c>
      <c r="E416" s="16" t="str">
        <f>IFERROR(IF(VLOOKUP(A416,'📦 ชื่อสินค้า'!A:G,7,false)="InActive","InActive",IF(A416&lt;&gt;"",IF(B416&lt;=0,"สินค้าหมด",IF(B416&lt;=C416,"ควรเติมทันที","OK")),"")),)</f>
        <v/>
      </c>
      <c r="F416" s="24" t="str">
        <f>IFERROR(IF(A416&lt;&gt;"", SUMIF('💸 Transaction ซื้อ'!B:B,A416,'💸 Transaction ซื้อ'!G:G)/SUMIF('💸 Transaction ซื้อ'!B:B,A416,'💸 Transaction ซื้อ'!E:E),""),"-")</f>
        <v/>
      </c>
      <c r="G416" s="24" t="str">
        <f t="shared" si="1"/>
        <v/>
      </c>
      <c r="H416" s="25"/>
      <c r="I416" s="26"/>
      <c r="J416" s="26"/>
      <c r="K416" s="27" t="str">
        <f>IF(A416&lt;&gt;"",IF(E416="InActive","-",SUMIFS('💰 Transaction ขาย'!E:E,'💰 Transaction ขาย'!B:B,A416,'💰 Transaction ขาย'!A:A,"&gt;"&amp;'⚙️ Config'!$H$1-'⚙️ Config'!$H$2)),)</f>
        <v/>
      </c>
      <c r="L416" s="28" t="str">
        <f>IF(E416="InActive","-",IF(A416&lt;&gt;"",K416/'⚙️ Config'!$H$2,))</f>
        <v/>
      </c>
      <c r="M416" s="28" t="str">
        <f t="shared" si="2"/>
        <v/>
      </c>
      <c r="N416" s="28" t="str">
        <f>IF(A416&lt;&gt;"", SUMIFS('💰 Transaction ขาย'!F:F,'💰 Transaction ขาย'!B:B,A416,'💰 Transaction ขาย'!A:A,"&gt;="&amp;DATE(YEAR('⚙️ Config'!$H$1),1,1),'💰 Transaction ขาย'!A:A,"&lt;="&amp;DATE(YEAR('⚙️ Config'!$H$1),12,31)),)</f>
        <v/>
      </c>
    </row>
    <row r="417">
      <c r="A417" s="22"/>
      <c r="B417" s="22" t="str">
        <f>IF(A417&lt;&gt;"",SUMIFS('💸 Transaction ซื้อ'!E:E,'💸 Transaction ซื้อ'!B:B,A417)-SUMIFS('💰 Transaction ขาย'!E:E,'💰 Transaction ขาย'!B:B,A417),"")</f>
        <v/>
      </c>
      <c r="C417" s="23" t="str">
        <f>IF(A417&lt;&gt;"",vlookup(A417,'📦 ชื่อสินค้า'!A:E,5,false),"")</f>
        <v/>
      </c>
      <c r="D417" s="23" t="str">
        <f>IF(A417&lt;&gt;"",VLOOKUP(A417,'📦 ชื่อสินค้า'!A:F,6,false),"")</f>
        <v/>
      </c>
      <c r="E417" s="16" t="str">
        <f>IFERROR(IF(VLOOKUP(A417,'📦 ชื่อสินค้า'!A:G,7,false)="InActive","InActive",IF(A417&lt;&gt;"",IF(B417&lt;=0,"สินค้าหมด",IF(B417&lt;=C417,"ควรเติมทันที","OK")),"")),)</f>
        <v/>
      </c>
      <c r="F417" s="24" t="str">
        <f>IFERROR(IF(A417&lt;&gt;"", SUMIF('💸 Transaction ซื้อ'!B:B,A417,'💸 Transaction ซื้อ'!G:G)/SUMIF('💸 Transaction ซื้อ'!B:B,A417,'💸 Transaction ซื้อ'!E:E),""),"-")</f>
        <v/>
      </c>
      <c r="G417" s="24" t="str">
        <f t="shared" si="1"/>
        <v/>
      </c>
      <c r="H417" s="25"/>
      <c r="I417" s="26"/>
      <c r="J417" s="26"/>
      <c r="K417" s="27" t="str">
        <f>IF(A417&lt;&gt;"",IF(E417="InActive","-",SUMIFS('💰 Transaction ขาย'!E:E,'💰 Transaction ขาย'!B:B,A417,'💰 Transaction ขาย'!A:A,"&gt;"&amp;'⚙️ Config'!$H$1-'⚙️ Config'!$H$2)),)</f>
        <v/>
      </c>
      <c r="L417" s="28" t="str">
        <f>IF(E417="InActive","-",IF(A417&lt;&gt;"",K417/'⚙️ Config'!$H$2,))</f>
        <v/>
      </c>
      <c r="M417" s="28" t="str">
        <f t="shared" si="2"/>
        <v/>
      </c>
      <c r="N417" s="28" t="str">
        <f>IF(A417&lt;&gt;"", SUMIFS('💰 Transaction ขาย'!F:F,'💰 Transaction ขาย'!B:B,A417,'💰 Transaction ขาย'!A:A,"&gt;="&amp;DATE(YEAR('⚙️ Config'!$H$1),1,1),'💰 Transaction ขาย'!A:A,"&lt;="&amp;DATE(YEAR('⚙️ Config'!$H$1),12,31)),)</f>
        <v/>
      </c>
    </row>
    <row r="418">
      <c r="A418" s="22"/>
      <c r="B418" s="22" t="str">
        <f>IF(A418&lt;&gt;"",SUMIFS('💸 Transaction ซื้อ'!E:E,'💸 Transaction ซื้อ'!B:B,A418)-SUMIFS('💰 Transaction ขาย'!E:E,'💰 Transaction ขาย'!B:B,A418),"")</f>
        <v/>
      </c>
      <c r="C418" s="23" t="str">
        <f>IF(A418&lt;&gt;"",vlookup(A418,'📦 ชื่อสินค้า'!A:E,5,false),"")</f>
        <v/>
      </c>
      <c r="D418" s="23" t="str">
        <f>IF(A418&lt;&gt;"",VLOOKUP(A418,'📦 ชื่อสินค้า'!A:F,6,false),"")</f>
        <v/>
      </c>
      <c r="E418" s="16" t="str">
        <f>IFERROR(IF(VLOOKUP(A418,'📦 ชื่อสินค้า'!A:G,7,false)="InActive","InActive",IF(A418&lt;&gt;"",IF(B418&lt;=0,"สินค้าหมด",IF(B418&lt;=C418,"ควรเติมทันที","OK")),"")),)</f>
        <v/>
      </c>
      <c r="F418" s="24" t="str">
        <f>IFERROR(IF(A418&lt;&gt;"", SUMIF('💸 Transaction ซื้อ'!B:B,A418,'💸 Transaction ซื้อ'!G:G)/SUMIF('💸 Transaction ซื้อ'!B:B,A418,'💸 Transaction ซื้อ'!E:E),""),"-")</f>
        <v/>
      </c>
      <c r="G418" s="24" t="str">
        <f t="shared" si="1"/>
        <v/>
      </c>
      <c r="H418" s="25"/>
      <c r="I418" s="26"/>
      <c r="J418" s="26"/>
      <c r="K418" s="27" t="str">
        <f>IF(A418&lt;&gt;"",IF(E418="InActive","-",SUMIFS('💰 Transaction ขาย'!E:E,'💰 Transaction ขาย'!B:B,A418,'💰 Transaction ขาย'!A:A,"&gt;"&amp;'⚙️ Config'!$H$1-'⚙️ Config'!$H$2)),)</f>
        <v/>
      </c>
      <c r="L418" s="28" t="str">
        <f>IF(E418="InActive","-",IF(A418&lt;&gt;"",K418/'⚙️ Config'!$H$2,))</f>
        <v/>
      </c>
      <c r="M418" s="28" t="str">
        <f t="shared" si="2"/>
        <v/>
      </c>
      <c r="N418" s="28" t="str">
        <f>IF(A418&lt;&gt;"", SUMIFS('💰 Transaction ขาย'!F:F,'💰 Transaction ขาย'!B:B,A418,'💰 Transaction ขาย'!A:A,"&gt;="&amp;DATE(YEAR('⚙️ Config'!$H$1),1,1),'💰 Transaction ขาย'!A:A,"&lt;="&amp;DATE(YEAR('⚙️ Config'!$H$1),12,31)),)</f>
        <v/>
      </c>
    </row>
    <row r="419">
      <c r="A419" s="22"/>
      <c r="B419" s="22" t="str">
        <f>IF(A419&lt;&gt;"",SUMIFS('💸 Transaction ซื้อ'!E:E,'💸 Transaction ซื้อ'!B:B,A419)-SUMIFS('💰 Transaction ขาย'!E:E,'💰 Transaction ขาย'!B:B,A419),"")</f>
        <v/>
      </c>
      <c r="C419" s="23" t="str">
        <f>IF(A419&lt;&gt;"",vlookup(A419,'📦 ชื่อสินค้า'!A:E,5,false),"")</f>
        <v/>
      </c>
      <c r="D419" s="23" t="str">
        <f>IF(A419&lt;&gt;"",VLOOKUP(A419,'📦 ชื่อสินค้า'!A:F,6,false),"")</f>
        <v/>
      </c>
      <c r="E419" s="16" t="str">
        <f>IFERROR(IF(VLOOKUP(A419,'📦 ชื่อสินค้า'!A:G,7,false)="InActive","InActive",IF(A419&lt;&gt;"",IF(B419&lt;=0,"สินค้าหมด",IF(B419&lt;=C419,"ควรเติมทันที","OK")),"")),)</f>
        <v/>
      </c>
      <c r="F419" s="24" t="str">
        <f>IFERROR(IF(A419&lt;&gt;"", SUMIF('💸 Transaction ซื้อ'!B:B,A419,'💸 Transaction ซื้อ'!G:G)/SUMIF('💸 Transaction ซื้อ'!B:B,A419,'💸 Transaction ซื้อ'!E:E),""),"-")</f>
        <v/>
      </c>
      <c r="G419" s="24" t="str">
        <f t="shared" si="1"/>
        <v/>
      </c>
      <c r="H419" s="25"/>
      <c r="I419" s="26"/>
      <c r="J419" s="26"/>
      <c r="K419" s="27" t="str">
        <f>IF(A419&lt;&gt;"",IF(E419="InActive","-",SUMIFS('💰 Transaction ขาย'!E:E,'💰 Transaction ขาย'!B:B,A419,'💰 Transaction ขาย'!A:A,"&gt;"&amp;'⚙️ Config'!$H$1-'⚙️ Config'!$H$2)),)</f>
        <v/>
      </c>
      <c r="L419" s="28" t="str">
        <f>IF(E419="InActive","-",IF(A419&lt;&gt;"",K419/'⚙️ Config'!$H$2,))</f>
        <v/>
      </c>
      <c r="M419" s="28" t="str">
        <f t="shared" si="2"/>
        <v/>
      </c>
      <c r="N419" s="28" t="str">
        <f>IF(A419&lt;&gt;"", SUMIFS('💰 Transaction ขาย'!F:F,'💰 Transaction ขาย'!B:B,A419,'💰 Transaction ขาย'!A:A,"&gt;="&amp;DATE(YEAR('⚙️ Config'!$H$1),1,1),'💰 Transaction ขาย'!A:A,"&lt;="&amp;DATE(YEAR('⚙️ Config'!$H$1),12,31)),)</f>
        <v/>
      </c>
    </row>
    <row r="420">
      <c r="A420" s="22"/>
      <c r="B420" s="22" t="str">
        <f>IF(A420&lt;&gt;"",SUMIFS('💸 Transaction ซื้อ'!E:E,'💸 Transaction ซื้อ'!B:B,A420)-SUMIFS('💰 Transaction ขาย'!E:E,'💰 Transaction ขาย'!B:B,A420),"")</f>
        <v/>
      </c>
      <c r="C420" s="23" t="str">
        <f>IF(A420&lt;&gt;"",vlookup(A420,'📦 ชื่อสินค้า'!A:E,5,false),"")</f>
        <v/>
      </c>
      <c r="D420" s="23" t="str">
        <f>IF(A420&lt;&gt;"",VLOOKUP(A420,'📦 ชื่อสินค้า'!A:F,6,false),"")</f>
        <v/>
      </c>
      <c r="E420" s="16" t="str">
        <f>IFERROR(IF(VLOOKUP(A420,'📦 ชื่อสินค้า'!A:G,7,false)="InActive","InActive",IF(A420&lt;&gt;"",IF(B420&lt;=0,"สินค้าหมด",IF(B420&lt;=C420,"ควรเติมทันที","OK")),"")),)</f>
        <v/>
      </c>
      <c r="F420" s="24" t="str">
        <f>IFERROR(IF(A420&lt;&gt;"", SUMIF('💸 Transaction ซื้อ'!B:B,A420,'💸 Transaction ซื้อ'!G:G)/SUMIF('💸 Transaction ซื้อ'!B:B,A420,'💸 Transaction ซื้อ'!E:E),""),"-")</f>
        <v/>
      </c>
      <c r="G420" s="24" t="str">
        <f t="shared" si="1"/>
        <v/>
      </c>
      <c r="H420" s="25"/>
      <c r="I420" s="26"/>
      <c r="J420" s="26"/>
      <c r="K420" s="27" t="str">
        <f>IF(A420&lt;&gt;"",IF(E420="InActive","-",SUMIFS('💰 Transaction ขาย'!E:E,'💰 Transaction ขาย'!B:B,A420,'💰 Transaction ขาย'!A:A,"&gt;"&amp;'⚙️ Config'!$H$1-'⚙️ Config'!$H$2)),)</f>
        <v/>
      </c>
      <c r="L420" s="28" t="str">
        <f>IF(E420="InActive","-",IF(A420&lt;&gt;"",K420/'⚙️ Config'!$H$2,))</f>
        <v/>
      </c>
      <c r="M420" s="28" t="str">
        <f t="shared" si="2"/>
        <v/>
      </c>
      <c r="N420" s="28" t="str">
        <f>IF(A420&lt;&gt;"", SUMIFS('💰 Transaction ขาย'!F:F,'💰 Transaction ขาย'!B:B,A420,'💰 Transaction ขาย'!A:A,"&gt;="&amp;DATE(YEAR('⚙️ Config'!$H$1),1,1),'💰 Transaction ขาย'!A:A,"&lt;="&amp;DATE(YEAR('⚙️ Config'!$H$1),12,31)),)</f>
        <v/>
      </c>
    </row>
    <row r="421">
      <c r="A421" s="22"/>
      <c r="B421" s="22" t="str">
        <f>IF(A421&lt;&gt;"",SUMIFS('💸 Transaction ซื้อ'!E:E,'💸 Transaction ซื้อ'!B:B,A421)-SUMIFS('💰 Transaction ขาย'!E:E,'💰 Transaction ขาย'!B:B,A421),"")</f>
        <v/>
      </c>
      <c r="C421" s="23" t="str">
        <f>IF(A421&lt;&gt;"",vlookup(A421,'📦 ชื่อสินค้า'!A:E,5,false),"")</f>
        <v/>
      </c>
      <c r="D421" s="23" t="str">
        <f>IF(A421&lt;&gt;"",VLOOKUP(A421,'📦 ชื่อสินค้า'!A:F,6,false),"")</f>
        <v/>
      </c>
      <c r="E421" s="16" t="str">
        <f>IFERROR(IF(VLOOKUP(A421,'📦 ชื่อสินค้า'!A:G,7,false)="InActive","InActive",IF(A421&lt;&gt;"",IF(B421&lt;=0,"สินค้าหมด",IF(B421&lt;=C421,"ควรเติมทันที","OK")),"")),)</f>
        <v/>
      </c>
      <c r="F421" s="24" t="str">
        <f>IFERROR(IF(A421&lt;&gt;"", SUMIF('💸 Transaction ซื้อ'!B:B,A421,'💸 Transaction ซื้อ'!G:G)/SUMIF('💸 Transaction ซื้อ'!B:B,A421,'💸 Transaction ซื้อ'!E:E),""),"-")</f>
        <v/>
      </c>
      <c r="G421" s="24" t="str">
        <f t="shared" si="1"/>
        <v/>
      </c>
      <c r="H421" s="25"/>
      <c r="I421" s="26"/>
      <c r="J421" s="26"/>
      <c r="K421" s="27" t="str">
        <f>IF(A421&lt;&gt;"",IF(E421="InActive","-",SUMIFS('💰 Transaction ขาย'!E:E,'💰 Transaction ขาย'!B:B,A421,'💰 Transaction ขาย'!A:A,"&gt;"&amp;'⚙️ Config'!$H$1-'⚙️ Config'!$H$2)),)</f>
        <v/>
      </c>
      <c r="L421" s="28" t="str">
        <f>IF(E421="InActive","-",IF(A421&lt;&gt;"",K421/'⚙️ Config'!$H$2,))</f>
        <v/>
      </c>
      <c r="M421" s="28" t="str">
        <f t="shared" si="2"/>
        <v/>
      </c>
      <c r="N421" s="28" t="str">
        <f>IF(A421&lt;&gt;"", SUMIFS('💰 Transaction ขาย'!F:F,'💰 Transaction ขาย'!B:B,A421,'💰 Transaction ขาย'!A:A,"&gt;="&amp;DATE(YEAR('⚙️ Config'!$H$1),1,1),'💰 Transaction ขาย'!A:A,"&lt;="&amp;DATE(YEAR('⚙️ Config'!$H$1),12,31)),)</f>
        <v/>
      </c>
    </row>
    <row r="422">
      <c r="A422" s="22"/>
      <c r="B422" s="22" t="str">
        <f>IF(A422&lt;&gt;"",SUMIFS('💸 Transaction ซื้อ'!E:E,'💸 Transaction ซื้อ'!B:B,A422)-SUMIFS('💰 Transaction ขาย'!E:E,'💰 Transaction ขาย'!B:B,A422),"")</f>
        <v/>
      </c>
      <c r="C422" s="23" t="str">
        <f>IF(A422&lt;&gt;"",vlookup(A422,'📦 ชื่อสินค้า'!A:E,5,false),"")</f>
        <v/>
      </c>
      <c r="D422" s="23" t="str">
        <f>IF(A422&lt;&gt;"",VLOOKUP(A422,'📦 ชื่อสินค้า'!A:F,6,false),"")</f>
        <v/>
      </c>
      <c r="E422" s="16" t="str">
        <f>IFERROR(IF(VLOOKUP(A422,'📦 ชื่อสินค้า'!A:G,7,false)="InActive","InActive",IF(A422&lt;&gt;"",IF(B422&lt;=0,"สินค้าหมด",IF(B422&lt;=C422,"ควรเติมทันที","OK")),"")),)</f>
        <v/>
      </c>
      <c r="F422" s="24" t="str">
        <f>IFERROR(IF(A422&lt;&gt;"", SUMIF('💸 Transaction ซื้อ'!B:B,A422,'💸 Transaction ซื้อ'!G:G)/SUMIF('💸 Transaction ซื้อ'!B:B,A422,'💸 Transaction ซื้อ'!E:E),""),"-")</f>
        <v/>
      </c>
      <c r="G422" s="24" t="str">
        <f t="shared" si="1"/>
        <v/>
      </c>
      <c r="H422" s="25"/>
      <c r="I422" s="26"/>
      <c r="J422" s="26"/>
      <c r="K422" s="27" t="str">
        <f>IF(A422&lt;&gt;"",IF(E422="InActive","-",SUMIFS('💰 Transaction ขาย'!E:E,'💰 Transaction ขาย'!B:B,A422,'💰 Transaction ขาย'!A:A,"&gt;"&amp;'⚙️ Config'!$H$1-'⚙️ Config'!$H$2)),)</f>
        <v/>
      </c>
      <c r="L422" s="28" t="str">
        <f>IF(E422="InActive","-",IF(A422&lt;&gt;"",K422/'⚙️ Config'!$H$2,))</f>
        <v/>
      </c>
      <c r="M422" s="28" t="str">
        <f t="shared" si="2"/>
        <v/>
      </c>
      <c r="N422" s="28" t="str">
        <f>IF(A422&lt;&gt;"", SUMIFS('💰 Transaction ขาย'!F:F,'💰 Transaction ขาย'!B:B,A422,'💰 Transaction ขาย'!A:A,"&gt;="&amp;DATE(YEAR('⚙️ Config'!$H$1),1,1),'💰 Transaction ขาย'!A:A,"&lt;="&amp;DATE(YEAR('⚙️ Config'!$H$1),12,31)),)</f>
        <v/>
      </c>
    </row>
    <row r="423">
      <c r="A423" s="22"/>
      <c r="B423" s="22" t="str">
        <f>IF(A423&lt;&gt;"",SUMIFS('💸 Transaction ซื้อ'!E:E,'💸 Transaction ซื้อ'!B:B,A423)-SUMIFS('💰 Transaction ขาย'!E:E,'💰 Transaction ขาย'!B:B,A423),"")</f>
        <v/>
      </c>
      <c r="C423" s="23" t="str">
        <f>IF(A423&lt;&gt;"",vlookup(A423,'📦 ชื่อสินค้า'!A:E,5,false),"")</f>
        <v/>
      </c>
      <c r="D423" s="23" t="str">
        <f>IF(A423&lt;&gt;"",VLOOKUP(A423,'📦 ชื่อสินค้า'!A:F,6,false),"")</f>
        <v/>
      </c>
      <c r="E423" s="16" t="str">
        <f>IFERROR(IF(VLOOKUP(A423,'📦 ชื่อสินค้า'!A:G,7,false)="InActive","InActive",IF(A423&lt;&gt;"",IF(B423&lt;=0,"สินค้าหมด",IF(B423&lt;=C423,"ควรเติมทันที","OK")),"")),)</f>
        <v/>
      </c>
      <c r="F423" s="24" t="str">
        <f>IFERROR(IF(A423&lt;&gt;"", SUMIF('💸 Transaction ซื้อ'!B:B,A423,'💸 Transaction ซื้อ'!G:G)/SUMIF('💸 Transaction ซื้อ'!B:B,A423,'💸 Transaction ซื้อ'!E:E),""),"-")</f>
        <v/>
      </c>
      <c r="G423" s="24" t="str">
        <f t="shared" si="1"/>
        <v/>
      </c>
      <c r="H423" s="25"/>
      <c r="I423" s="26"/>
      <c r="J423" s="26"/>
      <c r="K423" s="27" t="str">
        <f>IF(A423&lt;&gt;"",IF(E423="InActive","-",SUMIFS('💰 Transaction ขาย'!E:E,'💰 Transaction ขาย'!B:B,A423,'💰 Transaction ขาย'!A:A,"&gt;"&amp;'⚙️ Config'!$H$1-'⚙️ Config'!$H$2)),)</f>
        <v/>
      </c>
      <c r="L423" s="28" t="str">
        <f>IF(E423="InActive","-",IF(A423&lt;&gt;"",K423/'⚙️ Config'!$H$2,))</f>
        <v/>
      </c>
      <c r="M423" s="28" t="str">
        <f t="shared" si="2"/>
        <v/>
      </c>
      <c r="N423" s="28" t="str">
        <f>IF(A423&lt;&gt;"", SUMIFS('💰 Transaction ขาย'!F:F,'💰 Transaction ขาย'!B:B,A423,'💰 Transaction ขาย'!A:A,"&gt;="&amp;DATE(YEAR('⚙️ Config'!$H$1),1,1),'💰 Transaction ขาย'!A:A,"&lt;="&amp;DATE(YEAR('⚙️ Config'!$H$1),12,31)),)</f>
        <v/>
      </c>
    </row>
    <row r="424">
      <c r="A424" s="22"/>
      <c r="B424" s="22" t="str">
        <f>IF(A424&lt;&gt;"",SUMIFS('💸 Transaction ซื้อ'!E:E,'💸 Transaction ซื้อ'!B:B,A424)-SUMIFS('💰 Transaction ขาย'!E:E,'💰 Transaction ขาย'!B:B,A424),"")</f>
        <v/>
      </c>
      <c r="C424" s="23" t="str">
        <f>IF(A424&lt;&gt;"",vlookup(A424,'📦 ชื่อสินค้า'!A:E,5,false),"")</f>
        <v/>
      </c>
      <c r="D424" s="23" t="str">
        <f>IF(A424&lt;&gt;"",VLOOKUP(A424,'📦 ชื่อสินค้า'!A:F,6,false),"")</f>
        <v/>
      </c>
      <c r="E424" s="16" t="str">
        <f>IFERROR(IF(VLOOKUP(A424,'📦 ชื่อสินค้า'!A:G,7,false)="InActive","InActive",IF(A424&lt;&gt;"",IF(B424&lt;=0,"สินค้าหมด",IF(B424&lt;=C424,"ควรเติมทันที","OK")),"")),)</f>
        <v/>
      </c>
      <c r="F424" s="24" t="str">
        <f>IFERROR(IF(A424&lt;&gt;"", SUMIF('💸 Transaction ซื้อ'!B:B,A424,'💸 Transaction ซื้อ'!G:G)/SUMIF('💸 Transaction ซื้อ'!B:B,A424,'💸 Transaction ซื้อ'!E:E),""),"-")</f>
        <v/>
      </c>
      <c r="G424" s="24" t="str">
        <f t="shared" si="1"/>
        <v/>
      </c>
      <c r="H424" s="25"/>
      <c r="I424" s="26"/>
      <c r="J424" s="26"/>
      <c r="K424" s="27" t="str">
        <f>IF(A424&lt;&gt;"",IF(E424="InActive","-",SUMIFS('💰 Transaction ขาย'!E:E,'💰 Transaction ขาย'!B:B,A424,'💰 Transaction ขาย'!A:A,"&gt;"&amp;'⚙️ Config'!$H$1-'⚙️ Config'!$H$2)),)</f>
        <v/>
      </c>
      <c r="L424" s="28" t="str">
        <f>IF(E424="InActive","-",IF(A424&lt;&gt;"",K424/'⚙️ Config'!$H$2,))</f>
        <v/>
      </c>
      <c r="M424" s="28" t="str">
        <f t="shared" si="2"/>
        <v/>
      </c>
      <c r="N424" s="28" t="str">
        <f>IF(A424&lt;&gt;"", SUMIFS('💰 Transaction ขาย'!F:F,'💰 Transaction ขาย'!B:B,A424,'💰 Transaction ขาย'!A:A,"&gt;="&amp;DATE(YEAR('⚙️ Config'!$H$1),1,1),'💰 Transaction ขาย'!A:A,"&lt;="&amp;DATE(YEAR('⚙️ Config'!$H$1),12,31)),)</f>
        <v/>
      </c>
    </row>
    <row r="425">
      <c r="A425" s="22"/>
      <c r="B425" s="22" t="str">
        <f>IF(A425&lt;&gt;"",SUMIFS('💸 Transaction ซื้อ'!E:E,'💸 Transaction ซื้อ'!B:B,A425)-SUMIFS('💰 Transaction ขาย'!E:E,'💰 Transaction ขาย'!B:B,A425),"")</f>
        <v/>
      </c>
      <c r="C425" s="23" t="str">
        <f>IF(A425&lt;&gt;"",vlookup(A425,'📦 ชื่อสินค้า'!A:E,5,false),"")</f>
        <v/>
      </c>
      <c r="D425" s="23" t="str">
        <f>IF(A425&lt;&gt;"",VLOOKUP(A425,'📦 ชื่อสินค้า'!A:F,6,false),"")</f>
        <v/>
      </c>
      <c r="E425" s="16" t="str">
        <f>IFERROR(IF(VLOOKUP(A425,'📦 ชื่อสินค้า'!A:G,7,false)="InActive","InActive",IF(A425&lt;&gt;"",IF(B425&lt;=0,"สินค้าหมด",IF(B425&lt;=C425,"ควรเติมทันที","OK")),"")),)</f>
        <v/>
      </c>
      <c r="F425" s="24" t="str">
        <f>IFERROR(IF(A425&lt;&gt;"", SUMIF('💸 Transaction ซื้อ'!B:B,A425,'💸 Transaction ซื้อ'!G:G)/SUMIF('💸 Transaction ซื้อ'!B:B,A425,'💸 Transaction ซื้อ'!E:E),""),"-")</f>
        <v/>
      </c>
      <c r="G425" s="24" t="str">
        <f t="shared" si="1"/>
        <v/>
      </c>
      <c r="H425" s="25"/>
      <c r="I425" s="26"/>
      <c r="J425" s="26"/>
      <c r="K425" s="27" t="str">
        <f>IF(A425&lt;&gt;"",IF(E425="InActive","-",SUMIFS('💰 Transaction ขาย'!E:E,'💰 Transaction ขาย'!B:B,A425,'💰 Transaction ขาย'!A:A,"&gt;"&amp;'⚙️ Config'!$H$1-'⚙️ Config'!$H$2)),)</f>
        <v/>
      </c>
      <c r="L425" s="28" t="str">
        <f>IF(E425="InActive","-",IF(A425&lt;&gt;"",K425/'⚙️ Config'!$H$2,))</f>
        <v/>
      </c>
      <c r="M425" s="28" t="str">
        <f t="shared" si="2"/>
        <v/>
      </c>
      <c r="N425" s="28" t="str">
        <f>IF(A425&lt;&gt;"", SUMIFS('💰 Transaction ขาย'!F:F,'💰 Transaction ขาย'!B:B,A425,'💰 Transaction ขาย'!A:A,"&gt;="&amp;DATE(YEAR('⚙️ Config'!$H$1),1,1),'💰 Transaction ขาย'!A:A,"&lt;="&amp;DATE(YEAR('⚙️ Config'!$H$1),12,31)),)</f>
        <v/>
      </c>
    </row>
    <row r="426">
      <c r="A426" s="22"/>
      <c r="B426" s="22" t="str">
        <f>IF(A426&lt;&gt;"",SUMIFS('💸 Transaction ซื้อ'!E:E,'💸 Transaction ซื้อ'!B:B,A426)-SUMIFS('💰 Transaction ขาย'!E:E,'💰 Transaction ขาย'!B:B,A426),"")</f>
        <v/>
      </c>
      <c r="C426" s="23" t="str">
        <f>IF(A426&lt;&gt;"",vlookup(A426,'📦 ชื่อสินค้า'!A:E,5,false),"")</f>
        <v/>
      </c>
      <c r="D426" s="23" t="str">
        <f>IF(A426&lt;&gt;"",VLOOKUP(A426,'📦 ชื่อสินค้า'!A:F,6,false),"")</f>
        <v/>
      </c>
      <c r="E426" s="16" t="str">
        <f>IFERROR(IF(VLOOKUP(A426,'📦 ชื่อสินค้า'!A:G,7,false)="InActive","InActive",IF(A426&lt;&gt;"",IF(B426&lt;=0,"สินค้าหมด",IF(B426&lt;=C426,"ควรเติมทันที","OK")),"")),)</f>
        <v/>
      </c>
      <c r="F426" s="24" t="str">
        <f>IFERROR(IF(A426&lt;&gt;"", SUMIF('💸 Transaction ซื้อ'!B:B,A426,'💸 Transaction ซื้อ'!G:G)/SUMIF('💸 Transaction ซื้อ'!B:B,A426,'💸 Transaction ซื้อ'!E:E),""),"-")</f>
        <v/>
      </c>
      <c r="G426" s="24" t="str">
        <f t="shared" si="1"/>
        <v/>
      </c>
      <c r="H426" s="25"/>
      <c r="I426" s="26"/>
      <c r="J426" s="26"/>
      <c r="K426" s="27" t="str">
        <f>IF(A426&lt;&gt;"",IF(E426="InActive","-",SUMIFS('💰 Transaction ขาย'!E:E,'💰 Transaction ขาย'!B:B,A426,'💰 Transaction ขาย'!A:A,"&gt;"&amp;'⚙️ Config'!$H$1-'⚙️ Config'!$H$2)),)</f>
        <v/>
      </c>
      <c r="L426" s="28" t="str">
        <f>IF(E426="InActive","-",IF(A426&lt;&gt;"",K426/'⚙️ Config'!$H$2,))</f>
        <v/>
      </c>
      <c r="M426" s="28" t="str">
        <f t="shared" si="2"/>
        <v/>
      </c>
      <c r="N426" s="28" t="str">
        <f>IF(A426&lt;&gt;"", SUMIFS('💰 Transaction ขาย'!F:F,'💰 Transaction ขาย'!B:B,A426,'💰 Transaction ขาย'!A:A,"&gt;="&amp;DATE(YEAR('⚙️ Config'!$H$1),1,1),'💰 Transaction ขาย'!A:A,"&lt;="&amp;DATE(YEAR('⚙️ Config'!$H$1),12,31)),)</f>
        <v/>
      </c>
    </row>
    <row r="427">
      <c r="A427" s="22"/>
      <c r="B427" s="22" t="str">
        <f>IF(A427&lt;&gt;"",SUMIFS('💸 Transaction ซื้อ'!E:E,'💸 Transaction ซื้อ'!B:B,A427)-SUMIFS('💰 Transaction ขาย'!E:E,'💰 Transaction ขาย'!B:B,A427),"")</f>
        <v/>
      </c>
      <c r="C427" s="23" t="str">
        <f>IF(A427&lt;&gt;"",vlookup(A427,'📦 ชื่อสินค้า'!A:E,5,false),"")</f>
        <v/>
      </c>
      <c r="D427" s="23" t="str">
        <f>IF(A427&lt;&gt;"",VLOOKUP(A427,'📦 ชื่อสินค้า'!A:F,6,false),"")</f>
        <v/>
      </c>
      <c r="E427" s="16" t="str">
        <f>IFERROR(IF(VLOOKUP(A427,'📦 ชื่อสินค้า'!A:G,7,false)="InActive","InActive",IF(A427&lt;&gt;"",IF(B427&lt;=0,"สินค้าหมด",IF(B427&lt;=C427,"ควรเติมทันที","OK")),"")),)</f>
        <v/>
      </c>
      <c r="F427" s="24" t="str">
        <f>IFERROR(IF(A427&lt;&gt;"", SUMIF('💸 Transaction ซื้อ'!B:B,A427,'💸 Transaction ซื้อ'!G:G)/SUMIF('💸 Transaction ซื้อ'!B:B,A427,'💸 Transaction ซื้อ'!E:E),""),"-")</f>
        <v/>
      </c>
      <c r="G427" s="24" t="str">
        <f t="shared" si="1"/>
        <v/>
      </c>
      <c r="H427" s="25"/>
      <c r="I427" s="26"/>
      <c r="J427" s="26"/>
      <c r="K427" s="27" t="str">
        <f>IF(A427&lt;&gt;"",IF(E427="InActive","-",SUMIFS('💰 Transaction ขาย'!E:E,'💰 Transaction ขาย'!B:B,A427,'💰 Transaction ขาย'!A:A,"&gt;"&amp;'⚙️ Config'!$H$1-'⚙️ Config'!$H$2)),)</f>
        <v/>
      </c>
      <c r="L427" s="28" t="str">
        <f>IF(E427="InActive","-",IF(A427&lt;&gt;"",K427/'⚙️ Config'!$H$2,))</f>
        <v/>
      </c>
      <c r="M427" s="28" t="str">
        <f t="shared" si="2"/>
        <v/>
      </c>
      <c r="N427" s="28" t="str">
        <f>IF(A427&lt;&gt;"", SUMIFS('💰 Transaction ขาย'!F:F,'💰 Transaction ขาย'!B:B,A427,'💰 Transaction ขาย'!A:A,"&gt;="&amp;DATE(YEAR('⚙️ Config'!$H$1),1,1),'💰 Transaction ขาย'!A:A,"&lt;="&amp;DATE(YEAR('⚙️ Config'!$H$1),12,31)),)</f>
        <v/>
      </c>
    </row>
    <row r="428">
      <c r="A428" s="22"/>
      <c r="B428" s="22" t="str">
        <f>IF(A428&lt;&gt;"",SUMIFS('💸 Transaction ซื้อ'!E:E,'💸 Transaction ซื้อ'!B:B,A428)-SUMIFS('💰 Transaction ขาย'!E:E,'💰 Transaction ขาย'!B:B,A428),"")</f>
        <v/>
      </c>
      <c r="C428" s="23" t="str">
        <f>IF(A428&lt;&gt;"",vlookup(A428,'📦 ชื่อสินค้า'!A:E,5,false),"")</f>
        <v/>
      </c>
      <c r="D428" s="23" t="str">
        <f>IF(A428&lt;&gt;"",VLOOKUP(A428,'📦 ชื่อสินค้า'!A:F,6,false),"")</f>
        <v/>
      </c>
      <c r="E428" s="16" t="str">
        <f>IFERROR(IF(VLOOKUP(A428,'📦 ชื่อสินค้า'!A:G,7,false)="InActive","InActive",IF(A428&lt;&gt;"",IF(B428&lt;=0,"สินค้าหมด",IF(B428&lt;=C428,"ควรเติมทันที","OK")),"")),)</f>
        <v/>
      </c>
      <c r="F428" s="24" t="str">
        <f>IFERROR(IF(A428&lt;&gt;"", SUMIF('💸 Transaction ซื้อ'!B:B,A428,'💸 Transaction ซื้อ'!G:G)/SUMIF('💸 Transaction ซื้อ'!B:B,A428,'💸 Transaction ซื้อ'!E:E),""),"-")</f>
        <v/>
      </c>
      <c r="G428" s="24" t="str">
        <f t="shared" si="1"/>
        <v/>
      </c>
      <c r="H428" s="25"/>
      <c r="I428" s="26"/>
      <c r="J428" s="26"/>
      <c r="K428" s="27" t="str">
        <f>IF(A428&lt;&gt;"",IF(E428="InActive","-",SUMIFS('💰 Transaction ขาย'!E:E,'💰 Transaction ขาย'!B:B,A428,'💰 Transaction ขาย'!A:A,"&gt;"&amp;'⚙️ Config'!$H$1-'⚙️ Config'!$H$2)),)</f>
        <v/>
      </c>
      <c r="L428" s="28" t="str">
        <f>IF(E428="InActive","-",IF(A428&lt;&gt;"",K428/'⚙️ Config'!$H$2,))</f>
        <v/>
      </c>
      <c r="M428" s="28" t="str">
        <f t="shared" si="2"/>
        <v/>
      </c>
      <c r="N428" s="28" t="str">
        <f>IF(A428&lt;&gt;"", SUMIFS('💰 Transaction ขาย'!F:F,'💰 Transaction ขาย'!B:B,A428,'💰 Transaction ขาย'!A:A,"&gt;="&amp;DATE(YEAR('⚙️ Config'!$H$1),1,1),'💰 Transaction ขาย'!A:A,"&lt;="&amp;DATE(YEAR('⚙️ Config'!$H$1),12,31)),)</f>
        <v/>
      </c>
    </row>
    <row r="429">
      <c r="A429" s="22"/>
      <c r="B429" s="22" t="str">
        <f>IF(A429&lt;&gt;"",SUMIFS('💸 Transaction ซื้อ'!E:E,'💸 Transaction ซื้อ'!B:B,A429)-SUMIFS('💰 Transaction ขาย'!E:E,'💰 Transaction ขาย'!B:B,A429),"")</f>
        <v/>
      </c>
      <c r="C429" s="23" t="str">
        <f>IF(A429&lt;&gt;"",vlookup(A429,'📦 ชื่อสินค้า'!A:E,5,false),"")</f>
        <v/>
      </c>
      <c r="D429" s="23" t="str">
        <f>IF(A429&lt;&gt;"",VLOOKUP(A429,'📦 ชื่อสินค้า'!A:F,6,false),"")</f>
        <v/>
      </c>
      <c r="E429" s="16" t="str">
        <f>IFERROR(IF(VLOOKUP(A429,'📦 ชื่อสินค้า'!A:G,7,false)="InActive","InActive",IF(A429&lt;&gt;"",IF(B429&lt;=0,"สินค้าหมด",IF(B429&lt;=C429,"ควรเติมทันที","OK")),"")),)</f>
        <v/>
      </c>
      <c r="F429" s="24" t="str">
        <f>IFERROR(IF(A429&lt;&gt;"", SUMIF('💸 Transaction ซื้อ'!B:B,A429,'💸 Transaction ซื้อ'!G:G)/SUMIF('💸 Transaction ซื้อ'!B:B,A429,'💸 Transaction ซื้อ'!E:E),""),"-")</f>
        <v/>
      </c>
      <c r="G429" s="24" t="str">
        <f t="shared" si="1"/>
        <v/>
      </c>
      <c r="H429" s="25"/>
      <c r="I429" s="26"/>
      <c r="J429" s="26"/>
      <c r="K429" s="27" t="str">
        <f>IF(A429&lt;&gt;"",IF(E429="InActive","-",SUMIFS('💰 Transaction ขาย'!E:E,'💰 Transaction ขาย'!B:B,A429,'💰 Transaction ขาย'!A:A,"&gt;"&amp;'⚙️ Config'!$H$1-'⚙️ Config'!$H$2)),)</f>
        <v/>
      </c>
      <c r="L429" s="28" t="str">
        <f>IF(E429="InActive","-",IF(A429&lt;&gt;"",K429/'⚙️ Config'!$H$2,))</f>
        <v/>
      </c>
      <c r="M429" s="28" t="str">
        <f t="shared" si="2"/>
        <v/>
      </c>
      <c r="N429" s="28" t="str">
        <f>IF(A429&lt;&gt;"", SUMIFS('💰 Transaction ขาย'!F:F,'💰 Transaction ขาย'!B:B,A429,'💰 Transaction ขาย'!A:A,"&gt;="&amp;DATE(YEAR('⚙️ Config'!$H$1),1,1),'💰 Transaction ขาย'!A:A,"&lt;="&amp;DATE(YEAR('⚙️ Config'!$H$1),12,31)),)</f>
        <v/>
      </c>
    </row>
    <row r="430">
      <c r="A430" s="22"/>
      <c r="B430" s="22" t="str">
        <f>IF(A430&lt;&gt;"",SUMIFS('💸 Transaction ซื้อ'!E:E,'💸 Transaction ซื้อ'!B:B,A430)-SUMIFS('💰 Transaction ขาย'!E:E,'💰 Transaction ขาย'!B:B,A430),"")</f>
        <v/>
      </c>
      <c r="C430" s="23" t="str">
        <f>IF(A430&lt;&gt;"",vlookup(A430,'📦 ชื่อสินค้า'!A:E,5,false),"")</f>
        <v/>
      </c>
      <c r="D430" s="23" t="str">
        <f>IF(A430&lt;&gt;"",VLOOKUP(A430,'📦 ชื่อสินค้า'!A:F,6,false),"")</f>
        <v/>
      </c>
      <c r="E430" s="16" t="str">
        <f>IFERROR(IF(VLOOKUP(A430,'📦 ชื่อสินค้า'!A:G,7,false)="InActive","InActive",IF(A430&lt;&gt;"",IF(B430&lt;=0,"สินค้าหมด",IF(B430&lt;=C430,"ควรเติมทันที","OK")),"")),)</f>
        <v/>
      </c>
      <c r="F430" s="24" t="str">
        <f>IFERROR(IF(A430&lt;&gt;"", SUMIF('💸 Transaction ซื้อ'!B:B,A430,'💸 Transaction ซื้อ'!G:G)/SUMIF('💸 Transaction ซื้อ'!B:B,A430,'💸 Transaction ซื้อ'!E:E),""),"-")</f>
        <v/>
      </c>
      <c r="G430" s="24" t="str">
        <f t="shared" si="1"/>
        <v/>
      </c>
      <c r="H430" s="25"/>
      <c r="I430" s="26"/>
      <c r="J430" s="26"/>
      <c r="K430" s="27" t="str">
        <f>IF(A430&lt;&gt;"",IF(E430="InActive","-",SUMIFS('💰 Transaction ขาย'!E:E,'💰 Transaction ขาย'!B:B,A430,'💰 Transaction ขาย'!A:A,"&gt;"&amp;'⚙️ Config'!$H$1-'⚙️ Config'!$H$2)),)</f>
        <v/>
      </c>
      <c r="L430" s="28" t="str">
        <f>IF(E430="InActive","-",IF(A430&lt;&gt;"",K430/'⚙️ Config'!$H$2,))</f>
        <v/>
      </c>
      <c r="M430" s="28" t="str">
        <f t="shared" si="2"/>
        <v/>
      </c>
      <c r="N430" s="28" t="str">
        <f>IF(A430&lt;&gt;"", SUMIFS('💰 Transaction ขาย'!F:F,'💰 Transaction ขาย'!B:B,A430,'💰 Transaction ขาย'!A:A,"&gt;="&amp;DATE(YEAR('⚙️ Config'!$H$1),1,1),'💰 Transaction ขาย'!A:A,"&lt;="&amp;DATE(YEAR('⚙️ Config'!$H$1),12,31)),)</f>
        <v/>
      </c>
    </row>
    <row r="431">
      <c r="A431" s="22"/>
      <c r="B431" s="22" t="str">
        <f>IF(A431&lt;&gt;"",SUMIFS('💸 Transaction ซื้อ'!E:E,'💸 Transaction ซื้อ'!B:B,A431)-SUMIFS('💰 Transaction ขาย'!E:E,'💰 Transaction ขาย'!B:B,A431),"")</f>
        <v/>
      </c>
      <c r="C431" s="23" t="str">
        <f>IF(A431&lt;&gt;"",vlookup(A431,'📦 ชื่อสินค้า'!A:E,5,false),"")</f>
        <v/>
      </c>
      <c r="D431" s="23" t="str">
        <f>IF(A431&lt;&gt;"",VLOOKUP(A431,'📦 ชื่อสินค้า'!A:F,6,false),"")</f>
        <v/>
      </c>
      <c r="E431" s="16" t="str">
        <f>IFERROR(IF(VLOOKUP(A431,'📦 ชื่อสินค้า'!A:G,7,false)="InActive","InActive",IF(A431&lt;&gt;"",IF(B431&lt;=0,"สินค้าหมด",IF(B431&lt;=C431,"ควรเติมทันที","OK")),"")),)</f>
        <v/>
      </c>
      <c r="F431" s="24" t="str">
        <f>IFERROR(IF(A431&lt;&gt;"", SUMIF('💸 Transaction ซื้อ'!B:B,A431,'💸 Transaction ซื้อ'!G:G)/SUMIF('💸 Transaction ซื้อ'!B:B,A431,'💸 Transaction ซื้อ'!E:E),""),"-")</f>
        <v/>
      </c>
      <c r="G431" s="24" t="str">
        <f t="shared" si="1"/>
        <v/>
      </c>
      <c r="H431" s="25"/>
      <c r="I431" s="26"/>
      <c r="J431" s="26"/>
      <c r="K431" s="27" t="str">
        <f>IF(A431&lt;&gt;"",IF(E431="InActive","-",SUMIFS('💰 Transaction ขาย'!E:E,'💰 Transaction ขาย'!B:B,A431,'💰 Transaction ขาย'!A:A,"&gt;"&amp;'⚙️ Config'!$H$1-'⚙️ Config'!$H$2)),)</f>
        <v/>
      </c>
      <c r="L431" s="28" t="str">
        <f>IF(E431="InActive","-",IF(A431&lt;&gt;"",K431/'⚙️ Config'!$H$2,))</f>
        <v/>
      </c>
      <c r="M431" s="28" t="str">
        <f t="shared" si="2"/>
        <v/>
      </c>
      <c r="N431" s="28" t="str">
        <f>IF(A431&lt;&gt;"", SUMIFS('💰 Transaction ขาย'!F:F,'💰 Transaction ขาย'!B:B,A431,'💰 Transaction ขาย'!A:A,"&gt;="&amp;DATE(YEAR('⚙️ Config'!$H$1),1,1),'💰 Transaction ขาย'!A:A,"&lt;="&amp;DATE(YEAR('⚙️ Config'!$H$1),12,31)),)</f>
        <v/>
      </c>
    </row>
    <row r="432">
      <c r="A432" s="22"/>
      <c r="B432" s="22" t="str">
        <f>IF(A432&lt;&gt;"",SUMIFS('💸 Transaction ซื้อ'!E:E,'💸 Transaction ซื้อ'!B:B,A432)-SUMIFS('💰 Transaction ขาย'!E:E,'💰 Transaction ขาย'!B:B,A432),"")</f>
        <v/>
      </c>
      <c r="C432" s="23" t="str">
        <f>IF(A432&lt;&gt;"",vlookup(A432,'📦 ชื่อสินค้า'!A:E,5,false),"")</f>
        <v/>
      </c>
      <c r="D432" s="23" t="str">
        <f>IF(A432&lt;&gt;"",VLOOKUP(A432,'📦 ชื่อสินค้า'!A:F,6,false),"")</f>
        <v/>
      </c>
      <c r="E432" s="16" t="str">
        <f>IFERROR(IF(VLOOKUP(A432,'📦 ชื่อสินค้า'!A:G,7,false)="InActive","InActive",IF(A432&lt;&gt;"",IF(B432&lt;=0,"สินค้าหมด",IF(B432&lt;=C432,"ควรเติมทันที","OK")),"")),)</f>
        <v/>
      </c>
      <c r="F432" s="24" t="str">
        <f>IFERROR(IF(A432&lt;&gt;"", SUMIF('💸 Transaction ซื้อ'!B:B,A432,'💸 Transaction ซื้อ'!G:G)/SUMIF('💸 Transaction ซื้อ'!B:B,A432,'💸 Transaction ซื้อ'!E:E),""),"-")</f>
        <v/>
      </c>
      <c r="G432" s="24" t="str">
        <f t="shared" si="1"/>
        <v/>
      </c>
      <c r="H432" s="25"/>
      <c r="I432" s="26"/>
      <c r="J432" s="26"/>
      <c r="K432" s="27" t="str">
        <f>IF(A432&lt;&gt;"",IF(E432="InActive","-",SUMIFS('💰 Transaction ขาย'!E:E,'💰 Transaction ขาย'!B:B,A432,'💰 Transaction ขาย'!A:A,"&gt;"&amp;'⚙️ Config'!$H$1-'⚙️ Config'!$H$2)),)</f>
        <v/>
      </c>
      <c r="L432" s="28" t="str">
        <f>IF(E432="InActive","-",IF(A432&lt;&gt;"",K432/'⚙️ Config'!$H$2,))</f>
        <v/>
      </c>
      <c r="M432" s="28" t="str">
        <f t="shared" si="2"/>
        <v/>
      </c>
      <c r="N432" s="28" t="str">
        <f>IF(A432&lt;&gt;"", SUMIFS('💰 Transaction ขาย'!F:F,'💰 Transaction ขาย'!B:B,A432,'💰 Transaction ขาย'!A:A,"&gt;="&amp;DATE(YEAR('⚙️ Config'!$H$1),1,1),'💰 Transaction ขาย'!A:A,"&lt;="&amp;DATE(YEAR('⚙️ Config'!$H$1),12,31)),)</f>
        <v/>
      </c>
    </row>
    <row r="433">
      <c r="A433" s="22"/>
      <c r="B433" s="22" t="str">
        <f>IF(A433&lt;&gt;"",SUMIFS('💸 Transaction ซื้อ'!E:E,'💸 Transaction ซื้อ'!B:B,A433)-SUMIFS('💰 Transaction ขาย'!E:E,'💰 Transaction ขาย'!B:B,A433),"")</f>
        <v/>
      </c>
      <c r="C433" s="23" t="str">
        <f>IF(A433&lt;&gt;"",vlookup(A433,'📦 ชื่อสินค้า'!A:E,5,false),"")</f>
        <v/>
      </c>
      <c r="D433" s="23" t="str">
        <f>IF(A433&lt;&gt;"",VLOOKUP(A433,'📦 ชื่อสินค้า'!A:F,6,false),"")</f>
        <v/>
      </c>
      <c r="E433" s="16" t="str">
        <f>IFERROR(IF(VLOOKUP(A433,'📦 ชื่อสินค้า'!A:G,7,false)="InActive","InActive",IF(A433&lt;&gt;"",IF(B433&lt;=0,"สินค้าหมด",IF(B433&lt;=C433,"ควรเติมทันที","OK")),"")),)</f>
        <v/>
      </c>
      <c r="F433" s="24" t="str">
        <f>IFERROR(IF(A433&lt;&gt;"", SUMIF('💸 Transaction ซื้อ'!B:B,A433,'💸 Transaction ซื้อ'!G:G)/SUMIF('💸 Transaction ซื้อ'!B:B,A433,'💸 Transaction ซื้อ'!E:E),""),"-")</f>
        <v/>
      </c>
      <c r="G433" s="24" t="str">
        <f t="shared" si="1"/>
        <v/>
      </c>
      <c r="H433" s="25"/>
      <c r="I433" s="26"/>
      <c r="J433" s="26"/>
      <c r="K433" s="27" t="str">
        <f>IF(A433&lt;&gt;"",IF(E433="InActive","-",SUMIFS('💰 Transaction ขาย'!E:E,'💰 Transaction ขาย'!B:B,A433,'💰 Transaction ขาย'!A:A,"&gt;"&amp;'⚙️ Config'!$H$1-'⚙️ Config'!$H$2)),)</f>
        <v/>
      </c>
      <c r="L433" s="28" t="str">
        <f>IF(E433="InActive","-",IF(A433&lt;&gt;"",K433/'⚙️ Config'!$H$2,))</f>
        <v/>
      </c>
      <c r="M433" s="28" t="str">
        <f t="shared" si="2"/>
        <v/>
      </c>
      <c r="N433" s="28" t="str">
        <f>IF(A433&lt;&gt;"", SUMIFS('💰 Transaction ขาย'!F:F,'💰 Transaction ขาย'!B:B,A433,'💰 Transaction ขาย'!A:A,"&gt;="&amp;DATE(YEAR('⚙️ Config'!$H$1),1,1),'💰 Transaction ขาย'!A:A,"&lt;="&amp;DATE(YEAR('⚙️ Config'!$H$1),12,31)),)</f>
        <v/>
      </c>
    </row>
    <row r="434">
      <c r="A434" s="22"/>
      <c r="B434" s="22" t="str">
        <f>IF(A434&lt;&gt;"",SUMIFS('💸 Transaction ซื้อ'!E:E,'💸 Transaction ซื้อ'!B:B,A434)-SUMIFS('💰 Transaction ขาย'!E:E,'💰 Transaction ขาย'!B:B,A434),"")</f>
        <v/>
      </c>
      <c r="C434" s="23" t="str">
        <f>IF(A434&lt;&gt;"",vlookup(A434,'📦 ชื่อสินค้า'!A:E,5,false),"")</f>
        <v/>
      </c>
      <c r="D434" s="23" t="str">
        <f>IF(A434&lt;&gt;"",VLOOKUP(A434,'📦 ชื่อสินค้า'!A:F,6,false),"")</f>
        <v/>
      </c>
      <c r="E434" s="16" t="str">
        <f>IFERROR(IF(VLOOKUP(A434,'📦 ชื่อสินค้า'!A:G,7,false)="InActive","InActive",IF(A434&lt;&gt;"",IF(B434&lt;=0,"สินค้าหมด",IF(B434&lt;=C434,"ควรเติมทันที","OK")),"")),)</f>
        <v/>
      </c>
      <c r="F434" s="24" t="str">
        <f>IFERROR(IF(A434&lt;&gt;"", SUMIF('💸 Transaction ซื้อ'!B:B,A434,'💸 Transaction ซื้อ'!G:G)/SUMIF('💸 Transaction ซื้อ'!B:B,A434,'💸 Transaction ซื้อ'!E:E),""),"-")</f>
        <v/>
      </c>
      <c r="G434" s="24" t="str">
        <f t="shared" si="1"/>
        <v/>
      </c>
      <c r="H434" s="25"/>
      <c r="I434" s="26"/>
      <c r="J434" s="26"/>
      <c r="K434" s="27" t="str">
        <f>IF(A434&lt;&gt;"",IF(E434="InActive","-",SUMIFS('💰 Transaction ขาย'!E:E,'💰 Transaction ขาย'!B:B,A434,'💰 Transaction ขาย'!A:A,"&gt;"&amp;'⚙️ Config'!$H$1-'⚙️ Config'!$H$2)),)</f>
        <v/>
      </c>
      <c r="L434" s="28" t="str">
        <f>IF(E434="InActive","-",IF(A434&lt;&gt;"",K434/'⚙️ Config'!$H$2,))</f>
        <v/>
      </c>
      <c r="M434" s="28" t="str">
        <f t="shared" si="2"/>
        <v/>
      </c>
      <c r="N434" s="28" t="str">
        <f>IF(A434&lt;&gt;"", SUMIFS('💰 Transaction ขาย'!F:F,'💰 Transaction ขาย'!B:B,A434,'💰 Transaction ขาย'!A:A,"&gt;="&amp;DATE(YEAR('⚙️ Config'!$H$1),1,1),'💰 Transaction ขาย'!A:A,"&lt;="&amp;DATE(YEAR('⚙️ Config'!$H$1),12,31)),)</f>
        <v/>
      </c>
    </row>
    <row r="435">
      <c r="A435" s="22"/>
      <c r="B435" s="22" t="str">
        <f>IF(A435&lt;&gt;"",SUMIFS('💸 Transaction ซื้อ'!E:E,'💸 Transaction ซื้อ'!B:B,A435)-SUMIFS('💰 Transaction ขาย'!E:E,'💰 Transaction ขาย'!B:B,A435),"")</f>
        <v/>
      </c>
      <c r="C435" s="23" t="str">
        <f>IF(A435&lt;&gt;"",vlookup(A435,'📦 ชื่อสินค้า'!A:E,5,false),"")</f>
        <v/>
      </c>
      <c r="D435" s="23" t="str">
        <f>IF(A435&lt;&gt;"",VLOOKUP(A435,'📦 ชื่อสินค้า'!A:F,6,false),"")</f>
        <v/>
      </c>
      <c r="E435" s="16" t="str">
        <f>IFERROR(IF(VLOOKUP(A435,'📦 ชื่อสินค้า'!A:G,7,false)="InActive","InActive",IF(A435&lt;&gt;"",IF(B435&lt;=0,"สินค้าหมด",IF(B435&lt;=C435,"ควรเติมทันที","OK")),"")),)</f>
        <v/>
      </c>
      <c r="F435" s="24" t="str">
        <f>IFERROR(IF(A435&lt;&gt;"", SUMIF('💸 Transaction ซื้อ'!B:B,A435,'💸 Transaction ซื้อ'!G:G)/SUMIF('💸 Transaction ซื้อ'!B:B,A435,'💸 Transaction ซื้อ'!E:E),""),"-")</f>
        <v/>
      </c>
      <c r="G435" s="24" t="str">
        <f t="shared" si="1"/>
        <v/>
      </c>
      <c r="H435" s="25"/>
      <c r="I435" s="26"/>
      <c r="J435" s="26"/>
      <c r="K435" s="27" t="str">
        <f>IF(A435&lt;&gt;"",IF(E435="InActive","-",SUMIFS('💰 Transaction ขาย'!E:E,'💰 Transaction ขาย'!B:B,A435,'💰 Transaction ขาย'!A:A,"&gt;"&amp;'⚙️ Config'!$H$1-'⚙️ Config'!$H$2)),)</f>
        <v/>
      </c>
      <c r="L435" s="28" t="str">
        <f>IF(E435="InActive","-",IF(A435&lt;&gt;"",K435/'⚙️ Config'!$H$2,))</f>
        <v/>
      </c>
      <c r="M435" s="28" t="str">
        <f t="shared" si="2"/>
        <v/>
      </c>
      <c r="N435" s="28" t="str">
        <f>IF(A435&lt;&gt;"", SUMIFS('💰 Transaction ขาย'!F:F,'💰 Transaction ขาย'!B:B,A435,'💰 Transaction ขาย'!A:A,"&gt;="&amp;DATE(YEAR('⚙️ Config'!$H$1),1,1),'💰 Transaction ขาย'!A:A,"&lt;="&amp;DATE(YEAR('⚙️ Config'!$H$1),12,31)),)</f>
        <v/>
      </c>
    </row>
    <row r="436">
      <c r="A436" s="22"/>
      <c r="B436" s="22" t="str">
        <f>IF(A436&lt;&gt;"",SUMIFS('💸 Transaction ซื้อ'!E:E,'💸 Transaction ซื้อ'!B:B,A436)-SUMIFS('💰 Transaction ขาย'!E:E,'💰 Transaction ขาย'!B:B,A436),"")</f>
        <v/>
      </c>
      <c r="C436" s="23" t="str">
        <f>IF(A436&lt;&gt;"",vlookup(A436,'📦 ชื่อสินค้า'!A:E,5,false),"")</f>
        <v/>
      </c>
      <c r="D436" s="23" t="str">
        <f>IF(A436&lt;&gt;"",VLOOKUP(A436,'📦 ชื่อสินค้า'!A:F,6,false),"")</f>
        <v/>
      </c>
      <c r="E436" s="16" t="str">
        <f>IFERROR(IF(VLOOKUP(A436,'📦 ชื่อสินค้า'!A:G,7,false)="InActive","InActive",IF(A436&lt;&gt;"",IF(B436&lt;=0,"สินค้าหมด",IF(B436&lt;=C436,"ควรเติมทันที","OK")),"")),)</f>
        <v/>
      </c>
      <c r="F436" s="24" t="str">
        <f>IFERROR(IF(A436&lt;&gt;"", SUMIF('💸 Transaction ซื้อ'!B:B,A436,'💸 Transaction ซื้อ'!G:G)/SUMIF('💸 Transaction ซื้อ'!B:B,A436,'💸 Transaction ซื้อ'!E:E),""),"-")</f>
        <v/>
      </c>
      <c r="G436" s="24" t="str">
        <f t="shared" si="1"/>
        <v/>
      </c>
      <c r="H436" s="25"/>
      <c r="I436" s="26"/>
      <c r="J436" s="26"/>
      <c r="K436" s="27" t="str">
        <f>IF(A436&lt;&gt;"",IF(E436="InActive","-",SUMIFS('💰 Transaction ขาย'!E:E,'💰 Transaction ขาย'!B:B,A436,'💰 Transaction ขาย'!A:A,"&gt;"&amp;'⚙️ Config'!$H$1-'⚙️ Config'!$H$2)),)</f>
        <v/>
      </c>
      <c r="L436" s="28" t="str">
        <f>IF(E436="InActive","-",IF(A436&lt;&gt;"",K436/'⚙️ Config'!$H$2,))</f>
        <v/>
      </c>
      <c r="M436" s="28" t="str">
        <f t="shared" si="2"/>
        <v/>
      </c>
      <c r="N436" s="28" t="str">
        <f>IF(A436&lt;&gt;"", SUMIFS('💰 Transaction ขาย'!F:F,'💰 Transaction ขาย'!B:B,A436,'💰 Transaction ขาย'!A:A,"&gt;="&amp;DATE(YEAR('⚙️ Config'!$H$1),1,1),'💰 Transaction ขาย'!A:A,"&lt;="&amp;DATE(YEAR('⚙️ Config'!$H$1),12,31)),)</f>
        <v/>
      </c>
    </row>
    <row r="437">
      <c r="A437" s="22"/>
      <c r="B437" s="22" t="str">
        <f>IF(A437&lt;&gt;"",SUMIFS('💸 Transaction ซื้อ'!E:E,'💸 Transaction ซื้อ'!B:B,A437)-SUMIFS('💰 Transaction ขาย'!E:E,'💰 Transaction ขาย'!B:B,A437),"")</f>
        <v/>
      </c>
      <c r="C437" s="23" t="str">
        <f>IF(A437&lt;&gt;"",vlookup(A437,'📦 ชื่อสินค้า'!A:E,5,false),"")</f>
        <v/>
      </c>
      <c r="D437" s="23" t="str">
        <f>IF(A437&lt;&gt;"",VLOOKUP(A437,'📦 ชื่อสินค้า'!A:F,6,false),"")</f>
        <v/>
      </c>
      <c r="E437" s="16" t="str">
        <f>IFERROR(IF(VLOOKUP(A437,'📦 ชื่อสินค้า'!A:G,7,false)="InActive","InActive",IF(A437&lt;&gt;"",IF(B437&lt;=0,"สินค้าหมด",IF(B437&lt;=C437,"ควรเติมทันที","OK")),"")),)</f>
        <v/>
      </c>
      <c r="F437" s="24" t="str">
        <f>IFERROR(IF(A437&lt;&gt;"", SUMIF('💸 Transaction ซื้อ'!B:B,A437,'💸 Transaction ซื้อ'!G:G)/SUMIF('💸 Transaction ซื้อ'!B:B,A437,'💸 Transaction ซื้อ'!E:E),""),"-")</f>
        <v/>
      </c>
      <c r="G437" s="24" t="str">
        <f t="shared" si="1"/>
        <v/>
      </c>
      <c r="H437" s="25"/>
      <c r="I437" s="26"/>
      <c r="J437" s="26"/>
      <c r="K437" s="27" t="str">
        <f>IF(A437&lt;&gt;"",IF(E437="InActive","-",SUMIFS('💰 Transaction ขาย'!E:E,'💰 Transaction ขาย'!B:B,A437,'💰 Transaction ขาย'!A:A,"&gt;"&amp;'⚙️ Config'!$H$1-'⚙️ Config'!$H$2)),)</f>
        <v/>
      </c>
      <c r="L437" s="28" t="str">
        <f>IF(E437="InActive","-",IF(A437&lt;&gt;"",K437/'⚙️ Config'!$H$2,))</f>
        <v/>
      </c>
      <c r="M437" s="28" t="str">
        <f t="shared" si="2"/>
        <v/>
      </c>
      <c r="N437" s="28" t="str">
        <f>IF(A437&lt;&gt;"", SUMIFS('💰 Transaction ขาย'!F:F,'💰 Transaction ขาย'!B:B,A437,'💰 Transaction ขาย'!A:A,"&gt;="&amp;DATE(YEAR('⚙️ Config'!$H$1),1,1),'💰 Transaction ขาย'!A:A,"&lt;="&amp;DATE(YEAR('⚙️ Config'!$H$1),12,31)),)</f>
        <v/>
      </c>
    </row>
    <row r="438">
      <c r="A438" s="22"/>
      <c r="B438" s="22" t="str">
        <f>IF(A438&lt;&gt;"",SUMIFS('💸 Transaction ซื้อ'!E:E,'💸 Transaction ซื้อ'!B:B,A438)-SUMIFS('💰 Transaction ขาย'!E:E,'💰 Transaction ขาย'!B:B,A438),"")</f>
        <v/>
      </c>
      <c r="C438" s="23" t="str">
        <f>IF(A438&lt;&gt;"",vlookup(A438,'📦 ชื่อสินค้า'!A:E,5,false),"")</f>
        <v/>
      </c>
      <c r="D438" s="23" t="str">
        <f>IF(A438&lt;&gt;"",VLOOKUP(A438,'📦 ชื่อสินค้า'!A:F,6,false),"")</f>
        <v/>
      </c>
      <c r="E438" s="16" t="str">
        <f>IFERROR(IF(VLOOKUP(A438,'📦 ชื่อสินค้า'!A:G,7,false)="InActive","InActive",IF(A438&lt;&gt;"",IF(B438&lt;=0,"สินค้าหมด",IF(B438&lt;=C438,"ควรเติมทันที","OK")),"")),)</f>
        <v/>
      </c>
      <c r="F438" s="24" t="str">
        <f>IFERROR(IF(A438&lt;&gt;"", SUMIF('💸 Transaction ซื้อ'!B:B,A438,'💸 Transaction ซื้อ'!G:G)/SUMIF('💸 Transaction ซื้อ'!B:B,A438,'💸 Transaction ซื้อ'!E:E),""),"-")</f>
        <v/>
      </c>
      <c r="G438" s="24" t="str">
        <f t="shared" si="1"/>
        <v/>
      </c>
      <c r="H438" s="25"/>
      <c r="I438" s="26"/>
      <c r="J438" s="26"/>
      <c r="K438" s="27" t="str">
        <f>IF(A438&lt;&gt;"",IF(E438="InActive","-",SUMIFS('💰 Transaction ขาย'!E:E,'💰 Transaction ขาย'!B:B,A438,'💰 Transaction ขาย'!A:A,"&gt;"&amp;'⚙️ Config'!$H$1-'⚙️ Config'!$H$2)),)</f>
        <v/>
      </c>
      <c r="L438" s="28" t="str">
        <f>IF(E438="InActive","-",IF(A438&lt;&gt;"",K438/'⚙️ Config'!$H$2,))</f>
        <v/>
      </c>
      <c r="M438" s="28" t="str">
        <f t="shared" si="2"/>
        <v/>
      </c>
      <c r="N438" s="28" t="str">
        <f>IF(A438&lt;&gt;"", SUMIFS('💰 Transaction ขาย'!F:F,'💰 Transaction ขาย'!B:B,A438,'💰 Transaction ขาย'!A:A,"&gt;="&amp;DATE(YEAR('⚙️ Config'!$H$1),1,1),'💰 Transaction ขาย'!A:A,"&lt;="&amp;DATE(YEAR('⚙️ Config'!$H$1),12,31)),)</f>
        <v/>
      </c>
    </row>
    <row r="439">
      <c r="A439" s="22"/>
      <c r="B439" s="22" t="str">
        <f>IF(A439&lt;&gt;"",SUMIFS('💸 Transaction ซื้อ'!E:E,'💸 Transaction ซื้อ'!B:B,A439)-SUMIFS('💰 Transaction ขาย'!E:E,'💰 Transaction ขาย'!B:B,A439),"")</f>
        <v/>
      </c>
      <c r="C439" s="23" t="str">
        <f>IF(A439&lt;&gt;"",vlookup(A439,'📦 ชื่อสินค้า'!A:E,5,false),"")</f>
        <v/>
      </c>
      <c r="D439" s="23" t="str">
        <f>IF(A439&lt;&gt;"",VLOOKUP(A439,'📦 ชื่อสินค้า'!A:F,6,false),"")</f>
        <v/>
      </c>
      <c r="E439" s="16" t="str">
        <f>IFERROR(IF(VLOOKUP(A439,'📦 ชื่อสินค้า'!A:G,7,false)="InActive","InActive",IF(A439&lt;&gt;"",IF(B439&lt;=0,"สินค้าหมด",IF(B439&lt;=C439,"ควรเติมทันที","OK")),"")),)</f>
        <v/>
      </c>
      <c r="F439" s="24" t="str">
        <f>IFERROR(IF(A439&lt;&gt;"", SUMIF('💸 Transaction ซื้อ'!B:B,A439,'💸 Transaction ซื้อ'!G:G)/SUMIF('💸 Transaction ซื้อ'!B:B,A439,'💸 Transaction ซื้อ'!E:E),""),"-")</f>
        <v/>
      </c>
      <c r="G439" s="24" t="str">
        <f t="shared" si="1"/>
        <v/>
      </c>
      <c r="H439" s="25"/>
      <c r="I439" s="26"/>
      <c r="J439" s="26"/>
      <c r="K439" s="27" t="str">
        <f>IF(A439&lt;&gt;"",IF(E439="InActive","-",SUMIFS('💰 Transaction ขาย'!E:E,'💰 Transaction ขาย'!B:B,A439,'💰 Transaction ขาย'!A:A,"&gt;"&amp;'⚙️ Config'!$H$1-'⚙️ Config'!$H$2)),)</f>
        <v/>
      </c>
      <c r="L439" s="28" t="str">
        <f>IF(E439="InActive","-",IF(A439&lt;&gt;"",K439/'⚙️ Config'!$H$2,))</f>
        <v/>
      </c>
      <c r="M439" s="28" t="str">
        <f t="shared" si="2"/>
        <v/>
      </c>
      <c r="N439" s="28" t="str">
        <f>IF(A439&lt;&gt;"", SUMIFS('💰 Transaction ขาย'!F:F,'💰 Transaction ขาย'!B:B,A439,'💰 Transaction ขาย'!A:A,"&gt;="&amp;DATE(YEAR('⚙️ Config'!$H$1),1,1),'💰 Transaction ขาย'!A:A,"&lt;="&amp;DATE(YEAR('⚙️ Config'!$H$1),12,31)),)</f>
        <v/>
      </c>
    </row>
    <row r="440">
      <c r="A440" s="22"/>
      <c r="B440" s="22" t="str">
        <f>IF(A440&lt;&gt;"",SUMIFS('💸 Transaction ซื้อ'!E:E,'💸 Transaction ซื้อ'!B:B,A440)-SUMIFS('💰 Transaction ขาย'!E:E,'💰 Transaction ขาย'!B:B,A440),"")</f>
        <v/>
      </c>
      <c r="C440" s="23" t="str">
        <f>IF(A440&lt;&gt;"",vlookup(A440,'📦 ชื่อสินค้า'!A:E,5,false),"")</f>
        <v/>
      </c>
      <c r="D440" s="23" t="str">
        <f>IF(A440&lt;&gt;"",VLOOKUP(A440,'📦 ชื่อสินค้า'!A:F,6,false),"")</f>
        <v/>
      </c>
      <c r="E440" s="16" t="str">
        <f>IFERROR(IF(VLOOKUP(A440,'📦 ชื่อสินค้า'!A:G,7,false)="InActive","InActive",IF(A440&lt;&gt;"",IF(B440&lt;=0,"สินค้าหมด",IF(B440&lt;=C440,"ควรเติมทันที","OK")),"")),)</f>
        <v/>
      </c>
      <c r="F440" s="24" t="str">
        <f>IFERROR(IF(A440&lt;&gt;"", SUMIF('💸 Transaction ซื้อ'!B:B,A440,'💸 Transaction ซื้อ'!G:G)/SUMIF('💸 Transaction ซื้อ'!B:B,A440,'💸 Transaction ซื้อ'!E:E),""),"-")</f>
        <v/>
      </c>
      <c r="G440" s="24" t="str">
        <f t="shared" si="1"/>
        <v/>
      </c>
      <c r="H440" s="25"/>
      <c r="I440" s="26"/>
      <c r="J440" s="26"/>
      <c r="K440" s="27" t="str">
        <f>IF(A440&lt;&gt;"",IF(E440="InActive","-",SUMIFS('💰 Transaction ขาย'!E:E,'💰 Transaction ขาย'!B:B,A440,'💰 Transaction ขาย'!A:A,"&gt;"&amp;'⚙️ Config'!$H$1-'⚙️ Config'!$H$2)),)</f>
        <v/>
      </c>
      <c r="L440" s="28" t="str">
        <f>IF(E440="InActive","-",IF(A440&lt;&gt;"",K440/'⚙️ Config'!$H$2,))</f>
        <v/>
      </c>
      <c r="M440" s="28" t="str">
        <f t="shared" si="2"/>
        <v/>
      </c>
      <c r="N440" s="28" t="str">
        <f>IF(A440&lt;&gt;"", SUMIFS('💰 Transaction ขาย'!F:F,'💰 Transaction ขาย'!B:B,A440,'💰 Transaction ขาย'!A:A,"&gt;="&amp;DATE(YEAR('⚙️ Config'!$H$1),1,1),'💰 Transaction ขาย'!A:A,"&lt;="&amp;DATE(YEAR('⚙️ Config'!$H$1),12,31)),)</f>
        <v/>
      </c>
    </row>
    <row r="441">
      <c r="A441" s="22"/>
      <c r="B441" s="22" t="str">
        <f>IF(A441&lt;&gt;"",SUMIFS('💸 Transaction ซื้อ'!E:E,'💸 Transaction ซื้อ'!B:B,A441)-SUMIFS('💰 Transaction ขาย'!E:E,'💰 Transaction ขาย'!B:B,A441),"")</f>
        <v/>
      </c>
      <c r="C441" s="23" t="str">
        <f>IF(A441&lt;&gt;"",vlookup(A441,'📦 ชื่อสินค้า'!A:E,5,false),"")</f>
        <v/>
      </c>
      <c r="D441" s="23" t="str">
        <f>IF(A441&lt;&gt;"",VLOOKUP(A441,'📦 ชื่อสินค้า'!A:F,6,false),"")</f>
        <v/>
      </c>
      <c r="E441" s="16" t="str">
        <f>IFERROR(IF(VLOOKUP(A441,'📦 ชื่อสินค้า'!A:G,7,false)="InActive","InActive",IF(A441&lt;&gt;"",IF(B441&lt;=0,"สินค้าหมด",IF(B441&lt;=C441,"ควรเติมทันที","OK")),"")),)</f>
        <v/>
      </c>
      <c r="F441" s="24" t="str">
        <f>IFERROR(IF(A441&lt;&gt;"", SUMIF('💸 Transaction ซื้อ'!B:B,A441,'💸 Transaction ซื้อ'!G:G)/SUMIF('💸 Transaction ซื้อ'!B:B,A441,'💸 Transaction ซื้อ'!E:E),""),"-")</f>
        <v/>
      </c>
      <c r="G441" s="24" t="str">
        <f t="shared" si="1"/>
        <v/>
      </c>
      <c r="H441" s="25"/>
      <c r="I441" s="26"/>
      <c r="J441" s="26"/>
      <c r="K441" s="27" t="str">
        <f>IF(A441&lt;&gt;"",IF(E441="InActive","-",SUMIFS('💰 Transaction ขาย'!E:E,'💰 Transaction ขาย'!B:B,A441,'💰 Transaction ขาย'!A:A,"&gt;"&amp;'⚙️ Config'!$H$1-'⚙️ Config'!$H$2)),)</f>
        <v/>
      </c>
      <c r="L441" s="28" t="str">
        <f>IF(E441="InActive","-",IF(A441&lt;&gt;"",K441/'⚙️ Config'!$H$2,))</f>
        <v/>
      </c>
      <c r="M441" s="28" t="str">
        <f t="shared" si="2"/>
        <v/>
      </c>
      <c r="N441" s="28" t="str">
        <f>IF(A441&lt;&gt;"", SUMIFS('💰 Transaction ขาย'!F:F,'💰 Transaction ขาย'!B:B,A441,'💰 Transaction ขาย'!A:A,"&gt;="&amp;DATE(YEAR('⚙️ Config'!$H$1),1,1),'💰 Transaction ขาย'!A:A,"&lt;="&amp;DATE(YEAR('⚙️ Config'!$H$1),12,31)),)</f>
        <v/>
      </c>
    </row>
    <row r="442">
      <c r="A442" s="22"/>
      <c r="B442" s="22" t="str">
        <f>IF(A442&lt;&gt;"",SUMIFS('💸 Transaction ซื้อ'!E:E,'💸 Transaction ซื้อ'!B:B,A442)-SUMIFS('💰 Transaction ขาย'!E:E,'💰 Transaction ขาย'!B:B,A442),"")</f>
        <v/>
      </c>
      <c r="C442" s="23" t="str">
        <f>IF(A442&lt;&gt;"",vlookup(A442,'📦 ชื่อสินค้า'!A:E,5,false),"")</f>
        <v/>
      </c>
      <c r="D442" s="23" t="str">
        <f>IF(A442&lt;&gt;"",VLOOKUP(A442,'📦 ชื่อสินค้า'!A:F,6,false),"")</f>
        <v/>
      </c>
      <c r="E442" s="16" t="str">
        <f>IFERROR(IF(VLOOKUP(A442,'📦 ชื่อสินค้า'!A:G,7,false)="InActive","InActive",IF(A442&lt;&gt;"",IF(B442&lt;=0,"สินค้าหมด",IF(B442&lt;=C442,"ควรเติมทันที","OK")),"")),)</f>
        <v/>
      </c>
      <c r="F442" s="24" t="str">
        <f>IFERROR(IF(A442&lt;&gt;"", SUMIF('💸 Transaction ซื้อ'!B:B,A442,'💸 Transaction ซื้อ'!G:G)/SUMIF('💸 Transaction ซื้อ'!B:B,A442,'💸 Transaction ซื้อ'!E:E),""),"-")</f>
        <v/>
      </c>
      <c r="G442" s="24" t="str">
        <f t="shared" si="1"/>
        <v/>
      </c>
      <c r="H442" s="25"/>
      <c r="I442" s="26"/>
      <c r="J442" s="26"/>
      <c r="K442" s="27" t="str">
        <f>IF(A442&lt;&gt;"",IF(E442="InActive","-",SUMIFS('💰 Transaction ขาย'!E:E,'💰 Transaction ขาย'!B:B,A442,'💰 Transaction ขาย'!A:A,"&gt;"&amp;'⚙️ Config'!$H$1-'⚙️ Config'!$H$2)),)</f>
        <v/>
      </c>
      <c r="L442" s="28" t="str">
        <f>IF(E442="InActive","-",IF(A442&lt;&gt;"",K442/'⚙️ Config'!$H$2,))</f>
        <v/>
      </c>
      <c r="M442" s="28" t="str">
        <f t="shared" si="2"/>
        <v/>
      </c>
      <c r="N442" s="28" t="str">
        <f>IF(A442&lt;&gt;"", SUMIFS('💰 Transaction ขาย'!F:F,'💰 Transaction ขาย'!B:B,A442,'💰 Transaction ขาย'!A:A,"&gt;="&amp;DATE(YEAR('⚙️ Config'!$H$1),1,1),'💰 Transaction ขาย'!A:A,"&lt;="&amp;DATE(YEAR('⚙️ Config'!$H$1),12,31)),)</f>
        <v/>
      </c>
    </row>
    <row r="443">
      <c r="A443" s="22"/>
      <c r="B443" s="22" t="str">
        <f>IF(A443&lt;&gt;"",SUMIFS('💸 Transaction ซื้อ'!E:E,'💸 Transaction ซื้อ'!B:B,A443)-SUMIFS('💰 Transaction ขาย'!E:E,'💰 Transaction ขาย'!B:B,A443),"")</f>
        <v/>
      </c>
      <c r="C443" s="23" t="str">
        <f>IF(A443&lt;&gt;"",vlookup(A443,'📦 ชื่อสินค้า'!A:E,5,false),"")</f>
        <v/>
      </c>
      <c r="D443" s="23" t="str">
        <f>IF(A443&lt;&gt;"",VLOOKUP(A443,'📦 ชื่อสินค้า'!A:F,6,false),"")</f>
        <v/>
      </c>
      <c r="E443" s="16" t="str">
        <f>IFERROR(IF(VLOOKUP(A443,'📦 ชื่อสินค้า'!A:G,7,false)="InActive","InActive",IF(A443&lt;&gt;"",IF(B443&lt;=0,"สินค้าหมด",IF(B443&lt;=C443,"ควรเติมทันที","OK")),"")),)</f>
        <v/>
      </c>
      <c r="F443" s="24" t="str">
        <f>IFERROR(IF(A443&lt;&gt;"", SUMIF('💸 Transaction ซื้อ'!B:B,A443,'💸 Transaction ซื้อ'!G:G)/SUMIF('💸 Transaction ซื้อ'!B:B,A443,'💸 Transaction ซื้อ'!E:E),""),"-")</f>
        <v/>
      </c>
      <c r="G443" s="24" t="str">
        <f t="shared" si="1"/>
        <v/>
      </c>
      <c r="H443" s="25"/>
      <c r="I443" s="26"/>
      <c r="J443" s="26"/>
      <c r="K443" s="27" t="str">
        <f>IF(A443&lt;&gt;"",IF(E443="InActive","-",SUMIFS('💰 Transaction ขาย'!E:E,'💰 Transaction ขาย'!B:B,A443,'💰 Transaction ขาย'!A:A,"&gt;"&amp;'⚙️ Config'!$H$1-'⚙️ Config'!$H$2)),)</f>
        <v/>
      </c>
      <c r="L443" s="28" t="str">
        <f>IF(E443="InActive","-",IF(A443&lt;&gt;"",K443/'⚙️ Config'!$H$2,))</f>
        <v/>
      </c>
      <c r="M443" s="28" t="str">
        <f t="shared" si="2"/>
        <v/>
      </c>
      <c r="N443" s="28" t="str">
        <f>IF(A443&lt;&gt;"", SUMIFS('💰 Transaction ขาย'!F:F,'💰 Transaction ขาย'!B:B,A443,'💰 Transaction ขาย'!A:A,"&gt;="&amp;DATE(YEAR('⚙️ Config'!$H$1),1,1),'💰 Transaction ขาย'!A:A,"&lt;="&amp;DATE(YEAR('⚙️ Config'!$H$1),12,31)),)</f>
        <v/>
      </c>
    </row>
    <row r="444">
      <c r="A444" s="22"/>
      <c r="B444" s="22" t="str">
        <f>IF(A444&lt;&gt;"",SUMIFS('💸 Transaction ซื้อ'!E:E,'💸 Transaction ซื้อ'!B:B,A444)-SUMIFS('💰 Transaction ขาย'!E:E,'💰 Transaction ขาย'!B:B,A444),"")</f>
        <v/>
      </c>
      <c r="C444" s="23" t="str">
        <f>IF(A444&lt;&gt;"",vlookup(A444,'📦 ชื่อสินค้า'!A:E,5,false),"")</f>
        <v/>
      </c>
      <c r="D444" s="23" t="str">
        <f>IF(A444&lt;&gt;"",VLOOKUP(A444,'📦 ชื่อสินค้า'!A:F,6,false),"")</f>
        <v/>
      </c>
      <c r="E444" s="16" t="str">
        <f>IFERROR(IF(VLOOKUP(A444,'📦 ชื่อสินค้า'!A:G,7,false)="InActive","InActive",IF(A444&lt;&gt;"",IF(B444&lt;=0,"สินค้าหมด",IF(B444&lt;=C444,"ควรเติมทันที","OK")),"")),)</f>
        <v/>
      </c>
      <c r="F444" s="24" t="str">
        <f>IFERROR(IF(A444&lt;&gt;"", SUMIF('💸 Transaction ซื้อ'!B:B,A444,'💸 Transaction ซื้อ'!G:G)/SUMIF('💸 Transaction ซื้อ'!B:B,A444,'💸 Transaction ซื้อ'!E:E),""),"-")</f>
        <v/>
      </c>
      <c r="G444" s="24" t="str">
        <f t="shared" si="1"/>
        <v/>
      </c>
      <c r="H444" s="25"/>
      <c r="I444" s="26"/>
      <c r="J444" s="26"/>
      <c r="K444" s="27" t="str">
        <f>IF(A444&lt;&gt;"",IF(E444="InActive","-",SUMIFS('💰 Transaction ขาย'!E:E,'💰 Transaction ขาย'!B:B,A444,'💰 Transaction ขาย'!A:A,"&gt;"&amp;'⚙️ Config'!$H$1-'⚙️ Config'!$H$2)),)</f>
        <v/>
      </c>
      <c r="L444" s="28" t="str">
        <f>IF(E444="InActive","-",IF(A444&lt;&gt;"",K444/'⚙️ Config'!$H$2,))</f>
        <v/>
      </c>
      <c r="M444" s="28" t="str">
        <f t="shared" si="2"/>
        <v/>
      </c>
      <c r="N444" s="28" t="str">
        <f>IF(A444&lt;&gt;"", SUMIFS('💰 Transaction ขาย'!F:F,'💰 Transaction ขาย'!B:B,A444,'💰 Transaction ขาย'!A:A,"&gt;="&amp;DATE(YEAR('⚙️ Config'!$H$1),1,1),'💰 Transaction ขาย'!A:A,"&lt;="&amp;DATE(YEAR('⚙️ Config'!$H$1),12,31)),)</f>
        <v/>
      </c>
    </row>
    <row r="445">
      <c r="A445" s="22"/>
      <c r="B445" s="22" t="str">
        <f>IF(A445&lt;&gt;"",SUMIFS('💸 Transaction ซื้อ'!E:E,'💸 Transaction ซื้อ'!B:B,A445)-SUMIFS('💰 Transaction ขาย'!E:E,'💰 Transaction ขาย'!B:B,A445),"")</f>
        <v/>
      </c>
      <c r="C445" s="23" t="str">
        <f>IF(A445&lt;&gt;"",vlookup(A445,'📦 ชื่อสินค้า'!A:E,5,false),"")</f>
        <v/>
      </c>
      <c r="D445" s="23" t="str">
        <f>IF(A445&lt;&gt;"",VLOOKUP(A445,'📦 ชื่อสินค้า'!A:F,6,false),"")</f>
        <v/>
      </c>
      <c r="E445" s="16" t="str">
        <f>IFERROR(IF(VLOOKUP(A445,'📦 ชื่อสินค้า'!A:G,7,false)="InActive","InActive",IF(A445&lt;&gt;"",IF(B445&lt;=0,"สินค้าหมด",IF(B445&lt;=C445,"ควรเติมทันที","OK")),"")),)</f>
        <v/>
      </c>
      <c r="F445" s="24" t="str">
        <f>IFERROR(IF(A445&lt;&gt;"", SUMIF('💸 Transaction ซื้อ'!B:B,A445,'💸 Transaction ซื้อ'!G:G)/SUMIF('💸 Transaction ซื้อ'!B:B,A445,'💸 Transaction ซื้อ'!E:E),""),"-")</f>
        <v/>
      </c>
      <c r="G445" s="24" t="str">
        <f t="shared" si="1"/>
        <v/>
      </c>
      <c r="H445" s="25"/>
      <c r="I445" s="26"/>
      <c r="J445" s="26"/>
      <c r="K445" s="27" t="str">
        <f>IF(A445&lt;&gt;"",IF(E445="InActive","-",SUMIFS('💰 Transaction ขาย'!E:E,'💰 Transaction ขาย'!B:B,A445,'💰 Transaction ขาย'!A:A,"&gt;"&amp;'⚙️ Config'!$H$1-'⚙️ Config'!$H$2)),)</f>
        <v/>
      </c>
      <c r="L445" s="28" t="str">
        <f>IF(E445="InActive","-",IF(A445&lt;&gt;"",K445/'⚙️ Config'!$H$2,))</f>
        <v/>
      </c>
      <c r="M445" s="28" t="str">
        <f t="shared" si="2"/>
        <v/>
      </c>
      <c r="N445" s="28" t="str">
        <f>IF(A445&lt;&gt;"", SUMIFS('💰 Transaction ขาย'!F:F,'💰 Transaction ขาย'!B:B,A445,'💰 Transaction ขาย'!A:A,"&gt;="&amp;DATE(YEAR('⚙️ Config'!$H$1),1,1),'💰 Transaction ขาย'!A:A,"&lt;="&amp;DATE(YEAR('⚙️ Config'!$H$1),12,31)),)</f>
        <v/>
      </c>
    </row>
    <row r="446">
      <c r="A446" s="22"/>
      <c r="B446" s="22" t="str">
        <f>IF(A446&lt;&gt;"",SUMIFS('💸 Transaction ซื้อ'!E:E,'💸 Transaction ซื้อ'!B:B,A446)-SUMIFS('💰 Transaction ขาย'!E:E,'💰 Transaction ขาย'!B:B,A446),"")</f>
        <v/>
      </c>
      <c r="C446" s="23" t="str">
        <f>IF(A446&lt;&gt;"",vlookup(A446,'📦 ชื่อสินค้า'!A:E,5,false),"")</f>
        <v/>
      </c>
      <c r="D446" s="23" t="str">
        <f>IF(A446&lt;&gt;"",VLOOKUP(A446,'📦 ชื่อสินค้า'!A:F,6,false),"")</f>
        <v/>
      </c>
      <c r="E446" s="16" t="str">
        <f>IFERROR(IF(VLOOKUP(A446,'📦 ชื่อสินค้า'!A:G,7,false)="InActive","InActive",IF(A446&lt;&gt;"",IF(B446&lt;=0,"สินค้าหมด",IF(B446&lt;=C446,"ควรเติมทันที","OK")),"")),)</f>
        <v/>
      </c>
      <c r="F446" s="24" t="str">
        <f>IFERROR(IF(A446&lt;&gt;"", SUMIF('💸 Transaction ซื้อ'!B:B,A446,'💸 Transaction ซื้อ'!G:G)/SUMIF('💸 Transaction ซื้อ'!B:B,A446,'💸 Transaction ซื้อ'!E:E),""),"-")</f>
        <v/>
      </c>
      <c r="G446" s="24" t="str">
        <f t="shared" si="1"/>
        <v/>
      </c>
      <c r="H446" s="25"/>
      <c r="I446" s="26"/>
      <c r="J446" s="26"/>
      <c r="K446" s="27" t="str">
        <f>IF(A446&lt;&gt;"",IF(E446="InActive","-",SUMIFS('💰 Transaction ขาย'!E:E,'💰 Transaction ขาย'!B:B,A446,'💰 Transaction ขาย'!A:A,"&gt;"&amp;'⚙️ Config'!$H$1-'⚙️ Config'!$H$2)),)</f>
        <v/>
      </c>
      <c r="L446" s="28" t="str">
        <f>IF(E446="InActive","-",IF(A446&lt;&gt;"",K446/'⚙️ Config'!$H$2,))</f>
        <v/>
      </c>
      <c r="M446" s="28" t="str">
        <f t="shared" si="2"/>
        <v/>
      </c>
      <c r="N446" s="28" t="str">
        <f>IF(A446&lt;&gt;"", SUMIFS('💰 Transaction ขาย'!F:F,'💰 Transaction ขาย'!B:B,A446,'💰 Transaction ขาย'!A:A,"&gt;="&amp;DATE(YEAR('⚙️ Config'!$H$1),1,1),'💰 Transaction ขาย'!A:A,"&lt;="&amp;DATE(YEAR('⚙️ Config'!$H$1),12,31)),)</f>
        <v/>
      </c>
    </row>
    <row r="447">
      <c r="A447" s="22"/>
      <c r="B447" s="22" t="str">
        <f>IF(A447&lt;&gt;"",SUMIFS('💸 Transaction ซื้อ'!E:E,'💸 Transaction ซื้อ'!B:B,A447)-SUMIFS('💰 Transaction ขาย'!E:E,'💰 Transaction ขาย'!B:B,A447),"")</f>
        <v/>
      </c>
      <c r="C447" s="23" t="str">
        <f>IF(A447&lt;&gt;"",vlookup(A447,'📦 ชื่อสินค้า'!A:E,5,false),"")</f>
        <v/>
      </c>
      <c r="D447" s="23" t="str">
        <f>IF(A447&lt;&gt;"",VLOOKUP(A447,'📦 ชื่อสินค้า'!A:F,6,false),"")</f>
        <v/>
      </c>
      <c r="E447" s="16" t="str">
        <f>IFERROR(IF(VLOOKUP(A447,'📦 ชื่อสินค้า'!A:G,7,false)="InActive","InActive",IF(A447&lt;&gt;"",IF(B447&lt;=0,"สินค้าหมด",IF(B447&lt;=C447,"ควรเติมทันที","OK")),"")),)</f>
        <v/>
      </c>
      <c r="F447" s="24" t="str">
        <f>IFERROR(IF(A447&lt;&gt;"", SUMIF('💸 Transaction ซื้อ'!B:B,A447,'💸 Transaction ซื้อ'!G:G)/SUMIF('💸 Transaction ซื้อ'!B:B,A447,'💸 Transaction ซื้อ'!E:E),""),"-")</f>
        <v/>
      </c>
      <c r="G447" s="24" t="str">
        <f t="shared" si="1"/>
        <v/>
      </c>
      <c r="H447" s="25"/>
      <c r="I447" s="26"/>
      <c r="J447" s="26"/>
      <c r="K447" s="27" t="str">
        <f>IF(A447&lt;&gt;"",IF(E447="InActive","-",SUMIFS('💰 Transaction ขาย'!E:E,'💰 Transaction ขาย'!B:B,A447,'💰 Transaction ขาย'!A:A,"&gt;"&amp;'⚙️ Config'!$H$1-'⚙️ Config'!$H$2)),)</f>
        <v/>
      </c>
      <c r="L447" s="28" t="str">
        <f>IF(E447="InActive","-",IF(A447&lt;&gt;"",K447/'⚙️ Config'!$H$2,))</f>
        <v/>
      </c>
      <c r="M447" s="28" t="str">
        <f t="shared" si="2"/>
        <v/>
      </c>
      <c r="N447" s="28" t="str">
        <f>IF(A447&lt;&gt;"", SUMIFS('💰 Transaction ขาย'!F:F,'💰 Transaction ขาย'!B:B,A447,'💰 Transaction ขาย'!A:A,"&gt;="&amp;DATE(YEAR('⚙️ Config'!$H$1),1,1),'💰 Transaction ขาย'!A:A,"&lt;="&amp;DATE(YEAR('⚙️ Config'!$H$1),12,31)),)</f>
        <v/>
      </c>
    </row>
    <row r="448">
      <c r="A448" s="22"/>
      <c r="B448" s="22" t="str">
        <f>IF(A448&lt;&gt;"",SUMIFS('💸 Transaction ซื้อ'!E:E,'💸 Transaction ซื้อ'!B:B,A448)-SUMIFS('💰 Transaction ขาย'!E:E,'💰 Transaction ขาย'!B:B,A448),"")</f>
        <v/>
      </c>
      <c r="C448" s="23" t="str">
        <f>IF(A448&lt;&gt;"",vlookup(A448,'📦 ชื่อสินค้า'!A:E,5,false),"")</f>
        <v/>
      </c>
      <c r="D448" s="23" t="str">
        <f>IF(A448&lt;&gt;"",VLOOKUP(A448,'📦 ชื่อสินค้า'!A:F,6,false),"")</f>
        <v/>
      </c>
      <c r="E448" s="16" t="str">
        <f>IFERROR(IF(VLOOKUP(A448,'📦 ชื่อสินค้า'!A:G,7,false)="InActive","InActive",IF(A448&lt;&gt;"",IF(B448&lt;=0,"สินค้าหมด",IF(B448&lt;=C448,"ควรเติมทันที","OK")),"")),)</f>
        <v/>
      </c>
      <c r="F448" s="24" t="str">
        <f>IFERROR(IF(A448&lt;&gt;"", SUMIF('💸 Transaction ซื้อ'!B:B,A448,'💸 Transaction ซื้อ'!G:G)/SUMIF('💸 Transaction ซื้อ'!B:B,A448,'💸 Transaction ซื้อ'!E:E),""),"-")</f>
        <v/>
      </c>
      <c r="G448" s="24" t="str">
        <f t="shared" si="1"/>
        <v/>
      </c>
      <c r="H448" s="25"/>
      <c r="I448" s="26"/>
      <c r="J448" s="26"/>
      <c r="K448" s="27" t="str">
        <f>IF(A448&lt;&gt;"",IF(E448="InActive","-",SUMIFS('💰 Transaction ขาย'!E:E,'💰 Transaction ขาย'!B:B,A448,'💰 Transaction ขาย'!A:A,"&gt;"&amp;'⚙️ Config'!$H$1-'⚙️ Config'!$H$2)),)</f>
        <v/>
      </c>
      <c r="L448" s="28" t="str">
        <f>IF(E448="InActive","-",IF(A448&lt;&gt;"",K448/'⚙️ Config'!$H$2,))</f>
        <v/>
      </c>
      <c r="M448" s="28" t="str">
        <f t="shared" si="2"/>
        <v/>
      </c>
      <c r="N448" s="28" t="str">
        <f>IF(A448&lt;&gt;"", SUMIFS('💰 Transaction ขาย'!F:F,'💰 Transaction ขาย'!B:B,A448,'💰 Transaction ขาย'!A:A,"&gt;="&amp;DATE(YEAR('⚙️ Config'!$H$1),1,1),'💰 Transaction ขาย'!A:A,"&lt;="&amp;DATE(YEAR('⚙️ Config'!$H$1),12,31)),)</f>
        <v/>
      </c>
    </row>
    <row r="449">
      <c r="A449" s="22"/>
      <c r="B449" s="22" t="str">
        <f>IF(A449&lt;&gt;"",SUMIFS('💸 Transaction ซื้อ'!E:E,'💸 Transaction ซื้อ'!B:B,A449)-SUMIFS('💰 Transaction ขาย'!E:E,'💰 Transaction ขาย'!B:B,A449),"")</f>
        <v/>
      </c>
      <c r="C449" s="23" t="str">
        <f>IF(A449&lt;&gt;"",vlookup(A449,'📦 ชื่อสินค้า'!A:E,5,false),"")</f>
        <v/>
      </c>
      <c r="D449" s="23" t="str">
        <f>IF(A449&lt;&gt;"",VLOOKUP(A449,'📦 ชื่อสินค้า'!A:F,6,false),"")</f>
        <v/>
      </c>
      <c r="E449" s="16" t="str">
        <f>IFERROR(IF(VLOOKUP(A449,'📦 ชื่อสินค้า'!A:G,7,false)="InActive","InActive",IF(A449&lt;&gt;"",IF(B449&lt;=0,"สินค้าหมด",IF(B449&lt;=C449,"ควรเติมทันที","OK")),"")),)</f>
        <v/>
      </c>
      <c r="F449" s="24" t="str">
        <f>IFERROR(IF(A449&lt;&gt;"", SUMIF('💸 Transaction ซื้อ'!B:B,A449,'💸 Transaction ซื้อ'!G:G)/SUMIF('💸 Transaction ซื้อ'!B:B,A449,'💸 Transaction ซื้อ'!E:E),""),"-")</f>
        <v/>
      </c>
      <c r="G449" s="24" t="str">
        <f t="shared" si="1"/>
        <v/>
      </c>
      <c r="H449" s="25"/>
      <c r="I449" s="26"/>
      <c r="J449" s="26"/>
      <c r="K449" s="27" t="str">
        <f>IF(A449&lt;&gt;"",IF(E449="InActive","-",SUMIFS('💰 Transaction ขาย'!E:E,'💰 Transaction ขาย'!B:B,A449,'💰 Transaction ขาย'!A:A,"&gt;"&amp;'⚙️ Config'!$H$1-'⚙️ Config'!$H$2)),)</f>
        <v/>
      </c>
      <c r="L449" s="28" t="str">
        <f>IF(E449="InActive","-",IF(A449&lt;&gt;"",K449/'⚙️ Config'!$H$2,))</f>
        <v/>
      </c>
      <c r="M449" s="28" t="str">
        <f t="shared" si="2"/>
        <v/>
      </c>
      <c r="N449" s="28" t="str">
        <f>IF(A449&lt;&gt;"", SUMIFS('💰 Transaction ขาย'!F:F,'💰 Transaction ขาย'!B:B,A449,'💰 Transaction ขาย'!A:A,"&gt;="&amp;DATE(YEAR('⚙️ Config'!$H$1),1,1),'💰 Transaction ขาย'!A:A,"&lt;="&amp;DATE(YEAR('⚙️ Config'!$H$1),12,31)),)</f>
        <v/>
      </c>
    </row>
    <row r="450">
      <c r="A450" s="22"/>
      <c r="B450" s="22" t="str">
        <f>IF(A450&lt;&gt;"",SUMIFS('💸 Transaction ซื้อ'!E:E,'💸 Transaction ซื้อ'!B:B,A450)-SUMIFS('💰 Transaction ขาย'!E:E,'💰 Transaction ขาย'!B:B,A450),"")</f>
        <v/>
      </c>
      <c r="C450" s="23" t="str">
        <f>IF(A450&lt;&gt;"",vlookup(A450,'📦 ชื่อสินค้า'!A:E,5,false),"")</f>
        <v/>
      </c>
      <c r="D450" s="23" t="str">
        <f>IF(A450&lt;&gt;"",VLOOKUP(A450,'📦 ชื่อสินค้า'!A:F,6,false),"")</f>
        <v/>
      </c>
      <c r="E450" s="16" t="str">
        <f>IFERROR(IF(VLOOKUP(A450,'📦 ชื่อสินค้า'!A:G,7,false)="InActive","InActive",IF(A450&lt;&gt;"",IF(B450&lt;=0,"สินค้าหมด",IF(B450&lt;=C450,"ควรเติมทันที","OK")),"")),)</f>
        <v/>
      </c>
      <c r="F450" s="24" t="str">
        <f>IFERROR(IF(A450&lt;&gt;"", SUMIF('💸 Transaction ซื้อ'!B:B,A450,'💸 Transaction ซื้อ'!G:G)/SUMIF('💸 Transaction ซื้อ'!B:B,A450,'💸 Transaction ซื้อ'!E:E),""),"-")</f>
        <v/>
      </c>
      <c r="G450" s="24" t="str">
        <f t="shared" si="1"/>
        <v/>
      </c>
      <c r="H450" s="25"/>
      <c r="I450" s="26"/>
      <c r="J450" s="26"/>
      <c r="K450" s="27" t="str">
        <f>IF(A450&lt;&gt;"",IF(E450="InActive","-",SUMIFS('💰 Transaction ขาย'!E:E,'💰 Transaction ขาย'!B:B,A450,'💰 Transaction ขาย'!A:A,"&gt;"&amp;'⚙️ Config'!$H$1-'⚙️ Config'!$H$2)),)</f>
        <v/>
      </c>
      <c r="L450" s="28" t="str">
        <f>IF(E450="InActive","-",IF(A450&lt;&gt;"",K450/'⚙️ Config'!$H$2,))</f>
        <v/>
      </c>
      <c r="M450" s="28" t="str">
        <f t="shared" si="2"/>
        <v/>
      </c>
      <c r="N450" s="28" t="str">
        <f>IF(A450&lt;&gt;"", SUMIFS('💰 Transaction ขาย'!F:F,'💰 Transaction ขาย'!B:B,A450,'💰 Transaction ขาย'!A:A,"&gt;="&amp;DATE(YEAR('⚙️ Config'!$H$1),1,1),'💰 Transaction ขาย'!A:A,"&lt;="&amp;DATE(YEAR('⚙️ Config'!$H$1),12,31)),)</f>
        <v/>
      </c>
    </row>
    <row r="451">
      <c r="A451" s="22"/>
      <c r="B451" s="22" t="str">
        <f>IF(A451&lt;&gt;"",SUMIFS('💸 Transaction ซื้อ'!E:E,'💸 Transaction ซื้อ'!B:B,A451)-SUMIFS('💰 Transaction ขาย'!E:E,'💰 Transaction ขาย'!B:B,A451),"")</f>
        <v/>
      </c>
      <c r="C451" s="23" t="str">
        <f>IF(A451&lt;&gt;"",vlookup(A451,'📦 ชื่อสินค้า'!A:E,5,false),"")</f>
        <v/>
      </c>
      <c r="D451" s="23" t="str">
        <f>IF(A451&lt;&gt;"",VLOOKUP(A451,'📦 ชื่อสินค้า'!A:F,6,false),"")</f>
        <v/>
      </c>
      <c r="E451" s="16" t="str">
        <f>IFERROR(IF(VLOOKUP(A451,'📦 ชื่อสินค้า'!A:G,7,false)="InActive","InActive",IF(A451&lt;&gt;"",IF(B451&lt;=0,"สินค้าหมด",IF(B451&lt;=C451,"ควรเติมทันที","OK")),"")),)</f>
        <v/>
      </c>
      <c r="F451" s="24" t="str">
        <f>IFERROR(IF(A451&lt;&gt;"", SUMIF('💸 Transaction ซื้อ'!B:B,A451,'💸 Transaction ซื้อ'!G:G)/SUMIF('💸 Transaction ซื้อ'!B:B,A451,'💸 Transaction ซื้อ'!E:E),""),"-")</f>
        <v/>
      </c>
      <c r="G451" s="24" t="str">
        <f t="shared" si="1"/>
        <v/>
      </c>
      <c r="H451" s="25"/>
      <c r="I451" s="26"/>
      <c r="J451" s="26"/>
      <c r="K451" s="27" t="str">
        <f>IF(A451&lt;&gt;"",IF(E451="InActive","-",SUMIFS('💰 Transaction ขาย'!E:E,'💰 Transaction ขาย'!B:B,A451,'💰 Transaction ขาย'!A:A,"&gt;"&amp;'⚙️ Config'!$H$1-'⚙️ Config'!$H$2)),)</f>
        <v/>
      </c>
      <c r="L451" s="28" t="str">
        <f>IF(E451="InActive","-",IF(A451&lt;&gt;"",K451/'⚙️ Config'!$H$2,))</f>
        <v/>
      </c>
      <c r="M451" s="28" t="str">
        <f t="shared" si="2"/>
        <v/>
      </c>
      <c r="N451" s="28" t="str">
        <f>IF(A451&lt;&gt;"", SUMIFS('💰 Transaction ขาย'!F:F,'💰 Transaction ขาย'!B:B,A451,'💰 Transaction ขาย'!A:A,"&gt;="&amp;DATE(YEAR('⚙️ Config'!$H$1),1,1),'💰 Transaction ขาย'!A:A,"&lt;="&amp;DATE(YEAR('⚙️ Config'!$H$1),12,31)),)</f>
        <v/>
      </c>
    </row>
    <row r="452">
      <c r="A452" s="22"/>
      <c r="B452" s="22" t="str">
        <f>IF(A452&lt;&gt;"",SUMIFS('💸 Transaction ซื้อ'!E:E,'💸 Transaction ซื้อ'!B:B,A452)-SUMIFS('💰 Transaction ขาย'!E:E,'💰 Transaction ขาย'!B:B,A452),"")</f>
        <v/>
      </c>
      <c r="C452" s="23" t="str">
        <f>IF(A452&lt;&gt;"",vlookup(A452,'📦 ชื่อสินค้า'!A:E,5,false),"")</f>
        <v/>
      </c>
      <c r="D452" s="23" t="str">
        <f>IF(A452&lt;&gt;"",VLOOKUP(A452,'📦 ชื่อสินค้า'!A:F,6,false),"")</f>
        <v/>
      </c>
      <c r="E452" s="16" t="str">
        <f>IFERROR(IF(VLOOKUP(A452,'📦 ชื่อสินค้า'!A:G,7,false)="InActive","InActive",IF(A452&lt;&gt;"",IF(B452&lt;=0,"สินค้าหมด",IF(B452&lt;=C452,"ควรเติมทันที","OK")),"")),)</f>
        <v/>
      </c>
      <c r="F452" s="24" t="str">
        <f>IFERROR(IF(A452&lt;&gt;"", SUMIF('💸 Transaction ซื้อ'!B:B,A452,'💸 Transaction ซื้อ'!G:G)/SUMIF('💸 Transaction ซื้อ'!B:B,A452,'💸 Transaction ซื้อ'!E:E),""),"-")</f>
        <v/>
      </c>
      <c r="G452" s="24" t="str">
        <f t="shared" si="1"/>
        <v/>
      </c>
      <c r="H452" s="25"/>
      <c r="I452" s="26"/>
      <c r="J452" s="26"/>
      <c r="K452" s="27" t="str">
        <f>IF(A452&lt;&gt;"",IF(E452="InActive","-",SUMIFS('💰 Transaction ขาย'!E:E,'💰 Transaction ขาย'!B:B,A452,'💰 Transaction ขาย'!A:A,"&gt;"&amp;'⚙️ Config'!$H$1-'⚙️ Config'!$H$2)),)</f>
        <v/>
      </c>
      <c r="L452" s="28" t="str">
        <f>IF(E452="InActive","-",IF(A452&lt;&gt;"",K452/'⚙️ Config'!$H$2,))</f>
        <v/>
      </c>
      <c r="M452" s="28" t="str">
        <f t="shared" si="2"/>
        <v/>
      </c>
      <c r="N452" s="28" t="str">
        <f>IF(A452&lt;&gt;"", SUMIFS('💰 Transaction ขาย'!F:F,'💰 Transaction ขาย'!B:B,A452,'💰 Transaction ขาย'!A:A,"&gt;="&amp;DATE(YEAR('⚙️ Config'!$H$1),1,1),'💰 Transaction ขาย'!A:A,"&lt;="&amp;DATE(YEAR('⚙️ Config'!$H$1),12,31)),)</f>
        <v/>
      </c>
    </row>
    <row r="453">
      <c r="A453" s="22"/>
      <c r="B453" s="22" t="str">
        <f>IF(A453&lt;&gt;"",SUMIFS('💸 Transaction ซื้อ'!E:E,'💸 Transaction ซื้อ'!B:B,A453)-SUMIFS('💰 Transaction ขาย'!E:E,'💰 Transaction ขาย'!B:B,A453),"")</f>
        <v/>
      </c>
      <c r="C453" s="23" t="str">
        <f>IF(A453&lt;&gt;"",vlookup(A453,'📦 ชื่อสินค้า'!A:E,5,false),"")</f>
        <v/>
      </c>
      <c r="D453" s="23" t="str">
        <f>IF(A453&lt;&gt;"",VLOOKUP(A453,'📦 ชื่อสินค้า'!A:F,6,false),"")</f>
        <v/>
      </c>
      <c r="E453" s="16" t="str">
        <f>IFERROR(IF(VLOOKUP(A453,'📦 ชื่อสินค้า'!A:G,7,false)="InActive","InActive",IF(A453&lt;&gt;"",IF(B453&lt;=0,"สินค้าหมด",IF(B453&lt;=C453,"ควรเติมทันที","OK")),"")),)</f>
        <v/>
      </c>
      <c r="F453" s="24" t="str">
        <f>IFERROR(IF(A453&lt;&gt;"", SUMIF('💸 Transaction ซื้อ'!B:B,A453,'💸 Transaction ซื้อ'!G:G)/SUMIF('💸 Transaction ซื้อ'!B:B,A453,'💸 Transaction ซื้อ'!E:E),""),"-")</f>
        <v/>
      </c>
      <c r="G453" s="24" t="str">
        <f t="shared" si="1"/>
        <v/>
      </c>
      <c r="H453" s="25"/>
      <c r="I453" s="26"/>
      <c r="J453" s="26"/>
      <c r="K453" s="27" t="str">
        <f>IF(A453&lt;&gt;"",IF(E453="InActive","-",SUMIFS('💰 Transaction ขาย'!E:E,'💰 Transaction ขาย'!B:B,A453,'💰 Transaction ขาย'!A:A,"&gt;"&amp;'⚙️ Config'!$H$1-'⚙️ Config'!$H$2)),)</f>
        <v/>
      </c>
      <c r="L453" s="28" t="str">
        <f>IF(E453="InActive","-",IF(A453&lt;&gt;"",K453/'⚙️ Config'!$H$2,))</f>
        <v/>
      </c>
      <c r="M453" s="28" t="str">
        <f t="shared" si="2"/>
        <v/>
      </c>
      <c r="N453" s="28" t="str">
        <f>IF(A453&lt;&gt;"", SUMIFS('💰 Transaction ขาย'!F:F,'💰 Transaction ขาย'!B:B,A453,'💰 Transaction ขาย'!A:A,"&gt;="&amp;DATE(YEAR('⚙️ Config'!$H$1),1,1),'💰 Transaction ขาย'!A:A,"&lt;="&amp;DATE(YEAR('⚙️ Config'!$H$1),12,31)),)</f>
        <v/>
      </c>
    </row>
    <row r="454">
      <c r="A454" s="22"/>
      <c r="B454" s="22" t="str">
        <f>IF(A454&lt;&gt;"",SUMIFS('💸 Transaction ซื้อ'!E:E,'💸 Transaction ซื้อ'!B:B,A454)-SUMIFS('💰 Transaction ขาย'!E:E,'💰 Transaction ขาย'!B:B,A454),"")</f>
        <v/>
      </c>
      <c r="C454" s="23" t="str">
        <f>IF(A454&lt;&gt;"",vlookup(A454,'📦 ชื่อสินค้า'!A:E,5,false),"")</f>
        <v/>
      </c>
      <c r="D454" s="23" t="str">
        <f>IF(A454&lt;&gt;"",VLOOKUP(A454,'📦 ชื่อสินค้า'!A:F,6,false),"")</f>
        <v/>
      </c>
      <c r="E454" s="16" t="str">
        <f>IFERROR(IF(VLOOKUP(A454,'📦 ชื่อสินค้า'!A:G,7,false)="InActive","InActive",IF(A454&lt;&gt;"",IF(B454&lt;=0,"สินค้าหมด",IF(B454&lt;=C454,"ควรเติมทันที","OK")),"")),)</f>
        <v/>
      </c>
      <c r="F454" s="24" t="str">
        <f>IFERROR(IF(A454&lt;&gt;"", SUMIF('💸 Transaction ซื้อ'!B:B,A454,'💸 Transaction ซื้อ'!G:G)/SUMIF('💸 Transaction ซื้อ'!B:B,A454,'💸 Transaction ซื้อ'!E:E),""),"-")</f>
        <v/>
      </c>
      <c r="G454" s="24" t="str">
        <f t="shared" si="1"/>
        <v/>
      </c>
      <c r="H454" s="25"/>
      <c r="I454" s="26"/>
      <c r="J454" s="26"/>
      <c r="K454" s="27" t="str">
        <f>IF(A454&lt;&gt;"",IF(E454="InActive","-",SUMIFS('💰 Transaction ขาย'!E:E,'💰 Transaction ขาย'!B:B,A454,'💰 Transaction ขาย'!A:A,"&gt;"&amp;'⚙️ Config'!$H$1-'⚙️ Config'!$H$2)),)</f>
        <v/>
      </c>
      <c r="L454" s="28" t="str">
        <f>IF(E454="InActive","-",IF(A454&lt;&gt;"",K454/'⚙️ Config'!$H$2,))</f>
        <v/>
      </c>
      <c r="M454" s="28" t="str">
        <f t="shared" si="2"/>
        <v/>
      </c>
      <c r="N454" s="28" t="str">
        <f>IF(A454&lt;&gt;"", SUMIFS('💰 Transaction ขาย'!F:F,'💰 Transaction ขาย'!B:B,A454,'💰 Transaction ขาย'!A:A,"&gt;="&amp;DATE(YEAR('⚙️ Config'!$H$1),1,1),'💰 Transaction ขาย'!A:A,"&lt;="&amp;DATE(YEAR('⚙️ Config'!$H$1),12,31)),)</f>
        <v/>
      </c>
    </row>
    <row r="455">
      <c r="A455" s="22"/>
      <c r="B455" s="22" t="str">
        <f>IF(A455&lt;&gt;"",SUMIFS('💸 Transaction ซื้อ'!E:E,'💸 Transaction ซื้อ'!B:B,A455)-SUMIFS('💰 Transaction ขาย'!E:E,'💰 Transaction ขาย'!B:B,A455),"")</f>
        <v/>
      </c>
      <c r="C455" s="23" t="str">
        <f>IF(A455&lt;&gt;"",vlookup(A455,'📦 ชื่อสินค้า'!A:E,5,false),"")</f>
        <v/>
      </c>
      <c r="D455" s="23" t="str">
        <f>IF(A455&lt;&gt;"",VLOOKUP(A455,'📦 ชื่อสินค้า'!A:F,6,false),"")</f>
        <v/>
      </c>
      <c r="E455" s="16" t="str">
        <f>IFERROR(IF(VLOOKUP(A455,'📦 ชื่อสินค้า'!A:G,7,false)="InActive","InActive",IF(A455&lt;&gt;"",IF(B455&lt;=0,"สินค้าหมด",IF(B455&lt;=C455,"ควรเติมทันที","OK")),"")),)</f>
        <v/>
      </c>
      <c r="F455" s="24" t="str">
        <f>IFERROR(IF(A455&lt;&gt;"", SUMIF('💸 Transaction ซื้อ'!B:B,A455,'💸 Transaction ซื้อ'!G:G)/SUMIF('💸 Transaction ซื้อ'!B:B,A455,'💸 Transaction ซื้อ'!E:E),""),"-")</f>
        <v/>
      </c>
      <c r="G455" s="24" t="str">
        <f t="shared" si="1"/>
        <v/>
      </c>
      <c r="H455" s="25"/>
      <c r="I455" s="26"/>
      <c r="J455" s="26"/>
      <c r="K455" s="27" t="str">
        <f>IF(A455&lt;&gt;"",IF(E455="InActive","-",SUMIFS('💰 Transaction ขาย'!E:E,'💰 Transaction ขาย'!B:B,A455,'💰 Transaction ขาย'!A:A,"&gt;"&amp;'⚙️ Config'!$H$1-'⚙️ Config'!$H$2)),)</f>
        <v/>
      </c>
      <c r="L455" s="28" t="str">
        <f>IF(E455="InActive","-",IF(A455&lt;&gt;"",K455/'⚙️ Config'!$H$2,))</f>
        <v/>
      </c>
      <c r="M455" s="28" t="str">
        <f t="shared" si="2"/>
        <v/>
      </c>
      <c r="N455" s="28" t="str">
        <f>IF(A455&lt;&gt;"", SUMIFS('💰 Transaction ขาย'!F:F,'💰 Transaction ขาย'!B:B,A455,'💰 Transaction ขาย'!A:A,"&gt;="&amp;DATE(YEAR('⚙️ Config'!$H$1),1,1),'💰 Transaction ขาย'!A:A,"&lt;="&amp;DATE(YEAR('⚙️ Config'!$H$1),12,31)),)</f>
        <v/>
      </c>
    </row>
    <row r="456">
      <c r="A456" s="22"/>
      <c r="B456" s="22" t="str">
        <f>IF(A456&lt;&gt;"",SUMIFS('💸 Transaction ซื้อ'!E:E,'💸 Transaction ซื้อ'!B:B,A456)-SUMIFS('💰 Transaction ขาย'!E:E,'💰 Transaction ขาย'!B:B,A456),"")</f>
        <v/>
      </c>
      <c r="C456" s="23" t="str">
        <f>IF(A456&lt;&gt;"",vlookup(A456,'📦 ชื่อสินค้า'!A:E,5,false),"")</f>
        <v/>
      </c>
      <c r="D456" s="23" t="str">
        <f>IF(A456&lt;&gt;"",VLOOKUP(A456,'📦 ชื่อสินค้า'!A:F,6,false),"")</f>
        <v/>
      </c>
      <c r="E456" s="16" t="str">
        <f>IFERROR(IF(VLOOKUP(A456,'📦 ชื่อสินค้า'!A:G,7,false)="InActive","InActive",IF(A456&lt;&gt;"",IF(B456&lt;=0,"สินค้าหมด",IF(B456&lt;=C456,"ควรเติมทันที","OK")),"")),)</f>
        <v/>
      </c>
      <c r="F456" s="24" t="str">
        <f>IFERROR(IF(A456&lt;&gt;"", SUMIF('💸 Transaction ซื้อ'!B:B,A456,'💸 Transaction ซื้อ'!G:G)/SUMIF('💸 Transaction ซื้อ'!B:B,A456,'💸 Transaction ซื้อ'!E:E),""),"-")</f>
        <v/>
      </c>
      <c r="G456" s="24" t="str">
        <f t="shared" si="1"/>
        <v/>
      </c>
      <c r="H456" s="25"/>
      <c r="I456" s="26"/>
      <c r="J456" s="26"/>
      <c r="K456" s="27" t="str">
        <f>IF(A456&lt;&gt;"",IF(E456="InActive","-",SUMIFS('💰 Transaction ขาย'!E:E,'💰 Transaction ขาย'!B:B,A456,'💰 Transaction ขาย'!A:A,"&gt;"&amp;'⚙️ Config'!$H$1-'⚙️ Config'!$H$2)),)</f>
        <v/>
      </c>
      <c r="L456" s="28" t="str">
        <f>IF(E456="InActive","-",IF(A456&lt;&gt;"",K456/'⚙️ Config'!$H$2,))</f>
        <v/>
      </c>
      <c r="M456" s="28" t="str">
        <f t="shared" si="2"/>
        <v/>
      </c>
      <c r="N456" s="28" t="str">
        <f>IF(A456&lt;&gt;"", SUMIFS('💰 Transaction ขาย'!F:F,'💰 Transaction ขาย'!B:B,A456,'💰 Transaction ขาย'!A:A,"&gt;="&amp;DATE(YEAR('⚙️ Config'!$H$1),1,1),'💰 Transaction ขาย'!A:A,"&lt;="&amp;DATE(YEAR('⚙️ Config'!$H$1),12,31)),)</f>
        <v/>
      </c>
    </row>
    <row r="457">
      <c r="A457" s="22"/>
      <c r="B457" s="22" t="str">
        <f>IF(A457&lt;&gt;"",SUMIFS('💸 Transaction ซื้อ'!E:E,'💸 Transaction ซื้อ'!B:B,A457)-SUMIFS('💰 Transaction ขาย'!E:E,'💰 Transaction ขาย'!B:B,A457),"")</f>
        <v/>
      </c>
      <c r="C457" s="23" t="str">
        <f>IF(A457&lt;&gt;"",vlookup(A457,'📦 ชื่อสินค้า'!A:E,5,false),"")</f>
        <v/>
      </c>
      <c r="D457" s="23" t="str">
        <f>IF(A457&lt;&gt;"",VLOOKUP(A457,'📦 ชื่อสินค้า'!A:F,6,false),"")</f>
        <v/>
      </c>
      <c r="E457" s="16" t="str">
        <f>IFERROR(IF(VLOOKUP(A457,'📦 ชื่อสินค้า'!A:G,7,false)="InActive","InActive",IF(A457&lt;&gt;"",IF(B457&lt;=0,"สินค้าหมด",IF(B457&lt;=C457,"ควรเติมทันที","OK")),"")),)</f>
        <v/>
      </c>
      <c r="F457" s="24" t="str">
        <f>IFERROR(IF(A457&lt;&gt;"", SUMIF('💸 Transaction ซื้อ'!B:B,A457,'💸 Transaction ซื้อ'!G:G)/SUMIF('💸 Transaction ซื้อ'!B:B,A457,'💸 Transaction ซื้อ'!E:E),""),"-")</f>
        <v/>
      </c>
      <c r="G457" s="24" t="str">
        <f t="shared" si="1"/>
        <v/>
      </c>
      <c r="H457" s="25"/>
      <c r="I457" s="26"/>
      <c r="J457" s="26"/>
      <c r="K457" s="27" t="str">
        <f>IF(A457&lt;&gt;"",IF(E457="InActive","-",SUMIFS('💰 Transaction ขาย'!E:E,'💰 Transaction ขาย'!B:B,A457,'💰 Transaction ขาย'!A:A,"&gt;"&amp;'⚙️ Config'!$H$1-'⚙️ Config'!$H$2)),)</f>
        <v/>
      </c>
      <c r="L457" s="28" t="str">
        <f>IF(E457="InActive","-",IF(A457&lt;&gt;"",K457/'⚙️ Config'!$H$2,))</f>
        <v/>
      </c>
      <c r="M457" s="28" t="str">
        <f t="shared" si="2"/>
        <v/>
      </c>
      <c r="N457" s="28" t="str">
        <f>IF(A457&lt;&gt;"", SUMIFS('💰 Transaction ขาย'!F:F,'💰 Transaction ขาย'!B:B,A457,'💰 Transaction ขาย'!A:A,"&gt;="&amp;DATE(YEAR('⚙️ Config'!$H$1),1,1),'💰 Transaction ขาย'!A:A,"&lt;="&amp;DATE(YEAR('⚙️ Config'!$H$1),12,31)),)</f>
        <v/>
      </c>
    </row>
    <row r="458">
      <c r="A458" s="22"/>
      <c r="B458" s="22" t="str">
        <f>IF(A458&lt;&gt;"",SUMIFS('💸 Transaction ซื้อ'!E:E,'💸 Transaction ซื้อ'!B:B,A458)-SUMIFS('💰 Transaction ขาย'!E:E,'💰 Transaction ขาย'!B:B,A458),"")</f>
        <v/>
      </c>
      <c r="C458" s="23" t="str">
        <f>IF(A458&lt;&gt;"",vlookup(A458,'📦 ชื่อสินค้า'!A:E,5,false),"")</f>
        <v/>
      </c>
      <c r="D458" s="23" t="str">
        <f>IF(A458&lt;&gt;"",VLOOKUP(A458,'📦 ชื่อสินค้า'!A:F,6,false),"")</f>
        <v/>
      </c>
      <c r="E458" s="16" t="str">
        <f>IFERROR(IF(VLOOKUP(A458,'📦 ชื่อสินค้า'!A:G,7,false)="InActive","InActive",IF(A458&lt;&gt;"",IF(B458&lt;=0,"สินค้าหมด",IF(B458&lt;=C458,"ควรเติมทันที","OK")),"")),)</f>
        <v/>
      </c>
      <c r="F458" s="24" t="str">
        <f>IFERROR(IF(A458&lt;&gt;"", SUMIF('💸 Transaction ซื้อ'!B:B,A458,'💸 Transaction ซื้อ'!G:G)/SUMIF('💸 Transaction ซื้อ'!B:B,A458,'💸 Transaction ซื้อ'!E:E),""),"-")</f>
        <v/>
      </c>
      <c r="G458" s="24" t="str">
        <f t="shared" si="1"/>
        <v/>
      </c>
      <c r="H458" s="25"/>
      <c r="I458" s="26"/>
      <c r="J458" s="26"/>
      <c r="K458" s="27" t="str">
        <f>IF(A458&lt;&gt;"",IF(E458="InActive","-",SUMIFS('💰 Transaction ขาย'!E:E,'💰 Transaction ขาย'!B:B,A458,'💰 Transaction ขาย'!A:A,"&gt;"&amp;'⚙️ Config'!$H$1-'⚙️ Config'!$H$2)),)</f>
        <v/>
      </c>
      <c r="L458" s="28" t="str">
        <f>IF(E458="InActive","-",IF(A458&lt;&gt;"",K458/'⚙️ Config'!$H$2,))</f>
        <v/>
      </c>
      <c r="M458" s="28" t="str">
        <f t="shared" si="2"/>
        <v/>
      </c>
      <c r="N458" s="28" t="str">
        <f>IF(A458&lt;&gt;"", SUMIFS('💰 Transaction ขาย'!F:F,'💰 Transaction ขาย'!B:B,A458,'💰 Transaction ขาย'!A:A,"&gt;="&amp;DATE(YEAR('⚙️ Config'!$H$1),1,1),'💰 Transaction ขาย'!A:A,"&lt;="&amp;DATE(YEAR('⚙️ Config'!$H$1),12,31)),)</f>
        <v/>
      </c>
    </row>
    <row r="459">
      <c r="A459" s="22"/>
      <c r="B459" s="22" t="str">
        <f>IF(A459&lt;&gt;"",SUMIFS('💸 Transaction ซื้อ'!E:E,'💸 Transaction ซื้อ'!B:B,A459)-SUMIFS('💰 Transaction ขาย'!E:E,'💰 Transaction ขาย'!B:B,A459),"")</f>
        <v/>
      </c>
      <c r="C459" s="23" t="str">
        <f>IF(A459&lt;&gt;"",vlookup(A459,'📦 ชื่อสินค้า'!A:E,5,false),"")</f>
        <v/>
      </c>
      <c r="D459" s="23" t="str">
        <f>IF(A459&lt;&gt;"",VLOOKUP(A459,'📦 ชื่อสินค้า'!A:F,6,false),"")</f>
        <v/>
      </c>
      <c r="E459" s="16" t="str">
        <f>IFERROR(IF(VLOOKUP(A459,'📦 ชื่อสินค้า'!A:G,7,false)="InActive","InActive",IF(A459&lt;&gt;"",IF(B459&lt;=0,"สินค้าหมด",IF(B459&lt;=C459,"ควรเติมทันที","OK")),"")),)</f>
        <v/>
      </c>
      <c r="F459" s="24" t="str">
        <f>IFERROR(IF(A459&lt;&gt;"", SUMIF('💸 Transaction ซื้อ'!B:B,A459,'💸 Transaction ซื้อ'!G:G)/SUMIF('💸 Transaction ซื้อ'!B:B,A459,'💸 Transaction ซื้อ'!E:E),""),"-")</f>
        <v/>
      </c>
      <c r="G459" s="24" t="str">
        <f t="shared" si="1"/>
        <v/>
      </c>
      <c r="H459" s="25"/>
      <c r="I459" s="26"/>
      <c r="J459" s="26"/>
      <c r="K459" s="27" t="str">
        <f>IF(A459&lt;&gt;"",IF(E459="InActive","-",SUMIFS('💰 Transaction ขาย'!E:E,'💰 Transaction ขาย'!B:B,A459,'💰 Transaction ขาย'!A:A,"&gt;"&amp;'⚙️ Config'!$H$1-'⚙️ Config'!$H$2)),)</f>
        <v/>
      </c>
      <c r="L459" s="28" t="str">
        <f>IF(E459="InActive","-",IF(A459&lt;&gt;"",K459/'⚙️ Config'!$H$2,))</f>
        <v/>
      </c>
      <c r="M459" s="28" t="str">
        <f t="shared" si="2"/>
        <v/>
      </c>
      <c r="N459" s="28" t="str">
        <f>IF(A459&lt;&gt;"", SUMIFS('💰 Transaction ขาย'!F:F,'💰 Transaction ขาย'!B:B,A459,'💰 Transaction ขาย'!A:A,"&gt;="&amp;DATE(YEAR('⚙️ Config'!$H$1),1,1),'💰 Transaction ขาย'!A:A,"&lt;="&amp;DATE(YEAR('⚙️ Config'!$H$1),12,31)),)</f>
        <v/>
      </c>
    </row>
    <row r="460">
      <c r="A460" s="22"/>
      <c r="B460" s="22" t="str">
        <f>IF(A460&lt;&gt;"",SUMIFS('💸 Transaction ซื้อ'!E:E,'💸 Transaction ซื้อ'!B:B,A460)-SUMIFS('💰 Transaction ขาย'!E:E,'💰 Transaction ขาย'!B:B,A460),"")</f>
        <v/>
      </c>
      <c r="C460" s="23" t="str">
        <f>IF(A460&lt;&gt;"",vlookup(A460,'📦 ชื่อสินค้า'!A:E,5,false),"")</f>
        <v/>
      </c>
      <c r="D460" s="23" t="str">
        <f>IF(A460&lt;&gt;"",VLOOKUP(A460,'📦 ชื่อสินค้า'!A:F,6,false),"")</f>
        <v/>
      </c>
      <c r="E460" s="16" t="str">
        <f>IFERROR(IF(VLOOKUP(A460,'📦 ชื่อสินค้า'!A:G,7,false)="InActive","InActive",IF(A460&lt;&gt;"",IF(B460&lt;=0,"สินค้าหมด",IF(B460&lt;=C460,"ควรเติมทันที","OK")),"")),)</f>
        <v/>
      </c>
      <c r="F460" s="24" t="str">
        <f>IFERROR(IF(A460&lt;&gt;"", SUMIF('💸 Transaction ซื้อ'!B:B,A460,'💸 Transaction ซื้อ'!G:G)/SUMIF('💸 Transaction ซื้อ'!B:B,A460,'💸 Transaction ซื้อ'!E:E),""),"-")</f>
        <v/>
      </c>
      <c r="G460" s="24" t="str">
        <f t="shared" si="1"/>
        <v/>
      </c>
      <c r="H460" s="25"/>
      <c r="I460" s="26"/>
      <c r="J460" s="26"/>
      <c r="K460" s="27" t="str">
        <f>IF(A460&lt;&gt;"",IF(E460="InActive","-",SUMIFS('💰 Transaction ขาย'!E:E,'💰 Transaction ขาย'!B:B,A460,'💰 Transaction ขาย'!A:A,"&gt;"&amp;'⚙️ Config'!$H$1-'⚙️ Config'!$H$2)),)</f>
        <v/>
      </c>
      <c r="L460" s="28" t="str">
        <f>IF(E460="InActive","-",IF(A460&lt;&gt;"",K460/'⚙️ Config'!$H$2,))</f>
        <v/>
      </c>
      <c r="M460" s="28" t="str">
        <f t="shared" si="2"/>
        <v/>
      </c>
      <c r="N460" s="28" t="str">
        <f>IF(A460&lt;&gt;"", SUMIFS('💰 Transaction ขาย'!F:F,'💰 Transaction ขาย'!B:B,A460,'💰 Transaction ขาย'!A:A,"&gt;="&amp;DATE(YEAR('⚙️ Config'!$H$1),1,1),'💰 Transaction ขาย'!A:A,"&lt;="&amp;DATE(YEAR('⚙️ Config'!$H$1),12,31)),)</f>
        <v/>
      </c>
    </row>
    <row r="461">
      <c r="A461" s="22"/>
      <c r="B461" s="22" t="str">
        <f>IF(A461&lt;&gt;"",SUMIFS('💸 Transaction ซื้อ'!E:E,'💸 Transaction ซื้อ'!B:B,A461)-SUMIFS('💰 Transaction ขาย'!E:E,'💰 Transaction ขาย'!B:B,A461),"")</f>
        <v/>
      </c>
      <c r="C461" s="23" t="str">
        <f>IF(A461&lt;&gt;"",vlookup(A461,'📦 ชื่อสินค้า'!A:E,5,false),"")</f>
        <v/>
      </c>
      <c r="D461" s="23" t="str">
        <f>IF(A461&lt;&gt;"",VLOOKUP(A461,'📦 ชื่อสินค้า'!A:F,6,false),"")</f>
        <v/>
      </c>
      <c r="E461" s="16" t="str">
        <f>IFERROR(IF(VLOOKUP(A461,'📦 ชื่อสินค้า'!A:G,7,false)="InActive","InActive",IF(A461&lt;&gt;"",IF(B461&lt;=0,"สินค้าหมด",IF(B461&lt;=C461,"ควรเติมทันที","OK")),"")),)</f>
        <v/>
      </c>
      <c r="F461" s="24" t="str">
        <f>IFERROR(IF(A461&lt;&gt;"", SUMIF('💸 Transaction ซื้อ'!B:B,A461,'💸 Transaction ซื้อ'!G:G)/SUMIF('💸 Transaction ซื้อ'!B:B,A461,'💸 Transaction ซื้อ'!E:E),""),"-")</f>
        <v/>
      </c>
      <c r="G461" s="24" t="str">
        <f t="shared" si="1"/>
        <v/>
      </c>
      <c r="H461" s="25"/>
      <c r="I461" s="26"/>
      <c r="J461" s="26"/>
      <c r="K461" s="27" t="str">
        <f>IF(A461&lt;&gt;"",IF(E461="InActive","-",SUMIFS('💰 Transaction ขาย'!E:E,'💰 Transaction ขาย'!B:B,A461,'💰 Transaction ขาย'!A:A,"&gt;"&amp;'⚙️ Config'!$H$1-'⚙️ Config'!$H$2)),)</f>
        <v/>
      </c>
      <c r="L461" s="28" t="str">
        <f>IF(E461="InActive","-",IF(A461&lt;&gt;"",K461/'⚙️ Config'!$H$2,))</f>
        <v/>
      </c>
      <c r="M461" s="28" t="str">
        <f t="shared" si="2"/>
        <v/>
      </c>
      <c r="N461" s="28" t="str">
        <f>IF(A461&lt;&gt;"", SUMIFS('💰 Transaction ขาย'!F:F,'💰 Transaction ขาย'!B:B,A461,'💰 Transaction ขาย'!A:A,"&gt;="&amp;DATE(YEAR('⚙️ Config'!$H$1),1,1),'💰 Transaction ขาย'!A:A,"&lt;="&amp;DATE(YEAR('⚙️ Config'!$H$1),12,31)),)</f>
        <v/>
      </c>
    </row>
    <row r="462">
      <c r="A462" s="22"/>
      <c r="B462" s="22" t="str">
        <f>IF(A462&lt;&gt;"",SUMIFS('💸 Transaction ซื้อ'!E:E,'💸 Transaction ซื้อ'!B:B,A462)-SUMIFS('💰 Transaction ขาย'!E:E,'💰 Transaction ขาย'!B:B,A462),"")</f>
        <v/>
      </c>
      <c r="C462" s="23" t="str">
        <f>IF(A462&lt;&gt;"",vlookup(A462,'📦 ชื่อสินค้า'!A:E,5,false),"")</f>
        <v/>
      </c>
      <c r="D462" s="23" t="str">
        <f>IF(A462&lt;&gt;"",VLOOKUP(A462,'📦 ชื่อสินค้า'!A:F,6,false),"")</f>
        <v/>
      </c>
      <c r="E462" s="16" t="str">
        <f>IFERROR(IF(VLOOKUP(A462,'📦 ชื่อสินค้า'!A:G,7,false)="InActive","InActive",IF(A462&lt;&gt;"",IF(B462&lt;=0,"สินค้าหมด",IF(B462&lt;=C462,"ควรเติมทันที","OK")),"")),)</f>
        <v/>
      </c>
      <c r="F462" s="24" t="str">
        <f>IFERROR(IF(A462&lt;&gt;"", SUMIF('💸 Transaction ซื้อ'!B:B,A462,'💸 Transaction ซื้อ'!G:G)/SUMIF('💸 Transaction ซื้อ'!B:B,A462,'💸 Transaction ซื้อ'!E:E),""),"-")</f>
        <v/>
      </c>
      <c r="G462" s="24" t="str">
        <f t="shared" si="1"/>
        <v/>
      </c>
      <c r="H462" s="25"/>
      <c r="I462" s="26"/>
      <c r="J462" s="26"/>
      <c r="K462" s="27" t="str">
        <f>IF(A462&lt;&gt;"",IF(E462="InActive","-",SUMIFS('💰 Transaction ขาย'!E:E,'💰 Transaction ขาย'!B:B,A462,'💰 Transaction ขาย'!A:A,"&gt;"&amp;'⚙️ Config'!$H$1-'⚙️ Config'!$H$2)),)</f>
        <v/>
      </c>
      <c r="L462" s="28" t="str">
        <f>IF(E462="InActive","-",IF(A462&lt;&gt;"",K462/'⚙️ Config'!$H$2,))</f>
        <v/>
      </c>
      <c r="M462" s="28" t="str">
        <f t="shared" si="2"/>
        <v/>
      </c>
      <c r="N462" s="28" t="str">
        <f>IF(A462&lt;&gt;"", SUMIFS('💰 Transaction ขาย'!F:F,'💰 Transaction ขาย'!B:B,A462,'💰 Transaction ขาย'!A:A,"&gt;="&amp;DATE(YEAR('⚙️ Config'!$H$1),1,1),'💰 Transaction ขาย'!A:A,"&lt;="&amp;DATE(YEAR('⚙️ Config'!$H$1),12,31)),)</f>
        <v/>
      </c>
    </row>
    <row r="463">
      <c r="A463" s="22"/>
      <c r="B463" s="22" t="str">
        <f>IF(A463&lt;&gt;"",SUMIFS('💸 Transaction ซื้อ'!E:E,'💸 Transaction ซื้อ'!B:B,A463)-SUMIFS('💰 Transaction ขาย'!E:E,'💰 Transaction ขาย'!B:B,A463),"")</f>
        <v/>
      </c>
      <c r="C463" s="23" t="str">
        <f>IF(A463&lt;&gt;"",vlookup(A463,'📦 ชื่อสินค้า'!A:E,5,false),"")</f>
        <v/>
      </c>
      <c r="D463" s="23" t="str">
        <f>IF(A463&lt;&gt;"",VLOOKUP(A463,'📦 ชื่อสินค้า'!A:F,6,false),"")</f>
        <v/>
      </c>
      <c r="E463" s="16" t="str">
        <f>IFERROR(IF(VLOOKUP(A463,'📦 ชื่อสินค้า'!A:G,7,false)="InActive","InActive",IF(A463&lt;&gt;"",IF(B463&lt;=0,"สินค้าหมด",IF(B463&lt;=C463,"ควรเติมทันที","OK")),"")),)</f>
        <v/>
      </c>
      <c r="F463" s="24" t="str">
        <f>IFERROR(IF(A463&lt;&gt;"", SUMIF('💸 Transaction ซื้อ'!B:B,A463,'💸 Transaction ซื้อ'!G:G)/SUMIF('💸 Transaction ซื้อ'!B:B,A463,'💸 Transaction ซื้อ'!E:E),""),"-")</f>
        <v/>
      </c>
      <c r="G463" s="24" t="str">
        <f t="shared" si="1"/>
        <v/>
      </c>
      <c r="H463" s="25"/>
      <c r="I463" s="26"/>
      <c r="J463" s="26"/>
      <c r="K463" s="27" t="str">
        <f>IF(A463&lt;&gt;"",IF(E463="InActive","-",SUMIFS('💰 Transaction ขาย'!E:E,'💰 Transaction ขาย'!B:B,A463,'💰 Transaction ขาย'!A:A,"&gt;"&amp;'⚙️ Config'!$H$1-'⚙️ Config'!$H$2)),)</f>
        <v/>
      </c>
      <c r="L463" s="28" t="str">
        <f>IF(E463="InActive","-",IF(A463&lt;&gt;"",K463/'⚙️ Config'!$H$2,))</f>
        <v/>
      </c>
      <c r="M463" s="28" t="str">
        <f t="shared" si="2"/>
        <v/>
      </c>
      <c r="N463" s="28" t="str">
        <f>IF(A463&lt;&gt;"", SUMIFS('💰 Transaction ขาย'!F:F,'💰 Transaction ขาย'!B:B,A463,'💰 Transaction ขาย'!A:A,"&gt;="&amp;DATE(YEAR('⚙️ Config'!$H$1),1,1),'💰 Transaction ขาย'!A:A,"&lt;="&amp;DATE(YEAR('⚙️ Config'!$H$1),12,31)),)</f>
        <v/>
      </c>
    </row>
    <row r="464">
      <c r="A464" s="22"/>
      <c r="B464" s="22" t="str">
        <f>IF(A464&lt;&gt;"",SUMIFS('💸 Transaction ซื้อ'!E:E,'💸 Transaction ซื้อ'!B:B,A464)-SUMIFS('💰 Transaction ขาย'!E:E,'💰 Transaction ขาย'!B:B,A464),"")</f>
        <v/>
      </c>
      <c r="C464" s="23" t="str">
        <f>IF(A464&lt;&gt;"",vlookup(A464,'📦 ชื่อสินค้า'!A:E,5,false),"")</f>
        <v/>
      </c>
      <c r="D464" s="23" t="str">
        <f>IF(A464&lt;&gt;"",VLOOKUP(A464,'📦 ชื่อสินค้า'!A:F,6,false),"")</f>
        <v/>
      </c>
      <c r="E464" s="16" t="str">
        <f>IFERROR(IF(VLOOKUP(A464,'📦 ชื่อสินค้า'!A:G,7,false)="InActive","InActive",IF(A464&lt;&gt;"",IF(B464&lt;=0,"สินค้าหมด",IF(B464&lt;=C464,"ควรเติมทันที","OK")),"")),)</f>
        <v/>
      </c>
      <c r="F464" s="24" t="str">
        <f>IFERROR(IF(A464&lt;&gt;"", SUMIF('💸 Transaction ซื้อ'!B:B,A464,'💸 Transaction ซื้อ'!G:G)/SUMIF('💸 Transaction ซื้อ'!B:B,A464,'💸 Transaction ซื้อ'!E:E),""),"-")</f>
        <v/>
      </c>
      <c r="G464" s="24" t="str">
        <f t="shared" si="1"/>
        <v/>
      </c>
      <c r="H464" s="25"/>
      <c r="I464" s="26"/>
      <c r="J464" s="26"/>
      <c r="K464" s="27" t="str">
        <f>IF(A464&lt;&gt;"",IF(E464="InActive","-",SUMIFS('💰 Transaction ขาย'!E:E,'💰 Transaction ขาย'!B:B,A464,'💰 Transaction ขาย'!A:A,"&gt;"&amp;'⚙️ Config'!$H$1-'⚙️ Config'!$H$2)),)</f>
        <v/>
      </c>
      <c r="L464" s="28" t="str">
        <f>IF(E464="InActive","-",IF(A464&lt;&gt;"",K464/'⚙️ Config'!$H$2,))</f>
        <v/>
      </c>
      <c r="M464" s="28" t="str">
        <f t="shared" si="2"/>
        <v/>
      </c>
      <c r="N464" s="28" t="str">
        <f>IF(A464&lt;&gt;"", SUMIFS('💰 Transaction ขาย'!F:F,'💰 Transaction ขาย'!B:B,A464,'💰 Transaction ขาย'!A:A,"&gt;="&amp;DATE(YEAR('⚙️ Config'!$H$1),1,1),'💰 Transaction ขาย'!A:A,"&lt;="&amp;DATE(YEAR('⚙️ Config'!$H$1),12,31)),)</f>
        <v/>
      </c>
    </row>
    <row r="465">
      <c r="A465" s="22"/>
      <c r="B465" s="22" t="str">
        <f>IF(A465&lt;&gt;"",SUMIFS('💸 Transaction ซื้อ'!E:E,'💸 Transaction ซื้อ'!B:B,A465)-SUMIFS('💰 Transaction ขาย'!E:E,'💰 Transaction ขาย'!B:B,A465),"")</f>
        <v/>
      </c>
      <c r="C465" s="23" t="str">
        <f>IF(A465&lt;&gt;"",vlookup(A465,'📦 ชื่อสินค้า'!A:E,5,false),"")</f>
        <v/>
      </c>
      <c r="D465" s="23" t="str">
        <f>IF(A465&lt;&gt;"",VLOOKUP(A465,'📦 ชื่อสินค้า'!A:F,6,false),"")</f>
        <v/>
      </c>
      <c r="E465" s="16" t="str">
        <f>IFERROR(IF(VLOOKUP(A465,'📦 ชื่อสินค้า'!A:G,7,false)="InActive","InActive",IF(A465&lt;&gt;"",IF(B465&lt;=0,"สินค้าหมด",IF(B465&lt;=C465,"ควรเติมทันที","OK")),"")),)</f>
        <v/>
      </c>
      <c r="F465" s="24" t="str">
        <f>IFERROR(IF(A465&lt;&gt;"", SUMIF('💸 Transaction ซื้อ'!B:B,A465,'💸 Transaction ซื้อ'!G:G)/SUMIF('💸 Transaction ซื้อ'!B:B,A465,'💸 Transaction ซื้อ'!E:E),""),"-")</f>
        <v/>
      </c>
      <c r="G465" s="24" t="str">
        <f t="shared" si="1"/>
        <v/>
      </c>
      <c r="H465" s="25"/>
      <c r="I465" s="26"/>
      <c r="J465" s="26"/>
      <c r="K465" s="27" t="str">
        <f>IF(A465&lt;&gt;"",IF(E465="InActive","-",SUMIFS('💰 Transaction ขาย'!E:E,'💰 Transaction ขาย'!B:B,A465,'💰 Transaction ขาย'!A:A,"&gt;"&amp;'⚙️ Config'!$H$1-'⚙️ Config'!$H$2)),)</f>
        <v/>
      </c>
      <c r="L465" s="28" t="str">
        <f>IF(E465="InActive","-",IF(A465&lt;&gt;"",K465/'⚙️ Config'!$H$2,))</f>
        <v/>
      </c>
      <c r="M465" s="28" t="str">
        <f t="shared" si="2"/>
        <v/>
      </c>
      <c r="N465" s="28" t="str">
        <f>IF(A465&lt;&gt;"", SUMIFS('💰 Transaction ขาย'!F:F,'💰 Transaction ขาย'!B:B,A465,'💰 Transaction ขาย'!A:A,"&gt;="&amp;DATE(YEAR('⚙️ Config'!$H$1),1,1),'💰 Transaction ขาย'!A:A,"&lt;="&amp;DATE(YEAR('⚙️ Config'!$H$1),12,31)),)</f>
        <v/>
      </c>
    </row>
    <row r="466">
      <c r="A466" s="22"/>
      <c r="B466" s="22" t="str">
        <f>IF(A466&lt;&gt;"",SUMIFS('💸 Transaction ซื้อ'!E:E,'💸 Transaction ซื้อ'!B:B,A466)-SUMIFS('💰 Transaction ขาย'!E:E,'💰 Transaction ขาย'!B:B,A466),"")</f>
        <v/>
      </c>
      <c r="C466" s="23" t="str">
        <f>IF(A466&lt;&gt;"",vlookup(A466,'📦 ชื่อสินค้า'!A:E,5,false),"")</f>
        <v/>
      </c>
      <c r="D466" s="23" t="str">
        <f>IF(A466&lt;&gt;"",VLOOKUP(A466,'📦 ชื่อสินค้า'!A:F,6,false),"")</f>
        <v/>
      </c>
      <c r="E466" s="16" t="str">
        <f>IFERROR(IF(VLOOKUP(A466,'📦 ชื่อสินค้า'!A:G,7,false)="InActive","InActive",IF(A466&lt;&gt;"",IF(B466&lt;=0,"สินค้าหมด",IF(B466&lt;=C466,"ควรเติมทันที","OK")),"")),)</f>
        <v/>
      </c>
      <c r="F466" s="24" t="str">
        <f>IFERROR(IF(A466&lt;&gt;"", SUMIF('💸 Transaction ซื้อ'!B:B,A466,'💸 Transaction ซื้อ'!G:G)/SUMIF('💸 Transaction ซื้อ'!B:B,A466,'💸 Transaction ซื้อ'!E:E),""),"-")</f>
        <v/>
      </c>
      <c r="G466" s="24" t="str">
        <f t="shared" si="1"/>
        <v/>
      </c>
      <c r="H466" s="25"/>
      <c r="I466" s="26"/>
      <c r="J466" s="26"/>
      <c r="K466" s="27" t="str">
        <f>IF(A466&lt;&gt;"",IF(E466="InActive","-",SUMIFS('💰 Transaction ขาย'!E:E,'💰 Transaction ขาย'!B:B,A466,'💰 Transaction ขาย'!A:A,"&gt;"&amp;'⚙️ Config'!$H$1-'⚙️ Config'!$H$2)),)</f>
        <v/>
      </c>
      <c r="L466" s="28" t="str">
        <f>IF(E466="InActive","-",IF(A466&lt;&gt;"",K466/'⚙️ Config'!$H$2,))</f>
        <v/>
      </c>
      <c r="M466" s="28" t="str">
        <f t="shared" si="2"/>
        <v/>
      </c>
      <c r="N466" s="28" t="str">
        <f>IF(A466&lt;&gt;"", SUMIFS('💰 Transaction ขาย'!F:F,'💰 Transaction ขาย'!B:B,A466,'💰 Transaction ขาย'!A:A,"&gt;="&amp;DATE(YEAR('⚙️ Config'!$H$1),1,1),'💰 Transaction ขาย'!A:A,"&lt;="&amp;DATE(YEAR('⚙️ Config'!$H$1),12,31)),)</f>
        <v/>
      </c>
    </row>
    <row r="467">
      <c r="A467" s="22"/>
      <c r="B467" s="22" t="str">
        <f>IF(A467&lt;&gt;"",SUMIFS('💸 Transaction ซื้อ'!E:E,'💸 Transaction ซื้อ'!B:B,A467)-SUMIFS('💰 Transaction ขาย'!E:E,'💰 Transaction ขาย'!B:B,A467),"")</f>
        <v/>
      </c>
      <c r="C467" s="23" t="str">
        <f>IF(A467&lt;&gt;"",vlookup(A467,'📦 ชื่อสินค้า'!A:E,5,false),"")</f>
        <v/>
      </c>
      <c r="D467" s="23" t="str">
        <f>IF(A467&lt;&gt;"",VLOOKUP(A467,'📦 ชื่อสินค้า'!A:F,6,false),"")</f>
        <v/>
      </c>
      <c r="E467" s="16" t="str">
        <f>IFERROR(IF(VLOOKUP(A467,'📦 ชื่อสินค้า'!A:G,7,false)="InActive","InActive",IF(A467&lt;&gt;"",IF(B467&lt;=0,"สินค้าหมด",IF(B467&lt;=C467,"ควรเติมทันที","OK")),"")),)</f>
        <v/>
      </c>
      <c r="F467" s="24" t="str">
        <f>IFERROR(IF(A467&lt;&gt;"", SUMIF('💸 Transaction ซื้อ'!B:B,A467,'💸 Transaction ซื้อ'!G:G)/SUMIF('💸 Transaction ซื้อ'!B:B,A467,'💸 Transaction ซื้อ'!E:E),""),"-")</f>
        <v/>
      </c>
      <c r="G467" s="24" t="str">
        <f t="shared" si="1"/>
        <v/>
      </c>
      <c r="H467" s="25"/>
      <c r="I467" s="26"/>
      <c r="J467" s="26"/>
      <c r="K467" s="27" t="str">
        <f>IF(A467&lt;&gt;"",IF(E467="InActive","-",SUMIFS('💰 Transaction ขาย'!E:E,'💰 Transaction ขาย'!B:B,A467,'💰 Transaction ขาย'!A:A,"&gt;"&amp;'⚙️ Config'!$H$1-'⚙️ Config'!$H$2)),)</f>
        <v/>
      </c>
      <c r="L467" s="28" t="str">
        <f>IF(E467="InActive","-",IF(A467&lt;&gt;"",K467/'⚙️ Config'!$H$2,))</f>
        <v/>
      </c>
      <c r="M467" s="28" t="str">
        <f t="shared" si="2"/>
        <v/>
      </c>
      <c r="N467" s="28" t="str">
        <f>IF(A467&lt;&gt;"", SUMIFS('💰 Transaction ขาย'!F:F,'💰 Transaction ขาย'!B:B,A467,'💰 Transaction ขาย'!A:A,"&gt;="&amp;DATE(YEAR('⚙️ Config'!$H$1),1,1),'💰 Transaction ขาย'!A:A,"&lt;="&amp;DATE(YEAR('⚙️ Config'!$H$1),12,31)),)</f>
        <v/>
      </c>
    </row>
    <row r="468">
      <c r="A468" s="22"/>
      <c r="B468" s="22" t="str">
        <f>IF(A468&lt;&gt;"",SUMIFS('💸 Transaction ซื้อ'!E:E,'💸 Transaction ซื้อ'!B:B,A468)-SUMIFS('💰 Transaction ขาย'!E:E,'💰 Transaction ขาย'!B:B,A468),"")</f>
        <v/>
      </c>
      <c r="C468" s="23" t="str">
        <f>IF(A468&lt;&gt;"",vlookup(A468,'📦 ชื่อสินค้า'!A:E,5,false),"")</f>
        <v/>
      </c>
      <c r="D468" s="23" t="str">
        <f>IF(A468&lt;&gt;"",VLOOKUP(A468,'📦 ชื่อสินค้า'!A:F,6,false),"")</f>
        <v/>
      </c>
      <c r="E468" s="16" t="str">
        <f>IFERROR(IF(VLOOKUP(A468,'📦 ชื่อสินค้า'!A:G,7,false)="InActive","InActive",IF(A468&lt;&gt;"",IF(B468&lt;=0,"สินค้าหมด",IF(B468&lt;=C468,"ควรเติมทันที","OK")),"")),)</f>
        <v/>
      </c>
      <c r="F468" s="24" t="str">
        <f>IFERROR(IF(A468&lt;&gt;"", SUMIF('💸 Transaction ซื้อ'!B:B,A468,'💸 Transaction ซื้อ'!G:G)/SUMIF('💸 Transaction ซื้อ'!B:B,A468,'💸 Transaction ซื้อ'!E:E),""),"-")</f>
        <v/>
      </c>
      <c r="G468" s="24" t="str">
        <f t="shared" si="1"/>
        <v/>
      </c>
      <c r="H468" s="25"/>
      <c r="I468" s="26"/>
      <c r="J468" s="26"/>
      <c r="K468" s="27" t="str">
        <f>IF(A468&lt;&gt;"",IF(E468="InActive","-",SUMIFS('💰 Transaction ขาย'!E:E,'💰 Transaction ขาย'!B:B,A468,'💰 Transaction ขาย'!A:A,"&gt;"&amp;'⚙️ Config'!$H$1-'⚙️ Config'!$H$2)),)</f>
        <v/>
      </c>
      <c r="L468" s="28" t="str">
        <f>IF(E468="InActive","-",IF(A468&lt;&gt;"",K468/'⚙️ Config'!$H$2,))</f>
        <v/>
      </c>
      <c r="M468" s="28" t="str">
        <f t="shared" si="2"/>
        <v/>
      </c>
      <c r="N468" s="28" t="str">
        <f>IF(A468&lt;&gt;"", SUMIFS('💰 Transaction ขาย'!F:F,'💰 Transaction ขาย'!B:B,A468,'💰 Transaction ขาย'!A:A,"&gt;="&amp;DATE(YEAR('⚙️ Config'!$H$1),1,1),'💰 Transaction ขาย'!A:A,"&lt;="&amp;DATE(YEAR('⚙️ Config'!$H$1),12,31)),)</f>
        <v/>
      </c>
    </row>
    <row r="469">
      <c r="A469" s="22"/>
      <c r="B469" s="22" t="str">
        <f>IF(A469&lt;&gt;"",SUMIFS('💸 Transaction ซื้อ'!E:E,'💸 Transaction ซื้อ'!B:B,A469)-SUMIFS('💰 Transaction ขาย'!E:E,'💰 Transaction ขาย'!B:B,A469),"")</f>
        <v/>
      </c>
      <c r="C469" s="23" t="str">
        <f>IF(A469&lt;&gt;"",vlookup(A469,'📦 ชื่อสินค้า'!A:E,5,false),"")</f>
        <v/>
      </c>
      <c r="D469" s="23" t="str">
        <f>IF(A469&lt;&gt;"",VLOOKUP(A469,'📦 ชื่อสินค้า'!A:F,6,false),"")</f>
        <v/>
      </c>
      <c r="E469" s="16" t="str">
        <f>IFERROR(IF(VLOOKUP(A469,'📦 ชื่อสินค้า'!A:G,7,false)="InActive","InActive",IF(A469&lt;&gt;"",IF(B469&lt;=0,"สินค้าหมด",IF(B469&lt;=C469,"ควรเติมทันที","OK")),"")),)</f>
        <v/>
      </c>
      <c r="F469" s="24" t="str">
        <f>IFERROR(IF(A469&lt;&gt;"", SUMIF('💸 Transaction ซื้อ'!B:B,A469,'💸 Transaction ซื้อ'!G:G)/SUMIF('💸 Transaction ซื้อ'!B:B,A469,'💸 Transaction ซื้อ'!E:E),""),"-")</f>
        <v/>
      </c>
      <c r="G469" s="24" t="str">
        <f t="shared" si="1"/>
        <v/>
      </c>
      <c r="H469" s="25"/>
      <c r="I469" s="26"/>
      <c r="J469" s="26"/>
      <c r="K469" s="27" t="str">
        <f>IF(A469&lt;&gt;"",IF(E469="InActive","-",SUMIFS('💰 Transaction ขาย'!E:E,'💰 Transaction ขาย'!B:B,A469,'💰 Transaction ขาย'!A:A,"&gt;"&amp;'⚙️ Config'!$H$1-'⚙️ Config'!$H$2)),)</f>
        <v/>
      </c>
      <c r="L469" s="28" t="str">
        <f>IF(E469="InActive","-",IF(A469&lt;&gt;"",K469/'⚙️ Config'!$H$2,))</f>
        <v/>
      </c>
      <c r="M469" s="28" t="str">
        <f t="shared" si="2"/>
        <v/>
      </c>
      <c r="N469" s="28" t="str">
        <f>IF(A469&lt;&gt;"", SUMIFS('💰 Transaction ขาย'!F:F,'💰 Transaction ขาย'!B:B,A469,'💰 Transaction ขาย'!A:A,"&gt;="&amp;DATE(YEAR('⚙️ Config'!$H$1),1,1),'💰 Transaction ขาย'!A:A,"&lt;="&amp;DATE(YEAR('⚙️ Config'!$H$1),12,31)),)</f>
        <v/>
      </c>
    </row>
    <row r="470">
      <c r="A470" s="22"/>
      <c r="B470" s="22" t="str">
        <f>IF(A470&lt;&gt;"",SUMIFS('💸 Transaction ซื้อ'!E:E,'💸 Transaction ซื้อ'!B:B,A470)-SUMIFS('💰 Transaction ขาย'!E:E,'💰 Transaction ขาย'!B:B,A470),"")</f>
        <v/>
      </c>
      <c r="C470" s="23" t="str">
        <f>IF(A470&lt;&gt;"",vlookup(A470,'📦 ชื่อสินค้า'!A:E,5,false),"")</f>
        <v/>
      </c>
      <c r="D470" s="23" t="str">
        <f>IF(A470&lt;&gt;"",VLOOKUP(A470,'📦 ชื่อสินค้า'!A:F,6,false),"")</f>
        <v/>
      </c>
      <c r="E470" s="16" t="str">
        <f>IFERROR(IF(VLOOKUP(A470,'📦 ชื่อสินค้า'!A:G,7,false)="InActive","InActive",IF(A470&lt;&gt;"",IF(B470&lt;=0,"สินค้าหมด",IF(B470&lt;=C470,"ควรเติมทันที","OK")),"")),)</f>
        <v/>
      </c>
      <c r="F470" s="24" t="str">
        <f>IFERROR(IF(A470&lt;&gt;"", SUMIF('💸 Transaction ซื้อ'!B:B,A470,'💸 Transaction ซื้อ'!G:G)/SUMIF('💸 Transaction ซื้อ'!B:B,A470,'💸 Transaction ซื้อ'!E:E),""),"-")</f>
        <v/>
      </c>
      <c r="G470" s="24" t="str">
        <f t="shared" si="1"/>
        <v/>
      </c>
      <c r="H470" s="25"/>
      <c r="I470" s="26"/>
      <c r="J470" s="26"/>
      <c r="K470" s="27" t="str">
        <f>IF(A470&lt;&gt;"",IF(E470="InActive","-",SUMIFS('💰 Transaction ขาย'!E:E,'💰 Transaction ขาย'!B:B,A470,'💰 Transaction ขาย'!A:A,"&gt;"&amp;'⚙️ Config'!$H$1-'⚙️ Config'!$H$2)),)</f>
        <v/>
      </c>
      <c r="L470" s="28" t="str">
        <f>IF(E470="InActive","-",IF(A470&lt;&gt;"",K470/'⚙️ Config'!$H$2,))</f>
        <v/>
      </c>
      <c r="M470" s="28" t="str">
        <f t="shared" si="2"/>
        <v/>
      </c>
      <c r="N470" s="28" t="str">
        <f>IF(A470&lt;&gt;"", SUMIFS('💰 Transaction ขาย'!F:F,'💰 Transaction ขาย'!B:B,A470,'💰 Transaction ขาย'!A:A,"&gt;="&amp;DATE(YEAR('⚙️ Config'!$H$1),1,1),'💰 Transaction ขาย'!A:A,"&lt;="&amp;DATE(YEAR('⚙️ Config'!$H$1),12,31)),)</f>
        <v/>
      </c>
    </row>
    <row r="471">
      <c r="A471" s="22"/>
      <c r="B471" s="22" t="str">
        <f>IF(A471&lt;&gt;"",SUMIFS('💸 Transaction ซื้อ'!E:E,'💸 Transaction ซื้อ'!B:B,A471)-SUMIFS('💰 Transaction ขาย'!E:E,'💰 Transaction ขาย'!B:B,A471),"")</f>
        <v/>
      </c>
      <c r="C471" s="23" t="str">
        <f>IF(A471&lt;&gt;"",vlookup(A471,'📦 ชื่อสินค้า'!A:E,5,false),"")</f>
        <v/>
      </c>
      <c r="D471" s="23" t="str">
        <f>IF(A471&lt;&gt;"",VLOOKUP(A471,'📦 ชื่อสินค้า'!A:F,6,false),"")</f>
        <v/>
      </c>
      <c r="E471" s="16" t="str">
        <f>IFERROR(IF(VLOOKUP(A471,'📦 ชื่อสินค้า'!A:G,7,false)="InActive","InActive",IF(A471&lt;&gt;"",IF(B471&lt;=0,"สินค้าหมด",IF(B471&lt;=C471,"ควรเติมทันที","OK")),"")),)</f>
        <v/>
      </c>
      <c r="F471" s="24" t="str">
        <f>IFERROR(IF(A471&lt;&gt;"", SUMIF('💸 Transaction ซื้อ'!B:B,A471,'💸 Transaction ซื้อ'!G:G)/SUMIF('💸 Transaction ซื้อ'!B:B,A471,'💸 Transaction ซื้อ'!E:E),""),"-")</f>
        <v/>
      </c>
      <c r="G471" s="24" t="str">
        <f t="shared" si="1"/>
        <v/>
      </c>
      <c r="H471" s="25"/>
      <c r="I471" s="26"/>
      <c r="J471" s="26"/>
      <c r="K471" s="27" t="str">
        <f>IF(A471&lt;&gt;"",IF(E471="InActive","-",SUMIFS('💰 Transaction ขาย'!E:E,'💰 Transaction ขาย'!B:B,A471,'💰 Transaction ขาย'!A:A,"&gt;"&amp;'⚙️ Config'!$H$1-'⚙️ Config'!$H$2)),)</f>
        <v/>
      </c>
      <c r="L471" s="28" t="str">
        <f>IF(E471="InActive","-",IF(A471&lt;&gt;"",K471/'⚙️ Config'!$H$2,))</f>
        <v/>
      </c>
      <c r="M471" s="28" t="str">
        <f t="shared" si="2"/>
        <v/>
      </c>
      <c r="N471" s="28" t="str">
        <f>IF(A471&lt;&gt;"", SUMIFS('💰 Transaction ขาย'!F:F,'💰 Transaction ขาย'!B:B,A471,'💰 Transaction ขาย'!A:A,"&gt;="&amp;DATE(YEAR('⚙️ Config'!$H$1),1,1),'💰 Transaction ขาย'!A:A,"&lt;="&amp;DATE(YEAR('⚙️ Config'!$H$1),12,31)),)</f>
        <v/>
      </c>
    </row>
    <row r="472">
      <c r="A472" s="22"/>
      <c r="B472" s="22" t="str">
        <f>IF(A472&lt;&gt;"",SUMIFS('💸 Transaction ซื้อ'!E:E,'💸 Transaction ซื้อ'!B:B,A472)-SUMIFS('💰 Transaction ขาย'!E:E,'💰 Transaction ขาย'!B:B,A472),"")</f>
        <v/>
      </c>
      <c r="C472" s="23" t="str">
        <f>IF(A472&lt;&gt;"",vlookup(A472,'📦 ชื่อสินค้า'!A:E,5,false),"")</f>
        <v/>
      </c>
      <c r="D472" s="23" t="str">
        <f>IF(A472&lt;&gt;"",VLOOKUP(A472,'📦 ชื่อสินค้า'!A:F,6,false),"")</f>
        <v/>
      </c>
      <c r="E472" s="16" t="str">
        <f>IFERROR(IF(VLOOKUP(A472,'📦 ชื่อสินค้า'!A:G,7,false)="InActive","InActive",IF(A472&lt;&gt;"",IF(B472&lt;=0,"สินค้าหมด",IF(B472&lt;=C472,"ควรเติมทันที","OK")),"")),)</f>
        <v/>
      </c>
      <c r="F472" s="24" t="str">
        <f>IFERROR(IF(A472&lt;&gt;"", SUMIF('💸 Transaction ซื้อ'!B:B,A472,'💸 Transaction ซื้อ'!G:G)/SUMIF('💸 Transaction ซื้อ'!B:B,A472,'💸 Transaction ซื้อ'!E:E),""),"-")</f>
        <v/>
      </c>
      <c r="G472" s="24" t="str">
        <f t="shared" si="1"/>
        <v/>
      </c>
      <c r="H472" s="25"/>
      <c r="I472" s="26"/>
      <c r="J472" s="26"/>
      <c r="K472" s="27" t="str">
        <f>IF(A472&lt;&gt;"",IF(E472="InActive","-",SUMIFS('💰 Transaction ขาย'!E:E,'💰 Transaction ขาย'!B:B,A472,'💰 Transaction ขาย'!A:A,"&gt;"&amp;'⚙️ Config'!$H$1-'⚙️ Config'!$H$2)),)</f>
        <v/>
      </c>
      <c r="L472" s="28" t="str">
        <f>IF(E472="InActive","-",IF(A472&lt;&gt;"",K472/'⚙️ Config'!$H$2,))</f>
        <v/>
      </c>
      <c r="M472" s="28" t="str">
        <f t="shared" si="2"/>
        <v/>
      </c>
      <c r="N472" s="28" t="str">
        <f>IF(A472&lt;&gt;"", SUMIFS('💰 Transaction ขาย'!F:F,'💰 Transaction ขาย'!B:B,A472,'💰 Transaction ขาย'!A:A,"&gt;="&amp;DATE(YEAR('⚙️ Config'!$H$1),1,1),'💰 Transaction ขาย'!A:A,"&lt;="&amp;DATE(YEAR('⚙️ Config'!$H$1),12,31)),)</f>
        <v/>
      </c>
    </row>
    <row r="473">
      <c r="A473" s="22"/>
      <c r="B473" s="22" t="str">
        <f>IF(A473&lt;&gt;"",SUMIFS('💸 Transaction ซื้อ'!E:E,'💸 Transaction ซื้อ'!B:B,A473)-SUMIFS('💰 Transaction ขาย'!E:E,'💰 Transaction ขาย'!B:B,A473),"")</f>
        <v/>
      </c>
      <c r="C473" s="23" t="str">
        <f>IF(A473&lt;&gt;"",vlookup(A473,'📦 ชื่อสินค้า'!A:E,5,false),"")</f>
        <v/>
      </c>
      <c r="D473" s="23" t="str">
        <f>IF(A473&lt;&gt;"",VLOOKUP(A473,'📦 ชื่อสินค้า'!A:F,6,false),"")</f>
        <v/>
      </c>
      <c r="E473" s="16" t="str">
        <f>IFERROR(IF(VLOOKUP(A473,'📦 ชื่อสินค้า'!A:G,7,false)="InActive","InActive",IF(A473&lt;&gt;"",IF(B473&lt;=0,"สินค้าหมด",IF(B473&lt;=C473,"ควรเติมทันที","OK")),"")),)</f>
        <v/>
      </c>
      <c r="F473" s="24" t="str">
        <f>IFERROR(IF(A473&lt;&gt;"", SUMIF('💸 Transaction ซื้อ'!B:B,A473,'💸 Transaction ซื้อ'!G:G)/SUMIF('💸 Transaction ซื้อ'!B:B,A473,'💸 Transaction ซื้อ'!E:E),""),"-")</f>
        <v/>
      </c>
      <c r="G473" s="24" t="str">
        <f t="shared" si="1"/>
        <v/>
      </c>
      <c r="H473" s="25"/>
      <c r="I473" s="26"/>
      <c r="J473" s="26"/>
      <c r="K473" s="27" t="str">
        <f>IF(A473&lt;&gt;"",IF(E473="InActive","-",SUMIFS('💰 Transaction ขาย'!E:E,'💰 Transaction ขาย'!B:B,A473,'💰 Transaction ขาย'!A:A,"&gt;"&amp;'⚙️ Config'!$H$1-'⚙️ Config'!$H$2)),)</f>
        <v/>
      </c>
      <c r="L473" s="28" t="str">
        <f>IF(E473="InActive","-",IF(A473&lt;&gt;"",K473/'⚙️ Config'!$H$2,))</f>
        <v/>
      </c>
      <c r="M473" s="28" t="str">
        <f t="shared" si="2"/>
        <v/>
      </c>
      <c r="N473" s="28" t="str">
        <f>IF(A473&lt;&gt;"", SUMIFS('💰 Transaction ขาย'!F:F,'💰 Transaction ขาย'!B:B,A473,'💰 Transaction ขาย'!A:A,"&gt;="&amp;DATE(YEAR('⚙️ Config'!$H$1),1,1),'💰 Transaction ขาย'!A:A,"&lt;="&amp;DATE(YEAR('⚙️ Config'!$H$1),12,31)),)</f>
        <v/>
      </c>
    </row>
    <row r="474">
      <c r="A474" s="22"/>
      <c r="B474" s="22" t="str">
        <f>IF(A474&lt;&gt;"",SUMIFS('💸 Transaction ซื้อ'!E:E,'💸 Transaction ซื้อ'!B:B,A474)-SUMIFS('💰 Transaction ขาย'!E:E,'💰 Transaction ขาย'!B:B,A474),"")</f>
        <v/>
      </c>
      <c r="C474" s="23" t="str">
        <f>IF(A474&lt;&gt;"",vlookup(A474,'📦 ชื่อสินค้า'!A:E,5,false),"")</f>
        <v/>
      </c>
      <c r="D474" s="23" t="str">
        <f>IF(A474&lt;&gt;"",VLOOKUP(A474,'📦 ชื่อสินค้า'!A:F,6,false),"")</f>
        <v/>
      </c>
      <c r="E474" s="16" t="str">
        <f>IFERROR(IF(VLOOKUP(A474,'📦 ชื่อสินค้า'!A:G,7,false)="InActive","InActive",IF(A474&lt;&gt;"",IF(B474&lt;=0,"สินค้าหมด",IF(B474&lt;=C474,"ควรเติมทันที","OK")),"")),)</f>
        <v/>
      </c>
      <c r="F474" s="24" t="str">
        <f>IFERROR(IF(A474&lt;&gt;"", SUMIF('💸 Transaction ซื้อ'!B:B,A474,'💸 Transaction ซื้อ'!G:G)/SUMIF('💸 Transaction ซื้อ'!B:B,A474,'💸 Transaction ซื้อ'!E:E),""),"-")</f>
        <v/>
      </c>
      <c r="G474" s="24" t="str">
        <f t="shared" si="1"/>
        <v/>
      </c>
      <c r="H474" s="25"/>
      <c r="I474" s="26"/>
      <c r="J474" s="26"/>
      <c r="K474" s="27" t="str">
        <f>IF(A474&lt;&gt;"",IF(E474="InActive","-",SUMIFS('💰 Transaction ขาย'!E:E,'💰 Transaction ขาย'!B:B,A474,'💰 Transaction ขาย'!A:A,"&gt;"&amp;'⚙️ Config'!$H$1-'⚙️ Config'!$H$2)),)</f>
        <v/>
      </c>
      <c r="L474" s="28" t="str">
        <f>IF(E474="InActive","-",IF(A474&lt;&gt;"",K474/'⚙️ Config'!$H$2,))</f>
        <v/>
      </c>
      <c r="M474" s="28" t="str">
        <f t="shared" si="2"/>
        <v/>
      </c>
      <c r="N474" s="28" t="str">
        <f>IF(A474&lt;&gt;"", SUMIFS('💰 Transaction ขาย'!F:F,'💰 Transaction ขาย'!B:B,A474,'💰 Transaction ขาย'!A:A,"&gt;="&amp;DATE(YEAR('⚙️ Config'!$H$1),1,1),'💰 Transaction ขาย'!A:A,"&lt;="&amp;DATE(YEAR('⚙️ Config'!$H$1),12,31)),)</f>
        <v/>
      </c>
    </row>
    <row r="475">
      <c r="A475" s="22"/>
      <c r="B475" s="22" t="str">
        <f>IF(A475&lt;&gt;"",SUMIFS('💸 Transaction ซื้อ'!E:E,'💸 Transaction ซื้อ'!B:B,A475)-SUMIFS('💰 Transaction ขาย'!E:E,'💰 Transaction ขาย'!B:B,A475),"")</f>
        <v/>
      </c>
      <c r="C475" s="23" t="str">
        <f>IF(A475&lt;&gt;"",vlookup(A475,'📦 ชื่อสินค้า'!A:E,5,false),"")</f>
        <v/>
      </c>
      <c r="D475" s="23" t="str">
        <f>IF(A475&lt;&gt;"",VLOOKUP(A475,'📦 ชื่อสินค้า'!A:F,6,false),"")</f>
        <v/>
      </c>
      <c r="E475" s="16" t="str">
        <f>IFERROR(IF(VLOOKUP(A475,'📦 ชื่อสินค้า'!A:G,7,false)="InActive","InActive",IF(A475&lt;&gt;"",IF(B475&lt;=0,"สินค้าหมด",IF(B475&lt;=C475,"ควรเติมทันที","OK")),"")),)</f>
        <v/>
      </c>
      <c r="F475" s="24" t="str">
        <f>IFERROR(IF(A475&lt;&gt;"", SUMIF('💸 Transaction ซื้อ'!B:B,A475,'💸 Transaction ซื้อ'!G:G)/SUMIF('💸 Transaction ซื้อ'!B:B,A475,'💸 Transaction ซื้อ'!E:E),""),"-")</f>
        <v/>
      </c>
      <c r="G475" s="24" t="str">
        <f t="shared" si="1"/>
        <v/>
      </c>
      <c r="H475" s="25"/>
      <c r="I475" s="26"/>
      <c r="J475" s="26"/>
      <c r="K475" s="27" t="str">
        <f>IF(A475&lt;&gt;"",IF(E475="InActive","-",SUMIFS('💰 Transaction ขาย'!E:E,'💰 Transaction ขาย'!B:B,A475,'💰 Transaction ขาย'!A:A,"&gt;"&amp;'⚙️ Config'!$H$1-'⚙️ Config'!$H$2)),)</f>
        <v/>
      </c>
      <c r="L475" s="28" t="str">
        <f>IF(E475="InActive","-",IF(A475&lt;&gt;"",K475/'⚙️ Config'!$H$2,))</f>
        <v/>
      </c>
      <c r="M475" s="28" t="str">
        <f t="shared" si="2"/>
        <v/>
      </c>
      <c r="N475" s="28" t="str">
        <f>IF(A475&lt;&gt;"", SUMIFS('💰 Transaction ขาย'!F:F,'💰 Transaction ขาย'!B:B,A475,'💰 Transaction ขาย'!A:A,"&gt;="&amp;DATE(YEAR('⚙️ Config'!$H$1),1,1),'💰 Transaction ขาย'!A:A,"&lt;="&amp;DATE(YEAR('⚙️ Config'!$H$1),12,31)),)</f>
        <v/>
      </c>
    </row>
    <row r="476">
      <c r="A476" s="22"/>
      <c r="B476" s="22" t="str">
        <f>IF(A476&lt;&gt;"",SUMIFS('💸 Transaction ซื้อ'!E:E,'💸 Transaction ซื้อ'!B:B,A476)-SUMIFS('💰 Transaction ขาย'!E:E,'💰 Transaction ขาย'!B:B,A476),"")</f>
        <v/>
      </c>
      <c r="C476" s="23" t="str">
        <f>IF(A476&lt;&gt;"",vlookup(A476,'📦 ชื่อสินค้า'!A:E,5,false),"")</f>
        <v/>
      </c>
      <c r="D476" s="23" t="str">
        <f>IF(A476&lt;&gt;"",VLOOKUP(A476,'📦 ชื่อสินค้า'!A:F,6,false),"")</f>
        <v/>
      </c>
      <c r="E476" s="16" t="str">
        <f>IFERROR(IF(VLOOKUP(A476,'📦 ชื่อสินค้า'!A:G,7,false)="InActive","InActive",IF(A476&lt;&gt;"",IF(B476&lt;=0,"สินค้าหมด",IF(B476&lt;=C476,"ควรเติมทันที","OK")),"")),)</f>
        <v/>
      </c>
      <c r="F476" s="24" t="str">
        <f>IFERROR(IF(A476&lt;&gt;"", SUMIF('💸 Transaction ซื้อ'!B:B,A476,'💸 Transaction ซื้อ'!G:G)/SUMIF('💸 Transaction ซื้อ'!B:B,A476,'💸 Transaction ซื้อ'!E:E),""),"-")</f>
        <v/>
      </c>
      <c r="G476" s="24" t="str">
        <f t="shared" si="1"/>
        <v/>
      </c>
      <c r="H476" s="25"/>
      <c r="I476" s="26"/>
      <c r="J476" s="26"/>
      <c r="K476" s="27" t="str">
        <f>IF(A476&lt;&gt;"",IF(E476="InActive","-",SUMIFS('💰 Transaction ขาย'!E:E,'💰 Transaction ขาย'!B:B,A476,'💰 Transaction ขาย'!A:A,"&gt;"&amp;'⚙️ Config'!$H$1-'⚙️ Config'!$H$2)),)</f>
        <v/>
      </c>
      <c r="L476" s="28" t="str">
        <f>IF(E476="InActive","-",IF(A476&lt;&gt;"",K476/'⚙️ Config'!$H$2,))</f>
        <v/>
      </c>
      <c r="M476" s="28" t="str">
        <f t="shared" si="2"/>
        <v/>
      </c>
      <c r="N476" s="28" t="str">
        <f>IF(A476&lt;&gt;"", SUMIFS('💰 Transaction ขาย'!F:F,'💰 Transaction ขาย'!B:B,A476,'💰 Transaction ขาย'!A:A,"&gt;="&amp;DATE(YEAR('⚙️ Config'!$H$1),1,1),'💰 Transaction ขาย'!A:A,"&lt;="&amp;DATE(YEAR('⚙️ Config'!$H$1),12,31)),)</f>
        <v/>
      </c>
    </row>
    <row r="477">
      <c r="A477" s="22"/>
      <c r="B477" s="22" t="str">
        <f>IF(A477&lt;&gt;"",SUMIFS('💸 Transaction ซื้อ'!E:E,'💸 Transaction ซื้อ'!B:B,A477)-SUMIFS('💰 Transaction ขาย'!E:E,'💰 Transaction ขาย'!B:B,A477),"")</f>
        <v/>
      </c>
      <c r="C477" s="23" t="str">
        <f>IF(A477&lt;&gt;"",vlookup(A477,'📦 ชื่อสินค้า'!A:E,5,false),"")</f>
        <v/>
      </c>
      <c r="D477" s="23" t="str">
        <f>IF(A477&lt;&gt;"",VLOOKUP(A477,'📦 ชื่อสินค้า'!A:F,6,false),"")</f>
        <v/>
      </c>
      <c r="E477" s="16" t="str">
        <f>IFERROR(IF(VLOOKUP(A477,'📦 ชื่อสินค้า'!A:G,7,false)="InActive","InActive",IF(A477&lt;&gt;"",IF(B477&lt;=0,"สินค้าหมด",IF(B477&lt;=C477,"ควรเติมทันที","OK")),"")),)</f>
        <v/>
      </c>
      <c r="F477" s="24" t="str">
        <f>IFERROR(IF(A477&lt;&gt;"", SUMIF('💸 Transaction ซื้อ'!B:B,A477,'💸 Transaction ซื้อ'!G:G)/SUMIF('💸 Transaction ซื้อ'!B:B,A477,'💸 Transaction ซื้อ'!E:E),""),"-")</f>
        <v/>
      </c>
      <c r="G477" s="24" t="str">
        <f t="shared" si="1"/>
        <v/>
      </c>
      <c r="H477" s="25"/>
      <c r="I477" s="26"/>
      <c r="J477" s="26"/>
      <c r="K477" s="27" t="str">
        <f>IF(A477&lt;&gt;"",IF(E477="InActive","-",SUMIFS('💰 Transaction ขาย'!E:E,'💰 Transaction ขาย'!B:B,A477,'💰 Transaction ขาย'!A:A,"&gt;"&amp;'⚙️ Config'!$H$1-'⚙️ Config'!$H$2)),)</f>
        <v/>
      </c>
      <c r="L477" s="28" t="str">
        <f>IF(E477="InActive","-",IF(A477&lt;&gt;"",K477/'⚙️ Config'!$H$2,))</f>
        <v/>
      </c>
      <c r="M477" s="28" t="str">
        <f t="shared" si="2"/>
        <v/>
      </c>
      <c r="N477" s="28" t="str">
        <f>IF(A477&lt;&gt;"", SUMIFS('💰 Transaction ขาย'!F:F,'💰 Transaction ขาย'!B:B,A477,'💰 Transaction ขาย'!A:A,"&gt;="&amp;DATE(YEAR('⚙️ Config'!$H$1),1,1),'💰 Transaction ขาย'!A:A,"&lt;="&amp;DATE(YEAR('⚙️ Config'!$H$1),12,31)),)</f>
        <v/>
      </c>
    </row>
    <row r="478">
      <c r="A478" s="22"/>
      <c r="B478" s="22" t="str">
        <f>IF(A478&lt;&gt;"",SUMIFS('💸 Transaction ซื้อ'!E:E,'💸 Transaction ซื้อ'!B:B,A478)-SUMIFS('💰 Transaction ขาย'!E:E,'💰 Transaction ขาย'!B:B,A478),"")</f>
        <v/>
      </c>
      <c r="C478" s="23" t="str">
        <f>IF(A478&lt;&gt;"",vlookup(A478,'📦 ชื่อสินค้า'!A:E,5,false),"")</f>
        <v/>
      </c>
      <c r="D478" s="23" t="str">
        <f>IF(A478&lt;&gt;"",VLOOKUP(A478,'📦 ชื่อสินค้า'!A:F,6,false),"")</f>
        <v/>
      </c>
      <c r="E478" s="16" t="str">
        <f>IFERROR(IF(VLOOKUP(A478,'📦 ชื่อสินค้า'!A:G,7,false)="InActive","InActive",IF(A478&lt;&gt;"",IF(B478&lt;=0,"สินค้าหมด",IF(B478&lt;=C478,"ควรเติมทันที","OK")),"")),)</f>
        <v/>
      </c>
      <c r="F478" s="24" t="str">
        <f>IFERROR(IF(A478&lt;&gt;"", SUMIF('💸 Transaction ซื้อ'!B:B,A478,'💸 Transaction ซื้อ'!G:G)/SUMIF('💸 Transaction ซื้อ'!B:B,A478,'💸 Transaction ซื้อ'!E:E),""),"-")</f>
        <v/>
      </c>
      <c r="G478" s="24" t="str">
        <f t="shared" si="1"/>
        <v/>
      </c>
      <c r="H478" s="25"/>
      <c r="I478" s="26"/>
      <c r="J478" s="26"/>
      <c r="K478" s="27" t="str">
        <f>IF(A478&lt;&gt;"",IF(E478="InActive","-",SUMIFS('💰 Transaction ขาย'!E:E,'💰 Transaction ขาย'!B:B,A478,'💰 Transaction ขาย'!A:A,"&gt;"&amp;'⚙️ Config'!$H$1-'⚙️ Config'!$H$2)),)</f>
        <v/>
      </c>
      <c r="L478" s="28" t="str">
        <f>IF(E478="InActive","-",IF(A478&lt;&gt;"",K478/'⚙️ Config'!$H$2,))</f>
        <v/>
      </c>
      <c r="M478" s="28" t="str">
        <f t="shared" si="2"/>
        <v/>
      </c>
      <c r="N478" s="28" t="str">
        <f>IF(A478&lt;&gt;"", SUMIFS('💰 Transaction ขาย'!F:F,'💰 Transaction ขาย'!B:B,A478,'💰 Transaction ขาย'!A:A,"&gt;="&amp;DATE(YEAR('⚙️ Config'!$H$1),1,1),'💰 Transaction ขาย'!A:A,"&lt;="&amp;DATE(YEAR('⚙️ Config'!$H$1),12,31)),)</f>
        <v/>
      </c>
    </row>
    <row r="479">
      <c r="A479" s="22"/>
      <c r="B479" s="22" t="str">
        <f>IF(A479&lt;&gt;"",SUMIFS('💸 Transaction ซื้อ'!E:E,'💸 Transaction ซื้อ'!B:B,A479)-SUMIFS('💰 Transaction ขาย'!E:E,'💰 Transaction ขาย'!B:B,A479),"")</f>
        <v/>
      </c>
      <c r="C479" s="23" t="str">
        <f>IF(A479&lt;&gt;"",vlookup(A479,'📦 ชื่อสินค้า'!A:E,5,false),"")</f>
        <v/>
      </c>
      <c r="D479" s="23" t="str">
        <f>IF(A479&lt;&gt;"",VLOOKUP(A479,'📦 ชื่อสินค้า'!A:F,6,false),"")</f>
        <v/>
      </c>
      <c r="E479" s="16" t="str">
        <f>IFERROR(IF(VLOOKUP(A479,'📦 ชื่อสินค้า'!A:G,7,false)="InActive","InActive",IF(A479&lt;&gt;"",IF(B479&lt;=0,"สินค้าหมด",IF(B479&lt;=C479,"ควรเติมทันที","OK")),"")),)</f>
        <v/>
      </c>
      <c r="F479" s="24" t="str">
        <f>IFERROR(IF(A479&lt;&gt;"", SUMIF('💸 Transaction ซื้อ'!B:B,A479,'💸 Transaction ซื้อ'!G:G)/SUMIF('💸 Transaction ซื้อ'!B:B,A479,'💸 Transaction ซื้อ'!E:E),""),"-")</f>
        <v/>
      </c>
      <c r="G479" s="24" t="str">
        <f t="shared" si="1"/>
        <v/>
      </c>
      <c r="H479" s="25"/>
      <c r="I479" s="26"/>
      <c r="J479" s="26"/>
      <c r="K479" s="27" t="str">
        <f>IF(A479&lt;&gt;"",IF(E479="InActive","-",SUMIFS('💰 Transaction ขาย'!E:E,'💰 Transaction ขาย'!B:B,A479,'💰 Transaction ขาย'!A:A,"&gt;"&amp;'⚙️ Config'!$H$1-'⚙️ Config'!$H$2)),)</f>
        <v/>
      </c>
      <c r="L479" s="28" t="str">
        <f>IF(E479="InActive","-",IF(A479&lt;&gt;"",K479/'⚙️ Config'!$H$2,))</f>
        <v/>
      </c>
      <c r="M479" s="28" t="str">
        <f t="shared" si="2"/>
        <v/>
      </c>
      <c r="N479" s="28" t="str">
        <f>IF(A479&lt;&gt;"", SUMIFS('💰 Transaction ขาย'!F:F,'💰 Transaction ขาย'!B:B,A479,'💰 Transaction ขาย'!A:A,"&gt;="&amp;DATE(YEAR('⚙️ Config'!$H$1),1,1),'💰 Transaction ขาย'!A:A,"&lt;="&amp;DATE(YEAR('⚙️ Config'!$H$1),12,31)),)</f>
        <v/>
      </c>
    </row>
    <row r="480">
      <c r="A480" s="22"/>
      <c r="B480" s="22" t="str">
        <f>IF(A480&lt;&gt;"",SUMIFS('💸 Transaction ซื้อ'!E:E,'💸 Transaction ซื้อ'!B:B,A480)-SUMIFS('💰 Transaction ขาย'!E:E,'💰 Transaction ขาย'!B:B,A480),"")</f>
        <v/>
      </c>
      <c r="C480" s="23" t="str">
        <f>IF(A480&lt;&gt;"",vlookup(A480,'📦 ชื่อสินค้า'!A:E,5,false),"")</f>
        <v/>
      </c>
      <c r="D480" s="23" t="str">
        <f>IF(A480&lt;&gt;"",VLOOKUP(A480,'📦 ชื่อสินค้า'!A:F,6,false),"")</f>
        <v/>
      </c>
      <c r="E480" s="16" t="str">
        <f>IFERROR(IF(VLOOKUP(A480,'📦 ชื่อสินค้า'!A:G,7,false)="InActive","InActive",IF(A480&lt;&gt;"",IF(B480&lt;=0,"สินค้าหมด",IF(B480&lt;=C480,"ควรเติมทันที","OK")),"")),)</f>
        <v/>
      </c>
      <c r="F480" s="24" t="str">
        <f>IFERROR(IF(A480&lt;&gt;"", SUMIF('💸 Transaction ซื้อ'!B:B,A480,'💸 Transaction ซื้อ'!G:G)/SUMIF('💸 Transaction ซื้อ'!B:B,A480,'💸 Transaction ซื้อ'!E:E),""),"-")</f>
        <v/>
      </c>
      <c r="G480" s="24" t="str">
        <f t="shared" si="1"/>
        <v/>
      </c>
      <c r="H480" s="25"/>
      <c r="I480" s="26"/>
      <c r="J480" s="26"/>
      <c r="K480" s="27" t="str">
        <f>IF(A480&lt;&gt;"",IF(E480="InActive","-",SUMIFS('💰 Transaction ขาย'!E:E,'💰 Transaction ขาย'!B:B,A480,'💰 Transaction ขาย'!A:A,"&gt;"&amp;'⚙️ Config'!$H$1-'⚙️ Config'!$H$2)),)</f>
        <v/>
      </c>
      <c r="L480" s="28" t="str">
        <f>IF(E480="InActive","-",IF(A480&lt;&gt;"",K480/'⚙️ Config'!$H$2,))</f>
        <v/>
      </c>
      <c r="M480" s="28" t="str">
        <f t="shared" si="2"/>
        <v/>
      </c>
      <c r="N480" s="28" t="str">
        <f>IF(A480&lt;&gt;"", SUMIFS('💰 Transaction ขาย'!F:F,'💰 Transaction ขาย'!B:B,A480,'💰 Transaction ขาย'!A:A,"&gt;="&amp;DATE(YEAR('⚙️ Config'!$H$1),1,1),'💰 Transaction ขาย'!A:A,"&lt;="&amp;DATE(YEAR('⚙️ Config'!$H$1),12,31)),)</f>
        <v/>
      </c>
    </row>
    <row r="481">
      <c r="A481" s="22"/>
      <c r="B481" s="22" t="str">
        <f>IF(A481&lt;&gt;"",SUMIFS('💸 Transaction ซื้อ'!E:E,'💸 Transaction ซื้อ'!B:B,A481)-SUMIFS('💰 Transaction ขาย'!E:E,'💰 Transaction ขาย'!B:B,A481),"")</f>
        <v/>
      </c>
      <c r="C481" s="23" t="str">
        <f>IF(A481&lt;&gt;"",vlookup(A481,'📦 ชื่อสินค้า'!A:E,5,false),"")</f>
        <v/>
      </c>
      <c r="D481" s="23" t="str">
        <f>IF(A481&lt;&gt;"",VLOOKUP(A481,'📦 ชื่อสินค้า'!A:F,6,false),"")</f>
        <v/>
      </c>
      <c r="E481" s="16" t="str">
        <f>IFERROR(IF(VLOOKUP(A481,'📦 ชื่อสินค้า'!A:G,7,false)="InActive","InActive",IF(A481&lt;&gt;"",IF(B481&lt;=0,"สินค้าหมด",IF(B481&lt;=C481,"ควรเติมทันที","OK")),"")),)</f>
        <v/>
      </c>
      <c r="F481" s="24" t="str">
        <f>IFERROR(IF(A481&lt;&gt;"", SUMIF('💸 Transaction ซื้อ'!B:B,A481,'💸 Transaction ซื้อ'!G:G)/SUMIF('💸 Transaction ซื้อ'!B:B,A481,'💸 Transaction ซื้อ'!E:E),""),"-")</f>
        <v/>
      </c>
      <c r="G481" s="24" t="str">
        <f t="shared" si="1"/>
        <v/>
      </c>
      <c r="H481" s="25"/>
      <c r="I481" s="26"/>
      <c r="J481" s="26"/>
      <c r="K481" s="27" t="str">
        <f>IF(A481&lt;&gt;"",IF(E481="InActive","-",SUMIFS('💰 Transaction ขาย'!E:E,'💰 Transaction ขาย'!B:B,A481,'💰 Transaction ขาย'!A:A,"&gt;"&amp;'⚙️ Config'!$H$1-'⚙️ Config'!$H$2)),)</f>
        <v/>
      </c>
      <c r="L481" s="28" t="str">
        <f>IF(E481="InActive","-",IF(A481&lt;&gt;"",K481/'⚙️ Config'!$H$2,))</f>
        <v/>
      </c>
      <c r="M481" s="28" t="str">
        <f t="shared" si="2"/>
        <v/>
      </c>
      <c r="N481" s="28" t="str">
        <f>IF(A481&lt;&gt;"", SUMIFS('💰 Transaction ขาย'!F:F,'💰 Transaction ขาย'!B:B,A481,'💰 Transaction ขาย'!A:A,"&gt;="&amp;DATE(YEAR('⚙️ Config'!$H$1),1,1),'💰 Transaction ขาย'!A:A,"&lt;="&amp;DATE(YEAR('⚙️ Config'!$H$1),12,31)),)</f>
        <v/>
      </c>
    </row>
    <row r="482">
      <c r="A482" s="22"/>
      <c r="B482" s="22" t="str">
        <f>IF(A482&lt;&gt;"",SUMIFS('💸 Transaction ซื้อ'!E:E,'💸 Transaction ซื้อ'!B:B,A482)-SUMIFS('💰 Transaction ขาย'!E:E,'💰 Transaction ขาย'!B:B,A482),"")</f>
        <v/>
      </c>
      <c r="C482" s="23" t="str">
        <f>IF(A482&lt;&gt;"",vlookup(A482,'📦 ชื่อสินค้า'!A:E,5,false),"")</f>
        <v/>
      </c>
      <c r="D482" s="23" t="str">
        <f>IF(A482&lt;&gt;"",VLOOKUP(A482,'📦 ชื่อสินค้า'!A:F,6,false),"")</f>
        <v/>
      </c>
      <c r="E482" s="16" t="str">
        <f>IFERROR(IF(VLOOKUP(A482,'📦 ชื่อสินค้า'!A:G,7,false)="InActive","InActive",IF(A482&lt;&gt;"",IF(B482&lt;=0,"สินค้าหมด",IF(B482&lt;=C482,"ควรเติมทันที","OK")),"")),)</f>
        <v/>
      </c>
      <c r="F482" s="24" t="str">
        <f>IFERROR(IF(A482&lt;&gt;"", SUMIF('💸 Transaction ซื้อ'!B:B,A482,'💸 Transaction ซื้อ'!G:G)/SUMIF('💸 Transaction ซื้อ'!B:B,A482,'💸 Transaction ซื้อ'!E:E),""),"-")</f>
        <v/>
      </c>
      <c r="G482" s="24" t="str">
        <f t="shared" si="1"/>
        <v/>
      </c>
      <c r="H482" s="25"/>
      <c r="I482" s="26"/>
      <c r="J482" s="26"/>
      <c r="K482" s="27" t="str">
        <f>IF(A482&lt;&gt;"",IF(E482="InActive","-",SUMIFS('💰 Transaction ขาย'!E:E,'💰 Transaction ขาย'!B:B,A482,'💰 Transaction ขาย'!A:A,"&gt;"&amp;'⚙️ Config'!$H$1-'⚙️ Config'!$H$2)),)</f>
        <v/>
      </c>
      <c r="L482" s="28" t="str">
        <f>IF(E482="InActive","-",IF(A482&lt;&gt;"",K482/'⚙️ Config'!$H$2,))</f>
        <v/>
      </c>
      <c r="M482" s="28" t="str">
        <f t="shared" si="2"/>
        <v/>
      </c>
      <c r="N482" s="28" t="str">
        <f>IF(A482&lt;&gt;"", SUMIFS('💰 Transaction ขาย'!F:F,'💰 Transaction ขาย'!B:B,A482,'💰 Transaction ขาย'!A:A,"&gt;="&amp;DATE(YEAR('⚙️ Config'!$H$1),1,1),'💰 Transaction ขาย'!A:A,"&lt;="&amp;DATE(YEAR('⚙️ Config'!$H$1),12,31)),)</f>
        <v/>
      </c>
    </row>
    <row r="483">
      <c r="A483" s="22"/>
      <c r="B483" s="22" t="str">
        <f>IF(A483&lt;&gt;"",SUMIFS('💸 Transaction ซื้อ'!E:E,'💸 Transaction ซื้อ'!B:B,A483)-SUMIFS('💰 Transaction ขาย'!E:E,'💰 Transaction ขาย'!B:B,A483),"")</f>
        <v/>
      </c>
      <c r="C483" s="23" t="str">
        <f>IF(A483&lt;&gt;"",vlookup(A483,'📦 ชื่อสินค้า'!A:E,5,false),"")</f>
        <v/>
      </c>
      <c r="D483" s="23" t="str">
        <f>IF(A483&lt;&gt;"",VLOOKUP(A483,'📦 ชื่อสินค้า'!A:F,6,false),"")</f>
        <v/>
      </c>
      <c r="E483" s="16" t="str">
        <f>IFERROR(IF(VLOOKUP(A483,'📦 ชื่อสินค้า'!A:G,7,false)="InActive","InActive",IF(A483&lt;&gt;"",IF(B483&lt;=0,"สินค้าหมด",IF(B483&lt;=C483,"ควรเติมทันที","OK")),"")),)</f>
        <v/>
      </c>
      <c r="F483" s="24" t="str">
        <f>IFERROR(IF(A483&lt;&gt;"", SUMIF('💸 Transaction ซื้อ'!B:B,A483,'💸 Transaction ซื้อ'!G:G)/SUMIF('💸 Transaction ซื้อ'!B:B,A483,'💸 Transaction ซื้อ'!E:E),""),"-")</f>
        <v/>
      </c>
      <c r="G483" s="24" t="str">
        <f t="shared" si="1"/>
        <v/>
      </c>
      <c r="H483" s="25"/>
      <c r="I483" s="26"/>
      <c r="J483" s="26"/>
      <c r="K483" s="27" t="str">
        <f>IF(A483&lt;&gt;"",IF(E483="InActive","-",SUMIFS('💰 Transaction ขาย'!E:E,'💰 Transaction ขาย'!B:B,A483,'💰 Transaction ขาย'!A:A,"&gt;"&amp;'⚙️ Config'!$H$1-'⚙️ Config'!$H$2)),)</f>
        <v/>
      </c>
      <c r="L483" s="28" t="str">
        <f>IF(E483="InActive","-",IF(A483&lt;&gt;"",K483/'⚙️ Config'!$H$2,))</f>
        <v/>
      </c>
      <c r="M483" s="28" t="str">
        <f t="shared" si="2"/>
        <v/>
      </c>
      <c r="N483" s="28" t="str">
        <f>IF(A483&lt;&gt;"", SUMIFS('💰 Transaction ขาย'!F:F,'💰 Transaction ขาย'!B:B,A483,'💰 Transaction ขาย'!A:A,"&gt;="&amp;DATE(YEAR('⚙️ Config'!$H$1),1,1),'💰 Transaction ขาย'!A:A,"&lt;="&amp;DATE(YEAR('⚙️ Config'!$H$1),12,31)),)</f>
        <v/>
      </c>
    </row>
    <row r="484">
      <c r="A484" s="22"/>
      <c r="B484" s="22" t="str">
        <f>IF(A484&lt;&gt;"",SUMIFS('💸 Transaction ซื้อ'!E:E,'💸 Transaction ซื้อ'!B:B,A484)-SUMIFS('💰 Transaction ขาย'!E:E,'💰 Transaction ขาย'!B:B,A484),"")</f>
        <v/>
      </c>
      <c r="C484" s="23" t="str">
        <f>IF(A484&lt;&gt;"",vlookup(A484,'📦 ชื่อสินค้า'!A:E,5,false),"")</f>
        <v/>
      </c>
      <c r="D484" s="23" t="str">
        <f>IF(A484&lt;&gt;"",VLOOKUP(A484,'📦 ชื่อสินค้า'!A:F,6,false),"")</f>
        <v/>
      </c>
      <c r="E484" s="16" t="str">
        <f>IFERROR(IF(VLOOKUP(A484,'📦 ชื่อสินค้า'!A:G,7,false)="InActive","InActive",IF(A484&lt;&gt;"",IF(B484&lt;=0,"สินค้าหมด",IF(B484&lt;=C484,"ควรเติมทันที","OK")),"")),)</f>
        <v/>
      </c>
      <c r="F484" s="24" t="str">
        <f>IFERROR(IF(A484&lt;&gt;"", SUMIF('💸 Transaction ซื้อ'!B:B,A484,'💸 Transaction ซื้อ'!G:G)/SUMIF('💸 Transaction ซื้อ'!B:B,A484,'💸 Transaction ซื้อ'!E:E),""),"-")</f>
        <v/>
      </c>
      <c r="G484" s="24" t="str">
        <f t="shared" si="1"/>
        <v/>
      </c>
      <c r="H484" s="25"/>
      <c r="I484" s="26"/>
      <c r="J484" s="26"/>
      <c r="K484" s="27" t="str">
        <f>IF(A484&lt;&gt;"",IF(E484="InActive","-",SUMIFS('💰 Transaction ขาย'!E:E,'💰 Transaction ขาย'!B:B,A484,'💰 Transaction ขาย'!A:A,"&gt;"&amp;'⚙️ Config'!$H$1-'⚙️ Config'!$H$2)),)</f>
        <v/>
      </c>
      <c r="L484" s="28" t="str">
        <f>IF(E484="InActive","-",IF(A484&lt;&gt;"",K484/'⚙️ Config'!$H$2,))</f>
        <v/>
      </c>
      <c r="M484" s="28" t="str">
        <f t="shared" si="2"/>
        <v/>
      </c>
      <c r="N484" s="28" t="str">
        <f>IF(A484&lt;&gt;"", SUMIFS('💰 Transaction ขาย'!F:F,'💰 Transaction ขาย'!B:B,A484,'💰 Transaction ขาย'!A:A,"&gt;="&amp;DATE(YEAR('⚙️ Config'!$H$1),1,1),'💰 Transaction ขาย'!A:A,"&lt;="&amp;DATE(YEAR('⚙️ Config'!$H$1),12,31)),)</f>
        <v/>
      </c>
    </row>
    <row r="485">
      <c r="A485" s="22"/>
      <c r="B485" s="22" t="str">
        <f>IF(A485&lt;&gt;"",SUMIFS('💸 Transaction ซื้อ'!E:E,'💸 Transaction ซื้อ'!B:B,A485)-SUMIFS('💰 Transaction ขาย'!E:E,'💰 Transaction ขาย'!B:B,A485),"")</f>
        <v/>
      </c>
      <c r="C485" s="23" t="str">
        <f>IF(A485&lt;&gt;"",vlookup(A485,'📦 ชื่อสินค้า'!A:E,5,false),"")</f>
        <v/>
      </c>
      <c r="D485" s="23" t="str">
        <f>IF(A485&lt;&gt;"",VLOOKUP(A485,'📦 ชื่อสินค้า'!A:F,6,false),"")</f>
        <v/>
      </c>
      <c r="E485" s="16" t="str">
        <f>IFERROR(IF(VLOOKUP(A485,'📦 ชื่อสินค้า'!A:G,7,false)="InActive","InActive",IF(A485&lt;&gt;"",IF(B485&lt;=0,"สินค้าหมด",IF(B485&lt;=C485,"ควรเติมทันที","OK")),"")),)</f>
        <v/>
      </c>
      <c r="F485" s="24" t="str">
        <f>IFERROR(IF(A485&lt;&gt;"", SUMIF('💸 Transaction ซื้อ'!B:B,A485,'💸 Transaction ซื้อ'!G:G)/SUMIF('💸 Transaction ซื้อ'!B:B,A485,'💸 Transaction ซื้อ'!E:E),""),"-")</f>
        <v/>
      </c>
      <c r="G485" s="24" t="str">
        <f t="shared" si="1"/>
        <v/>
      </c>
      <c r="H485" s="25"/>
      <c r="I485" s="26"/>
      <c r="J485" s="26"/>
      <c r="K485" s="27" t="str">
        <f>IF(A485&lt;&gt;"",IF(E485="InActive","-",SUMIFS('💰 Transaction ขาย'!E:E,'💰 Transaction ขาย'!B:B,A485,'💰 Transaction ขาย'!A:A,"&gt;"&amp;'⚙️ Config'!$H$1-'⚙️ Config'!$H$2)),)</f>
        <v/>
      </c>
      <c r="L485" s="28" t="str">
        <f>IF(E485="InActive","-",IF(A485&lt;&gt;"",K485/'⚙️ Config'!$H$2,))</f>
        <v/>
      </c>
      <c r="M485" s="28" t="str">
        <f t="shared" si="2"/>
        <v/>
      </c>
      <c r="N485" s="28" t="str">
        <f>IF(A485&lt;&gt;"", SUMIFS('💰 Transaction ขาย'!F:F,'💰 Transaction ขาย'!B:B,A485,'💰 Transaction ขาย'!A:A,"&gt;="&amp;DATE(YEAR('⚙️ Config'!$H$1),1,1),'💰 Transaction ขาย'!A:A,"&lt;="&amp;DATE(YEAR('⚙️ Config'!$H$1),12,31)),)</f>
        <v/>
      </c>
    </row>
    <row r="486">
      <c r="A486" s="22"/>
      <c r="B486" s="22" t="str">
        <f>IF(A486&lt;&gt;"",SUMIFS('💸 Transaction ซื้อ'!E:E,'💸 Transaction ซื้อ'!B:B,A486)-SUMIFS('💰 Transaction ขาย'!E:E,'💰 Transaction ขาย'!B:B,A486),"")</f>
        <v/>
      </c>
      <c r="C486" s="23" t="str">
        <f>IF(A486&lt;&gt;"",vlookup(A486,'📦 ชื่อสินค้า'!A:E,5,false),"")</f>
        <v/>
      </c>
      <c r="D486" s="23" t="str">
        <f>IF(A486&lt;&gt;"",VLOOKUP(A486,'📦 ชื่อสินค้า'!A:F,6,false),"")</f>
        <v/>
      </c>
      <c r="E486" s="16" t="str">
        <f>IFERROR(IF(VLOOKUP(A486,'📦 ชื่อสินค้า'!A:G,7,false)="InActive","InActive",IF(A486&lt;&gt;"",IF(B486&lt;=0,"สินค้าหมด",IF(B486&lt;=C486,"ควรเติมทันที","OK")),"")),)</f>
        <v/>
      </c>
      <c r="F486" s="24" t="str">
        <f>IFERROR(IF(A486&lt;&gt;"", SUMIF('💸 Transaction ซื้อ'!B:B,A486,'💸 Transaction ซื้อ'!G:G)/SUMIF('💸 Transaction ซื้อ'!B:B,A486,'💸 Transaction ซื้อ'!E:E),""),"-")</f>
        <v/>
      </c>
      <c r="G486" s="24" t="str">
        <f t="shared" si="1"/>
        <v/>
      </c>
      <c r="H486" s="25"/>
      <c r="I486" s="26"/>
      <c r="J486" s="26"/>
      <c r="K486" s="27" t="str">
        <f>IF(A486&lt;&gt;"",IF(E486="InActive","-",SUMIFS('💰 Transaction ขาย'!E:E,'💰 Transaction ขาย'!B:B,A486,'💰 Transaction ขาย'!A:A,"&gt;"&amp;'⚙️ Config'!$H$1-'⚙️ Config'!$H$2)),)</f>
        <v/>
      </c>
      <c r="L486" s="28" t="str">
        <f>IF(E486="InActive","-",IF(A486&lt;&gt;"",K486/'⚙️ Config'!$H$2,))</f>
        <v/>
      </c>
      <c r="M486" s="28" t="str">
        <f t="shared" si="2"/>
        <v/>
      </c>
      <c r="N486" s="28" t="str">
        <f>IF(A486&lt;&gt;"", SUMIFS('💰 Transaction ขาย'!F:F,'💰 Transaction ขาย'!B:B,A486,'💰 Transaction ขาย'!A:A,"&gt;="&amp;DATE(YEAR('⚙️ Config'!$H$1),1,1),'💰 Transaction ขาย'!A:A,"&lt;="&amp;DATE(YEAR('⚙️ Config'!$H$1),12,31)),)</f>
        <v/>
      </c>
    </row>
    <row r="487">
      <c r="A487" s="22"/>
      <c r="B487" s="22" t="str">
        <f>IF(A487&lt;&gt;"",SUMIFS('💸 Transaction ซื้อ'!E:E,'💸 Transaction ซื้อ'!B:B,A487)-SUMIFS('💰 Transaction ขาย'!E:E,'💰 Transaction ขาย'!B:B,A487),"")</f>
        <v/>
      </c>
      <c r="C487" s="23" t="str">
        <f>IF(A487&lt;&gt;"",vlookup(A487,'📦 ชื่อสินค้า'!A:E,5,false),"")</f>
        <v/>
      </c>
      <c r="D487" s="23" t="str">
        <f>IF(A487&lt;&gt;"",VLOOKUP(A487,'📦 ชื่อสินค้า'!A:F,6,false),"")</f>
        <v/>
      </c>
      <c r="E487" s="16" t="str">
        <f>IFERROR(IF(VLOOKUP(A487,'📦 ชื่อสินค้า'!A:G,7,false)="InActive","InActive",IF(A487&lt;&gt;"",IF(B487&lt;=0,"สินค้าหมด",IF(B487&lt;=C487,"ควรเติมทันที","OK")),"")),)</f>
        <v/>
      </c>
      <c r="F487" s="24" t="str">
        <f>IFERROR(IF(A487&lt;&gt;"", SUMIF('💸 Transaction ซื้อ'!B:B,A487,'💸 Transaction ซื้อ'!G:G)/SUMIF('💸 Transaction ซื้อ'!B:B,A487,'💸 Transaction ซื้อ'!E:E),""),"-")</f>
        <v/>
      </c>
      <c r="G487" s="24" t="str">
        <f t="shared" si="1"/>
        <v/>
      </c>
      <c r="H487" s="25"/>
      <c r="I487" s="26"/>
      <c r="J487" s="26"/>
      <c r="K487" s="27" t="str">
        <f>IF(A487&lt;&gt;"",IF(E487="InActive","-",SUMIFS('💰 Transaction ขาย'!E:E,'💰 Transaction ขาย'!B:B,A487,'💰 Transaction ขาย'!A:A,"&gt;"&amp;'⚙️ Config'!$H$1-'⚙️ Config'!$H$2)),)</f>
        <v/>
      </c>
      <c r="L487" s="28" t="str">
        <f>IF(E487="InActive","-",IF(A487&lt;&gt;"",K487/'⚙️ Config'!$H$2,))</f>
        <v/>
      </c>
      <c r="M487" s="28" t="str">
        <f t="shared" si="2"/>
        <v/>
      </c>
      <c r="N487" s="28" t="str">
        <f>IF(A487&lt;&gt;"", SUMIFS('💰 Transaction ขาย'!F:F,'💰 Transaction ขาย'!B:B,A487,'💰 Transaction ขาย'!A:A,"&gt;="&amp;DATE(YEAR('⚙️ Config'!$H$1),1,1),'💰 Transaction ขาย'!A:A,"&lt;="&amp;DATE(YEAR('⚙️ Config'!$H$1),12,31)),)</f>
        <v/>
      </c>
    </row>
    <row r="488">
      <c r="A488" s="22"/>
      <c r="B488" s="22" t="str">
        <f>IF(A488&lt;&gt;"",SUMIFS('💸 Transaction ซื้อ'!E:E,'💸 Transaction ซื้อ'!B:B,A488)-SUMIFS('💰 Transaction ขาย'!E:E,'💰 Transaction ขาย'!B:B,A488),"")</f>
        <v/>
      </c>
      <c r="C488" s="23" t="str">
        <f>IF(A488&lt;&gt;"",vlookup(A488,'📦 ชื่อสินค้า'!A:E,5,false),"")</f>
        <v/>
      </c>
      <c r="D488" s="23" t="str">
        <f>IF(A488&lt;&gt;"",VLOOKUP(A488,'📦 ชื่อสินค้า'!A:F,6,false),"")</f>
        <v/>
      </c>
      <c r="E488" s="16" t="str">
        <f>IFERROR(IF(VLOOKUP(A488,'📦 ชื่อสินค้า'!A:G,7,false)="InActive","InActive",IF(A488&lt;&gt;"",IF(B488&lt;=0,"สินค้าหมด",IF(B488&lt;=C488,"ควรเติมทันที","OK")),"")),)</f>
        <v/>
      </c>
      <c r="F488" s="24" t="str">
        <f>IFERROR(IF(A488&lt;&gt;"", SUMIF('💸 Transaction ซื้อ'!B:B,A488,'💸 Transaction ซื้อ'!G:G)/SUMIF('💸 Transaction ซื้อ'!B:B,A488,'💸 Transaction ซื้อ'!E:E),""),"-")</f>
        <v/>
      </c>
      <c r="G488" s="24" t="str">
        <f t="shared" si="1"/>
        <v/>
      </c>
      <c r="H488" s="25"/>
      <c r="I488" s="26"/>
      <c r="J488" s="26"/>
      <c r="K488" s="27" t="str">
        <f>IF(A488&lt;&gt;"",IF(E488="InActive","-",SUMIFS('💰 Transaction ขาย'!E:E,'💰 Transaction ขาย'!B:B,A488,'💰 Transaction ขาย'!A:A,"&gt;"&amp;'⚙️ Config'!$H$1-'⚙️ Config'!$H$2)),)</f>
        <v/>
      </c>
      <c r="L488" s="28" t="str">
        <f>IF(E488="InActive","-",IF(A488&lt;&gt;"",K488/'⚙️ Config'!$H$2,))</f>
        <v/>
      </c>
      <c r="M488" s="28" t="str">
        <f t="shared" si="2"/>
        <v/>
      </c>
      <c r="N488" s="28" t="str">
        <f>IF(A488&lt;&gt;"", SUMIFS('💰 Transaction ขาย'!F:F,'💰 Transaction ขาย'!B:B,A488,'💰 Transaction ขาย'!A:A,"&gt;="&amp;DATE(YEAR('⚙️ Config'!$H$1),1,1),'💰 Transaction ขาย'!A:A,"&lt;="&amp;DATE(YEAR('⚙️ Config'!$H$1),12,31)),)</f>
        <v/>
      </c>
    </row>
    <row r="489">
      <c r="A489" s="22"/>
      <c r="B489" s="22" t="str">
        <f>IF(A489&lt;&gt;"",SUMIFS('💸 Transaction ซื้อ'!E:E,'💸 Transaction ซื้อ'!B:B,A489)-SUMIFS('💰 Transaction ขาย'!E:E,'💰 Transaction ขาย'!B:B,A489),"")</f>
        <v/>
      </c>
      <c r="C489" s="23" t="str">
        <f>IF(A489&lt;&gt;"",vlookup(A489,'📦 ชื่อสินค้า'!A:E,5,false),"")</f>
        <v/>
      </c>
      <c r="D489" s="23" t="str">
        <f>IF(A489&lt;&gt;"",VLOOKUP(A489,'📦 ชื่อสินค้า'!A:F,6,false),"")</f>
        <v/>
      </c>
      <c r="E489" s="16" t="str">
        <f>IFERROR(IF(VLOOKUP(A489,'📦 ชื่อสินค้า'!A:G,7,false)="InActive","InActive",IF(A489&lt;&gt;"",IF(B489&lt;=0,"สินค้าหมด",IF(B489&lt;=C489,"ควรเติมทันที","OK")),"")),)</f>
        <v/>
      </c>
      <c r="F489" s="24" t="str">
        <f>IFERROR(IF(A489&lt;&gt;"", SUMIF('💸 Transaction ซื้อ'!B:B,A489,'💸 Transaction ซื้อ'!G:G)/SUMIF('💸 Transaction ซื้อ'!B:B,A489,'💸 Transaction ซื้อ'!E:E),""),"-")</f>
        <v/>
      </c>
      <c r="G489" s="24" t="str">
        <f t="shared" si="1"/>
        <v/>
      </c>
      <c r="H489" s="25"/>
      <c r="I489" s="26"/>
      <c r="J489" s="26"/>
      <c r="K489" s="27" t="str">
        <f>IF(A489&lt;&gt;"",IF(E489="InActive","-",SUMIFS('💰 Transaction ขาย'!E:E,'💰 Transaction ขาย'!B:B,A489,'💰 Transaction ขาย'!A:A,"&gt;"&amp;'⚙️ Config'!$H$1-'⚙️ Config'!$H$2)),)</f>
        <v/>
      </c>
      <c r="L489" s="28" t="str">
        <f>IF(E489="InActive","-",IF(A489&lt;&gt;"",K489/'⚙️ Config'!$H$2,))</f>
        <v/>
      </c>
      <c r="M489" s="28" t="str">
        <f t="shared" si="2"/>
        <v/>
      </c>
      <c r="N489" s="28" t="str">
        <f>IF(A489&lt;&gt;"", SUMIFS('💰 Transaction ขาย'!F:F,'💰 Transaction ขาย'!B:B,A489,'💰 Transaction ขาย'!A:A,"&gt;="&amp;DATE(YEAR('⚙️ Config'!$H$1),1,1),'💰 Transaction ขาย'!A:A,"&lt;="&amp;DATE(YEAR('⚙️ Config'!$H$1),12,31)),)</f>
        <v/>
      </c>
    </row>
    <row r="490">
      <c r="A490" s="22"/>
      <c r="B490" s="22" t="str">
        <f>IF(A490&lt;&gt;"",SUMIFS('💸 Transaction ซื้อ'!E:E,'💸 Transaction ซื้อ'!B:B,A490)-SUMIFS('💰 Transaction ขาย'!E:E,'💰 Transaction ขาย'!B:B,A490),"")</f>
        <v/>
      </c>
      <c r="C490" s="23" t="str">
        <f>IF(A490&lt;&gt;"",vlookup(A490,'📦 ชื่อสินค้า'!A:E,5,false),"")</f>
        <v/>
      </c>
      <c r="D490" s="23" t="str">
        <f>IF(A490&lt;&gt;"",VLOOKUP(A490,'📦 ชื่อสินค้า'!A:F,6,false),"")</f>
        <v/>
      </c>
      <c r="E490" s="16" t="str">
        <f>IFERROR(IF(VLOOKUP(A490,'📦 ชื่อสินค้า'!A:G,7,false)="InActive","InActive",IF(A490&lt;&gt;"",IF(B490&lt;=0,"สินค้าหมด",IF(B490&lt;=C490,"ควรเติมทันที","OK")),"")),)</f>
        <v/>
      </c>
      <c r="F490" s="24" t="str">
        <f>IFERROR(IF(A490&lt;&gt;"", SUMIF('💸 Transaction ซื้อ'!B:B,A490,'💸 Transaction ซื้อ'!G:G)/SUMIF('💸 Transaction ซื้อ'!B:B,A490,'💸 Transaction ซื้อ'!E:E),""),"-")</f>
        <v/>
      </c>
      <c r="G490" s="24" t="str">
        <f t="shared" si="1"/>
        <v/>
      </c>
      <c r="H490" s="25"/>
      <c r="I490" s="26"/>
      <c r="J490" s="26"/>
      <c r="K490" s="27" t="str">
        <f>IF(A490&lt;&gt;"",IF(E490="InActive","-",SUMIFS('💰 Transaction ขาย'!E:E,'💰 Transaction ขาย'!B:B,A490,'💰 Transaction ขาย'!A:A,"&gt;"&amp;'⚙️ Config'!$H$1-'⚙️ Config'!$H$2)),)</f>
        <v/>
      </c>
      <c r="L490" s="28" t="str">
        <f>IF(E490="InActive","-",IF(A490&lt;&gt;"",K490/'⚙️ Config'!$H$2,))</f>
        <v/>
      </c>
      <c r="M490" s="28" t="str">
        <f t="shared" si="2"/>
        <v/>
      </c>
      <c r="N490" s="28" t="str">
        <f>IF(A490&lt;&gt;"", SUMIFS('💰 Transaction ขาย'!F:F,'💰 Transaction ขาย'!B:B,A490,'💰 Transaction ขาย'!A:A,"&gt;="&amp;DATE(YEAR('⚙️ Config'!$H$1),1,1),'💰 Transaction ขาย'!A:A,"&lt;="&amp;DATE(YEAR('⚙️ Config'!$H$1),12,31)),)</f>
        <v/>
      </c>
    </row>
    <row r="491">
      <c r="A491" s="22"/>
      <c r="B491" s="22" t="str">
        <f>IF(A491&lt;&gt;"",SUMIFS('💸 Transaction ซื้อ'!E:E,'💸 Transaction ซื้อ'!B:B,A491)-SUMIFS('💰 Transaction ขาย'!E:E,'💰 Transaction ขาย'!B:B,A491),"")</f>
        <v/>
      </c>
      <c r="C491" s="23" t="str">
        <f>IF(A491&lt;&gt;"",vlookup(A491,'📦 ชื่อสินค้า'!A:E,5,false),"")</f>
        <v/>
      </c>
      <c r="D491" s="23" t="str">
        <f>IF(A491&lt;&gt;"",VLOOKUP(A491,'📦 ชื่อสินค้า'!A:F,6,false),"")</f>
        <v/>
      </c>
      <c r="E491" s="16" t="str">
        <f>IFERROR(IF(VLOOKUP(A491,'📦 ชื่อสินค้า'!A:G,7,false)="InActive","InActive",IF(A491&lt;&gt;"",IF(B491&lt;=0,"สินค้าหมด",IF(B491&lt;=C491,"ควรเติมทันที","OK")),"")),)</f>
        <v/>
      </c>
      <c r="F491" s="24" t="str">
        <f>IFERROR(IF(A491&lt;&gt;"", SUMIF('💸 Transaction ซื้อ'!B:B,A491,'💸 Transaction ซื้อ'!G:G)/SUMIF('💸 Transaction ซื้อ'!B:B,A491,'💸 Transaction ซื้อ'!E:E),""),"-")</f>
        <v/>
      </c>
      <c r="G491" s="24" t="str">
        <f t="shared" si="1"/>
        <v/>
      </c>
      <c r="H491" s="25"/>
      <c r="I491" s="26"/>
      <c r="J491" s="26"/>
      <c r="K491" s="27" t="str">
        <f>IF(A491&lt;&gt;"",IF(E491="InActive","-",SUMIFS('💰 Transaction ขาย'!E:E,'💰 Transaction ขาย'!B:B,A491,'💰 Transaction ขาย'!A:A,"&gt;"&amp;'⚙️ Config'!$H$1-'⚙️ Config'!$H$2)),)</f>
        <v/>
      </c>
      <c r="L491" s="28" t="str">
        <f>IF(E491="InActive","-",IF(A491&lt;&gt;"",K491/'⚙️ Config'!$H$2,))</f>
        <v/>
      </c>
      <c r="M491" s="28" t="str">
        <f t="shared" si="2"/>
        <v/>
      </c>
      <c r="N491" s="28" t="str">
        <f>IF(A491&lt;&gt;"", SUMIFS('💰 Transaction ขาย'!F:F,'💰 Transaction ขาย'!B:B,A491,'💰 Transaction ขาย'!A:A,"&gt;="&amp;DATE(YEAR('⚙️ Config'!$H$1),1,1),'💰 Transaction ขาย'!A:A,"&lt;="&amp;DATE(YEAR('⚙️ Config'!$H$1),12,31)),)</f>
        <v/>
      </c>
    </row>
    <row r="492">
      <c r="A492" s="22"/>
      <c r="B492" s="22" t="str">
        <f>IF(A492&lt;&gt;"",SUMIFS('💸 Transaction ซื้อ'!E:E,'💸 Transaction ซื้อ'!B:B,A492)-SUMIFS('💰 Transaction ขาย'!E:E,'💰 Transaction ขาย'!B:B,A492),"")</f>
        <v/>
      </c>
      <c r="C492" s="23" t="str">
        <f>IF(A492&lt;&gt;"",vlookup(A492,'📦 ชื่อสินค้า'!A:E,5,false),"")</f>
        <v/>
      </c>
      <c r="D492" s="23" t="str">
        <f>IF(A492&lt;&gt;"",VLOOKUP(A492,'📦 ชื่อสินค้า'!A:F,6,false),"")</f>
        <v/>
      </c>
      <c r="E492" s="16" t="str">
        <f>IFERROR(IF(VLOOKUP(A492,'📦 ชื่อสินค้า'!A:G,7,false)="InActive","InActive",IF(A492&lt;&gt;"",IF(B492&lt;=0,"สินค้าหมด",IF(B492&lt;=C492,"ควรเติมทันที","OK")),"")),)</f>
        <v/>
      </c>
      <c r="F492" s="24" t="str">
        <f>IFERROR(IF(A492&lt;&gt;"", SUMIF('💸 Transaction ซื้อ'!B:B,A492,'💸 Transaction ซื้อ'!G:G)/SUMIF('💸 Transaction ซื้อ'!B:B,A492,'💸 Transaction ซื้อ'!E:E),""),"-")</f>
        <v/>
      </c>
      <c r="G492" s="24" t="str">
        <f t="shared" si="1"/>
        <v/>
      </c>
      <c r="H492" s="25"/>
      <c r="I492" s="26"/>
      <c r="J492" s="26"/>
      <c r="K492" s="27" t="str">
        <f>IF(A492&lt;&gt;"",IF(E492="InActive","-",SUMIFS('💰 Transaction ขาย'!E:E,'💰 Transaction ขาย'!B:B,A492,'💰 Transaction ขาย'!A:A,"&gt;"&amp;'⚙️ Config'!$H$1-'⚙️ Config'!$H$2)),)</f>
        <v/>
      </c>
      <c r="L492" s="28" t="str">
        <f>IF(E492="InActive","-",IF(A492&lt;&gt;"",K492/'⚙️ Config'!$H$2,))</f>
        <v/>
      </c>
      <c r="M492" s="28" t="str">
        <f t="shared" si="2"/>
        <v/>
      </c>
      <c r="N492" s="28" t="str">
        <f>IF(A492&lt;&gt;"", SUMIFS('💰 Transaction ขาย'!F:F,'💰 Transaction ขาย'!B:B,A492,'💰 Transaction ขาย'!A:A,"&gt;="&amp;DATE(YEAR('⚙️ Config'!$H$1),1,1),'💰 Transaction ขาย'!A:A,"&lt;="&amp;DATE(YEAR('⚙️ Config'!$H$1),12,31)),)</f>
        <v/>
      </c>
    </row>
    <row r="493">
      <c r="A493" s="22"/>
      <c r="B493" s="22" t="str">
        <f>IF(A493&lt;&gt;"",SUMIFS('💸 Transaction ซื้อ'!E:E,'💸 Transaction ซื้อ'!B:B,A493)-SUMIFS('💰 Transaction ขาย'!E:E,'💰 Transaction ขาย'!B:B,A493),"")</f>
        <v/>
      </c>
      <c r="C493" s="23" t="str">
        <f>IF(A493&lt;&gt;"",vlookup(A493,'📦 ชื่อสินค้า'!A:E,5,false),"")</f>
        <v/>
      </c>
      <c r="D493" s="23" t="str">
        <f>IF(A493&lt;&gt;"",VLOOKUP(A493,'📦 ชื่อสินค้า'!A:F,6,false),"")</f>
        <v/>
      </c>
      <c r="E493" s="16" t="str">
        <f>IFERROR(IF(VLOOKUP(A493,'📦 ชื่อสินค้า'!A:G,7,false)="InActive","InActive",IF(A493&lt;&gt;"",IF(B493&lt;=0,"สินค้าหมด",IF(B493&lt;=C493,"ควรเติมทันที","OK")),"")),)</f>
        <v/>
      </c>
      <c r="F493" s="24" t="str">
        <f>IFERROR(IF(A493&lt;&gt;"", SUMIF('💸 Transaction ซื้อ'!B:B,A493,'💸 Transaction ซื้อ'!G:G)/SUMIF('💸 Transaction ซื้อ'!B:B,A493,'💸 Transaction ซื้อ'!E:E),""),"-")</f>
        <v/>
      </c>
      <c r="G493" s="24" t="str">
        <f t="shared" si="1"/>
        <v/>
      </c>
      <c r="H493" s="25"/>
      <c r="I493" s="26"/>
      <c r="J493" s="26"/>
      <c r="K493" s="27" t="str">
        <f>IF(A493&lt;&gt;"",IF(E493="InActive","-",SUMIFS('💰 Transaction ขาย'!E:E,'💰 Transaction ขาย'!B:B,A493,'💰 Transaction ขาย'!A:A,"&gt;"&amp;'⚙️ Config'!$H$1-'⚙️ Config'!$H$2)),)</f>
        <v/>
      </c>
      <c r="L493" s="28" t="str">
        <f>IF(E493="InActive","-",IF(A493&lt;&gt;"",K493/'⚙️ Config'!$H$2,))</f>
        <v/>
      </c>
      <c r="M493" s="28" t="str">
        <f t="shared" si="2"/>
        <v/>
      </c>
      <c r="N493" s="28" t="str">
        <f>IF(A493&lt;&gt;"", SUMIFS('💰 Transaction ขาย'!F:F,'💰 Transaction ขาย'!B:B,A493,'💰 Transaction ขาย'!A:A,"&gt;="&amp;DATE(YEAR('⚙️ Config'!$H$1),1,1),'💰 Transaction ขาย'!A:A,"&lt;="&amp;DATE(YEAR('⚙️ Config'!$H$1),12,31)),)</f>
        <v/>
      </c>
    </row>
    <row r="494">
      <c r="A494" s="22"/>
      <c r="B494" s="22" t="str">
        <f>IF(A494&lt;&gt;"",SUMIFS('💸 Transaction ซื้อ'!E:E,'💸 Transaction ซื้อ'!B:B,A494)-SUMIFS('💰 Transaction ขาย'!E:E,'💰 Transaction ขาย'!B:B,A494),"")</f>
        <v/>
      </c>
      <c r="C494" s="23" t="str">
        <f>IF(A494&lt;&gt;"",vlookup(A494,'📦 ชื่อสินค้า'!A:E,5,false),"")</f>
        <v/>
      </c>
      <c r="D494" s="23" t="str">
        <f>IF(A494&lt;&gt;"",VLOOKUP(A494,'📦 ชื่อสินค้า'!A:F,6,false),"")</f>
        <v/>
      </c>
      <c r="E494" s="16" t="str">
        <f>IFERROR(IF(VLOOKUP(A494,'📦 ชื่อสินค้า'!A:G,7,false)="InActive","InActive",IF(A494&lt;&gt;"",IF(B494&lt;=0,"สินค้าหมด",IF(B494&lt;=C494,"ควรเติมทันที","OK")),"")),)</f>
        <v/>
      </c>
      <c r="F494" s="24" t="str">
        <f>IFERROR(IF(A494&lt;&gt;"", SUMIF('💸 Transaction ซื้อ'!B:B,A494,'💸 Transaction ซื้อ'!G:G)/SUMIF('💸 Transaction ซื้อ'!B:B,A494,'💸 Transaction ซื้อ'!E:E),""),"-")</f>
        <v/>
      </c>
      <c r="G494" s="24" t="str">
        <f t="shared" si="1"/>
        <v/>
      </c>
      <c r="H494" s="25"/>
      <c r="I494" s="26"/>
      <c r="J494" s="26"/>
      <c r="K494" s="27" t="str">
        <f>IF(A494&lt;&gt;"",IF(E494="InActive","-",SUMIFS('💰 Transaction ขาย'!E:E,'💰 Transaction ขาย'!B:B,A494,'💰 Transaction ขาย'!A:A,"&gt;"&amp;'⚙️ Config'!$H$1-'⚙️ Config'!$H$2)),)</f>
        <v/>
      </c>
      <c r="L494" s="28" t="str">
        <f>IF(E494="InActive","-",IF(A494&lt;&gt;"",K494/'⚙️ Config'!$H$2,))</f>
        <v/>
      </c>
      <c r="M494" s="28" t="str">
        <f t="shared" si="2"/>
        <v/>
      </c>
      <c r="N494" s="28" t="str">
        <f>IF(A494&lt;&gt;"", SUMIFS('💰 Transaction ขาย'!F:F,'💰 Transaction ขาย'!B:B,A494,'💰 Transaction ขาย'!A:A,"&gt;="&amp;DATE(YEAR('⚙️ Config'!$H$1),1,1),'💰 Transaction ขาย'!A:A,"&lt;="&amp;DATE(YEAR('⚙️ Config'!$H$1),12,31)),)</f>
        <v/>
      </c>
    </row>
    <row r="495">
      <c r="A495" s="22"/>
      <c r="B495" s="22" t="str">
        <f>IF(A495&lt;&gt;"",SUMIFS('💸 Transaction ซื้อ'!E:E,'💸 Transaction ซื้อ'!B:B,A495)-SUMIFS('💰 Transaction ขาย'!E:E,'💰 Transaction ขาย'!B:B,A495),"")</f>
        <v/>
      </c>
      <c r="C495" s="23" t="str">
        <f>IF(A495&lt;&gt;"",vlookup(A495,'📦 ชื่อสินค้า'!A:E,5,false),"")</f>
        <v/>
      </c>
      <c r="D495" s="23" t="str">
        <f>IF(A495&lt;&gt;"",VLOOKUP(A495,'📦 ชื่อสินค้า'!A:F,6,false),"")</f>
        <v/>
      </c>
      <c r="E495" s="16" t="str">
        <f>IFERROR(IF(VLOOKUP(A495,'📦 ชื่อสินค้า'!A:G,7,false)="InActive","InActive",IF(A495&lt;&gt;"",IF(B495&lt;=0,"สินค้าหมด",IF(B495&lt;=C495,"ควรเติมทันที","OK")),"")),)</f>
        <v/>
      </c>
      <c r="F495" s="24" t="str">
        <f>IFERROR(IF(A495&lt;&gt;"", SUMIF('💸 Transaction ซื้อ'!B:B,A495,'💸 Transaction ซื้อ'!G:G)/SUMIF('💸 Transaction ซื้อ'!B:B,A495,'💸 Transaction ซื้อ'!E:E),""),"-")</f>
        <v/>
      </c>
      <c r="G495" s="24" t="str">
        <f t="shared" si="1"/>
        <v/>
      </c>
      <c r="H495" s="25"/>
      <c r="I495" s="26"/>
      <c r="J495" s="26"/>
      <c r="K495" s="27" t="str">
        <f>IF(A495&lt;&gt;"",IF(E495="InActive","-",SUMIFS('💰 Transaction ขาย'!E:E,'💰 Transaction ขาย'!B:B,A495,'💰 Transaction ขาย'!A:A,"&gt;"&amp;'⚙️ Config'!$H$1-'⚙️ Config'!$H$2)),)</f>
        <v/>
      </c>
      <c r="L495" s="28" t="str">
        <f>IF(E495="InActive","-",IF(A495&lt;&gt;"",K495/'⚙️ Config'!$H$2,))</f>
        <v/>
      </c>
      <c r="M495" s="28" t="str">
        <f t="shared" si="2"/>
        <v/>
      </c>
      <c r="N495" s="28" t="str">
        <f>IF(A495&lt;&gt;"", SUMIFS('💰 Transaction ขาย'!F:F,'💰 Transaction ขาย'!B:B,A495,'💰 Transaction ขาย'!A:A,"&gt;="&amp;DATE(YEAR('⚙️ Config'!$H$1),1,1),'💰 Transaction ขาย'!A:A,"&lt;="&amp;DATE(YEAR('⚙️ Config'!$H$1),12,31)),)</f>
        <v/>
      </c>
    </row>
    <row r="496">
      <c r="A496" s="22"/>
      <c r="B496" s="22" t="str">
        <f>IF(A496&lt;&gt;"",SUMIFS('💸 Transaction ซื้อ'!E:E,'💸 Transaction ซื้อ'!B:B,A496)-SUMIFS('💰 Transaction ขาย'!E:E,'💰 Transaction ขาย'!B:B,A496),"")</f>
        <v/>
      </c>
      <c r="C496" s="23" t="str">
        <f>IF(A496&lt;&gt;"",vlookup(A496,'📦 ชื่อสินค้า'!A:E,5,false),"")</f>
        <v/>
      </c>
      <c r="D496" s="23" t="str">
        <f>IF(A496&lt;&gt;"",VLOOKUP(A496,'📦 ชื่อสินค้า'!A:F,6,false),"")</f>
        <v/>
      </c>
      <c r="E496" s="16" t="str">
        <f>IFERROR(IF(VLOOKUP(A496,'📦 ชื่อสินค้า'!A:G,7,false)="InActive","InActive",IF(A496&lt;&gt;"",IF(B496&lt;=0,"สินค้าหมด",IF(B496&lt;=C496,"ควรเติมทันที","OK")),"")),)</f>
        <v/>
      </c>
      <c r="F496" s="24" t="str">
        <f>IFERROR(IF(A496&lt;&gt;"", SUMIF('💸 Transaction ซื้อ'!B:B,A496,'💸 Transaction ซื้อ'!G:G)/SUMIF('💸 Transaction ซื้อ'!B:B,A496,'💸 Transaction ซื้อ'!E:E),""),"-")</f>
        <v/>
      </c>
      <c r="G496" s="24" t="str">
        <f t="shared" si="1"/>
        <v/>
      </c>
      <c r="H496" s="25"/>
      <c r="I496" s="26"/>
      <c r="J496" s="26"/>
      <c r="K496" s="27" t="str">
        <f>IF(A496&lt;&gt;"",IF(E496="InActive","-",SUMIFS('💰 Transaction ขาย'!E:E,'💰 Transaction ขาย'!B:B,A496,'💰 Transaction ขาย'!A:A,"&gt;"&amp;'⚙️ Config'!$H$1-'⚙️ Config'!$H$2)),)</f>
        <v/>
      </c>
      <c r="L496" s="28" t="str">
        <f>IF(E496="InActive","-",IF(A496&lt;&gt;"",K496/'⚙️ Config'!$H$2,))</f>
        <v/>
      </c>
      <c r="M496" s="28" t="str">
        <f t="shared" si="2"/>
        <v/>
      </c>
      <c r="N496" s="28" t="str">
        <f>IF(A496&lt;&gt;"", SUMIFS('💰 Transaction ขาย'!F:F,'💰 Transaction ขาย'!B:B,A496,'💰 Transaction ขาย'!A:A,"&gt;="&amp;DATE(YEAR('⚙️ Config'!$H$1),1,1),'💰 Transaction ขาย'!A:A,"&lt;="&amp;DATE(YEAR('⚙️ Config'!$H$1),12,31)),)</f>
        <v/>
      </c>
    </row>
    <row r="497">
      <c r="A497" s="22"/>
      <c r="B497" s="22" t="str">
        <f>IF(A497&lt;&gt;"",SUMIFS('💸 Transaction ซื้อ'!E:E,'💸 Transaction ซื้อ'!B:B,A497)-SUMIFS('💰 Transaction ขาย'!E:E,'💰 Transaction ขาย'!B:B,A497),"")</f>
        <v/>
      </c>
      <c r="C497" s="23" t="str">
        <f>IF(A497&lt;&gt;"",vlookup(A497,'📦 ชื่อสินค้า'!A:E,5,false),"")</f>
        <v/>
      </c>
      <c r="D497" s="23" t="str">
        <f>IF(A497&lt;&gt;"",VLOOKUP(A497,'📦 ชื่อสินค้า'!A:F,6,false),"")</f>
        <v/>
      </c>
      <c r="E497" s="16" t="str">
        <f>IFERROR(IF(VLOOKUP(A497,'📦 ชื่อสินค้า'!A:G,7,false)="InActive","InActive",IF(A497&lt;&gt;"",IF(B497&lt;=0,"สินค้าหมด",IF(B497&lt;=C497,"ควรเติมทันที","OK")),"")),)</f>
        <v/>
      </c>
      <c r="F497" s="24" t="str">
        <f>IFERROR(IF(A497&lt;&gt;"", SUMIF('💸 Transaction ซื้อ'!B:B,A497,'💸 Transaction ซื้อ'!G:G)/SUMIF('💸 Transaction ซื้อ'!B:B,A497,'💸 Transaction ซื้อ'!E:E),""),"-")</f>
        <v/>
      </c>
      <c r="G497" s="24" t="str">
        <f t="shared" si="1"/>
        <v/>
      </c>
      <c r="H497" s="25"/>
      <c r="I497" s="26"/>
      <c r="J497" s="26"/>
      <c r="K497" s="27" t="str">
        <f>IF(A497&lt;&gt;"",IF(E497="InActive","-",SUMIFS('💰 Transaction ขาย'!E:E,'💰 Transaction ขาย'!B:B,A497,'💰 Transaction ขาย'!A:A,"&gt;"&amp;'⚙️ Config'!$H$1-'⚙️ Config'!$H$2)),)</f>
        <v/>
      </c>
      <c r="L497" s="28" t="str">
        <f>IF(E497="InActive","-",IF(A497&lt;&gt;"",K497/'⚙️ Config'!$H$2,))</f>
        <v/>
      </c>
      <c r="M497" s="28" t="str">
        <f t="shared" si="2"/>
        <v/>
      </c>
      <c r="N497" s="28" t="str">
        <f>IF(A497&lt;&gt;"", SUMIFS('💰 Transaction ขาย'!F:F,'💰 Transaction ขาย'!B:B,A497,'💰 Transaction ขาย'!A:A,"&gt;="&amp;DATE(YEAR('⚙️ Config'!$H$1),1,1),'💰 Transaction ขาย'!A:A,"&lt;="&amp;DATE(YEAR('⚙️ Config'!$H$1),12,31)),)</f>
        <v/>
      </c>
    </row>
    <row r="498">
      <c r="A498" s="22"/>
      <c r="B498" s="22" t="str">
        <f>IF(A498&lt;&gt;"",SUMIFS('💸 Transaction ซื้อ'!E:E,'💸 Transaction ซื้อ'!B:B,A498)-SUMIFS('💰 Transaction ขาย'!E:E,'💰 Transaction ขาย'!B:B,A498),"")</f>
        <v/>
      </c>
      <c r="C498" s="23" t="str">
        <f>IF(A498&lt;&gt;"",vlookup(A498,'📦 ชื่อสินค้า'!A:E,5,false),"")</f>
        <v/>
      </c>
      <c r="D498" s="23" t="str">
        <f>IF(A498&lt;&gt;"",VLOOKUP(A498,'📦 ชื่อสินค้า'!A:F,6,false),"")</f>
        <v/>
      </c>
      <c r="E498" s="16" t="str">
        <f>IFERROR(IF(VLOOKUP(A498,'📦 ชื่อสินค้า'!A:G,7,false)="InActive","InActive",IF(A498&lt;&gt;"",IF(B498&lt;=0,"สินค้าหมด",IF(B498&lt;=C498,"ควรเติมทันที","OK")),"")),)</f>
        <v/>
      </c>
      <c r="F498" s="24" t="str">
        <f>IFERROR(IF(A498&lt;&gt;"", SUMIF('💸 Transaction ซื้อ'!B:B,A498,'💸 Transaction ซื้อ'!G:G)/SUMIF('💸 Transaction ซื้อ'!B:B,A498,'💸 Transaction ซื้อ'!E:E),""),"-")</f>
        <v/>
      </c>
      <c r="G498" s="24" t="str">
        <f t="shared" si="1"/>
        <v/>
      </c>
      <c r="H498" s="25"/>
      <c r="I498" s="26"/>
      <c r="J498" s="26"/>
      <c r="K498" s="27" t="str">
        <f>IF(A498&lt;&gt;"",IF(E498="InActive","-",SUMIFS('💰 Transaction ขาย'!E:E,'💰 Transaction ขาย'!B:B,A498,'💰 Transaction ขาย'!A:A,"&gt;"&amp;'⚙️ Config'!$H$1-'⚙️ Config'!$H$2)),)</f>
        <v/>
      </c>
      <c r="L498" s="28" t="str">
        <f>IF(E498="InActive","-",IF(A498&lt;&gt;"",K498/'⚙️ Config'!$H$2,))</f>
        <v/>
      </c>
      <c r="M498" s="28" t="str">
        <f t="shared" si="2"/>
        <v/>
      </c>
      <c r="N498" s="28" t="str">
        <f>IF(A498&lt;&gt;"", SUMIFS('💰 Transaction ขาย'!F:F,'💰 Transaction ขาย'!B:B,A498,'💰 Transaction ขาย'!A:A,"&gt;="&amp;DATE(YEAR('⚙️ Config'!$H$1),1,1),'💰 Transaction ขาย'!A:A,"&lt;="&amp;DATE(YEAR('⚙️ Config'!$H$1),12,31)),)</f>
        <v/>
      </c>
    </row>
    <row r="499">
      <c r="A499" s="22"/>
      <c r="B499" s="22" t="str">
        <f>IF(A499&lt;&gt;"",SUMIFS('💸 Transaction ซื้อ'!E:E,'💸 Transaction ซื้อ'!B:B,A499)-SUMIFS('💰 Transaction ขาย'!E:E,'💰 Transaction ขาย'!B:B,A499),"")</f>
        <v/>
      </c>
      <c r="C499" s="23" t="str">
        <f>IF(A499&lt;&gt;"",vlookup(A499,'📦 ชื่อสินค้า'!A:E,5,false),"")</f>
        <v/>
      </c>
      <c r="D499" s="23" t="str">
        <f>IF(A499&lt;&gt;"",VLOOKUP(A499,'📦 ชื่อสินค้า'!A:F,6,false),"")</f>
        <v/>
      </c>
      <c r="E499" s="16" t="str">
        <f>IFERROR(IF(VLOOKUP(A499,'📦 ชื่อสินค้า'!A:G,7,false)="InActive","InActive",IF(A499&lt;&gt;"",IF(B499&lt;=0,"สินค้าหมด",IF(B499&lt;=C499,"ควรเติมทันที","OK")),"")),)</f>
        <v/>
      </c>
      <c r="F499" s="24" t="str">
        <f>IFERROR(IF(A499&lt;&gt;"", SUMIF('💸 Transaction ซื้อ'!B:B,A499,'💸 Transaction ซื้อ'!G:G)/SUMIF('💸 Transaction ซื้อ'!B:B,A499,'💸 Transaction ซื้อ'!E:E),""),"-")</f>
        <v/>
      </c>
      <c r="G499" s="24" t="str">
        <f t="shared" si="1"/>
        <v/>
      </c>
      <c r="H499" s="25"/>
      <c r="I499" s="26"/>
      <c r="J499" s="26"/>
      <c r="K499" s="27" t="str">
        <f>IF(A499&lt;&gt;"",IF(E499="InActive","-",SUMIFS('💰 Transaction ขาย'!E:E,'💰 Transaction ขาย'!B:B,A499,'💰 Transaction ขาย'!A:A,"&gt;"&amp;'⚙️ Config'!$H$1-'⚙️ Config'!$H$2)),)</f>
        <v/>
      </c>
      <c r="L499" s="28" t="str">
        <f>IF(E499="InActive","-",IF(A499&lt;&gt;"",K499/'⚙️ Config'!$H$2,))</f>
        <v/>
      </c>
      <c r="M499" s="28" t="str">
        <f t="shared" si="2"/>
        <v/>
      </c>
      <c r="N499" s="28" t="str">
        <f>IF(A499&lt;&gt;"", SUMIFS('💰 Transaction ขาย'!F:F,'💰 Transaction ขาย'!B:B,A499,'💰 Transaction ขาย'!A:A,"&gt;="&amp;DATE(YEAR('⚙️ Config'!$H$1),1,1),'💰 Transaction ขาย'!A:A,"&lt;="&amp;DATE(YEAR('⚙️ Config'!$H$1),12,31)),)</f>
        <v/>
      </c>
    </row>
    <row r="500">
      <c r="A500" s="22"/>
      <c r="B500" s="22" t="str">
        <f>IF(A500&lt;&gt;"",SUMIFS('💸 Transaction ซื้อ'!E:E,'💸 Transaction ซื้อ'!B:B,A500)-SUMIFS('💰 Transaction ขาย'!E:E,'💰 Transaction ขาย'!B:B,A500),"")</f>
        <v/>
      </c>
      <c r="C500" s="23" t="str">
        <f>IF(A500&lt;&gt;"",vlookup(A500,'📦 ชื่อสินค้า'!A:E,5,false),"")</f>
        <v/>
      </c>
      <c r="D500" s="23" t="str">
        <f>IF(A500&lt;&gt;"",VLOOKUP(A500,'📦 ชื่อสินค้า'!A:F,6,false),"")</f>
        <v/>
      </c>
      <c r="E500" s="16" t="str">
        <f>IFERROR(IF(VLOOKUP(A500,'📦 ชื่อสินค้า'!A:G,7,false)="InActive","InActive",IF(A500&lt;&gt;"",IF(B500&lt;=0,"สินค้าหมด",IF(B500&lt;=C500,"ควรเติมทันที","OK")),"")),)</f>
        <v/>
      </c>
      <c r="F500" s="24" t="str">
        <f>IFERROR(IF(A500&lt;&gt;"", SUMIF('💸 Transaction ซื้อ'!B:B,A500,'💸 Transaction ซื้อ'!G:G)/SUMIF('💸 Transaction ซื้อ'!B:B,A500,'💸 Transaction ซื้อ'!E:E),""),"-")</f>
        <v/>
      </c>
      <c r="G500" s="24" t="str">
        <f t="shared" si="1"/>
        <v/>
      </c>
      <c r="H500" s="25"/>
      <c r="I500" s="26"/>
      <c r="J500" s="26"/>
      <c r="K500" s="27" t="str">
        <f>IF(A500&lt;&gt;"",IF(E500="InActive","-",SUMIFS('💰 Transaction ขาย'!E:E,'💰 Transaction ขาย'!B:B,A500,'💰 Transaction ขาย'!A:A,"&gt;"&amp;'⚙️ Config'!$H$1-'⚙️ Config'!$H$2)),)</f>
        <v/>
      </c>
      <c r="L500" s="28" t="str">
        <f>IF(E500="InActive","-",IF(A500&lt;&gt;"",K500/'⚙️ Config'!$H$2,))</f>
        <v/>
      </c>
      <c r="M500" s="28" t="str">
        <f t="shared" si="2"/>
        <v/>
      </c>
      <c r="N500" s="28" t="str">
        <f>IF(A500&lt;&gt;"", SUMIFS('💰 Transaction ขาย'!F:F,'💰 Transaction ขาย'!B:B,A500,'💰 Transaction ขาย'!A:A,"&gt;="&amp;DATE(YEAR('⚙️ Config'!$H$1),1,1),'💰 Transaction ขาย'!A:A,"&lt;="&amp;DATE(YEAR('⚙️ Config'!$H$1),12,31)),)</f>
        <v/>
      </c>
    </row>
    <row r="501">
      <c r="A501" s="22"/>
      <c r="B501" s="22" t="str">
        <f>IF(A501&lt;&gt;"",SUMIFS('💸 Transaction ซื้อ'!E:E,'💸 Transaction ซื้อ'!B:B,A501)-SUMIFS('💰 Transaction ขาย'!E:E,'💰 Transaction ขาย'!B:B,A501),"")</f>
        <v/>
      </c>
      <c r="C501" s="23" t="str">
        <f>IF(A501&lt;&gt;"",vlookup(A501,'📦 ชื่อสินค้า'!A:E,5,false),"")</f>
        <v/>
      </c>
      <c r="D501" s="23" t="str">
        <f>IF(A501&lt;&gt;"",VLOOKUP(A501,'📦 ชื่อสินค้า'!A:F,6,false),"")</f>
        <v/>
      </c>
      <c r="E501" s="16" t="str">
        <f>IFERROR(IF(VLOOKUP(A501,'📦 ชื่อสินค้า'!A:G,7,false)="InActive","InActive",IF(A501&lt;&gt;"",IF(B501&lt;=0,"สินค้าหมด",IF(B501&lt;=C501,"ควรเติมทันที","OK")),"")),)</f>
        <v/>
      </c>
      <c r="F501" s="24" t="str">
        <f>IFERROR(IF(A501&lt;&gt;"", SUMIF('💸 Transaction ซื้อ'!B:B,A501,'💸 Transaction ซื้อ'!G:G)/SUMIF('💸 Transaction ซื้อ'!B:B,A501,'💸 Transaction ซื้อ'!E:E),""),"-")</f>
        <v/>
      </c>
      <c r="G501" s="24" t="str">
        <f t="shared" si="1"/>
        <v/>
      </c>
      <c r="H501" s="25"/>
      <c r="I501" s="26"/>
      <c r="J501" s="26"/>
      <c r="K501" s="27" t="str">
        <f>IF(A501&lt;&gt;"",IF(E501="InActive","-",SUMIFS('💰 Transaction ขาย'!E:E,'💰 Transaction ขาย'!B:B,A501,'💰 Transaction ขาย'!A:A,"&gt;"&amp;'⚙️ Config'!$H$1-'⚙️ Config'!$H$2)),)</f>
        <v/>
      </c>
      <c r="L501" s="28" t="str">
        <f>IF(E501="InActive","-",IF(A501&lt;&gt;"",K501/'⚙️ Config'!$H$2,))</f>
        <v/>
      </c>
      <c r="M501" s="28" t="str">
        <f t="shared" si="2"/>
        <v/>
      </c>
      <c r="N501" s="28" t="str">
        <f>IF(A501&lt;&gt;"", SUMIFS('💰 Transaction ขาย'!F:F,'💰 Transaction ขาย'!B:B,A501,'💰 Transaction ขาย'!A:A,"&gt;="&amp;DATE(YEAR('⚙️ Config'!$H$1),1,1),'💰 Transaction ขาย'!A:A,"&lt;="&amp;DATE(YEAR('⚙️ Config'!$H$1),12,31)),)</f>
        <v/>
      </c>
    </row>
    <row r="502">
      <c r="A502" s="22"/>
      <c r="B502" s="22" t="str">
        <f>IF(A502&lt;&gt;"",SUMIFS('💸 Transaction ซื้อ'!E:E,'💸 Transaction ซื้อ'!B:B,A502)-SUMIFS('💰 Transaction ขาย'!E:E,'💰 Transaction ขาย'!B:B,A502),"")</f>
        <v/>
      </c>
      <c r="C502" s="23" t="str">
        <f>IF(A502&lt;&gt;"",vlookup(A502,'📦 ชื่อสินค้า'!A:E,5,false),"")</f>
        <v/>
      </c>
      <c r="D502" s="23" t="str">
        <f>IF(A502&lt;&gt;"",VLOOKUP(A502,'📦 ชื่อสินค้า'!A:F,6,false),"")</f>
        <v/>
      </c>
      <c r="E502" s="16" t="str">
        <f>IFERROR(IF(VLOOKUP(A502,'📦 ชื่อสินค้า'!A:G,7,false)="InActive","InActive",IF(A502&lt;&gt;"",IF(B502&lt;=0,"สินค้าหมด",IF(B502&lt;=C502,"ควรเติมทันที","OK")),"")),)</f>
        <v/>
      </c>
      <c r="F502" s="24" t="str">
        <f>IFERROR(IF(A502&lt;&gt;"", SUMIF('💸 Transaction ซื้อ'!B:B,A502,'💸 Transaction ซื้อ'!G:G)/SUMIF('💸 Transaction ซื้อ'!B:B,A502,'💸 Transaction ซื้อ'!E:E),""),"-")</f>
        <v/>
      </c>
      <c r="G502" s="24" t="str">
        <f t="shared" si="1"/>
        <v/>
      </c>
      <c r="H502" s="25"/>
      <c r="I502" s="26"/>
      <c r="J502" s="26"/>
      <c r="K502" s="27" t="str">
        <f>IF(A502&lt;&gt;"",IF(E502="InActive","-",SUMIFS('💰 Transaction ขาย'!E:E,'💰 Transaction ขาย'!B:B,A502,'💰 Transaction ขาย'!A:A,"&gt;"&amp;'⚙️ Config'!$H$1-'⚙️ Config'!$H$2)),)</f>
        <v/>
      </c>
      <c r="L502" s="28" t="str">
        <f>IF(E502="InActive","-",IF(A502&lt;&gt;"",K502/'⚙️ Config'!$H$2,))</f>
        <v/>
      </c>
      <c r="M502" s="28" t="str">
        <f t="shared" si="2"/>
        <v/>
      </c>
      <c r="N502" s="28" t="str">
        <f>IF(A502&lt;&gt;"", SUMIFS('💰 Transaction ขาย'!F:F,'💰 Transaction ขาย'!B:B,A502,'💰 Transaction ขาย'!A:A,"&gt;="&amp;DATE(YEAR('⚙️ Config'!$H$1),1,1),'💰 Transaction ขาย'!A:A,"&lt;="&amp;DATE(YEAR('⚙️ Config'!$H$1),12,31)),)</f>
        <v/>
      </c>
    </row>
    <row r="503">
      <c r="A503" s="22"/>
      <c r="B503" s="22" t="str">
        <f>IF(A503&lt;&gt;"",SUMIFS('💸 Transaction ซื้อ'!E:E,'💸 Transaction ซื้อ'!B:B,A503)-SUMIFS('💰 Transaction ขาย'!E:E,'💰 Transaction ขาย'!B:B,A503),"")</f>
        <v/>
      </c>
      <c r="C503" s="23" t="str">
        <f>IF(A503&lt;&gt;"",vlookup(A503,'📦 ชื่อสินค้า'!A:E,5,false),"")</f>
        <v/>
      </c>
      <c r="D503" s="23" t="str">
        <f>IF(A503&lt;&gt;"",VLOOKUP(A503,'📦 ชื่อสินค้า'!A:F,6,false),"")</f>
        <v/>
      </c>
      <c r="E503" s="16" t="str">
        <f>IFERROR(IF(VLOOKUP(A503,'📦 ชื่อสินค้า'!A:G,7,false)="InActive","InActive",IF(A503&lt;&gt;"",IF(B503&lt;=0,"สินค้าหมด",IF(B503&lt;=C503,"ควรเติมทันที","OK")),"")),)</f>
        <v/>
      </c>
      <c r="F503" s="24" t="str">
        <f>IFERROR(IF(A503&lt;&gt;"", SUMIF('💸 Transaction ซื้อ'!B:B,A503,'💸 Transaction ซื้อ'!G:G)/SUMIF('💸 Transaction ซื้อ'!B:B,A503,'💸 Transaction ซื้อ'!E:E),""),"-")</f>
        <v/>
      </c>
      <c r="G503" s="24" t="str">
        <f t="shared" si="1"/>
        <v/>
      </c>
      <c r="H503" s="25"/>
      <c r="I503" s="26"/>
      <c r="J503" s="26"/>
      <c r="K503" s="27" t="str">
        <f>IF(A503&lt;&gt;"",IF(E503="InActive","-",SUMIFS('💰 Transaction ขาย'!E:E,'💰 Transaction ขาย'!B:B,A503,'💰 Transaction ขาย'!A:A,"&gt;"&amp;'⚙️ Config'!$H$1-'⚙️ Config'!$H$2)),)</f>
        <v/>
      </c>
      <c r="L503" s="28" t="str">
        <f>IF(E503="InActive","-",IF(A503&lt;&gt;"",K503/'⚙️ Config'!$H$2,))</f>
        <v/>
      </c>
      <c r="M503" s="28" t="str">
        <f t="shared" si="2"/>
        <v/>
      </c>
      <c r="N503" s="28" t="str">
        <f>IF(A503&lt;&gt;"", SUMIFS('💰 Transaction ขาย'!F:F,'💰 Transaction ขาย'!B:B,A503,'💰 Transaction ขาย'!A:A,"&gt;="&amp;DATE(YEAR('⚙️ Config'!$H$1),1,1),'💰 Transaction ขาย'!A:A,"&lt;="&amp;DATE(YEAR('⚙️ Config'!$H$1),12,31)),)</f>
        <v/>
      </c>
    </row>
    <row r="504">
      <c r="A504" s="22"/>
      <c r="B504" s="22" t="str">
        <f>IF(A504&lt;&gt;"",SUMIFS('💸 Transaction ซื้อ'!E:E,'💸 Transaction ซื้อ'!B:B,A504)-SUMIFS('💰 Transaction ขาย'!E:E,'💰 Transaction ขาย'!B:B,A504),"")</f>
        <v/>
      </c>
      <c r="C504" s="23" t="str">
        <f>IF(A504&lt;&gt;"",vlookup(A504,'📦 ชื่อสินค้า'!A:E,5,false),"")</f>
        <v/>
      </c>
      <c r="D504" s="23" t="str">
        <f>IF(A504&lt;&gt;"",VLOOKUP(A504,'📦 ชื่อสินค้า'!A:F,6,false),"")</f>
        <v/>
      </c>
      <c r="E504" s="16" t="str">
        <f>IFERROR(IF(VLOOKUP(A504,'📦 ชื่อสินค้า'!A:G,7,false)="InActive","InActive",IF(A504&lt;&gt;"",IF(B504&lt;=0,"สินค้าหมด",IF(B504&lt;=C504,"ควรเติมทันที","OK")),"")),)</f>
        <v/>
      </c>
      <c r="F504" s="24" t="str">
        <f>IFERROR(IF(A504&lt;&gt;"", SUMIF('💸 Transaction ซื้อ'!B:B,A504,'💸 Transaction ซื้อ'!G:G)/SUMIF('💸 Transaction ซื้อ'!B:B,A504,'💸 Transaction ซื้อ'!E:E),""),"-")</f>
        <v/>
      </c>
      <c r="G504" s="24" t="str">
        <f t="shared" si="1"/>
        <v/>
      </c>
      <c r="H504" s="25"/>
      <c r="I504" s="26"/>
      <c r="J504" s="26"/>
      <c r="K504" s="27" t="str">
        <f>IF(A504&lt;&gt;"",IF(E504="InActive","-",SUMIFS('💰 Transaction ขาย'!E:E,'💰 Transaction ขาย'!B:B,A504,'💰 Transaction ขาย'!A:A,"&gt;"&amp;'⚙️ Config'!$H$1-'⚙️ Config'!$H$2)),)</f>
        <v/>
      </c>
      <c r="L504" s="28" t="str">
        <f>IF(E504="InActive","-",IF(A504&lt;&gt;"",K504/'⚙️ Config'!$H$2,))</f>
        <v/>
      </c>
      <c r="M504" s="28" t="str">
        <f t="shared" si="2"/>
        <v/>
      </c>
      <c r="N504" s="28" t="str">
        <f>IF(A504&lt;&gt;"", SUMIFS('💰 Transaction ขาย'!F:F,'💰 Transaction ขาย'!B:B,A504,'💰 Transaction ขาย'!A:A,"&gt;="&amp;DATE(YEAR('⚙️ Config'!$H$1),1,1),'💰 Transaction ขาย'!A:A,"&lt;="&amp;DATE(YEAR('⚙️ Config'!$H$1),12,31)),)</f>
        <v/>
      </c>
    </row>
    <row r="505">
      <c r="A505" s="22"/>
      <c r="B505" s="22" t="str">
        <f>IF(A505&lt;&gt;"",SUMIFS('💸 Transaction ซื้อ'!E:E,'💸 Transaction ซื้อ'!B:B,A505)-SUMIFS('💰 Transaction ขาย'!E:E,'💰 Transaction ขาย'!B:B,A505),"")</f>
        <v/>
      </c>
      <c r="C505" s="23" t="str">
        <f>IF(A505&lt;&gt;"",vlookup(A505,'📦 ชื่อสินค้า'!A:E,5,false),"")</f>
        <v/>
      </c>
      <c r="D505" s="23" t="str">
        <f>IF(A505&lt;&gt;"",VLOOKUP(A505,'📦 ชื่อสินค้า'!A:F,6,false),"")</f>
        <v/>
      </c>
      <c r="E505" s="16" t="str">
        <f>IFERROR(IF(VLOOKUP(A505,'📦 ชื่อสินค้า'!A:G,7,false)="InActive","InActive",IF(A505&lt;&gt;"",IF(B505&lt;=0,"สินค้าหมด",IF(B505&lt;=C505,"ควรเติมทันที","OK")),"")),)</f>
        <v/>
      </c>
      <c r="F505" s="24" t="str">
        <f>IFERROR(IF(A505&lt;&gt;"", SUMIF('💸 Transaction ซื้อ'!B:B,A505,'💸 Transaction ซื้อ'!G:G)/SUMIF('💸 Transaction ซื้อ'!B:B,A505,'💸 Transaction ซื้อ'!E:E),""),"-")</f>
        <v/>
      </c>
      <c r="G505" s="24" t="str">
        <f t="shared" si="1"/>
        <v/>
      </c>
      <c r="H505" s="25"/>
      <c r="I505" s="26"/>
      <c r="J505" s="26"/>
      <c r="K505" s="27" t="str">
        <f>IF(A505&lt;&gt;"",IF(E505="InActive","-",SUMIFS('💰 Transaction ขาย'!E:E,'💰 Transaction ขาย'!B:B,A505,'💰 Transaction ขาย'!A:A,"&gt;"&amp;'⚙️ Config'!$H$1-'⚙️ Config'!$H$2)),)</f>
        <v/>
      </c>
      <c r="L505" s="28" t="str">
        <f>IF(E505="InActive","-",IF(A505&lt;&gt;"",K505/'⚙️ Config'!$H$2,))</f>
        <v/>
      </c>
      <c r="M505" s="28" t="str">
        <f t="shared" si="2"/>
        <v/>
      </c>
      <c r="N505" s="28" t="str">
        <f>IF(A505&lt;&gt;"", SUMIFS('💰 Transaction ขาย'!F:F,'💰 Transaction ขาย'!B:B,A505,'💰 Transaction ขาย'!A:A,"&gt;="&amp;DATE(YEAR('⚙️ Config'!$H$1),1,1),'💰 Transaction ขาย'!A:A,"&lt;="&amp;DATE(YEAR('⚙️ Config'!$H$1),12,31)),)</f>
        <v/>
      </c>
    </row>
    <row r="506">
      <c r="A506" s="22"/>
      <c r="B506" s="22" t="str">
        <f>IF(A506&lt;&gt;"",SUMIFS('💸 Transaction ซื้อ'!E:E,'💸 Transaction ซื้อ'!B:B,A506)-SUMIFS('💰 Transaction ขาย'!E:E,'💰 Transaction ขาย'!B:B,A506),"")</f>
        <v/>
      </c>
      <c r="C506" s="23" t="str">
        <f>IF(A506&lt;&gt;"",vlookup(A506,'📦 ชื่อสินค้า'!A:E,5,false),"")</f>
        <v/>
      </c>
      <c r="D506" s="23" t="str">
        <f>IF(A506&lt;&gt;"",VLOOKUP(A506,'📦 ชื่อสินค้า'!A:F,6,false),"")</f>
        <v/>
      </c>
      <c r="E506" s="16" t="str">
        <f>IFERROR(IF(VLOOKUP(A506,'📦 ชื่อสินค้า'!A:G,7,false)="InActive","InActive",IF(A506&lt;&gt;"",IF(B506&lt;=0,"สินค้าหมด",IF(B506&lt;=C506,"ควรเติมทันที","OK")),"")),)</f>
        <v/>
      </c>
      <c r="F506" s="24" t="str">
        <f>IFERROR(IF(A506&lt;&gt;"", SUMIF('💸 Transaction ซื้อ'!B:B,A506,'💸 Transaction ซื้อ'!G:G)/SUMIF('💸 Transaction ซื้อ'!B:B,A506,'💸 Transaction ซื้อ'!E:E),""),"-")</f>
        <v/>
      </c>
      <c r="G506" s="24" t="str">
        <f t="shared" si="1"/>
        <v/>
      </c>
      <c r="H506" s="25"/>
      <c r="I506" s="26"/>
      <c r="J506" s="26"/>
      <c r="K506" s="27" t="str">
        <f>IF(A506&lt;&gt;"",IF(E506="InActive","-",SUMIFS('💰 Transaction ขาย'!E:E,'💰 Transaction ขาย'!B:B,A506,'💰 Transaction ขาย'!A:A,"&gt;"&amp;'⚙️ Config'!$H$1-'⚙️ Config'!$H$2)),)</f>
        <v/>
      </c>
      <c r="L506" s="28" t="str">
        <f>IF(E506="InActive","-",IF(A506&lt;&gt;"",K506/'⚙️ Config'!$H$2,))</f>
        <v/>
      </c>
      <c r="M506" s="28" t="str">
        <f t="shared" si="2"/>
        <v/>
      </c>
      <c r="N506" s="28" t="str">
        <f>IF(A506&lt;&gt;"", SUMIFS('💰 Transaction ขาย'!F:F,'💰 Transaction ขาย'!B:B,A506,'💰 Transaction ขาย'!A:A,"&gt;="&amp;DATE(YEAR('⚙️ Config'!$H$1),1,1),'💰 Transaction ขาย'!A:A,"&lt;="&amp;DATE(YEAR('⚙️ Config'!$H$1),12,31)),)</f>
        <v/>
      </c>
    </row>
    <row r="507">
      <c r="A507" s="22"/>
      <c r="B507" s="22" t="str">
        <f>IF(A507&lt;&gt;"",SUMIFS('💸 Transaction ซื้อ'!E:E,'💸 Transaction ซื้อ'!B:B,A507)-SUMIFS('💰 Transaction ขาย'!E:E,'💰 Transaction ขาย'!B:B,A507),"")</f>
        <v/>
      </c>
      <c r="C507" s="23" t="str">
        <f>IF(A507&lt;&gt;"",vlookup(A507,'📦 ชื่อสินค้า'!A:E,5,false),"")</f>
        <v/>
      </c>
      <c r="D507" s="23" t="str">
        <f>IF(A507&lt;&gt;"",VLOOKUP(A507,'📦 ชื่อสินค้า'!A:F,6,false),"")</f>
        <v/>
      </c>
      <c r="E507" s="16" t="str">
        <f>IFERROR(IF(VLOOKUP(A507,'📦 ชื่อสินค้า'!A:G,7,false)="InActive","InActive",IF(A507&lt;&gt;"",IF(B507&lt;=0,"สินค้าหมด",IF(B507&lt;=C507,"ควรเติมทันที","OK")),"")),)</f>
        <v/>
      </c>
      <c r="F507" s="24" t="str">
        <f>IFERROR(IF(A507&lt;&gt;"", SUMIF('💸 Transaction ซื้อ'!B:B,A507,'💸 Transaction ซื้อ'!G:G)/SUMIF('💸 Transaction ซื้อ'!B:B,A507,'💸 Transaction ซื้อ'!E:E),""),"-")</f>
        <v/>
      </c>
      <c r="G507" s="24" t="str">
        <f t="shared" si="1"/>
        <v/>
      </c>
      <c r="H507" s="25"/>
      <c r="I507" s="26"/>
      <c r="J507" s="26"/>
      <c r="K507" s="27" t="str">
        <f>IF(A507&lt;&gt;"",IF(E507="InActive","-",SUMIFS('💰 Transaction ขาย'!E:E,'💰 Transaction ขาย'!B:B,A507,'💰 Transaction ขาย'!A:A,"&gt;"&amp;'⚙️ Config'!$H$1-'⚙️ Config'!$H$2)),)</f>
        <v/>
      </c>
      <c r="L507" s="28" t="str">
        <f>IF(E507="InActive","-",IF(A507&lt;&gt;"",K507/'⚙️ Config'!$H$2,))</f>
        <v/>
      </c>
      <c r="M507" s="28" t="str">
        <f t="shared" si="2"/>
        <v/>
      </c>
      <c r="N507" s="28" t="str">
        <f>IF(A507&lt;&gt;"", SUMIFS('💰 Transaction ขาย'!F:F,'💰 Transaction ขาย'!B:B,A507,'💰 Transaction ขาย'!A:A,"&gt;="&amp;DATE(YEAR('⚙️ Config'!$H$1),1,1),'💰 Transaction ขาย'!A:A,"&lt;="&amp;DATE(YEAR('⚙️ Config'!$H$1),12,31)),)</f>
        <v/>
      </c>
    </row>
    <row r="508">
      <c r="A508" s="22"/>
      <c r="B508" s="22" t="str">
        <f>IF(A508&lt;&gt;"",SUMIFS('💸 Transaction ซื้อ'!E:E,'💸 Transaction ซื้อ'!B:B,A508)-SUMIFS('💰 Transaction ขาย'!E:E,'💰 Transaction ขาย'!B:B,A508),"")</f>
        <v/>
      </c>
      <c r="C508" s="23" t="str">
        <f>IF(A508&lt;&gt;"",vlookup(A508,'📦 ชื่อสินค้า'!A:E,5,false),"")</f>
        <v/>
      </c>
      <c r="D508" s="23" t="str">
        <f>IF(A508&lt;&gt;"",VLOOKUP(A508,'📦 ชื่อสินค้า'!A:F,6,false),"")</f>
        <v/>
      </c>
      <c r="E508" s="16" t="str">
        <f>IFERROR(IF(VLOOKUP(A508,'📦 ชื่อสินค้า'!A:G,7,false)="InActive","InActive",IF(A508&lt;&gt;"",IF(B508&lt;=0,"สินค้าหมด",IF(B508&lt;=C508,"ควรเติมทันที","OK")),"")),)</f>
        <v/>
      </c>
      <c r="F508" s="24" t="str">
        <f>IFERROR(IF(A508&lt;&gt;"", SUMIF('💸 Transaction ซื้อ'!B:B,A508,'💸 Transaction ซื้อ'!G:G)/SUMIF('💸 Transaction ซื้อ'!B:B,A508,'💸 Transaction ซื้อ'!E:E),""),"-")</f>
        <v/>
      </c>
      <c r="G508" s="24" t="str">
        <f t="shared" si="1"/>
        <v/>
      </c>
      <c r="H508" s="25"/>
      <c r="I508" s="26"/>
      <c r="J508" s="26"/>
      <c r="K508" s="27" t="str">
        <f>IF(A508&lt;&gt;"",IF(E508="InActive","-",SUMIFS('💰 Transaction ขาย'!E:E,'💰 Transaction ขาย'!B:B,A508,'💰 Transaction ขาย'!A:A,"&gt;"&amp;'⚙️ Config'!$H$1-'⚙️ Config'!$H$2)),)</f>
        <v/>
      </c>
      <c r="L508" s="28" t="str">
        <f>IF(E508="InActive","-",IF(A508&lt;&gt;"",K508/'⚙️ Config'!$H$2,))</f>
        <v/>
      </c>
      <c r="M508" s="28" t="str">
        <f t="shared" si="2"/>
        <v/>
      </c>
      <c r="N508" s="28" t="str">
        <f>IF(A508&lt;&gt;"", SUMIFS('💰 Transaction ขาย'!F:F,'💰 Transaction ขาย'!B:B,A508,'💰 Transaction ขาย'!A:A,"&gt;="&amp;DATE(YEAR('⚙️ Config'!$H$1),1,1),'💰 Transaction ขาย'!A:A,"&lt;="&amp;DATE(YEAR('⚙️ Config'!$H$1),12,31)),)</f>
        <v/>
      </c>
    </row>
    <row r="509">
      <c r="A509" s="22"/>
      <c r="B509" s="22" t="str">
        <f>IF(A509&lt;&gt;"",SUMIFS('💸 Transaction ซื้อ'!E:E,'💸 Transaction ซื้อ'!B:B,A509)-SUMIFS('💰 Transaction ขาย'!E:E,'💰 Transaction ขาย'!B:B,A509),"")</f>
        <v/>
      </c>
      <c r="C509" s="23" t="str">
        <f>IF(A509&lt;&gt;"",vlookup(A509,'📦 ชื่อสินค้า'!A:E,5,false),"")</f>
        <v/>
      </c>
      <c r="D509" s="23" t="str">
        <f>IF(A509&lt;&gt;"",VLOOKUP(A509,'📦 ชื่อสินค้า'!A:F,6,false),"")</f>
        <v/>
      </c>
      <c r="E509" s="16" t="str">
        <f>IFERROR(IF(VLOOKUP(A509,'📦 ชื่อสินค้า'!A:G,7,false)="InActive","InActive",IF(A509&lt;&gt;"",IF(B509&lt;=0,"สินค้าหมด",IF(B509&lt;=C509,"ควรเติมทันที","OK")),"")),)</f>
        <v/>
      </c>
      <c r="F509" s="24" t="str">
        <f>IFERROR(IF(A509&lt;&gt;"", SUMIF('💸 Transaction ซื้อ'!B:B,A509,'💸 Transaction ซื้อ'!G:G)/SUMIF('💸 Transaction ซื้อ'!B:B,A509,'💸 Transaction ซื้อ'!E:E),""),"-")</f>
        <v/>
      </c>
      <c r="G509" s="24" t="str">
        <f t="shared" si="1"/>
        <v/>
      </c>
      <c r="H509" s="25"/>
      <c r="I509" s="26"/>
      <c r="J509" s="26"/>
      <c r="K509" s="27" t="str">
        <f>IF(A509&lt;&gt;"",IF(E509="InActive","-",SUMIFS('💰 Transaction ขาย'!E:E,'💰 Transaction ขาย'!B:B,A509,'💰 Transaction ขาย'!A:A,"&gt;"&amp;'⚙️ Config'!$H$1-'⚙️ Config'!$H$2)),)</f>
        <v/>
      </c>
      <c r="L509" s="28" t="str">
        <f>IF(E509="InActive","-",IF(A509&lt;&gt;"",K509/'⚙️ Config'!$H$2,))</f>
        <v/>
      </c>
      <c r="M509" s="28" t="str">
        <f t="shared" si="2"/>
        <v/>
      </c>
      <c r="N509" s="28" t="str">
        <f>IF(A509&lt;&gt;"", SUMIFS('💰 Transaction ขาย'!F:F,'💰 Transaction ขาย'!B:B,A509,'💰 Transaction ขาย'!A:A,"&gt;="&amp;DATE(YEAR('⚙️ Config'!$H$1),1,1),'💰 Transaction ขาย'!A:A,"&lt;="&amp;DATE(YEAR('⚙️ Config'!$H$1),12,31)),)</f>
        <v/>
      </c>
    </row>
    <row r="510">
      <c r="A510" s="22"/>
      <c r="B510" s="22" t="str">
        <f>IF(A510&lt;&gt;"",SUMIFS('💸 Transaction ซื้อ'!E:E,'💸 Transaction ซื้อ'!B:B,A510)-SUMIFS('💰 Transaction ขาย'!E:E,'💰 Transaction ขาย'!B:B,A510),"")</f>
        <v/>
      </c>
      <c r="C510" s="23" t="str">
        <f>IF(A510&lt;&gt;"",vlookup(A510,'📦 ชื่อสินค้า'!A:E,5,false),"")</f>
        <v/>
      </c>
      <c r="D510" s="23" t="str">
        <f>IF(A510&lt;&gt;"",VLOOKUP(A510,'📦 ชื่อสินค้า'!A:F,6,false),"")</f>
        <v/>
      </c>
      <c r="E510" s="16" t="str">
        <f>IFERROR(IF(VLOOKUP(A510,'📦 ชื่อสินค้า'!A:G,7,false)="InActive","InActive",IF(A510&lt;&gt;"",IF(B510&lt;=0,"สินค้าหมด",IF(B510&lt;=C510,"ควรเติมทันที","OK")),"")),)</f>
        <v/>
      </c>
      <c r="F510" s="24" t="str">
        <f>IFERROR(IF(A510&lt;&gt;"", SUMIF('💸 Transaction ซื้อ'!B:B,A510,'💸 Transaction ซื้อ'!G:G)/SUMIF('💸 Transaction ซื้อ'!B:B,A510,'💸 Transaction ซื้อ'!E:E),""),"-")</f>
        <v/>
      </c>
      <c r="G510" s="24" t="str">
        <f t="shared" si="1"/>
        <v/>
      </c>
      <c r="H510" s="25"/>
      <c r="I510" s="26"/>
      <c r="J510" s="26"/>
      <c r="K510" s="27" t="str">
        <f>IF(A510&lt;&gt;"",IF(E510="InActive","-",SUMIFS('💰 Transaction ขาย'!E:E,'💰 Transaction ขาย'!B:B,A510,'💰 Transaction ขาย'!A:A,"&gt;"&amp;'⚙️ Config'!$H$1-'⚙️ Config'!$H$2)),)</f>
        <v/>
      </c>
      <c r="L510" s="28" t="str">
        <f>IF(E510="InActive","-",IF(A510&lt;&gt;"",K510/'⚙️ Config'!$H$2,))</f>
        <v/>
      </c>
      <c r="M510" s="28" t="str">
        <f t="shared" si="2"/>
        <v/>
      </c>
      <c r="N510" s="28" t="str">
        <f>IF(A510&lt;&gt;"", SUMIFS('💰 Transaction ขาย'!F:F,'💰 Transaction ขาย'!B:B,A510,'💰 Transaction ขาย'!A:A,"&gt;="&amp;DATE(YEAR('⚙️ Config'!$H$1),1,1),'💰 Transaction ขาย'!A:A,"&lt;="&amp;DATE(YEAR('⚙️ Config'!$H$1),12,31)),)</f>
        <v/>
      </c>
    </row>
    <row r="511">
      <c r="A511" s="22"/>
      <c r="B511" s="22" t="str">
        <f>IF(A511&lt;&gt;"",SUMIFS('💸 Transaction ซื้อ'!E:E,'💸 Transaction ซื้อ'!B:B,A511)-SUMIFS('💰 Transaction ขาย'!E:E,'💰 Transaction ขาย'!B:B,A511),"")</f>
        <v/>
      </c>
      <c r="C511" s="23" t="str">
        <f>IF(A511&lt;&gt;"",vlookup(A511,'📦 ชื่อสินค้า'!A:E,5,false),"")</f>
        <v/>
      </c>
      <c r="D511" s="23" t="str">
        <f>IF(A511&lt;&gt;"",VLOOKUP(A511,'📦 ชื่อสินค้า'!A:F,6,false),"")</f>
        <v/>
      </c>
      <c r="E511" s="16" t="str">
        <f>IFERROR(IF(VLOOKUP(A511,'📦 ชื่อสินค้า'!A:G,7,false)="InActive","InActive",IF(A511&lt;&gt;"",IF(B511&lt;=0,"สินค้าหมด",IF(B511&lt;=C511,"ควรเติมทันที","OK")),"")),)</f>
        <v/>
      </c>
      <c r="F511" s="24" t="str">
        <f>IFERROR(IF(A511&lt;&gt;"", SUMIF('💸 Transaction ซื้อ'!B:B,A511,'💸 Transaction ซื้อ'!G:G)/SUMIF('💸 Transaction ซื้อ'!B:B,A511,'💸 Transaction ซื้อ'!E:E),""),"-")</f>
        <v/>
      </c>
      <c r="G511" s="24" t="str">
        <f t="shared" si="1"/>
        <v/>
      </c>
      <c r="H511" s="25"/>
      <c r="I511" s="26"/>
      <c r="J511" s="26"/>
      <c r="K511" s="27" t="str">
        <f>IF(A511&lt;&gt;"",IF(E511="InActive","-",SUMIFS('💰 Transaction ขาย'!E:E,'💰 Transaction ขาย'!B:B,A511,'💰 Transaction ขาย'!A:A,"&gt;"&amp;'⚙️ Config'!$H$1-'⚙️ Config'!$H$2)),)</f>
        <v/>
      </c>
      <c r="L511" s="28" t="str">
        <f>IF(E511="InActive","-",IF(A511&lt;&gt;"",K511/'⚙️ Config'!$H$2,))</f>
        <v/>
      </c>
      <c r="M511" s="28" t="str">
        <f t="shared" si="2"/>
        <v/>
      </c>
      <c r="N511" s="28" t="str">
        <f>IF(A511&lt;&gt;"", SUMIFS('💰 Transaction ขาย'!F:F,'💰 Transaction ขาย'!B:B,A511,'💰 Transaction ขาย'!A:A,"&gt;="&amp;DATE(YEAR('⚙️ Config'!$H$1),1,1),'💰 Transaction ขาย'!A:A,"&lt;="&amp;DATE(YEAR('⚙️ Config'!$H$1),12,31)),)</f>
        <v/>
      </c>
    </row>
    <row r="512">
      <c r="A512" s="22"/>
      <c r="B512" s="22" t="str">
        <f>IF(A512&lt;&gt;"",SUMIFS('💸 Transaction ซื้อ'!E:E,'💸 Transaction ซื้อ'!B:B,A512)-SUMIFS('💰 Transaction ขาย'!E:E,'💰 Transaction ขาย'!B:B,A512),"")</f>
        <v/>
      </c>
      <c r="C512" s="23" t="str">
        <f>IF(A512&lt;&gt;"",vlookup(A512,'📦 ชื่อสินค้า'!A:E,5,false),"")</f>
        <v/>
      </c>
      <c r="D512" s="23" t="str">
        <f>IF(A512&lt;&gt;"",VLOOKUP(A512,'📦 ชื่อสินค้า'!A:F,6,false),"")</f>
        <v/>
      </c>
      <c r="E512" s="16" t="str">
        <f>IFERROR(IF(VLOOKUP(A512,'📦 ชื่อสินค้า'!A:G,7,false)="InActive","InActive",IF(A512&lt;&gt;"",IF(B512&lt;=0,"สินค้าหมด",IF(B512&lt;=C512,"ควรเติมทันที","OK")),"")),)</f>
        <v/>
      </c>
      <c r="F512" s="24" t="str">
        <f>IFERROR(IF(A512&lt;&gt;"", SUMIF('💸 Transaction ซื้อ'!B:B,A512,'💸 Transaction ซื้อ'!G:G)/SUMIF('💸 Transaction ซื้อ'!B:B,A512,'💸 Transaction ซื้อ'!E:E),""),"-")</f>
        <v/>
      </c>
      <c r="G512" s="24" t="str">
        <f t="shared" si="1"/>
        <v/>
      </c>
      <c r="H512" s="25"/>
      <c r="I512" s="26"/>
      <c r="J512" s="26"/>
      <c r="K512" s="27" t="str">
        <f>IF(A512&lt;&gt;"",IF(E512="InActive","-",SUMIFS('💰 Transaction ขาย'!E:E,'💰 Transaction ขาย'!B:B,A512,'💰 Transaction ขาย'!A:A,"&gt;"&amp;'⚙️ Config'!$H$1-'⚙️ Config'!$H$2)),)</f>
        <v/>
      </c>
      <c r="L512" s="28" t="str">
        <f>IF(E512="InActive","-",IF(A512&lt;&gt;"",K512/'⚙️ Config'!$H$2,))</f>
        <v/>
      </c>
      <c r="M512" s="28" t="str">
        <f t="shared" si="2"/>
        <v/>
      </c>
      <c r="N512" s="28" t="str">
        <f>IF(A512&lt;&gt;"", SUMIFS('💰 Transaction ขาย'!F:F,'💰 Transaction ขาย'!B:B,A512,'💰 Transaction ขาย'!A:A,"&gt;="&amp;DATE(YEAR('⚙️ Config'!$H$1),1,1),'💰 Transaction ขาย'!A:A,"&lt;="&amp;DATE(YEAR('⚙️ Config'!$H$1),12,31)),)</f>
        <v/>
      </c>
    </row>
    <row r="513">
      <c r="A513" s="22"/>
      <c r="B513" s="22" t="str">
        <f>IF(A513&lt;&gt;"",SUMIFS('💸 Transaction ซื้อ'!E:E,'💸 Transaction ซื้อ'!B:B,A513)-SUMIFS('💰 Transaction ขาย'!E:E,'💰 Transaction ขาย'!B:B,A513),"")</f>
        <v/>
      </c>
      <c r="C513" s="23" t="str">
        <f>IF(A513&lt;&gt;"",vlookup(A513,'📦 ชื่อสินค้า'!A:E,5,false),"")</f>
        <v/>
      </c>
      <c r="D513" s="23" t="str">
        <f>IF(A513&lt;&gt;"",VLOOKUP(A513,'📦 ชื่อสินค้า'!A:F,6,false),"")</f>
        <v/>
      </c>
      <c r="E513" s="16" t="str">
        <f>IFERROR(IF(VLOOKUP(A513,'📦 ชื่อสินค้า'!A:G,7,false)="InActive","InActive",IF(A513&lt;&gt;"",IF(B513&lt;=0,"สินค้าหมด",IF(B513&lt;=C513,"ควรเติมทันที","OK")),"")),)</f>
        <v/>
      </c>
      <c r="F513" s="24" t="str">
        <f>IFERROR(IF(A513&lt;&gt;"", SUMIF('💸 Transaction ซื้อ'!B:B,A513,'💸 Transaction ซื้อ'!G:G)/SUMIF('💸 Transaction ซื้อ'!B:B,A513,'💸 Transaction ซื้อ'!E:E),""),"-")</f>
        <v/>
      </c>
      <c r="G513" s="24" t="str">
        <f t="shared" si="1"/>
        <v/>
      </c>
      <c r="H513" s="25"/>
      <c r="I513" s="26"/>
      <c r="J513" s="26"/>
      <c r="K513" s="27" t="str">
        <f>IF(A513&lt;&gt;"",IF(E513="InActive","-",SUMIFS('💰 Transaction ขาย'!E:E,'💰 Transaction ขาย'!B:B,A513,'💰 Transaction ขาย'!A:A,"&gt;"&amp;'⚙️ Config'!$H$1-'⚙️ Config'!$H$2)),)</f>
        <v/>
      </c>
      <c r="L513" s="28" t="str">
        <f>IF(E513="InActive","-",IF(A513&lt;&gt;"",K513/'⚙️ Config'!$H$2,))</f>
        <v/>
      </c>
      <c r="M513" s="28" t="str">
        <f t="shared" si="2"/>
        <v/>
      </c>
      <c r="N513" s="28" t="str">
        <f>IF(A513&lt;&gt;"", SUMIFS('💰 Transaction ขาย'!F:F,'💰 Transaction ขาย'!B:B,A513,'💰 Transaction ขาย'!A:A,"&gt;="&amp;DATE(YEAR('⚙️ Config'!$H$1),1,1),'💰 Transaction ขาย'!A:A,"&lt;="&amp;DATE(YEAR('⚙️ Config'!$H$1),12,31)),)</f>
        <v/>
      </c>
    </row>
    <row r="514">
      <c r="A514" s="22"/>
      <c r="B514" s="22" t="str">
        <f>IF(A514&lt;&gt;"",SUMIFS('💸 Transaction ซื้อ'!E:E,'💸 Transaction ซื้อ'!B:B,A514)-SUMIFS('💰 Transaction ขาย'!E:E,'💰 Transaction ขาย'!B:B,A514),"")</f>
        <v/>
      </c>
      <c r="C514" s="23" t="str">
        <f>IF(A514&lt;&gt;"",vlookup(A514,'📦 ชื่อสินค้า'!A:E,5,false),"")</f>
        <v/>
      </c>
      <c r="D514" s="23" t="str">
        <f>IF(A514&lt;&gt;"",VLOOKUP(A514,'📦 ชื่อสินค้า'!A:F,6,false),"")</f>
        <v/>
      </c>
      <c r="E514" s="16" t="str">
        <f>IFERROR(IF(VLOOKUP(A514,'📦 ชื่อสินค้า'!A:G,7,false)="InActive","InActive",IF(A514&lt;&gt;"",IF(B514&lt;=0,"สินค้าหมด",IF(B514&lt;=C514,"ควรเติมทันที","OK")),"")),)</f>
        <v/>
      </c>
      <c r="F514" s="24" t="str">
        <f>IFERROR(IF(A514&lt;&gt;"", SUMIF('💸 Transaction ซื้อ'!B:B,A514,'💸 Transaction ซื้อ'!G:G)/SUMIF('💸 Transaction ซื้อ'!B:B,A514,'💸 Transaction ซื้อ'!E:E),""),"-")</f>
        <v/>
      </c>
      <c r="G514" s="24" t="str">
        <f t="shared" si="1"/>
        <v/>
      </c>
      <c r="H514" s="25"/>
      <c r="I514" s="26"/>
      <c r="J514" s="26"/>
      <c r="K514" s="27" t="str">
        <f>IF(A514&lt;&gt;"",IF(E514="InActive","-",SUMIFS('💰 Transaction ขาย'!E:E,'💰 Transaction ขาย'!B:B,A514,'💰 Transaction ขาย'!A:A,"&gt;"&amp;'⚙️ Config'!$H$1-'⚙️ Config'!$H$2)),)</f>
        <v/>
      </c>
      <c r="L514" s="28" t="str">
        <f>IF(E514="InActive","-",IF(A514&lt;&gt;"",K514/'⚙️ Config'!$H$2,))</f>
        <v/>
      </c>
      <c r="M514" s="28" t="str">
        <f t="shared" si="2"/>
        <v/>
      </c>
      <c r="N514" s="28" t="str">
        <f>IF(A514&lt;&gt;"", SUMIFS('💰 Transaction ขาย'!F:F,'💰 Transaction ขาย'!B:B,A514,'💰 Transaction ขาย'!A:A,"&gt;="&amp;DATE(YEAR('⚙️ Config'!$H$1),1,1),'💰 Transaction ขาย'!A:A,"&lt;="&amp;DATE(YEAR('⚙️ Config'!$H$1),12,31)),)</f>
        <v/>
      </c>
    </row>
    <row r="515">
      <c r="A515" s="22"/>
      <c r="B515" s="22" t="str">
        <f>IF(A515&lt;&gt;"",SUMIFS('💸 Transaction ซื้อ'!E:E,'💸 Transaction ซื้อ'!B:B,A515)-SUMIFS('💰 Transaction ขาย'!E:E,'💰 Transaction ขาย'!B:B,A515),"")</f>
        <v/>
      </c>
      <c r="C515" s="23" t="str">
        <f>IF(A515&lt;&gt;"",vlookup(A515,'📦 ชื่อสินค้า'!A:E,5,false),"")</f>
        <v/>
      </c>
      <c r="D515" s="23" t="str">
        <f>IF(A515&lt;&gt;"",VLOOKUP(A515,'📦 ชื่อสินค้า'!A:F,6,false),"")</f>
        <v/>
      </c>
      <c r="E515" s="16" t="str">
        <f>IFERROR(IF(VLOOKUP(A515,'📦 ชื่อสินค้า'!A:G,7,false)="InActive","InActive",IF(A515&lt;&gt;"",IF(B515&lt;=0,"สินค้าหมด",IF(B515&lt;=C515,"ควรเติมทันที","OK")),"")),)</f>
        <v/>
      </c>
      <c r="F515" s="24" t="str">
        <f>IFERROR(IF(A515&lt;&gt;"", SUMIF('💸 Transaction ซื้อ'!B:B,A515,'💸 Transaction ซื้อ'!G:G)/SUMIF('💸 Transaction ซื้อ'!B:B,A515,'💸 Transaction ซื้อ'!E:E),""),"-")</f>
        <v/>
      </c>
      <c r="G515" s="24" t="str">
        <f t="shared" si="1"/>
        <v/>
      </c>
      <c r="H515" s="25"/>
      <c r="I515" s="26"/>
      <c r="J515" s="26"/>
      <c r="K515" s="27" t="str">
        <f>IF(A515&lt;&gt;"",IF(E515="InActive","-",SUMIFS('💰 Transaction ขาย'!E:E,'💰 Transaction ขาย'!B:B,A515,'💰 Transaction ขาย'!A:A,"&gt;"&amp;'⚙️ Config'!$H$1-'⚙️ Config'!$H$2)),)</f>
        <v/>
      </c>
      <c r="L515" s="28" t="str">
        <f>IF(E515="InActive","-",IF(A515&lt;&gt;"",K515/'⚙️ Config'!$H$2,))</f>
        <v/>
      </c>
      <c r="M515" s="28" t="str">
        <f t="shared" si="2"/>
        <v/>
      </c>
      <c r="N515" s="28" t="str">
        <f>IF(A515&lt;&gt;"", SUMIFS('💰 Transaction ขาย'!F:F,'💰 Transaction ขาย'!B:B,A515,'💰 Transaction ขาย'!A:A,"&gt;="&amp;DATE(YEAR('⚙️ Config'!$H$1),1,1),'💰 Transaction ขาย'!A:A,"&lt;="&amp;DATE(YEAR('⚙️ Config'!$H$1),12,31)),)</f>
        <v/>
      </c>
    </row>
    <row r="516">
      <c r="A516" s="22"/>
      <c r="B516" s="22" t="str">
        <f>IF(A516&lt;&gt;"",SUMIFS('💸 Transaction ซื้อ'!E:E,'💸 Transaction ซื้อ'!B:B,A516)-SUMIFS('💰 Transaction ขาย'!E:E,'💰 Transaction ขาย'!B:B,A516),"")</f>
        <v/>
      </c>
      <c r="C516" s="23" t="str">
        <f>IF(A516&lt;&gt;"",vlookup(A516,'📦 ชื่อสินค้า'!A:E,5,false),"")</f>
        <v/>
      </c>
      <c r="D516" s="23" t="str">
        <f>IF(A516&lt;&gt;"",VLOOKUP(A516,'📦 ชื่อสินค้า'!A:F,6,false),"")</f>
        <v/>
      </c>
      <c r="E516" s="16" t="str">
        <f>IFERROR(IF(VLOOKUP(A516,'📦 ชื่อสินค้า'!A:G,7,false)="InActive","InActive",IF(A516&lt;&gt;"",IF(B516&lt;=0,"สินค้าหมด",IF(B516&lt;=C516,"ควรเติมทันที","OK")),"")),)</f>
        <v/>
      </c>
      <c r="F516" s="24" t="str">
        <f>IFERROR(IF(A516&lt;&gt;"", SUMIF('💸 Transaction ซื้อ'!B:B,A516,'💸 Transaction ซื้อ'!G:G)/SUMIF('💸 Transaction ซื้อ'!B:B,A516,'💸 Transaction ซื้อ'!E:E),""),"-")</f>
        <v/>
      </c>
      <c r="G516" s="24" t="str">
        <f t="shared" si="1"/>
        <v/>
      </c>
      <c r="H516" s="25"/>
      <c r="I516" s="26"/>
      <c r="J516" s="26"/>
      <c r="K516" s="27" t="str">
        <f>IF(A516&lt;&gt;"",IF(E516="InActive","-",SUMIFS('💰 Transaction ขาย'!E:E,'💰 Transaction ขาย'!B:B,A516,'💰 Transaction ขาย'!A:A,"&gt;"&amp;'⚙️ Config'!$H$1-'⚙️ Config'!$H$2)),)</f>
        <v/>
      </c>
      <c r="L516" s="28" t="str">
        <f>IF(E516="InActive","-",IF(A516&lt;&gt;"",K516/'⚙️ Config'!$H$2,))</f>
        <v/>
      </c>
      <c r="M516" s="28" t="str">
        <f t="shared" si="2"/>
        <v/>
      </c>
      <c r="N516" s="28" t="str">
        <f>IF(A516&lt;&gt;"", SUMIFS('💰 Transaction ขาย'!F:F,'💰 Transaction ขาย'!B:B,A516,'💰 Transaction ขาย'!A:A,"&gt;="&amp;DATE(YEAR('⚙️ Config'!$H$1),1,1),'💰 Transaction ขาย'!A:A,"&lt;="&amp;DATE(YEAR('⚙️ Config'!$H$1),12,31)),)</f>
        <v/>
      </c>
    </row>
    <row r="517">
      <c r="A517" s="22"/>
      <c r="B517" s="22" t="str">
        <f>IF(A517&lt;&gt;"",SUMIFS('💸 Transaction ซื้อ'!E:E,'💸 Transaction ซื้อ'!B:B,A517)-SUMIFS('💰 Transaction ขาย'!E:E,'💰 Transaction ขาย'!B:B,A517),"")</f>
        <v/>
      </c>
      <c r="C517" s="23" t="str">
        <f>IF(A517&lt;&gt;"",vlookup(A517,'📦 ชื่อสินค้า'!A:E,5,false),"")</f>
        <v/>
      </c>
      <c r="D517" s="23" t="str">
        <f>IF(A517&lt;&gt;"",VLOOKUP(A517,'📦 ชื่อสินค้า'!A:F,6,false),"")</f>
        <v/>
      </c>
      <c r="E517" s="16" t="str">
        <f>IFERROR(IF(VLOOKUP(A517,'📦 ชื่อสินค้า'!A:G,7,false)="InActive","InActive",IF(A517&lt;&gt;"",IF(B517&lt;=0,"สินค้าหมด",IF(B517&lt;=C517,"ควรเติมทันที","OK")),"")),)</f>
        <v/>
      </c>
      <c r="F517" s="24" t="str">
        <f>IFERROR(IF(A517&lt;&gt;"", SUMIF('💸 Transaction ซื้อ'!B:B,A517,'💸 Transaction ซื้อ'!G:G)/SUMIF('💸 Transaction ซื้อ'!B:B,A517,'💸 Transaction ซื้อ'!E:E),""),"-")</f>
        <v/>
      </c>
      <c r="G517" s="24" t="str">
        <f t="shared" si="1"/>
        <v/>
      </c>
      <c r="H517" s="25"/>
      <c r="I517" s="26"/>
      <c r="J517" s="26"/>
      <c r="K517" s="27" t="str">
        <f>IF(A517&lt;&gt;"",IF(E517="InActive","-",SUMIFS('💰 Transaction ขาย'!E:E,'💰 Transaction ขาย'!B:B,A517,'💰 Transaction ขาย'!A:A,"&gt;"&amp;'⚙️ Config'!$H$1-'⚙️ Config'!$H$2)),)</f>
        <v/>
      </c>
      <c r="L517" s="28" t="str">
        <f>IF(E517="InActive","-",IF(A517&lt;&gt;"",K517/'⚙️ Config'!$H$2,))</f>
        <v/>
      </c>
      <c r="M517" s="28" t="str">
        <f t="shared" si="2"/>
        <v/>
      </c>
      <c r="N517" s="28" t="str">
        <f>IF(A517&lt;&gt;"", SUMIFS('💰 Transaction ขาย'!F:F,'💰 Transaction ขาย'!B:B,A517,'💰 Transaction ขาย'!A:A,"&gt;="&amp;DATE(YEAR('⚙️ Config'!$H$1),1,1),'💰 Transaction ขาย'!A:A,"&lt;="&amp;DATE(YEAR('⚙️ Config'!$H$1),12,31)),)</f>
        <v/>
      </c>
    </row>
    <row r="518">
      <c r="A518" s="22"/>
      <c r="B518" s="22" t="str">
        <f>IF(A518&lt;&gt;"",SUMIFS('💸 Transaction ซื้อ'!E:E,'💸 Transaction ซื้อ'!B:B,A518)-SUMIFS('💰 Transaction ขาย'!E:E,'💰 Transaction ขาย'!B:B,A518),"")</f>
        <v/>
      </c>
      <c r="C518" s="23" t="str">
        <f>IF(A518&lt;&gt;"",vlookup(A518,'📦 ชื่อสินค้า'!A:E,5,false),"")</f>
        <v/>
      </c>
      <c r="D518" s="23" t="str">
        <f>IF(A518&lt;&gt;"",VLOOKUP(A518,'📦 ชื่อสินค้า'!A:F,6,false),"")</f>
        <v/>
      </c>
      <c r="E518" s="16" t="str">
        <f>IFERROR(IF(VLOOKUP(A518,'📦 ชื่อสินค้า'!A:G,7,false)="InActive","InActive",IF(A518&lt;&gt;"",IF(B518&lt;=0,"สินค้าหมด",IF(B518&lt;=C518,"ควรเติมทันที","OK")),"")),)</f>
        <v/>
      </c>
      <c r="F518" s="24" t="str">
        <f>IFERROR(IF(A518&lt;&gt;"", SUMIF('💸 Transaction ซื้อ'!B:B,A518,'💸 Transaction ซื้อ'!G:G)/SUMIF('💸 Transaction ซื้อ'!B:B,A518,'💸 Transaction ซื้อ'!E:E),""),"-")</f>
        <v/>
      </c>
      <c r="G518" s="24" t="str">
        <f t="shared" si="1"/>
        <v/>
      </c>
      <c r="H518" s="25"/>
      <c r="I518" s="26"/>
      <c r="J518" s="26"/>
      <c r="K518" s="27" t="str">
        <f>IF(A518&lt;&gt;"",IF(E518="InActive","-",SUMIFS('💰 Transaction ขาย'!E:E,'💰 Transaction ขาย'!B:B,A518,'💰 Transaction ขาย'!A:A,"&gt;"&amp;'⚙️ Config'!$H$1-'⚙️ Config'!$H$2)),)</f>
        <v/>
      </c>
      <c r="L518" s="28" t="str">
        <f>IF(E518="InActive","-",IF(A518&lt;&gt;"",K518/'⚙️ Config'!$H$2,))</f>
        <v/>
      </c>
      <c r="M518" s="28" t="str">
        <f t="shared" si="2"/>
        <v/>
      </c>
      <c r="N518" s="28" t="str">
        <f>IF(A518&lt;&gt;"", SUMIFS('💰 Transaction ขาย'!F:F,'💰 Transaction ขาย'!B:B,A518,'💰 Transaction ขาย'!A:A,"&gt;="&amp;DATE(YEAR('⚙️ Config'!$H$1),1,1),'💰 Transaction ขาย'!A:A,"&lt;="&amp;DATE(YEAR('⚙️ Config'!$H$1),12,31)),)</f>
        <v/>
      </c>
    </row>
    <row r="519">
      <c r="A519" s="22"/>
      <c r="B519" s="22" t="str">
        <f>IF(A519&lt;&gt;"",SUMIFS('💸 Transaction ซื้อ'!E:E,'💸 Transaction ซื้อ'!B:B,A519)-SUMIFS('💰 Transaction ขาย'!E:E,'💰 Transaction ขาย'!B:B,A519),"")</f>
        <v/>
      </c>
      <c r="C519" s="23" t="str">
        <f>IF(A519&lt;&gt;"",vlookup(A519,'📦 ชื่อสินค้า'!A:E,5,false),"")</f>
        <v/>
      </c>
      <c r="D519" s="23" t="str">
        <f>IF(A519&lt;&gt;"",VLOOKUP(A519,'📦 ชื่อสินค้า'!A:F,6,false),"")</f>
        <v/>
      </c>
      <c r="E519" s="16" t="str">
        <f>IFERROR(IF(VLOOKUP(A519,'📦 ชื่อสินค้า'!A:G,7,false)="InActive","InActive",IF(A519&lt;&gt;"",IF(B519&lt;=0,"สินค้าหมด",IF(B519&lt;=C519,"ควรเติมทันที","OK")),"")),)</f>
        <v/>
      </c>
      <c r="F519" s="24" t="str">
        <f>IFERROR(IF(A519&lt;&gt;"", SUMIF('💸 Transaction ซื้อ'!B:B,A519,'💸 Transaction ซื้อ'!G:G)/SUMIF('💸 Transaction ซื้อ'!B:B,A519,'💸 Transaction ซื้อ'!E:E),""),"-")</f>
        <v/>
      </c>
      <c r="G519" s="24" t="str">
        <f t="shared" si="1"/>
        <v/>
      </c>
      <c r="H519" s="25"/>
      <c r="I519" s="26"/>
      <c r="J519" s="26"/>
      <c r="K519" s="27" t="str">
        <f>IF(A519&lt;&gt;"",IF(E519="InActive","-",SUMIFS('💰 Transaction ขาย'!E:E,'💰 Transaction ขาย'!B:B,A519,'💰 Transaction ขาย'!A:A,"&gt;"&amp;'⚙️ Config'!$H$1-'⚙️ Config'!$H$2)),)</f>
        <v/>
      </c>
      <c r="L519" s="28" t="str">
        <f>IF(E519="InActive","-",IF(A519&lt;&gt;"",K519/'⚙️ Config'!$H$2,))</f>
        <v/>
      </c>
      <c r="M519" s="28" t="str">
        <f t="shared" si="2"/>
        <v/>
      </c>
      <c r="N519" s="28" t="str">
        <f>IF(A519&lt;&gt;"", SUMIFS('💰 Transaction ขาย'!F:F,'💰 Transaction ขาย'!B:B,A519,'💰 Transaction ขาย'!A:A,"&gt;="&amp;DATE(YEAR('⚙️ Config'!$H$1),1,1),'💰 Transaction ขาย'!A:A,"&lt;="&amp;DATE(YEAR('⚙️ Config'!$H$1),12,31)),)</f>
        <v/>
      </c>
    </row>
    <row r="520">
      <c r="A520" s="22"/>
      <c r="B520" s="22" t="str">
        <f>IF(A520&lt;&gt;"",SUMIFS('💸 Transaction ซื้อ'!E:E,'💸 Transaction ซื้อ'!B:B,A520)-SUMIFS('💰 Transaction ขาย'!E:E,'💰 Transaction ขาย'!B:B,A520),"")</f>
        <v/>
      </c>
      <c r="C520" s="23" t="str">
        <f>IF(A520&lt;&gt;"",vlookup(A520,'📦 ชื่อสินค้า'!A:E,5,false),"")</f>
        <v/>
      </c>
      <c r="D520" s="23" t="str">
        <f>IF(A520&lt;&gt;"",VLOOKUP(A520,'📦 ชื่อสินค้า'!A:F,6,false),"")</f>
        <v/>
      </c>
      <c r="E520" s="16" t="str">
        <f>IFERROR(IF(VLOOKUP(A520,'📦 ชื่อสินค้า'!A:G,7,false)="InActive","InActive",IF(A520&lt;&gt;"",IF(B520&lt;=0,"สินค้าหมด",IF(B520&lt;=C520,"ควรเติมทันที","OK")),"")),)</f>
        <v/>
      </c>
      <c r="F520" s="24" t="str">
        <f>IFERROR(IF(A520&lt;&gt;"", SUMIF('💸 Transaction ซื้อ'!B:B,A520,'💸 Transaction ซื้อ'!G:G)/SUMIF('💸 Transaction ซื้อ'!B:B,A520,'💸 Transaction ซื้อ'!E:E),""),"-")</f>
        <v/>
      </c>
      <c r="G520" s="24" t="str">
        <f t="shared" si="1"/>
        <v/>
      </c>
      <c r="H520" s="25"/>
      <c r="I520" s="26"/>
      <c r="J520" s="26"/>
      <c r="K520" s="27" t="str">
        <f>IF(A520&lt;&gt;"",IF(E520="InActive","-",SUMIFS('💰 Transaction ขาย'!E:E,'💰 Transaction ขาย'!B:B,A520,'💰 Transaction ขาย'!A:A,"&gt;"&amp;'⚙️ Config'!$H$1-'⚙️ Config'!$H$2)),)</f>
        <v/>
      </c>
      <c r="L520" s="28" t="str">
        <f>IF(E520="InActive","-",IF(A520&lt;&gt;"",K520/'⚙️ Config'!$H$2,))</f>
        <v/>
      </c>
      <c r="M520" s="28" t="str">
        <f t="shared" si="2"/>
        <v/>
      </c>
      <c r="N520" s="28" t="str">
        <f>IF(A520&lt;&gt;"", SUMIFS('💰 Transaction ขาย'!F:F,'💰 Transaction ขาย'!B:B,A520,'💰 Transaction ขาย'!A:A,"&gt;="&amp;DATE(YEAR('⚙️ Config'!$H$1),1,1),'💰 Transaction ขาย'!A:A,"&lt;="&amp;DATE(YEAR('⚙️ Config'!$H$1),12,31)),)</f>
        <v/>
      </c>
    </row>
    <row r="521">
      <c r="A521" s="22"/>
      <c r="B521" s="22" t="str">
        <f>IF(A521&lt;&gt;"",SUMIFS('💸 Transaction ซื้อ'!E:E,'💸 Transaction ซื้อ'!B:B,A521)-SUMIFS('💰 Transaction ขาย'!E:E,'💰 Transaction ขาย'!B:B,A521),"")</f>
        <v/>
      </c>
      <c r="C521" s="23" t="str">
        <f>IF(A521&lt;&gt;"",vlookup(A521,'📦 ชื่อสินค้า'!A:E,5,false),"")</f>
        <v/>
      </c>
      <c r="D521" s="23" t="str">
        <f>IF(A521&lt;&gt;"",VLOOKUP(A521,'📦 ชื่อสินค้า'!A:F,6,false),"")</f>
        <v/>
      </c>
      <c r="E521" s="16" t="str">
        <f>IFERROR(IF(VLOOKUP(A521,'📦 ชื่อสินค้า'!A:G,7,false)="InActive","InActive",IF(A521&lt;&gt;"",IF(B521&lt;=0,"สินค้าหมด",IF(B521&lt;=C521,"ควรเติมทันที","OK")),"")),)</f>
        <v/>
      </c>
      <c r="F521" s="24" t="str">
        <f>IFERROR(IF(A521&lt;&gt;"", SUMIF('💸 Transaction ซื้อ'!B:B,A521,'💸 Transaction ซื้อ'!G:G)/SUMIF('💸 Transaction ซื้อ'!B:B,A521,'💸 Transaction ซื้อ'!E:E),""),"-")</f>
        <v/>
      </c>
      <c r="G521" s="24" t="str">
        <f t="shared" si="1"/>
        <v/>
      </c>
      <c r="H521" s="25"/>
      <c r="I521" s="26"/>
      <c r="J521" s="26"/>
      <c r="K521" s="27" t="str">
        <f>IF(A521&lt;&gt;"",IF(E521="InActive","-",SUMIFS('💰 Transaction ขาย'!E:E,'💰 Transaction ขาย'!B:B,A521,'💰 Transaction ขาย'!A:A,"&gt;"&amp;'⚙️ Config'!$H$1-'⚙️ Config'!$H$2)),)</f>
        <v/>
      </c>
      <c r="L521" s="28" t="str">
        <f>IF(E521="InActive","-",IF(A521&lt;&gt;"",K521/'⚙️ Config'!$H$2,))</f>
        <v/>
      </c>
      <c r="M521" s="28" t="str">
        <f t="shared" si="2"/>
        <v/>
      </c>
      <c r="N521" s="28" t="str">
        <f>IF(A521&lt;&gt;"", SUMIFS('💰 Transaction ขาย'!F:F,'💰 Transaction ขาย'!B:B,A521,'💰 Transaction ขาย'!A:A,"&gt;="&amp;DATE(YEAR('⚙️ Config'!$H$1),1,1),'💰 Transaction ขาย'!A:A,"&lt;="&amp;DATE(YEAR('⚙️ Config'!$H$1),12,31)),)</f>
        <v/>
      </c>
    </row>
    <row r="522">
      <c r="A522" s="22"/>
      <c r="B522" s="22" t="str">
        <f>IF(A522&lt;&gt;"",SUMIFS('💸 Transaction ซื้อ'!E:E,'💸 Transaction ซื้อ'!B:B,A522)-SUMIFS('💰 Transaction ขาย'!E:E,'💰 Transaction ขาย'!B:B,A522),"")</f>
        <v/>
      </c>
      <c r="C522" s="23" t="str">
        <f>IF(A522&lt;&gt;"",vlookup(A522,'📦 ชื่อสินค้า'!A:E,5,false),"")</f>
        <v/>
      </c>
      <c r="D522" s="23" t="str">
        <f>IF(A522&lt;&gt;"",VLOOKUP(A522,'📦 ชื่อสินค้า'!A:F,6,false),"")</f>
        <v/>
      </c>
      <c r="E522" s="16" t="str">
        <f>IFERROR(IF(VLOOKUP(A522,'📦 ชื่อสินค้า'!A:G,7,false)="InActive","InActive",IF(A522&lt;&gt;"",IF(B522&lt;=0,"สินค้าหมด",IF(B522&lt;=C522,"ควรเติมทันที","OK")),"")),)</f>
        <v/>
      </c>
      <c r="F522" s="24" t="str">
        <f>IFERROR(IF(A522&lt;&gt;"", SUMIF('💸 Transaction ซื้อ'!B:B,A522,'💸 Transaction ซื้อ'!G:G)/SUMIF('💸 Transaction ซื้อ'!B:B,A522,'💸 Transaction ซื้อ'!E:E),""),"-")</f>
        <v/>
      </c>
      <c r="G522" s="24" t="str">
        <f t="shared" si="1"/>
        <v/>
      </c>
      <c r="H522" s="25"/>
      <c r="I522" s="26"/>
      <c r="J522" s="26"/>
      <c r="K522" s="27" t="str">
        <f>IF(A522&lt;&gt;"",IF(E522="InActive","-",SUMIFS('💰 Transaction ขาย'!E:E,'💰 Transaction ขาย'!B:B,A522,'💰 Transaction ขาย'!A:A,"&gt;"&amp;'⚙️ Config'!$H$1-'⚙️ Config'!$H$2)),)</f>
        <v/>
      </c>
      <c r="L522" s="28" t="str">
        <f>IF(E522="InActive","-",IF(A522&lt;&gt;"",K522/'⚙️ Config'!$H$2,))</f>
        <v/>
      </c>
      <c r="M522" s="28" t="str">
        <f t="shared" si="2"/>
        <v/>
      </c>
      <c r="N522" s="28" t="str">
        <f>IF(A522&lt;&gt;"", SUMIFS('💰 Transaction ขาย'!F:F,'💰 Transaction ขาย'!B:B,A522,'💰 Transaction ขาย'!A:A,"&gt;="&amp;DATE(YEAR('⚙️ Config'!$H$1),1,1),'💰 Transaction ขาย'!A:A,"&lt;="&amp;DATE(YEAR('⚙️ Config'!$H$1),12,31)),)</f>
        <v/>
      </c>
    </row>
    <row r="523">
      <c r="A523" s="22"/>
      <c r="B523" s="22" t="str">
        <f>IF(A523&lt;&gt;"",SUMIFS('💸 Transaction ซื้อ'!E:E,'💸 Transaction ซื้อ'!B:B,A523)-SUMIFS('💰 Transaction ขาย'!E:E,'💰 Transaction ขาย'!B:B,A523),"")</f>
        <v/>
      </c>
      <c r="C523" s="23" t="str">
        <f>IF(A523&lt;&gt;"",vlookup(A523,'📦 ชื่อสินค้า'!A:E,5,false),"")</f>
        <v/>
      </c>
      <c r="D523" s="23" t="str">
        <f>IF(A523&lt;&gt;"",VLOOKUP(A523,'📦 ชื่อสินค้า'!A:F,6,false),"")</f>
        <v/>
      </c>
      <c r="E523" s="16" t="str">
        <f>IFERROR(IF(VLOOKUP(A523,'📦 ชื่อสินค้า'!A:G,7,false)="InActive","InActive",IF(A523&lt;&gt;"",IF(B523&lt;=0,"สินค้าหมด",IF(B523&lt;=C523,"ควรเติมทันที","OK")),"")),)</f>
        <v/>
      </c>
      <c r="F523" s="24" t="str">
        <f>IFERROR(IF(A523&lt;&gt;"", SUMIF('💸 Transaction ซื้อ'!B:B,A523,'💸 Transaction ซื้อ'!G:G)/SUMIF('💸 Transaction ซื้อ'!B:B,A523,'💸 Transaction ซื้อ'!E:E),""),"-")</f>
        <v/>
      </c>
      <c r="G523" s="24" t="str">
        <f t="shared" si="1"/>
        <v/>
      </c>
      <c r="H523" s="25"/>
      <c r="I523" s="26"/>
      <c r="J523" s="26"/>
      <c r="K523" s="27" t="str">
        <f>IF(A523&lt;&gt;"",IF(E523="InActive","-",SUMIFS('💰 Transaction ขาย'!E:E,'💰 Transaction ขาย'!B:B,A523,'💰 Transaction ขาย'!A:A,"&gt;"&amp;'⚙️ Config'!$H$1-'⚙️ Config'!$H$2)),)</f>
        <v/>
      </c>
      <c r="L523" s="28" t="str">
        <f>IF(E523="InActive","-",IF(A523&lt;&gt;"",K523/'⚙️ Config'!$H$2,))</f>
        <v/>
      </c>
      <c r="M523" s="28" t="str">
        <f t="shared" si="2"/>
        <v/>
      </c>
      <c r="N523" s="28" t="str">
        <f>IF(A523&lt;&gt;"", SUMIFS('💰 Transaction ขาย'!F:F,'💰 Transaction ขาย'!B:B,A523,'💰 Transaction ขาย'!A:A,"&gt;="&amp;DATE(YEAR('⚙️ Config'!$H$1),1,1),'💰 Transaction ขาย'!A:A,"&lt;="&amp;DATE(YEAR('⚙️ Config'!$H$1),12,31)),)</f>
        <v/>
      </c>
    </row>
    <row r="524">
      <c r="A524" s="22"/>
      <c r="B524" s="22" t="str">
        <f>IF(A524&lt;&gt;"",SUMIFS('💸 Transaction ซื้อ'!E:E,'💸 Transaction ซื้อ'!B:B,A524)-SUMIFS('💰 Transaction ขาย'!E:E,'💰 Transaction ขาย'!B:B,A524),"")</f>
        <v/>
      </c>
      <c r="C524" s="23" t="str">
        <f>IF(A524&lt;&gt;"",vlookup(A524,'📦 ชื่อสินค้า'!A:E,5,false),"")</f>
        <v/>
      </c>
      <c r="D524" s="23" t="str">
        <f>IF(A524&lt;&gt;"",VLOOKUP(A524,'📦 ชื่อสินค้า'!A:F,6,false),"")</f>
        <v/>
      </c>
      <c r="E524" s="16" t="str">
        <f>IFERROR(IF(VLOOKUP(A524,'📦 ชื่อสินค้า'!A:G,7,false)="InActive","InActive",IF(A524&lt;&gt;"",IF(B524&lt;=0,"สินค้าหมด",IF(B524&lt;=C524,"ควรเติมทันที","OK")),"")),)</f>
        <v/>
      </c>
      <c r="F524" s="24" t="str">
        <f>IFERROR(IF(A524&lt;&gt;"", SUMIF('💸 Transaction ซื้อ'!B:B,A524,'💸 Transaction ซื้อ'!G:G)/SUMIF('💸 Transaction ซื้อ'!B:B,A524,'💸 Transaction ซื้อ'!E:E),""),"-")</f>
        <v/>
      </c>
      <c r="G524" s="24" t="str">
        <f t="shared" si="1"/>
        <v/>
      </c>
      <c r="H524" s="25"/>
      <c r="I524" s="26"/>
      <c r="J524" s="26"/>
      <c r="K524" s="27" t="str">
        <f>IF(A524&lt;&gt;"",IF(E524="InActive","-",SUMIFS('💰 Transaction ขาย'!E:E,'💰 Transaction ขาย'!B:B,A524,'💰 Transaction ขาย'!A:A,"&gt;"&amp;'⚙️ Config'!$H$1-'⚙️ Config'!$H$2)),)</f>
        <v/>
      </c>
      <c r="L524" s="28" t="str">
        <f>IF(E524="InActive","-",IF(A524&lt;&gt;"",K524/'⚙️ Config'!$H$2,))</f>
        <v/>
      </c>
      <c r="M524" s="28" t="str">
        <f t="shared" si="2"/>
        <v/>
      </c>
      <c r="N524" s="28" t="str">
        <f>IF(A524&lt;&gt;"", SUMIFS('💰 Transaction ขาย'!F:F,'💰 Transaction ขาย'!B:B,A524,'💰 Transaction ขาย'!A:A,"&gt;="&amp;DATE(YEAR('⚙️ Config'!$H$1),1,1),'💰 Transaction ขาย'!A:A,"&lt;="&amp;DATE(YEAR('⚙️ Config'!$H$1),12,31)),)</f>
        <v/>
      </c>
    </row>
    <row r="525">
      <c r="A525" s="22"/>
      <c r="B525" s="22" t="str">
        <f>IF(A525&lt;&gt;"",SUMIFS('💸 Transaction ซื้อ'!E:E,'💸 Transaction ซื้อ'!B:B,A525)-SUMIFS('💰 Transaction ขาย'!E:E,'💰 Transaction ขาย'!B:B,A525),"")</f>
        <v/>
      </c>
      <c r="C525" s="23" t="str">
        <f>IF(A525&lt;&gt;"",vlookup(A525,'📦 ชื่อสินค้า'!A:E,5,false),"")</f>
        <v/>
      </c>
      <c r="D525" s="23" t="str">
        <f>IF(A525&lt;&gt;"",VLOOKUP(A525,'📦 ชื่อสินค้า'!A:F,6,false),"")</f>
        <v/>
      </c>
      <c r="E525" s="16" t="str">
        <f>IFERROR(IF(VLOOKUP(A525,'📦 ชื่อสินค้า'!A:G,7,false)="InActive","InActive",IF(A525&lt;&gt;"",IF(B525&lt;=0,"สินค้าหมด",IF(B525&lt;=C525,"ควรเติมทันที","OK")),"")),)</f>
        <v/>
      </c>
      <c r="F525" s="24" t="str">
        <f>IFERROR(IF(A525&lt;&gt;"", SUMIF('💸 Transaction ซื้อ'!B:B,A525,'💸 Transaction ซื้อ'!G:G)/SUMIF('💸 Transaction ซื้อ'!B:B,A525,'💸 Transaction ซื้อ'!E:E),""),"-")</f>
        <v/>
      </c>
      <c r="G525" s="24" t="str">
        <f t="shared" si="1"/>
        <v/>
      </c>
      <c r="H525" s="25"/>
      <c r="I525" s="26"/>
      <c r="J525" s="26"/>
      <c r="K525" s="27" t="str">
        <f>IF(A525&lt;&gt;"",IF(E525="InActive","-",SUMIFS('💰 Transaction ขาย'!E:E,'💰 Transaction ขาย'!B:B,A525,'💰 Transaction ขาย'!A:A,"&gt;"&amp;'⚙️ Config'!$H$1-'⚙️ Config'!$H$2)),)</f>
        <v/>
      </c>
      <c r="L525" s="28" t="str">
        <f>IF(E525="InActive","-",IF(A525&lt;&gt;"",K525/'⚙️ Config'!$H$2,))</f>
        <v/>
      </c>
      <c r="M525" s="28" t="str">
        <f t="shared" si="2"/>
        <v/>
      </c>
      <c r="N525" s="28" t="str">
        <f>IF(A525&lt;&gt;"", SUMIFS('💰 Transaction ขาย'!F:F,'💰 Transaction ขาย'!B:B,A525,'💰 Transaction ขาย'!A:A,"&gt;="&amp;DATE(YEAR('⚙️ Config'!$H$1),1,1),'💰 Transaction ขาย'!A:A,"&lt;="&amp;DATE(YEAR('⚙️ Config'!$H$1),12,31)),)</f>
        <v/>
      </c>
    </row>
    <row r="526">
      <c r="A526" s="22"/>
      <c r="B526" s="22" t="str">
        <f>IF(A526&lt;&gt;"",SUMIFS('💸 Transaction ซื้อ'!E:E,'💸 Transaction ซื้อ'!B:B,A526)-SUMIFS('💰 Transaction ขาย'!E:E,'💰 Transaction ขาย'!B:B,A526),"")</f>
        <v/>
      </c>
      <c r="C526" s="23" t="str">
        <f>IF(A526&lt;&gt;"",vlookup(A526,'📦 ชื่อสินค้า'!A:E,5,false),"")</f>
        <v/>
      </c>
      <c r="D526" s="23" t="str">
        <f>IF(A526&lt;&gt;"",VLOOKUP(A526,'📦 ชื่อสินค้า'!A:F,6,false),"")</f>
        <v/>
      </c>
      <c r="E526" s="16" t="str">
        <f>IFERROR(IF(VLOOKUP(A526,'📦 ชื่อสินค้า'!A:G,7,false)="InActive","InActive",IF(A526&lt;&gt;"",IF(B526&lt;=0,"สินค้าหมด",IF(B526&lt;=C526,"ควรเติมทันที","OK")),"")),)</f>
        <v/>
      </c>
      <c r="F526" s="24" t="str">
        <f>IFERROR(IF(A526&lt;&gt;"", SUMIF('💸 Transaction ซื้อ'!B:B,A526,'💸 Transaction ซื้อ'!G:G)/SUMIF('💸 Transaction ซื้อ'!B:B,A526,'💸 Transaction ซื้อ'!E:E),""),"-")</f>
        <v/>
      </c>
      <c r="G526" s="24" t="str">
        <f t="shared" si="1"/>
        <v/>
      </c>
      <c r="H526" s="25"/>
      <c r="I526" s="26"/>
      <c r="J526" s="26"/>
      <c r="K526" s="27" t="str">
        <f>IF(A526&lt;&gt;"",IF(E526="InActive","-",SUMIFS('💰 Transaction ขาย'!E:E,'💰 Transaction ขาย'!B:B,A526,'💰 Transaction ขาย'!A:A,"&gt;"&amp;'⚙️ Config'!$H$1-'⚙️ Config'!$H$2)),)</f>
        <v/>
      </c>
      <c r="L526" s="28" t="str">
        <f>IF(E526="InActive","-",IF(A526&lt;&gt;"",K526/'⚙️ Config'!$H$2,))</f>
        <v/>
      </c>
      <c r="M526" s="28" t="str">
        <f t="shared" si="2"/>
        <v/>
      </c>
      <c r="N526" s="28" t="str">
        <f>IF(A526&lt;&gt;"", SUMIFS('💰 Transaction ขาย'!F:F,'💰 Transaction ขาย'!B:B,A526,'💰 Transaction ขาย'!A:A,"&gt;="&amp;DATE(YEAR('⚙️ Config'!$H$1),1,1),'💰 Transaction ขาย'!A:A,"&lt;="&amp;DATE(YEAR('⚙️ Config'!$H$1),12,31)),)</f>
        <v/>
      </c>
    </row>
    <row r="527">
      <c r="A527" s="22"/>
      <c r="B527" s="22" t="str">
        <f>IF(A527&lt;&gt;"",SUMIFS('💸 Transaction ซื้อ'!E:E,'💸 Transaction ซื้อ'!B:B,A527)-SUMIFS('💰 Transaction ขาย'!E:E,'💰 Transaction ขาย'!B:B,A527),"")</f>
        <v/>
      </c>
      <c r="C527" s="23" t="str">
        <f>IF(A527&lt;&gt;"",vlookup(A527,'📦 ชื่อสินค้า'!A:E,5,false),"")</f>
        <v/>
      </c>
      <c r="D527" s="23" t="str">
        <f>IF(A527&lt;&gt;"",VLOOKUP(A527,'📦 ชื่อสินค้า'!A:F,6,false),"")</f>
        <v/>
      </c>
      <c r="E527" s="16" t="str">
        <f>IFERROR(IF(VLOOKUP(A527,'📦 ชื่อสินค้า'!A:G,7,false)="InActive","InActive",IF(A527&lt;&gt;"",IF(B527&lt;=0,"สินค้าหมด",IF(B527&lt;=C527,"ควรเติมทันที","OK")),"")),)</f>
        <v/>
      </c>
      <c r="F527" s="24" t="str">
        <f>IFERROR(IF(A527&lt;&gt;"", SUMIF('💸 Transaction ซื้อ'!B:B,A527,'💸 Transaction ซื้อ'!G:G)/SUMIF('💸 Transaction ซื้อ'!B:B,A527,'💸 Transaction ซื้อ'!E:E),""),"-")</f>
        <v/>
      </c>
      <c r="G527" s="24" t="str">
        <f t="shared" si="1"/>
        <v/>
      </c>
      <c r="H527" s="25"/>
      <c r="I527" s="26"/>
      <c r="J527" s="26"/>
      <c r="K527" s="27" t="str">
        <f>IF(A527&lt;&gt;"",IF(E527="InActive","-",SUMIFS('💰 Transaction ขาย'!E:E,'💰 Transaction ขาย'!B:B,A527,'💰 Transaction ขาย'!A:A,"&gt;"&amp;'⚙️ Config'!$H$1-'⚙️ Config'!$H$2)),)</f>
        <v/>
      </c>
      <c r="L527" s="28" t="str">
        <f>IF(E527="InActive","-",IF(A527&lt;&gt;"",K527/'⚙️ Config'!$H$2,))</f>
        <v/>
      </c>
      <c r="M527" s="28" t="str">
        <f t="shared" si="2"/>
        <v/>
      </c>
      <c r="N527" s="28" t="str">
        <f>IF(A527&lt;&gt;"", SUMIFS('💰 Transaction ขาย'!F:F,'💰 Transaction ขาย'!B:B,A527,'💰 Transaction ขาย'!A:A,"&gt;="&amp;DATE(YEAR('⚙️ Config'!$H$1),1,1),'💰 Transaction ขาย'!A:A,"&lt;="&amp;DATE(YEAR('⚙️ Config'!$H$1),12,31)),)</f>
        <v/>
      </c>
    </row>
    <row r="528">
      <c r="A528" s="22"/>
      <c r="B528" s="22" t="str">
        <f>IF(A528&lt;&gt;"",SUMIFS('💸 Transaction ซื้อ'!E:E,'💸 Transaction ซื้อ'!B:B,A528)-SUMIFS('💰 Transaction ขาย'!E:E,'💰 Transaction ขาย'!B:B,A528),"")</f>
        <v/>
      </c>
      <c r="C528" s="23" t="str">
        <f>IF(A528&lt;&gt;"",vlookup(A528,'📦 ชื่อสินค้า'!A:E,5,false),"")</f>
        <v/>
      </c>
      <c r="D528" s="23" t="str">
        <f>IF(A528&lt;&gt;"",VLOOKUP(A528,'📦 ชื่อสินค้า'!A:F,6,false),"")</f>
        <v/>
      </c>
      <c r="E528" s="16" t="str">
        <f>IFERROR(IF(VLOOKUP(A528,'📦 ชื่อสินค้า'!A:G,7,false)="InActive","InActive",IF(A528&lt;&gt;"",IF(B528&lt;=0,"สินค้าหมด",IF(B528&lt;=C528,"ควรเติมทันที","OK")),"")),)</f>
        <v/>
      </c>
      <c r="F528" s="24" t="str">
        <f>IFERROR(IF(A528&lt;&gt;"", SUMIF('💸 Transaction ซื้อ'!B:B,A528,'💸 Transaction ซื้อ'!G:G)/SUMIF('💸 Transaction ซื้อ'!B:B,A528,'💸 Transaction ซื้อ'!E:E),""),"-")</f>
        <v/>
      </c>
      <c r="G528" s="24" t="str">
        <f t="shared" si="1"/>
        <v/>
      </c>
      <c r="H528" s="25"/>
      <c r="I528" s="26"/>
      <c r="J528" s="26"/>
      <c r="K528" s="27" t="str">
        <f>IF(A528&lt;&gt;"",IF(E528="InActive","-",SUMIFS('💰 Transaction ขาย'!E:E,'💰 Transaction ขาย'!B:B,A528,'💰 Transaction ขาย'!A:A,"&gt;"&amp;'⚙️ Config'!$H$1-'⚙️ Config'!$H$2)),)</f>
        <v/>
      </c>
      <c r="L528" s="28" t="str">
        <f>IF(E528="InActive","-",IF(A528&lt;&gt;"",K528/'⚙️ Config'!$H$2,))</f>
        <v/>
      </c>
      <c r="M528" s="28" t="str">
        <f t="shared" si="2"/>
        <v/>
      </c>
      <c r="N528" s="28" t="str">
        <f>IF(A528&lt;&gt;"", SUMIFS('💰 Transaction ขาย'!F:F,'💰 Transaction ขาย'!B:B,A528,'💰 Transaction ขาย'!A:A,"&gt;="&amp;DATE(YEAR('⚙️ Config'!$H$1),1,1),'💰 Transaction ขาย'!A:A,"&lt;="&amp;DATE(YEAR('⚙️ Config'!$H$1),12,31)),)</f>
        <v/>
      </c>
    </row>
    <row r="529">
      <c r="A529" s="22"/>
      <c r="B529" s="22" t="str">
        <f>IF(A529&lt;&gt;"",SUMIFS('💸 Transaction ซื้อ'!E:E,'💸 Transaction ซื้อ'!B:B,A529)-SUMIFS('💰 Transaction ขาย'!E:E,'💰 Transaction ขาย'!B:B,A529),"")</f>
        <v/>
      </c>
      <c r="C529" s="23" t="str">
        <f>IF(A529&lt;&gt;"",vlookup(A529,'📦 ชื่อสินค้า'!A:E,5,false),"")</f>
        <v/>
      </c>
      <c r="D529" s="23" t="str">
        <f>IF(A529&lt;&gt;"",VLOOKUP(A529,'📦 ชื่อสินค้า'!A:F,6,false),"")</f>
        <v/>
      </c>
      <c r="E529" s="16" t="str">
        <f>IFERROR(IF(VLOOKUP(A529,'📦 ชื่อสินค้า'!A:G,7,false)="InActive","InActive",IF(A529&lt;&gt;"",IF(B529&lt;=0,"สินค้าหมด",IF(B529&lt;=C529,"ควรเติมทันที","OK")),"")),)</f>
        <v/>
      </c>
      <c r="F529" s="24" t="str">
        <f>IFERROR(IF(A529&lt;&gt;"", SUMIF('💸 Transaction ซื้อ'!B:B,A529,'💸 Transaction ซื้อ'!G:G)/SUMIF('💸 Transaction ซื้อ'!B:B,A529,'💸 Transaction ซื้อ'!E:E),""),"-")</f>
        <v/>
      </c>
      <c r="G529" s="24" t="str">
        <f t="shared" si="1"/>
        <v/>
      </c>
      <c r="H529" s="25"/>
      <c r="I529" s="26"/>
      <c r="J529" s="26"/>
      <c r="K529" s="27" t="str">
        <f>IF(A529&lt;&gt;"",IF(E529="InActive","-",SUMIFS('💰 Transaction ขาย'!E:E,'💰 Transaction ขาย'!B:B,A529,'💰 Transaction ขาย'!A:A,"&gt;"&amp;'⚙️ Config'!$H$1-'⚙️ Config'!$H$2)),)</f>
        <v/>
      </c>
      <c r="L529" s="28" t="str">
        <f>IF(E529="InActive","-",IF(A529&lt;&gt;"",K529/'⚙️ Config'!$H$2,))</f>
        <v/>
      </c>
      <c r="M529" s="28" t="str">
        <f t="shared" si="2"/>
        <v/>
      </c>
      <c r="N529" s="28" t="str">
        <f>IF(A529&lt;&gt;"", SUMIFS('💰 Transaction ขาย'!F:F,'💰 Transaction ขาย'!B:B,A529,'💰 Transaction ขาย'!A:A,"&gt;="&amp;DATE(YEAR('⚙️ Config'!$H$1),1,1),'💰 Transaction ขาย'!A:A,"&lt;="&amp;DATE(YEAR('⚙️ Config'!$H$1),12,31)),)</f>
        <v/>
      </c>
    </row>
    <row r="530">
      <c r="A530" s="22"/>
      <c r="B530" s="22" t="str">
        <f>IF(A530&lt;&gt;"",SUMIFS('💸 Transaction ซื้อ'!E:E,'💸 Transaction ซื้อ'!B:B,A530)-SUMIFS('💰 Transaction ขาย'!E:E,'💰 Transaction ขาย'!B:B,A530),"")</f>
        <v/>
      </c>
      <c r="C530" s="23" t="str">
        <f>IF(A530&lt;&gt;"",vlookup(A530,'📦 ชื่อสินค้า'!A:E,5,false),"")</f>
        <v/>
      </c>
      <c r="D530" s="23" t="str">
        <f>IF(A530&lt;&gt;"",VLOOKUP(A530,'📦 ชื่อสินค้า'!A:F,6,false),"")</f>
        <v/>
      </c>
      <c r="E530" s="16" t="str">
        <f>IFERROR(IF(VLOOKUP(A530,'📦 ชื่อสินค้า'!A:G,7,false)="InActive","InActive",IF(A530&lt;&gt;"",IF(B530&lt;=0,"สินค้าหมด",IF(B530&lt;=C530,"ควรเติมทันที","OK")),"")),)</f>
        <v/>
      </c>
      <c r="F530" s="24" t="str">
        <f>IFERROR(IF(A530&lt;&gt;"", SUMIF('💸 Transaction ซื้อ'!B:B,A530,'💸 Transaction ซื้อ'!G:G)/SUMIF('💸 Transaction ซื้อ'!B:B,A530,'💸 Transaction ซื้อ'!E:E),""),"-")</f>
        <v/>
      </c>
      <c r="G530" s="24" t="str">
        <f t="shared" si="1"/>
        <v/>
      </c>
      <c r="H530" s="25"/>
      <c r="I530" s="26"/>
      <c r="J530" s="26"/>
      <c r="K530" s="27" t="str">
        <f>IF(A530&lt;&gt;"",IF(E530="InActive","-",SUMIFS('💰 Transaction ขาย'!E:E,'💰 Transaction ขาย'!B:B,A530,'💰 Transaction ขาย'!A:A,"&gt;"&amp;'⚙️ Config'!$H$1-'⚙️ Config'!$H$2)),)</f>
        <v/>
      </c>
      <c r="L530" s="28" t="str">
        <f>IF(E530="InActive","-",IF(A530&lt;&gt;"",K530/'⚙️ Config'!$H$2,))</f>
        <v/>
      </c>
      <c r="M530" s="28" t="str">
        <f t="shared" si="2"/>
        <v/>
      </c>
      <c r="N530" s="28" t="str">
        <f>IF(A530&lt;&gt;"", SUMIFS('💰 Transaction ขาย'!F:F,'💰 Transaction ขาย'!B:B,A530,'💰 Transaction ขาย'!A:A,"&gt;="&amp;DATE(YEAR('⚙️ Config'!$H$1),1,1),'💰 Transaction ขาย'!A:A,"&lt;="&amp;DATE(YEAR('⚙️ Config'!$H$1),12,31)),)</f>
        <v/>
      </c>
    </row>
    <row r="531">
      <c r="A531" s="22"/>
      <c r="B531" s="22" t="str">
        <f>IF(A531&lt;&gt;"",SUMIFS('💸 Transaction ซื้อ'!E:E,'💸 Transaction ซื้อ'!B:B,A531)-SUMIFS('💰 Transaction ขาย'!E:E,'💰 Transaction ขาย'!B:B,A531),"")</f>
        <v/>
      </c>
      <c r="C531" s="23" t="str">
        <f>IF(A531&lt;&gt;"",vlookup(A531,'📦 ชื่อสินค้า'!A:E,5,false),"")</f>
        <v/>
      </c>
      <c r="D531" s="23" t="str">
        <f>IF(A531&lt;&gt;"",VLOOKUP(A531,'📦 ชื่อสินค้า'!A:F,6,false),"")</f>
        <v/>
      </c>
      <c r="E531" s="16" t="str">
        <f>IFERROR(IF(VLOOKUP(A531,'📦 ชื่อสินค้า'!A:G,7,false)="InActive","InActive",IF(A531&lt;&gt;"",IF(B531&lt;=0,"สินค้าหมด",IF(B531&lt;=C531,"ควรเติมทันที","OK")),"")),)</f>
        <v/>
      </c>
      <c r="F531" s="24" t="str">
        <f>IFERROR(IF(A531&lt;&gt;"", SUMIF('💸 Transaction ซื้อ'!B:B,A531,'💸 Transaction ซื้อ'!G:G)/SUMIF('💸 Transaction ซื้อ'!B:B,A531,'💸 Transaction ซื้อ'!E:E),""),"-")</f>
        <v/>
      </c>
      <c r="G531" s="24" t="str">
        <f t="shared" si="1"/>
        <v/>
      </c>
      <c r="H531" s="25"/>
      <c r="I531" s="26"/>
      <c r="J531" s="26"/>
      <c r="K531" s="27" t="str">
        <f>IF(A531&lt;&gt;"",IF(E531="InActive","-",SUMIFS('💰 Transaction ขาย'!E:E,'💰 Transaction ขาย'!B:B,A531,'💰 Transaction ขาย'!A:A,"&gt;"&amp;'⚙️ Config'!$H$1-'⚙️ Config'!$H$2)),)</f>
        <v/>
      </c>
      <c r="L531" s="28" t="str">
        <f>IF(E531="InActive","-",IF(A531&lt;&gt;"",K531/'⚙️ Config'!$H$2,))</f>
        <v/>
      </c>
      <c r="M531" s="28" t="str">
        <f t="shared" si="2"/>
        <v/>
      </c>
      <c r="N531" s="28" t="str">
        <f>IF(A531&lt;&gt;"", SUMIFS('💰 Transaction ขาย'!F:F,'💰 Transaction ขาย'!B:B,A531,'💰 Transaction ขาย'!A:A,"&gt;="&amp;DATE(YEAR('⚙️ Config'!$H$1),1,1),'💰 Transaction ขาย'!A:A,"&lt;="&amp;DATE(YEAR('⚙️ Config'!$H$1),12,31)),)</f>
        <v/>
      </c>
    </row>
    <row r="532">
      <c r="A532" s="22"/>
      <c r="B532" s="22" t="str">
        <f>IF(A532&lt;&gt;"",SUMIFS('💸 Transaction ซื้อ'!E:E,'💸 Transaction ซื้อ'!B:B,A532)-SUMIFS('💰 Transaction ขาย'!E:E,'💰 Transaction ขาย'!B:B,A532),"")</f>
        <v/>
      </c>
      <c r="C532" s="23" t="str">
        <f>IF(A532&lt;&gt;"",vlookup(A532,'📦 ชื่อสินค้า'!A:E,5,false),"")</f>
        <v/>
      </c>
      <c r="D532" s="23" t="str">
        <f>IF(A532&lt;&gt;"",VLOOKUP(A532,'📦 ชื่อสินค้า'!A:F,6,false),"")</f>
        <v/>
      </c>
      <c r="E532" s="16" t="str">
        <f>IFERROR(IF(VLOOKUP(A532,'📦 ชื่อสินค้า'!A:G,7,false)="InActive","InActive",IF(A532&lt;&gt;"",IF(B532&lt;=0,"สินค้าหมด",IF(B532&lt;=C532,"ควรเติมทันที","OK")),"")),)</f>
        <v/>
      </c>
      <c r="F532" s="24" t="str">
        <f>IFERROR(IF(A532&lt;&gt;"", SUMIF('💸 Transaction ซื้อ'!B:B,A532,'💸 Transaction ซื้อ'!G:G)/SUMIF('💸 Transaction ซื้อ'!B:B,A532,'💸 Transaction ซื้อ'!E:E),""),"-")</f>
        <v/>
      </c>
      <c r="G532" s="24" t="str">
        <f t="shared" si="1"/>
        <v/>
      </c>
      <c r="H532" s="25"/>
      <c r="I532" s="26"/>
      <c r="J532" s="26"/>
      <c r="K532" s="27" t="str">
        <f>IF(A532&lt;&gt;"",IF(E532="InActive","-",SUMIFS('💰 Transaction ขาย'!E:E,'💰 Transaction ขาย'!B:B,A532,'💰 Transaction ขาย'!A:A,"&gt;"&amp;'⚙️ Config'!$H$1-'⚙️ Config'!$H$2)),)</f>
        <v/>
      </c>
      <c r="L532" s="28" t="str">
        <f>IF(E532="InActive","-",IF(A532&lt;&gt;"",K532/'⚙️ Config'!$H$2,))</f>
        <v/>
      </c>
      <c r="M532" s="28" t="str">
        <f t="shared" si="2"/>
        <v/>
      </c>
      <c r="N532" s="28" t="str">
        <f>IF(A532&lt;&gt;"", SUMIFS('💰 Transaction ขาย'!F:F,'💰 Transaction ขาย'!B:B,A532,'💰 Transaction ขาย'!A:A,"&gt;="&amp;DATE(YEAR('⚙️ Config'!$H$1),1,1),'💰 Transaction ขาย'!A:A,"&lt;="&amp;DATE(YEAR('⚙️ Config'!$H$1),12,31)),)</f>
        <v/>
      </c>
    </row>
    <row r="533">
      <c r="A533" s="22"/>
      <c r="B533" s="22" t="str">
        <f>IF(A533&lt;&gt;"",SUMIFS('💸 Transaction ซื้อ'!E:E,'💸 Transaction ซื้อ'!B:B,A533)-SUMIFS('💰 Transaction ขาย'!E:E,'💰 Transaction ขาย'!B:B,A533),"")</f>
        <v/>
      </c>
      <c r="C533" s="23" t="str">
        <f>IF(A533&lt;&gt;"",vlookup(A533,'📦 ชื่อสินค้า'!A:E,5,false),"")</f>
        <v/>
      </c>
      <c r="D533" s="23" t="str">
        <f>IF(A533&lt;&gt;"",VLOOKUP(A533,'📦 ชื่อสินค้า'!A:F,6,false),"")</f>
        <v/>
      </c>
      <c r="E533" s="16" t="str">
        <f>IFERROR(IF(VLOOKUP(A533,'📦 ชื่อสินค้า'!A:G,7,false)="InActive","InActive",IF(A533&lt;&gt;"",IF(B533&lt;=0,"สินค้าหมด",IF(B533&lt;=C533,"ควรเติมทันที","OK")),"")),)</f>
        <v/>
      </c>
      <c r="F533" s="24" t="str">
        <f>IFERROR(IF(A533&lt;&gt;"", SUMIF('💸 Transaction ซื้อ'!B:B,A533,'💸 Transaction ซื้อ'!G:G)/SUMIF('💸 Transaction ซื้อ'!B:B,A533,'💸 Transaction ซื้อ'!E:E),""),"-")</f>
        <v/>
      </c>
      <c r="G533" s="24" t="str">
        <f t="shared" si="1"/>
        <v/>
      </c>
      <c r="H533" s="25"/>
      <c r="I533" s="26"/>
      <c r="J533" s="26"/>
      <c r="K533" s="27" t="str">
        <f>IF(A533&lt;&gt;"",IF(E533="InActive","-",SUMIFS('💰 Transaction ขาย'!E:E,'💰 Transaction ขาย'!B:B,A533,'💰 Transaction ขาย'!A:A,"&gt;"&amp;'⚙️ Config'!$H$1-'⚙️ Config'!$H$2)),)</f>
        <v/>
      </c>
      <c r="L533" s="28" t="str">
        <f>IF(E533="InActive","-",IF(A533&lt;&gt;"",K533/'⚙️ Config'!$H$2,))</f>
        <v/>
      </c>
      <c r="M533" s="28" t="str">
        <f t="shared" si="2"/>
        <v/>
      </c>
      <c r="N533" s="28" t="str">
        <f>IF(A533&lt;&gt;"", SUMIFS('💰 Transaction ขาย'!F:F,'💰 Transaction ขาย'!B:B,A533,'💰 Transaction ขาย'!A:A,"&gt;="&amp;DATE(YEAR('⚙️ Config'!$H$1),1,1),'💰 Transaction ขาย'!A:A,"&lt;="&amp;DATE(YEAR('⚙️ Config'!$H$1),12,31)),)</f>
        <v/>
      </c>
    </row>
    <row r="534">
      <c r="A534" s="22"/>
      <c r="B534" s="22" t="str">
        <f>IF(A534&lt;&gt;"",SUMIFS('💸 Transaction ซื้อ'!E:E,'💸 Transaction ซื้อ'!B:B,A534)-SUMIFS('💰 Transaction ขาย'!E:E,'💰 Transaction ขาย'!B:B,A534),"")</f>
        <v/>
      </c>
      <c r="C534" s="23" t="str">
        <f>IF(A534&lt;&gt;"",vlookup(A534,'📦 ชื่อสินค้า'!A:E,5,false),"")</f>
        <v/>
      </c>
      <c r="D534" s="23" t="str">
        <f>IF(A534&lt;&gt;"",VLOOKUP(A534,'📦 ชื่อสินค้า'!A:F,6,false),"")</f>
        <v/>
      </c>
      <c r="E534" s="16" t="str">
        <f>IFERROR(IF(VLOOKUP(A534,'📦 ชื่อสินค้า'!A:G,7,false)="InActive","InActive",IF(A534&lt;&gt;"",IF(B534&lt;=0,"สินค้าหมด",IF(B534&lt;=C534,"ควรเติมทันที","OK")),"")),)</f>
        <v/>
      </c>
      <c r="F534" s="24" t="str">
        <f>IFERROR(IF(A534&lt;&gt;"", SUMIF('💸 Transaction ซื้อ'!B:B,A534,'💸 Transaction ซื้อ'!G:G)/SUMIF('💸 Transaction ซื้อ'!B:B,A534,'💸 Transaction ซื้อ'!E:E),""),"-")</f>
        <v/>
      </c>
      <c r="G534" s="24" t="str">
        <f t="shared" si="1"/>
        <v/>
      </c>
      <c r="H534" s="25"/>
      <c r="I534" s="26"/>
      <c r="J534" s="26"/>
      <c r="K534" s="27" t="str">
        <f>IF(A534&lt;&gt;"",IF(E534="InActive","-",SUMIFS('💰 Transaction ขาย'!E:E,'💰 Transaction ขาย'!B:B,A534,'💰 Transaction ขาย'!A:A,"&gt;"&amp;'⚙️ Config'!$H$1-'⚙️ Config'!$H$2)),)</f>
        <v/>
      </c>
      <c r="L534" s="28" t="str">
        <f>IF(E534="InActive","-",IF(A534&lt;&gt;"",K534/'⚙️ Config'!$H$2,))</f>
        <v/>
      </c>
      <c r="M534" s="28" t="str">
        <f t="shared" si="2"/>
        <v/>
      </c>
      <c r="N534" s="28" t="str">
        <f>IF(A534&lt;&gt;"", SUMIFS('💰 Transaction ขาย'!F:F,'💰 Transaction ขาย'!B:B,A534,'💰 Transaction ขาย'!A:A,"&gt;="&amp;DATE(YEAR('⚙️ Config'!$H$1),1,1),'💰 Transaction ขาย'!A:A,"&lt;="&amp;DATE(YEAR('⚙️ Config'!$H$1),12,31)),)</f>
        <v/>
      </c>
    </row>
    <row r="535">
      <c r="A535" s="22"/>
      <c r="B535" s="22" t="str">
        <f>IF(A535&lt;&gt;"",SUMIFS('💸 Transaction ซื้อ'!E:E,'💸 Transaction ซื้อ'!B:B,A535)-SUMIFS('💰 Transaction ขาย'!E:E,'💰 Transaction ขาย'!B:B,A535),"")</f>
        <v/>
      </c>
      <c r="C535" s="23" t="str">
        <f>IF(A535&lt;&gt;"",vlookup(A535,'📦 ชื่อสินค้า'!A:E,5,false),"")</f>
        <v/>
      </c>
      <c r="D535" s="23" t="str">
        <f>IF(A535&lt;&gt;"",VLOOKUP(A535,'📦 ชื่อสินค้า'!A:F,6,false),"")</f>
        <v/>
      </c>
      <c r="E535" s="16" t="str">
        <f>IFERROR(IF(VLOOKUP(A535,'📦 ชื่อสินค้า'!A:G,7,false)="InActive","InActive",IF(A535&lt;&gt;"",IF(B535&lt;=0,"สินค้าหมด",IF(B535&lt;=C535,"ควรเติมทันที","OK")),"")),)</f>
        <v/>
      </c>
      <c r="F535" s="24" t="str">
        <f>IFERROR(IF(A535&lt;&gt;"", SUMIF('💸 Transaction ซื้อ'!B:B,A535,'💸 Transaction ซื้อ'!G:G)/SUMIF('💸 Transaction ซื้อ'!B:B,A535,'💸 Transaction ซื้อ'!E:E),""),"-")</f>
        <v/>
      </c>
      <c r="G535" s="24" t="str">
        <f t="shared" si="1"/>
        <v/>
      </c>
      <c r="H535" s="25"/>
      <c r="I535" s="26"/>
      <c r="J535" s="26"/>
      <c r="K535" s="27" t="str">
        <f>IF(A535&lt;&gt;"",IF(E535="InActive","-",SUMIFS('💰 Transaction ขาย'!E:E,'💰 Transaction ขาย'!B:B,A535,'💰 Transaction ขาย'!A:A,"&gt;"&amp;'⚙️ Config'!$H$1-'⚙️ Config'!$H$2)),)</f>
        <v/>
      </c>
      <c r="L535" s="28" t="str">
        <f>IF(E535="InActive","-",IF(A535&lt;&gt;"",K535/'⚙️ Config'!$H$2,))</f>
        <v/>
      </c>
      <c r="M535" s="28" t="str">
        <f t="shared" si="2"/>
        <v/>
      </c>
      <c r="N535" s="28" t="str">
        <f>IF(A535&lt;&gt;"", SUMIFS('💰 Transaction ขาย'!F:F,'💰 Transaction ขาย'!B:B,A535,'💰 Transaction ขาย'!A:A,"&gt;="&amp;DATE(YEAR('⚙️ Config'!$H$1),1,1),'💰 Transaction ขาย'!A:A,"&lt;="&amp;DATE(YEAR('⚙️ Config'!$H$1),12,31)),)</f>
        <v/>
      </c>
    </row>
    <row r="536">
      <c r="A536" s="22"/>
      <c r="B536" s="22" t="str">
        <f>IF(A536&lt;&gt;"",SUMIFS('💸 Transaction ซื้อ'!E:E,'💸 Transaction ซื้อ'!B:B,A536)-SUMIFS('💰 Transaction ขาย'!E:E,'💰 Transaction ขาย'!B:B,A536),"")</f>
        <v/>
      </c>
      <c r="C536" s="23" t="str">
        <f>IF(A536&lt;&gt;"",vlookup(A536,'📦 ชื่อสินค้า'!A:E,5,false),"")</f>
        <v/>
      </c>
      <c r="D536" s="23" t="str">
        <f>IF(A536&lt;&gt;"",VLOOKUP(A536,'📦 ชื่อสินค้า'!A:F,6,false),"")</f>
        <v/>
      </c>
      <c r="E536" s="16" t="str">
        <f>IFERROR(IF(VLOOKUP(A536,'📦 ชื่อสินค้า'!A:G,7,false)="InActive","InActive",IF(A536&lt;&gt;"",IF(B536&lt;=0,"สินค้าหมด",IF(B536&lt;=C536,"ควรเติมทันที","OK")),"")),)</f>
        <v/>
      </c>
      <c r="F536" s="24" t="str">
        <f>IFERROR(IF(A536&lt;&gt;"", SUMIF('💸 Transaction ซื้อ'!B:B,A536,'💸 Transaction ซื้อ'!G:G)/SUMIF('💸 Transaction ซื้อ'!B:B,A536,'💸 Transaction ซื้อ'!E:E),""),"-")</f>
        <v/>
      </c>
      <c r="G536" s="24" t="str">
        <f t="shared" si="1"/>
        <v/>
      </c>
      <c r="H536" s="25"/>
      <c r="I536" s="26"/>
      <c r="J536" s="26"/>
      <c r="K536" s="27" t="str">
        <f>IF(A536&lt;&gt;"",IF(E536="InActive","-",SUMIFS('💰 Transaction ขาย'!E:E,'💰 Transaction ขาย'!B:B,A536,'💰 Transaction ขาย'!A:A,"&gt;"&amp;'⚙️ Config'!$H$1-'⚙️ Config'!$H$2)),)</f>
        <v/>
      </c>
      <c r="L536" s="28" t="str">
        <f>IF(E536="InActive","-",IF(A536&lt;&gt;"",K536/'⚙️ Config'!$H$2,))</f>
        <v/>
      </c>
      <c r="M536" s="28" t="str">
        <f t="shared" si="2"/>
        <v/>
      </c>
      <c r="N536" s="28" t="str">
        <f>IF(A536&lt;&gt;"", SUMIFS('💰 Transaction ขาย'!F:F,'💰 Transaction ขาย'!B:B,A536,'💰 Transaction ขาย'!A:A,"&gt;="&amp;DATE(YEAR('⚙️ Config'!$H$1),1,1),'💰 Transaction ขาย'!A:A,"&lt;="&amp;DATE(YEAR('⚙️ Config'!$H$1),12,31)),)</f>
        <v/>
      </c>
    </row>
    <row r="537">
      <c r="A537" s="22"/>
      <c r="B537" s="22" t="str">
        <f>IF(A537&lt;&gt;"",SUMIFS('💸 Transaction ซื้อ'!E:E,'💸 Transaction ซื้อ'!B:B,A537)-SUMIFS('💰 Transaction ขาย'!E:E,'💰 Transaction ขาย'!B:B,A537),"")</f>
        <v/>
      </c>
      <c r="C537" s="23" t="str">
        <f>IF(A537&lt;&gt;"",vlookup(A537,'📦 ชื่อสินค้า'!A:E,5,false),"")</f>
        <v/>
      </c>
      <c r="D537" s="23" t="str">
        <f>IF(A537&lt;&gt;"",VLOOKUP(A537,'📦 ชื่อสินค้า'!A:F,6,false),"")</f>
        <v/>
      </c>
      <c r="E537" s="16" t="str">
        <f>IFERROR(IF(VLOOKUP(A537,'📦 ชื่อสินค้า'!A:G,7,false)="InActive","InActive",IF(A537&lt;&gt;"",IF(B537&lt;=0,"สินค้าหมด",IF(B537&lt;=C537,"ควรเติมทันที","OK")),"")),)</f>
        <v/>
      </c>
      <c r="F537" s="24" t="str">
        <f>IFERROR(IF(A537&lt;&gt;"", SUMIF('💸 Transaction ซื้อ'!B:B,A537,'💸 Transaction ซื้อ'!G:G)/SUMIF('💸 Transaction ซื้อ'!B:B,A537,'💸 Transaction ซื้อ'!E:E),""),"-")</f>
        <v/>
      </c>
      <c r="G537" s="24" t="str">
        <f t="shared" si="1"/>
        <v/>
      </c>
      <c r="H537" s="25"/>
      <c r="I537" s="26"/>
      <c r="J537" s="26"/>
      <c r="K537" s="27" t="str">
        <f>IF(A537&lt;&gt;"",IF(E537="InActive","-",SUMIFS('💰 Transaction ขาย'!E:E,'💰 Transaction ขาย'!B:B,A537,'💰 Transaction ขาย'!A:A,"&gt;"&amp;'⚙️ Config'!$H$1-'⚙️ Config'!$H$2)),)</f>
        <v/>
      </c>
      <c r="L537" s="28" t="str">
        <f>IF(E537="InActive","-",IF(A537&lt;&gt;"",K537/'⚙️ Config'!$H$2,))</f>
        <v/>
      </c>
      <c r="M537" s="28" t="str">
        <f t="shared" si="2"/>
        <v/>
      </c>
      <c r="N537" s="28" t="str">
        <f>IF(A537&lt;&gt;"", SUMIFS('💰 Transaction ขาย'!F:F,'💰 Transaction ขาย'!B:B,A537,'💰 Transaction ขาย'!A:A,"&gt;="&amp;DATE(YEAR('⚙️ Config'!$H$1),1,1),'💰 Transaction ขาย'!A:A,"&lt;="&amp;DATE(YEAR('⚙️ Config'!$H$1),12,31)),)</f>
        <v/>
      </c>
    </row>
    <row r="538">
      <c r="A538" s="22"/>
      <c r="B538" s="22" t="str">
        <f>IF(A538&lt;&gt;"",SUMIFS('💸 Transaction ซื้อ'!E:E,'💸 Transaction ซื้อ'!B:B,A538)-SUMIFS('💰 Transaction ขาย'!E:E,'💰 Transaction ขาย'!B:B,A538),"")</f>
        <v/>
      </c>
      <c r="C538" s="23" t="str">
        <f>IF(A538&lt;&gt;"",vlookup(A538,'📦 ชื่อสินค้า'!A:E,5,false),"")</f>
        <v/>
      </c>
      <c r="D538" s="23" t="str">
        <f>IF(A538&lt;&gt;"",VLOOKUP(A538,'📦 ชื่อสินค้า'!A:F,6,false),"")</f>
        <v/>
      </c>
      <c r="E538" s="16" t="str">
        <f>IFERROR(IF(VLOOKUP(A538,'📦 ชื่อสินค้า'!A:G,7,false)="InActive","InActive",IF(A538&lt;&gt;"",IF(B538&lt;=0,"สินค้าหมด",IF(B538&lt;=C538,"ควรเติมทันที","OK")),"")),)</f>
        <v/>
      </c>
      <c r="F538" s="24" t="str">
        <f>IFERROR(IF(A538&lt;&gt;"", SUMIF('💸 Transaction ซื้อ'!B:B,A538,'💸 Transaction ซื้อ'!G:G)/SUMIF('💸 Transaction ซื้อ'!B:B,A538,'💸 Transaction ซื้อ'!E:E),""),"-")</f>
        <v/>
      </c>
      <c r="G538" s="24" t="str">
        <f t="shared" si="1"/>
        <v/>
      </c>
      <c r="H538" s="25"/>
      <c r="I538" s="26"/>
      <c r="J538" s="26"/>
      <c r="K538" s="27" t="str">
        <f>IF(A538&lt;&gt;"",IF(E538="InActive","-",SUMIFS('💰 Transaction ขาย'!E:E,'💰 Transaction ขาย'!B:B,A538,'💰 Transaction ขาย'!A:A,"&gt;"&amp;'⚙️ Config'!$H$1-'⚙️ Config'!$H$2)),)</f>
        <v/>
      </c>
      <c r="L538" s="28" t="str">
        <f>IF(E538="InActive","-",IF(A538&lt;&gt;"",K538/'⚙️ Config'!$H$2,))</f>
        <v/>
      </c>
      <c r="M538" s="28" t="str">
        <f t="shared" si="2"/>
        <v/>
      </c>
      <c r="N538" s="28" t="str">
        <f>IF(A538&lt;&gt;"", SUMIFS('💰 Transaction ขาย'!F:F,'💰 Transaction ขาย'!B:B,A538,'💰 Transaction ขาย'!A:A,"&gt;="&amp;DATE(YEAR('⚙️ Config'!$H$1),1,1),'💰 Transaction ขาย'!A:A,"&lt;="&amp;DATE(YEAR('⚙️ Config'!$H$1),12,31)),)</f>
        <v/>
      </c>
    </row>
    <row r="539">
      <c r="A539" s="22"/>
      <c r="B539" s="22" t="str">
        <f>IF(A539&lt;&gt;"",SUMIFS('💸 Transaction ซื้อ'!E:E,'💸 Transaction ซื้อ'!B:B,A539)-SUMIFS('💰 Transaction ขาย'!E:E,'💰 Transaction ขาย'!B:B,A539),"")</f>
        <v/>
      </c>
      <c r="C539" s="23" t="str">
        <f>IF(A539&lt;&gt;"",vlookup(A539,'📦 ชื่อสินค้า'!A:E,5,false),"")</f>
        <v/>
      </c>
      <c r="D539" s="23" t="str">
        <f>IF(A539&lt;&gt;"",VLOOKUP(A539,'📦 ชื่อสินค้า'!A:F,6,false),"")</f>
        <v/>
      </c>
      <c r="E539" s="16" t="str">
        <f>IFERROR(IF(VLOOKUP(A539,'📦 ชื่อสินค้า'!A:G,7,false)="InActive","InActive",IF(A539&lt;&gt;"",IF(B539&lt;=0,"สินค้าหมด",IF(B539&lt;=C539,"ควรเติมทันที","OK")),"")),)</f>
        <v/>
      </c>
      <c r="F539" s="24" t="str">
        <f>IFERROR(IF(A539&lt;&gt;"", SUMIF('💸 Transaction ซื้อ'!B:B,A539,'💸 Transaction ซื้อ'!G:G)/SUMIF('💸 Transaction ซื้อ'!B:B,A539,'💸 Transaction ซื้อ'!E:E),""),"-")</f>
        <v/>
      </c>
      <c r="G539" s="24" t="str">
        <f t="shared" si="1"/>
        <v/>
      </c>
      <c r="H539" s="25"/>
      <c r="I539" s="26"/>
      <c r="J539" s="26"/>
      <c r="K539" s="27" t="str">
        <f>IF(A539&lt;&gt;"",IF(E539="InActive","-",SUMIFS('💰 Transaction ขาย'!E:E,'💰 Transaction ขาย'!B:B,A539,'💰 Transaction ขาย'!A:A,"&gt;"&amp;'⚙️ Config'!$H$1-'⚙️ Config'!$H$2)),)</f>
        <v/>
      </c>
      <c r="L539" s="28" t="str">
        <f>IF(E539="InActive","-",IF(A539&lt;&gt;"",K539/'⚙️ Config'!$H$2,))</f>
        <v/>
      </c>
      <c r="M539" s="28" t="str">
        <f t="shared" si="2"/>
        <v/>
      </c>
      <c r="N539" s="28" t="str">
        <f>IF(A539&lt;&gt;"", SUMIFS('💰 Transaction ขาย'!F:F,'💰 Transaction ขาย'!B:B,A539,'💰 Transaction ขาย'!A:A,"&gt;="&amp;DATE(YEAR('⚙️ Config'!$H$1),1,1),'💰 Transaction ขาย'!A:A,"&lt;="&amp;DATE(YEAR('⚙️ Config'!$H$1),12,31)),)</f>
        <v/>
      </c>
    </row>
    <row r="540">
      <c r="A540" s="22"/>
      <c r="B540" s="22" t="str">
        <f>IF(A540&lt;&gt;"",SUMIFS('💸 Transaction ซื้อ'!E:E,'💸 Transaction ซื้อ'!B:B,A540)-SUMIFS('💰 Transaction ขาย'!E:E,'💰 Transaction ขาย'!B:B,A540),"")</f>
        <v/>
      </c>
      <c r="C540" s="23" t="str">
        <f>IF(A540&lt;&gt;"",vlookup(A540,'📦 ชื่อสินค้า'!A:E,5,false),"")</f>
        <v/>
      </c>
      <c r="D540" s="23" t="str">
        <f>IF(A540&lt;&gt;"",VLOOKUP(A540,'📦 ชื่อสินค้า'!A:F,6,false),"")</f>
        <v/>
      </c>
      <c r="E540" s="16" t="str">
        <f>IFERROR(IF(VLOOKUP(A540,'📦 ชื่อสินค้า'!A:G,7,false)="InActive","InActive",IF(A540&lt;&gt;"",IF(B540&lt;=0,"สินค้าหมด",IF(B540&lt;=C540,"ควรเติมทันที","OK")),"")),)</f>
        <v/>
      </c>
      <c r="F540" s="24" t="str">
        <f>IFERROR(IF(A540&lt;&gt;"", SUMIF('💸 Transaction ซื้อ'!B:B,A540,'💸 Transaction ซื้อ'!G:G)/SUMIF('💸 Transaction ซื้อ'!B:B,A540,'💸 Transaction ซื้อ'!E:E),""),"-")</f>
        <v/>
      </c>
      <c r="G540" s="24" t="str">
        <f t="shared" si="1"/>
        <v/>
      </c>
      <c r="H540" s="25"/>
      <c r="I540" s="26"/>
      <c r="J540" s="26"/>
      <c r="K540" s="27" t="str">
        <f>IF(A540&lt;&gt;"",IF(E540="InActive","-",SUMIFS('💰 Transaction ขาย'!E:E,'💰 Transaction ขาย'!B:B,A540,'💰 Transaction ขาย'!A:A,"&gt;"&amp;'⚙️ Config'!$H$1-'⚙️ Config'!$H$2)),)</f>
        <v/>
      </c>
      <c r="L540" s="28" t="str">
        <f>IF(E540="InActive","-",IF(A540&lt;&gt;"",K540/'⚙️ Config'!$H$2,))</f>
        <v/>
      </c>
      <c r="M540" s="28" t="str">
        <f t="shared" si="2"/>
        <v/>
      </c>
      <c r="N540" s="28" t="str">
        <f>IF(A540&lt;&gt;"", SUMIFS('💰 Transaction ขาย'!F:F,'💰 Transaction ขาย'!B:B,A540,'💰 Transaction ขาย'!A:A,"&gt;="&amp;DATE(YEAR('⚙️ Config'!$H$1),1,1),'💰 Transaction ขาย'!A:A,"&lt;="&amp;DATE(YEAR('⚙️ Config'!$H$1),12,31)),)</f>
        <v/>
      </c>
    </row>
    <row r="541">
      <c r="A541" s="22"/>
      <c r="B541" s="22" t="str">
        <f>IF(A541&lt;&gt;"",SUMIFS('💸 Transaction ซื้อ'!E:E,'💸 Transaction ซื้อ'!B:B,A541)-SUMIFS('💰 Transaction ขาย'!E:E,'💰 Transaction ขาย'!B:B,A541),"")</f>
        <v/>
      </c>
      <c r="C541" s="23" t="str">
        <f>IF(A541&lt;&gt;"",vlookup(A541,'📦 ชื่อสินค้า'!A:E,5,false),"")</f>
        <v/>
      </c>
      <c r="D541" s="23" t="str">
        <f>IF(A541&lt;&gt;"",VLOOKUP(A541,'📦 ชื่อสินค้า'!A:F,6,false),"")</f>
        <v/>
      </c>
      <c r="E541" s="16" t="str">
        <f>IFERROR(IF(VLOOKUP(A541,'📦 ชื่อสินค้า'!A:G,7,false)="InActive","InActive",IF(A541&lt;&gt;"",IF(B541&lt;=0,"สินค้าหมด",IF(B541&lt;=C541,"ควรเติมทันที","OK")),"")),)</f>
        <v/>
      </c>
      <c r="F541" s="24" t="str">
        <f>IFERROR(IF(A541&lt;&gt;"", SUMIF('💸 Transaction ซื้อ'!B:B,A541,'💸 Transaction ซื้อ'!G:G)/SUMIF('💸 Transaction ซื้อ'!B:B,A541,'💸 Transaction ซื้อ'!E:E),""),"-")</f>
        <v/>
      </c>
      <c r="G541" s="24" t="str">
        <f t="shared" si="1"/>
        <v/>
      </c>
      <c r="H541" s="25"/>
      <c r="I541" s="26"/>
      <c r="J541" s="26"/>
      <c r="K541" s="27" t="str">
        <f>IF(A541&lt;&gt;"",IF(E541="InActive","-",SUMIFS('💰 Transaction ขาย'!E:E,'💰 Transaction ขาย'!B:B,A541,'💰 Transaction ขาย'!A:A,"&gt;"&amp;'⚙️ Config'!$H$1-'⚙️ Config'!$H$2)),)</f>
        <v/>
      </c>
      <c r="L541" s="28" t="str">
        <f>IF(E541="InActive","-",IF(A541&lt;&gt;"",K541/'⚙️ Config'!$H$2,))</f>
        <v/>
      </c>
      <c r="M541" s="28" t="str">
        <f t="shared" si="2"/>
        <v/>
      </c>
      <c r="N541" s="28" t="str">
        <f>IF(A541&lt;&gt;"", SUMIFS('💰 Transaction ขาย'!F:F,'💰 Transaction ขาย'!B:B,A541,'💰 Transaction ขาย'!A:A,"&gt;="&amp;DATE(YEAR('⚙️ Config'!$H$1),1,1),'💰 Transaction ขาย'!A:A,"&lt;="&amp;DATE(YEAR('⚙️ Config'!$H$1),12,31)),)</f>
        <v/>
      </c>
    </row>
    <row r="542">
      <c r="A542" s="22"/>
      <c r="B542" s="22" t="str">
        <f>IF(A542&lt;&gt;"",SUMIFS('💸 Transaction ซื้อ'!E:E,'💸 Transaction ซื้อ'!B:B,A542)-SUMIFS('💰 Transaction ขาย'!E:E,'💰 Transaction ขาย'!B:B,A542),"")</f>
        <v/>
      </c>
      <c r="C542" s="23" t="str">
        <f>IF(A542&lt;&gt;"",vlookup(A542,'📦 ชื่อสินค้า'!A:E,5,false),"")</f>
        <v/>
      </c>
      <c r="D542" s="23" t="str">
        <f>IF(A542&lt;&gt;"",VLOOKUP(A542,'📦 ชื่อสินค้า'!A:F,6,false),"")</f>
        <v/>
      </c>
      <c r="E542" s="16" t="str">
        <f>IFERROR(IF(VLOOKUP(A542,'📦 ชื่อสินค้า'!A:G,7,false)="InActive","InActive",IF(A542&lt;&gt;"",IF(B542&lt;=0,"สินค้าหมด",IF(B542&lt;=C542,"ควรเติมทันที","OK")),"")),)</f>
        <v/>
      </c>
      <c r="F542" s="24" t="str">
        <f>IFERROR(IF(A542&lt;&gt;"", SUMIF('💸 Transaction ซื้อ'!B:B,A542,'💸 Transaction ซื้อ'!G:G)/SUMIF('💸 Transaction ซื้อ'!B:B,A542,'💸 Transaction ซื้อ'!E:E),""),"-")</f>
        <v/>
      </c>
      <c r="G542" s="24" t="str">
        <f t="shared" si="1"/>
        <v/>
      </c>
      <c r="H542" s="25"/>
      <c r="I542" s="26"/>
      <c r="J542" s="26"/>
      <c r="K542" s="27" t="str">
        <f>IF(A542&lt;&gt;"",IF(E542="InActive","-",SUMIFS('💰 Transaction ขาย'!E:E,'💰 Transaction ขาย'!B:B,A542,'💰 Transaction ขาย'!A:A,"&gt;"&amp;'⚙️ Config'!$H$1-'⚙️ Config'!$H$2)),)</f>
        <v/>
      </c>
      <c r="L542" s="28" t="str">
        <f>IF(E542="InActive","-",IF(A542&lt;&gt;"",K542/'⚙️ Config'!$H$2,))</f>
        <v/>
      </c>
      <c r="M542" s="28" t="str">
        <f t="shared" si="2"/>
        <v/>
      </c>
      <c r="N542" s="28" t="str">
        <f>IF(A542&lt;&gt;"", SUMIFS('💰 Transaction ขาย'!F:F,'💰 Transaction ขาย'!B:B,A542,'💰 Transaction ขาย'!A:A,"&gt;="&amp;DATE(YEAR('⚙️ Config'!$H$1),1,1),'💰 Transaction ขาย'!A:A,"&lt;="&amp;DATE(YEAR('⚙️ Config'!$H$1),12,31)),)</f>
        <v/>
      </c>
    </row>
    <row r="543">
      <c r="A543" s="22"/>
      <c r="B543" s="22" t="str">
        <f>IF(A543&lt;&gt;"",SUMIFS('💸 Transaction ซื้อ'!E:E,'💸 Transaction ซื้อ'!B:B,A543)-SUMIFS('💰 Transaction ขาย'!E:E,'💰 Transaction ขาย'!B:B,A543),"")</f>
        <v/>
      </c>
      <c r="C543" s="23" t="str">
        <f>IF(A543&lt;&gt;"",vlookup(A543,'📦 ชื่อสินค้า'!A:E,5,false),"")</f>
        <v/>
      </c>
      <c r="D543" s="23" t="str">
        <f>IF(A543&lt;&gt;"",VLOOKUP(A543,'📦 ชื่อสินค้า'!A:F,6,false),"")</f>
        <v/>
      </c>
      <c r="E543" s="16" t="str">
        <f>IFERROR(IF(VLOOKUP(A543,'📦 ชื่อสินค้า'!A:G,7,false)="InActive","InActive",IF(A543&lt;&gt;"",IF(B543&lt;=0,"สินค้าหมด",IF(B543&lt;=C543,"ควรเติมทันที","OK")),"")),)</f>
        <v/>
      </c>
      <c r="F543" s="24" t="str">
        <f>IFERROR(IF(A543&lt;&gt;"", SUMIF('💸 Transaction ซื้อ'!B:B,A543,'💸 Transaction ซื้อ'!G:G)/SUMIF('💸 Transaction ซื้อ'!B:B,A543,'💸 Transaction ซื้อ'!E:E),""),"-")</f>
        <v/>
      </c>
      <c r="G543" s="24" t="str">
        <f t="shared" si="1"/>
        <v/>
      </c>
      <c r="H543" s="25"/>
      <c r="I543" s="26"/>
      <c r="J543" s="26"/>
      <c r="K543" s="27" t="str">
        <f>IF(A543&lt;&gt;"",IF(E543="InActive","-",SUMIFS('💰 Transaction ขาย'!E:E,'💰 Transaction ขาย'!B:B,A543,'💰 Transaction ขาย'!A:A,"&gt;"&amp;'⚙️ Config'!$H$1-'⚙️ Config'!$H$2)),)</f>
        <v/>
      </c>
      <c r="L543" s="28" t="str">
        <f>IF(E543="InActive","-",IF(A543&lt;&gt;"",K543/'⚙️ Config'!$H$2,))</f>
        <v/>
      </c>
      <c r="M543" s="28" t="str">
        <f t="shared" si="2"/>
        <v/>
      </c>
      <c r="N543" s="28" t="str">
        <f>IF(A543&lt;&gt;"", SUMIFS('💰 Transaction ขาย'!F:F,'💰 Transaction ขาย'!B:B,A543,'💰 Transaction ขาย'!A:A,"&gt;="&amp;DATE(YEAR('⚙️ Config'!$H$1),1,1),'💰 Transaction ขาย'!A:A,"&lt;="&amp;DATE(YEAR('⚙️ Config'!$H$1),12,31)),)</f>
        <v/>
      </c>
    </row>
    <row r="544">
      <c r="A544" s="22"/>
      <c r="B544" s="22" t="str">
        <f>IF(A544&lt;&gt;"",SUMIFS('💸 Transaction ซื้อ'!E:E,'💸 Transaction ซื้อ'!B:B,A544)-SUMIFS('💰 Transaction ขาย'!E:E,'💰 Transaction ขาย'!B:B,A544),"")</f>
        <v/>
      </c>
      <c r="C544" s="23" t="str">
        <f>IF(A544&lt;&gt;"",vlookup(A544,'📦 ชื่อสินค้า'!A:E,5,false),"")</f>
        <v/>
      </c>
      <c r="D544" s="23" t="str">
        <f>IF(A544&lt;&gt;"",VLOOKUP(A544,'📦 ชื่อสินค้า'!A:F,6,false),"")</f>
        <v/>
      </c>
      <c r="E544" s="16" t="str">
        <f>IFERROR(IF(VLOOKUP(A544,'📦 ชื่อสินค้า'!A:G,7,false)="InActive","InActive",IF(A544&lt;&gt;"",IF(B544&lt;=0,"สินค้าหมด",IF(B544&lt;=C544,"ควรเติมทันที","OK")),"")),)</f>
        <v/>
      </c>
      <c r="F544" s="24" t="str">
        <f>IFERROR(IF(A544&lt;&gt;"", SUMIF('💸 Transaction ซื้อ'!B:B,A544,'💸 Transaction ซื้อ'!G:G)/SUMIF('💸 Transaction ซื้อ'!B:B,A544,'💸 Transaction ซื้อ'!E:E),""),"-")</f>
        <v/>
      </c>
      <c r="G544" s="24" t="str">
        <f t="shared" si="1"/>
        <v/>
      </c>
      <c r="H544" s="25"/>
      <c r="I544" s="26"/>
      <c r="J544" s="26"/>
      <c r="K544" s="27" t="str">
        <f>IF(A544&lt;&gt;"",IF(E544="InActive","-",SUMIFS('💰 Transaction ขาย'!E:E,'💰 Transaction ขาย'!B:B,A544,'💰 Transaction ขาย'!A:A,"&gt;"&amp;'⚙️ Config'!$H$1-'⚙️ Config'!$H$2)),)</f>
        <v/>
      </c>
      <c r="L544" s="28" t="str">
        <f>IF(E544="InActive","-",IF(A544&lt;&gt;"",K544/'⚙️ Config'!$H$2,))</f>
        <v/>
      </c>
      <c r="M544" s="28" t="str">
        <f t="shared" si="2"/>
        <v/>
      </c>
      <c r="N544" s="28" t="str">
        <f>IF(A544&lt;&gt;"", SUMIFS('💰 Transaction ขาย'!F:F,'💰 Transaction ขาย'!B:B,A544,'💰 Transaction ขาย'!A:A,"&gt;="&amp;DATE(YEAR('⚙️ Config'!$H$1),1,1),'💰 Transaction ขาย'!A:A,"&lt;="&amp;DATE(YEAR('⚙️ Config'!$H$1),12,31)),)</f>
        <v/>
      </c>
    </row>
    <row r="545">
      <c r="A545" s="22"/>
      <c r="B545" s="22" t="str">
        <f>IF(A545&lt;&gt;"",SUMIFS('💸 Transaction ซื้อ'!E:E,'💸 Transaction ซื้อ'!B:B,A545)-SUMIFS('💰 Transaction ขาย'!E:E,'💰 Transaction ขาย'!B:B,A545),"")</f>
        <v/>
      </c>
      <c r="C545" s="23" t="str">
        <f>IF(A545&lt;&gt;"",vlookup(A545,'📦 ชื่อสินค้า'!A:E,5,false),"")</f>
        <v/>
      </c>
      <c r="D545" s="23" t="str">
        <f>IF(A545&lt;&gt;"",VLOOKUP(A545,'📦 ชื่อสินค้า'!A:F,6,false),"")</f>
        <v/>
      </c>
      <c r="E545" s="16" t="str">
        <f>IFERROR(IF(VLOOKUP(A545,'📦 ชื่อสินค้า'!A:G,7,false)="InActive","InActive",IF(A545&lt;&gt;"",IF(B545&lt;=0,"สินค้าหมด",IF(B545&lt;=C545,"ควรเติมทันที","OK")),"")),)</f>
        <v/>
      </c>
      <c r="F545" s="24" t="str">
        <f>IFERROR(IF(A545&lt;&gt;"", SUMIF('💸 Transaction ซื้อ'!B:B,A545,'💸 Transaction ซื้อ'!G:G)/SUMIF('💸 Transaction ซื้อ'!B:B,A545,'💸 Transaction ซื้อ'!E:E),""),"-")</f>
        <v/>
      </c>
      <c r="G545" s="24" t="str">
        <f t="shared" si="1"/>
        <v/>
      </c>
      <c r="H545" s="25"/>
      <c r="I545" s="26"/>
      <c r="J545" s="26"/>
      <c r="K545" s="27" t="str">
        <f>IF(A545&lt;&gt;"",IF(E545="InActive","-",SUMIFS('💰 Transaction ขาย'!E:E,'💰 Transaction ขาย'!B:B,A545,'💰 Transaction ขาย'!A:A,"&gt;"&amp;'⚙️ Config'!$H$1-'⚙️ Config'!$H$2)),)</f>
        <v/>
      </c>
      <c r="L545" s="28" t="str">
        <f>IF(E545="InActive","-",IF(A545&lt;&gt;"",K545/'⚙️ Config'!$H$2,))</f>
        <v/>
      </c>
      <c r="M545" s="28" t="str">
        <f t="shared" si="2"/>
        <v/>
      </c>
      <c r="N545" s="28" t="str">
        <f>IF(A545&lt;&gt;"", SUMIFS('💰 Transaction ขาย'!F:F,'💰 Transaction ขาย'!B:B,A545,'💰 Transaction ขาย'!A:A,"&gt;="&amp;DATE(YEAR('⚙️ Config'!$H$1),1,1),'💰 Transaction ขาย'!A:A,"&lt;="&amp;DATE(YEAR('⚙️ Config'!$H$1),12,31)),)</f>
        <v/>
      </c>
    </row>
    <row r="546">
      <c r="A546" s="22"/>
      <c r="B546" s="22" t="str">
        <f>IF(A546&lt;&gt;"",SUMIFS('💸 Transaction ซื้อ'!E:E,'💸 Transaction ซื้อ'!B:B,A546)-SUMIFS('💰 Transaction ขาย'!E:E,'💰 Transaction ขาย'!B:B,A546),"")</f>
        <v/>
      </c>
      <c r="C546" s="23" t="str">
        <f>IF(A546&lt;&gt;"",vlookup(A546,'📦 ชื่อสินค้า'!A:E,5,false),"")</f>
        <v/>
      </c>
      <c r="D546" s="23" t="str">
        <f>IF(A546&lt;&gt;"",VLOOKUP(A546,'📦 ชื่อสินค้า'!A:F,6,false),"")</f>
        <v/>
      </c>
      <c r="E546" s="16" t="str">
        <f>IFERROR(IF(VLOOKUP(A546,'📦 ชื่อสินค้า'!A:G,7,false)="InActive","InActive",IF(A546&lt;&gt;"",IF(B546&lt;=0,"สินค้าหมด",IF(B546&lt;=C546,"ควรเติมทันที","OK")),"")),)</f>
        <v/>
      </c>
      <c r="F546" s="24" t="str">
        <f>IFERROR(IF(A546&lt;&gt;"", SUMIF('💸 Transaction ซื้อ'!B:B,A546,'💸 Transaction ซื้อ'!G:G)/SUMIF('💸 Transaction ซื้อ'!B:B,A546,'💸 Transaction ซื้อ'!E:E),""),"-")</f>
        <v/>
      </c>
      <c r="G546" s="24" t="str">
        <f t="shared" si="1"/>
        <v/>
      </c>
      <c r="H546" s="25"/>
      <c r="I546" s="26"/>
      <c r="J546" s="26"/>
      <c r="K546" s="27" t="str">
        <f>IF(A546&lt;&gt;"",IF(E546="InActive","-",SUMIFS('💰 Transaction ขาย'!E:E,'💰 Transaction ขาย'!B:B,A546,'💰 Transaction ขาย'!A:A,"&gt;"&amp;'⚙️ Config'!$H$1-'⚙️ Config'!$H$2)),)</f>
        <v/>
      </c>
      <c r="L546" s="28" t="str">
        <f>IF(E546="InActive","-",IF(A546&lt;&gt;"",K546/'⚙️ Config'!$H$2,))</f>
        <v/>
      </c>
      <c r="M546" s="28" t="str">
        <f t="shared" si="2"/>
        <v/>
      </c>
      <c r="N546" s="28" t="str">
        <f>IF(A546&lt;&gt;"", SUMIFS('💰 Transaction ขาย'!F:F,'💰 Transaction ขาย'!B:B,A546,'💰 Transaction ขาย'!A:A,"&gt;="&amp;DATE(YEAR('⚙️ Config'!$H$1),1,1),'💰 Transaction ขาย'!A:A,"&lt;="&amp;DATE(YEAR('⚙️ Config'!$H$1),12,31)),)</f>
        <v/>
      </c>
    </row>
    <row r="547">
      <c r="A547" s="22"/>
      <c r="B547" s="22" t="str">
        <f>IF(A547&lt;&gt;"",SUMIFS('💸 Transaction ซื้อ'!E:E,'💸 Transaction ซื้อ'!B:B,A547)-SUMIFS('💰 Transaction ขาย'!E:E,'💰 Transaction ขาย'!B:B,A547),"")</f>
        <v/>
      </c>
      <c r="C547" s="23" t="str">
        <f>IF(A547&lt;&gt;"",vlookup(A547,'📦 ชื่อสินค้า'!A:E,5,false),"")</f>
        <v/>
      </c>
      <c r="D547" s="23" t="str">
        <f>IF(A547&lt;&gt;"",VLOOKUP(A547,'📦 ชื่อสินค้า'!A:F,6,false),"")</f>
        <v/>
      </c>
      <c r="E547" s="16" t="str">
        <f>IFERROR(IF(VLOOKUP(A547,'📦 ชื่อสินค้า'!A:G,7,false)="InActive","InActive",IF(A547&lt;&gt;"",IF(B547&lt;=0,"สินค้าหมด",IF(B547&lt;=C547,"ควรเติมทันที","OK")),"")),)</f>
        <v/>
      </c>
      <c r="F547" s="24" t="str">
        <f>IFERROR(IF(A547&lt;&gt;"", SUMIF('💸 Transaction ซื้อ'!B:B,A547,'💸 Transaction ซื้อ'!G:G)/SUMIF('💸 Transaction ซื้อ'!B:B,A547,'💸 Transaction ซื้อ'!E:E),""),"-")</f>
        <v/>
      </c>
      <c r="G547" s="24" t="str">
        <f t="shared" si="1"/>
        <v/>
      </c>
      <c r="H547" s="25"/>
      <c r="I547" s="26"/>
      <c r="J547" s="26"/>
      <c r="K547" s="27" t="str">
        <f>IF(A547&lt;&gt;"",IF(E547="InActive","-",SUMIFS('💰 Transaction ขาย'!E:E,'💰 Transaction ขาย'!B:B,A547,'💰 Transaction ขาย'!A:A,"&gt;"&amp;'⚙️ Config'!$H$1-'⚙️ Config'!$H$2)),)</f>
        <v/>
      </c>
      <c r="L547" s="28" t="str">
        <f>IF(E547="InActive","-",IF(A547&lt;&gt;"",K547/'⚙️ Config'!$H$2,))</f>
        <v/>
      </c>
      <c r="M547" s="28" t="str">
        <f t="shared" si="2"/>
        <v/>
      </c>
      <c r="N547" s="28" t="str">
        <f>IF(A547&lt;&gt;"", SUMIFS('💰 Transaction ขาย'!F:F,'💰 Transaction ขาย'!B:B,A547,'💰 Transaction ขาย'!A:A,"&gt;="&amp;DATE(YEAR('⚙️ Config'!$H$1),1,1),'💰 Transaction ขาย'!A:A,"&lt;="&amp;DATE(YEAR('⚙️ Config'!$H$1),12,31)),)</f>
        <v/>
      </c>
    </row>
    <row r="548">
      <c r="A548" s="22"/>
      <c r="B548" s="22" t="str">
        <f>IF(A548&lt;&gt;"",SUMIFS('💸 Transaction ซื้อ'!E:E,'💸 Transaction ซื้อ'!B:B,A548)-SUMIFS('💰 Transaction ขาย'!E:E,'💰 Transaction ขาย'!B:B,A548),"")</f>
        <v/>
      </c>
      <c r="C548" s="23" t="str">
        <f>IF(A548&lt;&gt;"",vlookup(A548,'📦 ชื่อสินค้า'!A:E,5,false),"")</f>
        <v/>
      </c>
      <c r="D548" s="23" t="str">
        <f>IF(A548&lt;&gt;"",VLOOKUP(A548,'📦 ชื่อสินค้า'!A:F,6,false),"")</f>
        <v/>
      </c>
      <c r="E548" s="16" t="str">
        <f>IFERROR(IF(VLOOKUP(A548,'📦 ชื่อสินค้า'!A:G,7,false)="InActive","InActive",IF(A548&lt;&gt;"",IF(B548&lt;=0,"สินค้าหมด",IF(B548&lt;=C548,"ควรเติมทันที","OK")),"")),)</f>
        <v/>
      </c>
      <c r="F548" s="24" t="str">
        <f>IFERROR(IF(A548&lt;&gt;"", SUMIF('💸 Transaction ซื้อ'!B:B,A548,'💸 Transaction ซื้อ'!G:G)/SUMIF('💸 Transaction ซื้อ'!B:B,A548,'💸 Transaction ซื้อ'!E:E),""),"-")</f>
        <v/>
      </c>
      <c r="G548" s="24" t="str">
        <f t="shared" si="1"/>
        <v/>
      </c>
      <c r="H548" s="25"/>
      <c r="I548" s="26"/>
      <c r="J548" s="26"/>
      <c r="K548" s="27" t="str">
        <f>IF(A548&lt;&gt;"",IF(E548="InActive","-",SUMIFS('💰 Transaction ขาย'!E:E,'💰 Transaction ขาย'!B:B,A548,'💰 Transaction ขาย'!A:A,"&gt;"&amp;'⚙️ Config'!$H$1-'⚙️ Config'!$H$2)),)</f>
        <v/>
      </c>
      <c r="L548" s="28" t="str">
        <f>IF(E548="InActive","-",IF(A548&lt;&gt;"",K548/'⚙️ Config'!$H$2,))</f>
        <v/>
      </c>
      <c r="M548" s="28" t="str">
        <f t="shared" si="2"/>
        <v/>
      </c>
      <c r="N548" s="28" t="str">
        <f>IF(A548&lt;&gt;"", SUMIFS('💰 Transaction ขาย'!F:F,'💰 Transaction ขาย'!B:B,A548,'💰 Transaction ขาย'!A:A,"&gt;="&amp;DATE(YEAR('⚙️ Config'!$H$1),1,1),'💰 Transaction ขาย'!A:A,"&lt;="&amp;DATE(YEAR('⚙️ Config'!$H$1),12,31)),)</f>
        <v/>
      </c>
    </row>
    <row r="549">
      <c r="A549" s="22"/>
      <c r="B549" s="22" t="str">
        <f>IF(A549&lt;&gt;"",SUMIFS('💸 Transaction ซื้อ'!E:E,'💸 Transaction ซื้อ'!B:B,A549)-SUMIFS('💰 Transaction ขาย'!E:E,'💰 Transaction ขาย'!B:B,A549),"")</f>
        <v/>
      </c>
      <c r="C549" s="23" t="str">
        <f>IF(A549&lt;&gt;"",vlookup(A549,'📦 ชื่อสินค้า'!A:E,5,false),"")</f>
        <v/>
      </c>
      <c r="D549" s="23" t="str">
        <f>IF(A549&lt;&gt;"",VLOOKUP(A549,'📦 ชื่อสินค้า'!A:F,6,false),"")</f>
        <v/>
      </c>
      <c r="E549" s="16" t="str">
        <f>IFERROR(IF(VLOOKUP(A549,'📦 ชื่อสินค้า'!A:G,7,false)="InActive","InActive",IF(A549&lt;&gt;"",IF(B549&lt;=0,"สินค้าหมด",IF(B549&lt;=C549,"ควรเติมทันที","OK")),"")),)</f>
        <v/>
      </c>
      <c r="F549" s="24" t="str">
        <f>IFERROR(IF(A549&lt;&gt;"", SUMIF('💸 Transaction ซื้อ'!B:B,A549,'💸 Transaction ซื้อ'!G:G)/SUMIF('💸 Transaction ซื้อ'!B:B,A549,'💸 Transaction ซื้อ'!E:E),""),"-")</f>
        <v/>
      </c>
      <c r="G549" s="24" t="str">
        <f t="shared" si="1"/>
        <v/>
      </c>
      <c r="H549" s="25"/>
      <c r="I549" s="26"/>
      <c r="J549" s="26"/>
      <c r="K549" s="27" t="str">
        <f>IF(A549&lt;&gt;"",IF(E549="InActive","-",SUMIFS('💰 Transaction ขาย'!E:E,'💰 Transaction ขาย'!B:B,A549,'💰 Transaction ขาย'!A:A,"&gt;"&amp;'⚙️ Config'!$H$1-'⚙️ Config'!$H$2)),)</f>
        <v/>
      </c>
      <c r="L549" s="28" t="str">
        <f>IF(E549="InActive","-",IF(A549&lt;&gt;"",K549/'⚙️ Config'!$H$2,))</f>
        <v/>
      </c>
      <c r="M549" s="28" t="str">
        <f t="shared" si="2"/>
        <v/>
      </c>
      <c r="N549" s="28" t="str">
        <f>IF(A549&lt;&gt;"", SUMIFS('💰 Transaction ขาย'!F:F,'💰 Transaction ขาย'!B:B,A549,'💰 Transaction ขาย'!A:A,"&gt;="&amp;DATE(YEAR('⚙️ Config'!$H$1),1,1),'💰 Transaction ขาย'!A:A,"&lt;="&amp;DATE(YEAR('⚙️ Config'!$H$1),12,31)),)</f>
        <v/>
      </c>
    </row>
    <row r="550">
      <c r="A550" s="22"/>
      <c r="B550" s="22" t="str">
        <f>IF(A550&lt;&gt;"",SUMIFS('💸 Transaction ซื้อ'!E:E,'💸 Transaction ซื้อ'!B:B,A550)-SUMIFS('💰 Transaction ขาย'!E:E,'💰 Transaction ขาย'!B:B,A550),"")</f>
        <v/>
      </c>
      <c r="C550" s="23" t="str">
        <f>IF(A550&lt;&gt;"",vlookup(A550,'📦 ชื่อสินค้า'!A:E,5,false),"")</f>
        <v/>
      </c>
      <c r="D550" s="23" t="str">
        <f>IF(A550&lt;&gt;"",VLOOKUP(A550,'📦 ชื่อสินค้า'!A:F,6,false),"")</f>
        <v/>
      </c>
      <c r="E550" s="16" t="str">
        <f>IFERROR(IF(VLOOKUP(A550,'📦 ชื่อสินค้า'!A:G,7,false)="InActive","InActive",IF(A550&lt;&gt;"",IF(B550&lt;=0,"สินค้าหมด",IF(B550&lt;=C550,"ควรเติมทันที","OK")),"")),)</f>
        <v/>
      </c>
      <c r="F550" s="24" t="str">
        <f>IFERROR(IF(A550&lt;&gt;"", SUMIF('💸 Transaction ซื้อ'!B:B,A550,'💸 Transaction ซื้อ'!G:G)/SUMIF('💸 Transaction ซื้อ'!B:B,A550,'💸 Transaction ซื้อ'!E:E),""),"-")</f>
        <v/>
      </c>
      <c r="G550" s="24" t="str">
        <f t="shared" si="1"/>
        <v/>
      </c>
      <c r="H550" s="25"/>
      <c r="I550" s="26"/>
      <c r="J550" s="26"/>
      <c r="K550" s="27" t="str">
        <f>IF(A550&lt;&gt;"",IF(E550="InActive","-",SUMIFS('💰 Transaction ขาย'!E:E,'💰 Transaction ขาย'!B:B,A550,'💰 Transaction ขาย'!A:A,"&gt;"&amp;'⚙️ Config'!$H$1-'⚙️ Config'!$H$2)),)</f>
        <v/>
      </c>
      <c r="L550" s="28" t="str">
        <f>IF(E550="InActive","-",IF(A550&lt;&gt;"",K550/'⚙️ Config'!$H$2,))</f>
        <v/>
      </c>
      <c r="M550" s="28" t="str">
        <f t="shared" si="2"/>
        <v/>
      </c>
      <c r="N550" s="28" t="str">
        <f>IF(A550&lt;&gt;"", SUMIFS('💰 Transaction ขาย'!F:F,'💰 Transaction ขาย'!B:B,A550,'💰 Transaction ขาย'!A:A,"&gt;="&amp;DATE(YEAR('⚙️ Config'!$H$1),1,1),'💰 Transaction ขาย'!A:A,"&lt;="&amp;DATE(YEAR('⚙️ Config'!$H$1),12,31)),)</f>
        <v/>
      </c>
    </row>
    <row r="551">
      <c r="A551" s="22"/>
      <c r="B551" s="22" t="str">
        <f>IF(A551&lt;&gt;"",SUMIFS('💸 Transaction ซื้อ'!E:E,'💸 Transaction ซื้อ'!B:B,A551)-SUMIFS('💰 Transaction ขาย'!E:E,'💰 Transaction ขาย'!B:B,A551),"")</f>
        <v/>
      </c>
      <c r="C551" s="23" t="str">
        <f>IF(A551&lt;&gt;"",vlookup(A551,'📦 ชื่อสินค้า'!A:E,5,false),"")</f>
        <v/>
      </c>
      <c r="D551" s="23" t="str">
        <f>IF(A551&lt;&gt;"",VLOOKUP(A551,'📦 ชื่อสินค้า'!A:F,6,false),"")</f>
        <v/>
      </c>
      <c r="E551" s="16" t="str">
        <f>IFERROR(IF(VLOOKUP(A551,'📦 ชื่อสินค้า'!A:G,7,false)="InActive","InActive",IF(A551&lt;&gt;"",IF(B551&lt;=0,"สินค้าหมด",IF(B551&lt;=C551,"ควรเติมทันที","OK")),"")),)</f>
        <v/>
      </c>
      <c r="F551" s="24" t="str">
        <f>IFERROR(IF(A551&lt;&gt;"", SUMIF('💸 Transaction ซื้อ'!B:B,A551,'💸 Transaction ซื้อ'!G:G)/SUMIF('💸 Transaction ซื้อ'!B:B,A551,'💸 Transaction ซื้อ'!E:E),""),"-")</f>
        <v/>
      </c>
      <c r="G551" s="24" t="str">
        <f t="shared" si="1"/>
        <v/>
      </c>
      <c r="H551" s="25"/>
      <c r="I551" s="26"/>
      <c r="J551" s="26"/>
      <c r="K551" s="27" t="str">
        <f>IF(A551&lt;&gt;"",IF(E551="InActive","-",SUMIFS('💰 Transaction ขาย'!E:E,'💰 Transaction ขาย'!B:B,A551,'💰 Transaction ขาย'!A:A,"&gt;"&amp;'⚙️ Config'!$H$1-'⚙️ Config'!$H$2)),)</f>
        <v/>
      </c>
      <c r="L551" s="28" t="str">
        <f>IF(E551="InActive","-",IF(A551&lt;&gt;"",K551/'⚙️ Config'!$H$2,))</f>
        <v/>
      </c>
      <c r="M551" s="28" t="str">
        <f t="shared" si="2"/>
        <v/>
      </c>
      <c r="N551" s="28" t="str">
        <f>IF(A551&lt;&gt;"", SUMIFS('💰 Transaction ขาย'!F:F,'💰 Transaction ขาย'!B:B,A551,'💰 Transaction ขาย'!A:A,"&gt;="&amp;DATE(YEAR('⚙️ Config'!$H$1),1,1),'💰 Transaction ขาย'!A:A,"&lt;="&amp;DATE(YEAR('⚙️ Config'!$H$1),12,31)),)</f>
        <v/>
      </c>
    </row>
    <row r="552">
      <c r="A552" s="22"/>
      <c r="B552" s="22" t="str">
        <f>IF(A552&lt;&gt;"",SUMIFS('💸 Transaction ซื้อ'!E:E,'💸 Transaction ซื้อ'!B:B,A552)-SUMIFS('💰 Transaction ขาย'!E:E,'💰 Transaction ขาย'!B:B,A552),"")</f>
        <v/>
      </c>
      <c r="C552" s="23" t="str">
        <f>IF(A552&lt;&gt;"",vlookup(A552,'📦 ชื่อสินค้า'!A:E,5,false),"")</f>
        <v/>
      </c>
      <c r="D552" s="23" t="str">
        <f>IF(A552&lt;&gt;"",VLOOKUP(A552,'📦 ชื่อสินค้า'!A:F,6,false),"")</f>
        <v/>
      </c>
      <c r="E552" s="16" t="str">
        <f>IFERROR(IF(VLOOKUP(A552,'📦 ชื่อสินค้า'!A:G,7,false)="InActive","InActive",IF(A552&lt;&gt;"",IF(B552&lt;=0,"สินค้าหมด",IF(B552&lt;=C552,"ควรเติมทันที","OK")),"")),)</f>
        <v/>
      </c>
      <c r="F552" s="24" t="str">
        <f>IFERROR(IF(A552&lt;&gt;"", SUMIF('💸 Transaction ซื้อ'!B:B,A552,'💸 Transaction ซื้อ'!G:G)/SUMIF('💸 Transaction ซื้อ'!B:B,A552,'💸 Transaction ซื้อ'!E:E),""),"-")</f>
        <v/>
      </c>
      <c r="G552" s="24" t="str">
        <f t="shared" si="1"/>
        <v/>
      </c>
      <c r="H552" s="25"/>
      <c r="I552" s="26"/>
      <c r="J552" s="26"/>
      <c r="K552" s="27" t="str">
        <f>IF(A552&lt;&gt;"",IF(E552="InActive","-",SUMIFS('💰 Transaction ขาย'!E:E,'💰 Transaction ขาย'!B:B,A552,'💰 Transaction ขาย'!A:A,"&gt;"&amp;'⚙️ Config'!$H$1-'⚙️ Config'!$H$2)),)</f>
        <v/>
      </c>
      <c r="L552" s="28" t="str">
        <f>IF(E552="InActive","-",IF(A552&lt;&gt;"",K552/'⚙️ Config'!$H$2,))</f>
        <v/>
      </c>
      <c r="M552" s="28" t="str">
        <f t="shared" si="2"/>
        <v/>
      </c>
      <c r="N552" s="28" t="str">
        <f>IF(A552&lt;&gt;"", SUMIFS('💰 Transaction ขาย'!F:F,'💰 Transaction ขาย'!B:B,A552,'💰 Transaction ขาย'!A:A,"&gt;="&amp;DATE(YEAR('⚙️ Config'!$H$1),1,1),'💰 Transaction ขาย'!A:A,"&lt;="&amp;DATE(YEAR('⚙️ Config'!$H$1),12,31)),)</f>
        <v/>
      </c>
    </row>
    <row r="553">
      <c r="A553" s="22"/>
      <c r="B553" s="22" t="str">
        <f>IF(A553&lt;&gt;"",SUMIFS('💸 Transaction ซื้อ'!E:E,'💸 Transaction ซื้อ'!B:B,A553)-SUMIFS('💰 Transaction ขาย'!E:E,'💰 Transaction ขาย'!B:B,A553),"")</f>
        <v/>
      </c>
      <c r="C553" s="23" t="str">
        <f>IF(A553&lt;&gt;"",vlookup(A553,'📦 ชื่อสินค้า'!A:E,5,false),"")</f>
        <v/>
      </c>
      <c r="D553" s="23" t="str">
        <f>IF(A553&lt;&gt;"",VLOOKUP(A553,'📦 ชื่อสินค้า'!A:F,6,false),"")</f>
        <v/>
      </c>
      <c r="E553" s="16" t="str">
        <f>IFERROR(IF(VLOOKUP(A553,'📦 ชื่อสินค้า'!A:G,7,false)="InActive","InActive",IF(A553&lt;&gt;"",IF(B553&lt;=0,"สินค้าหมด",IF(B553&lt;=C553,"ควรเติมทันที","OK")),"")),)</f>
        <v/>
      </c>
      <c r="F553" s="24" t="str">
        <f>IFERROR(IF(A553&lt;&gt;"", SUMIF('💸 Transaction ซื้อ'!B:B,A553,'💸 Transaction ซื้อ'!G:G)/SUMIF('💸 Transaction ซื้อ'!B:B,A553,'💸 Transaction ซื้อ'!E:E),""),"-")</f>
        <v/>
      </c>
      <c r="G553" s="24" t="str">
        <f t="shared" si="1"/>
        <v/>
      </c>
      <c r="H553" s="25"/>
      <c r="I553" s="26"/>
      <c r="J553" s="26"/>
      <c r="K553" s="27" t="str">
        <f>IF(A553&lt;&gt;"",IF(E553="InActive","-",SUMIFS('💰 Transaction ขาย'!E:E,'💰 Transaction ขาย'!B:B,A553,'💰 Transaction ขาย'!A:A,"&gt;"&amp;'⚙️ Config'!$H$1-'⚙️ Config'!$H$2)),)</f>
        <v/>
      </c>
      <c r="L553" s="28" t="str">
        <f>IF(E553="InActive","-",IF(A553&lt;&gt;"",K553/'⚙️ Config'!$H$2,))</f>
        <v/>
      </c>
      <c r="M553" s="28" t="str">
        <f t="shared" si="2"/>
        <v/>
      </c>
      <c r="N553" s="28" t="str">
        <f>IF(A553&lt;&gt;"", SUMIFS('💰 Transaction ขาย'!F:F,'💰 Transaction ขาย'!B:B,A553,'💰 Transaction ขาย'!A:A,"&gt;="&amp;DATE(YEAR('⚙️ Config'!$H$1),1,1),'💰 Transaction ขาย'!A:A,"&lt;="&amp;DATE(YEAR('⚙️ Config'!$H$1),12,31)),)</f>
        <v/>
      </c>
    </row>
    <row r="554">
      <c r="A554" s="22"/>
      <c r="B554" s="22" t="str">
        <f>IF(A554&lt;&gt;"",SUMIFS('💸 Transaction ซื้อ'!E:E,'💸 Transaction ซื้อ'!B:B,A554)-SUMIFS('💰 Transaction ขาย'!E:E,'💰 Transaction ขาย'!B:B,A554),"")</f>
        <v/>
      </c>
      <c r="C554" s="23" t="str">
        <f>IF(A554&lt;&gt;"",vlookup(A554,'📦 ชื่อสินค้า'!A:E,5,false),"")</f>
        <v/>
      </c>
      <c r="D554" s="23" t="str">
        <f>IF(A554&lt;&gt;"",VLOOKUP(A554,'📦 ชื่อสินค้า'!A:F,6,false),"")</f>
        <v/>
      </c>
      <c r="E554" s="16" t="str">
        <f>IFERROR(IF(VLOOKUP(A554,'📦 ชื่อสินค้า'!A:G,7,false)="InActive","InActive",IF(A554&lt;&gt;"",IF(B554&lt;=0,"สินค้าหมด",IF(B554&lt;=C554,"ควรเติมทันที","OK")),"")),)</f>
        <v/>
      </c>
      <c r="F554" s="24" t="str">
        <f>IFERROR(IF(A554&lt;&gt;"", SUMIF('💸 Transaction ซื้อ'!B:B,A554,'💸 Transaction ซื้อ'!G:G)/SUMIF('💸 Transaction ซื้อ'!B:B,A554,'💸 Transaction ซื้อ'!E:E),""),"-")</f>
        <v/>
      </c>
      <c r="G554" s="24" t="str">
        <f t="shared" si="1"/>
        <v/>
      </c>
      <c r="H554" s="25"/>
      <c r="I554" s="26"/>
      <c r="J554" s="26"/>
      <c r="K554" s="27" t="str">
        <f>IF(A554&lt;&gt;"",IF(E554="InActive","-",SUMIFS('💰 Transaction ขาย'!E:E,'💰 Transaction ขาย'!B:B,A554,'💰 Transaction ขาย'!A:A,"&gt;"&amp;'⚙️ Config'!$H$1-'⚙️ Config'!$H$2)),)</f>
        <v/>
      </c>
      <c r="L554" s="28" t="str">
        <f>IF(E554="InActive","-",IF(A554&lt;&gt;"",K554/'⚙️ Config'!$H$2,))</f>
        <v/>
      </c>
      <c r="M554" s="28" t="str">
        <f t="shared" si="2"/>
        <v/>
      </c>
      <c r="N554" s="28" t="str">
        <f>IF(A554&lt;&gt;"", SUMIFS('💰 Transaction ขาย'!F:F,'💰 Transaction ขาย'!B:B,A554,'💰 Transaction ขาย'!A:A,"&gt;="&amp;DATE(YEAR('⚙️ Config'!$H$1),1,1),'💰 Transaction ขาย'!A:A,"&lt;="&amp;DATE(YEAR('⚙️ Config'!$H$1),12,31)),)</f>
        <v/>
      </c>
    </row>
    <row r="555">
      <c r="A555" s="22"/>
      <c r="B555" s="22" t="str">
        <f>IF(A555&lt;&gt;"",SUMIFS('💸 Transaction ซื้อ'!E:E,'💸 Transaction ซื้อ'!B:B,A555)-SUMIFS('💰 Transaction ขาย'!E:E,'💰 Transaction ขาย'!B:B,A555),"")</f>
        <v/>
      </c>
      <c r="C555" s="23" t="str">
        <f>IF(A555&lt;&gt;"",vlookup(A555,'📦 ชื่อสินค้า'!A:E,5,false),"")</f>
        <v/>
      </c>
      <c r="D555" s="23" t="str">
        <f>IF(A555&lt;&gt;"",VLOOKUP(A555,'📦 ชื่อสินค้า'!A:F,6,false),"")</f>
        <v/>
      </c>
      <c r="E555" s="16" t="str">
        <f>IFERROR(IF(VLOOKUP(A555,'📦 ชื่อสินค้า'!A:G,7,false)="InActive","InActive",IF(A555&lt;&gt;"",IF(B555&lt;=0,"สินค้าหมด",IF(B555&lt;=C555,"ควรเติมทันที","OK")),"")),)</f>
        <v/>
      </c>
      <c r="F555" s="24" t="str">
        <f>IFERROR(IF(A555&lt;&gt;"", SUMIF('💸 Transaction ซื้อ'!B:B,A555,'💸 Transaction ซื้อ'!G:G)/SUMIF('💸 Transaction ซื้อ'!B:B,A555,'💸 Transaction ซื้อ'!E:E),""),"-")</f>
        <v/>
      </c>
      <c r="G555" s="24" t="str">
        <f t="shared" si="1"/>
        <v/>
      </c>
      <c r="H555" s="25"/>
      <c r="I555" s="26"/>
      <c r="J555" s="26"/>
      <c r="K555" s="27" t="str">
        <f>IF(A555&lt;&gt;"",IF(E555="InActive","-",SUMIFS('💰 Transaction ขาย'!E:E,'💰 Transaction ขาย'!B:B,A555,'💰 Transaction ขาย'!A:A,"&gt;"&amp;'⚙️ Config'!$H$1-'⚙️ Config'!$H$2)),)</f>
        <v/>
      </c>
      <c r="L555" s="28" t="str">
        <f>IF(E555="InActive","-",IF(A555&lt;&gt;"",K555/'⚙️ Config'!$H$2,))</f>
        <v/>
      </c>
      <c r="M555" s="28" t="str">
        <f t="shared" si="2"/>
        <v/>
      </c>
      <c r="N555" s="28" t="str">
        <f>IF(A555&lt;&gt;"", SUMIFS('💰 Transaction ขาย'!F:F,'💰 Transaction ขาย'!B:B,A555,'💰 Transaction ขาย'!A:A,"&gt;="&amp;DATE(YEAR('⚙️ Config'!$H$1),1,1),'💰 Transaction ขาย'!A:A,"&lt;="&amp;DATE(YEAR('⚙️ Config'!$H$1),12,31)),)</f>
        <v/>
      </c>
    </row>
    <row r="556">
      <c r="A556" s="22"/>
      <c r="B556" s="22" t="str">
        <f>IF(A556&lt;&gt;"",SUMIFS('💸 Transaction ซื้อ'!E:E,'💸 Transaction ซื้อ'!B:B,A556)-SUMIFS('💰 Transaction ขาย'!E:E,'💰 Transaction ขาย'!B:B,A556),"")</f>
        <v/>
      </c>
      <c r="C556" s="23" t="str">
        <f>IF(A556&lt;&gt;"",vlookup(A556,'📦 ชื่อสินค้า'!A:E,5,false),"")</f>
        <v/>
      </c>
      <c r="D556" s="23" t="str">
        <f>IF(A556&lt;&gt;"",VLOOKUP(A556,'📦 ชื่อสินค้า'!A:F,6,false),"")</f>
        <v/>
      </c>
      <c r="E556" s="16" t="str">
        <f>IFERROR(IF(VLOOKUP(A556,'📦 ชื่อสินค้า'!A:G,7,false)="InActive","InActive",IF(A556&lt;&gt;"",IF(B556&lt;=0,"สินค้าหมด",IF(B556&lt;=C556,"ควรเติมทันที","OK")),"")),)</f>
        <v/>
      </c>
      <c r="F556" s="24" t="str">
        <f>IFERROR(IF(A556&lt;&gt;"", SUMIF('💸 Transaction ซื้อ'!B:B,A556,'💸 Transaction ซื้อ'!G:G)/SUMIF('💸 Transaction ซื้อ'!B:B,A556,'💸 Transaction ซื้อ'!E:E),""),"-")</f>
        <v/>
      </c>
      <c r="G556" s="24" t="str">
        <f t="shared" si="1"/>
        <v/>
      </c>
      <c r="H556" s="25"/>
      <c r="I556" s="26"/>
      <c r="J556" s="26"/>
      <c r="K556" s="27" t="str">
        <f>IF(A556&lt;&gt;"",IF(E556="InActive","-",SUMIFS('💰 Transaction ขาย'!E:E,'💰 Transaction ขาย'!B:B,A556,'💰 Transaction ขาย'!A:A,"&gt;"&amp;'⚙️ Config'!$H$1-'⚙️ Config'!$H$2)),)</f>
        <v/>
      </c>
      <c r="L556" s="28" t="str">
        <f>IF(E556="InActive","-",IF(A556&lt;&gt;"",K556/'⚙️ Config'!$H$2,))</f>
        <v/>
      </c>
      <c r="M556" s="28" t="str">
        <f t="shared" si="2"/>
        <v/>
      </c>
      <c r="N556" s="28" t="str">
        <f>IF(A556&lt;&gt;"", SUMIFS('💰 Transaction ขาย'!F:F,'💰 Transaction ขาย'!B:B,A556,'💰 Transaction ขาย'!A:A,"&gt;="&amp;DATE(YEAR('⚙️ Config'!$H$1),1,1),'💰 Transaction ขาย'!A:A,"&lt;="&amp;DATE(YEAR('⚙️ Config'!$H$1),12,31)),)</f>
        <v/>
      </c>
    </row>
    <row r="557">
      <c r="A557" s="22"/>
      <c r="B557" s="22" t="str">
        <f>IF(A557&lt;&gt;"",SUMIFS('💸 Transaction ซื้อ'!E:E,'💸 Transaction ซื้อ'!B:B,A557)-SUMIFS('💰 Transaction ขาย'!E:E,'💰 Transaction ขาย'!B:B,A557),"")</f>
        <v/>
      </c>
      <c r="C557" s="23" t="str">
        <f>IF(A557&lt;&gt;"",vlookup(A557,'📦 ชื่อสินค้า'!A:E,5,false),"")</f>
        <v/>
      </c>
      <c r="D557" s="23" t="str">
        <f>IF(A557&lt;&gt;"",VLOOKUP(A557,'📦 ชื่อสินค้า'!A:F,6,false),"")</f>
        <v/>
      </c>
      <c r="E557" s="16" t="str">
        <f>IFERROR(IF(VLOOKUP(A557,'📦 ชื่อสินค้า'!A:G,7,false)="InActive","InActive",IF(A557&lt;&gt;"",IF(B557&lt;=0,"สินค้าหมด",IF(B557&lt;=C557,"ควรเติมทันที","OK")),"")),)</f>
        <v/>
      </c>
      <c r="F557" s="24" t="str">
        <f>IFERROR(IF(A557&lt;&gt;"", SUMIF('💸 Transaction ซื้อ'!B:B,A557,'💸 Transaction ซื้อ'!G:G)/SUMIF('💸 Transaction ซื้อ'!B:B,A557,'💸 Transaction ซื้อ'!E:E),""),"-")</f>
        <v/>
      </c>
      <c r="G557" s="24" t="str">
        <f t="shared" si="1"/>
        <v/>
      </c>
      <c r="H557" s="25"/>
      <c r="I557" s="26"/>
      <c r="J557" s="26"/>
      <c r="K557" s="27" t="str">
        <f>IF(A557&lt;&gt;"",IF(E557="InActive","-",SUMIFS('💰 Transaction ขาย'!E:E,'💰 Transaction ขาย'!B:B,A557,'💰 Transaction ขาย'!A:A,"&gt;"&amp;'⚙️ Config'!$H$1-'⚙️ Config'!$H$2)),)</f>
        <v/>
      </c>
      <c r="L557" s="28" t="str">
        <f>IF(E557="InActive","-",IF(A557&lt;&gt;"",K557/'⚙️ Config'!$H$2,))</f>
        <v/>
      </c>
      <c r="M557" s="28" t="str">
        <f t="shared" si="2"/>
        <v/>
      </c>
      <c r="N557" s="28" t="str">
        <f>IF(A557&lt;&gt;"", SUMIFS('💰 Transaction ขาย'!F:F,'💰 Transaction ขาย'!B:B,A557,'💰 Transaction ขาย'!A:A,"&gt;="&amp;DATE(YEAR('⚙️ Config'!$H$1),1,1),'💰 Transaction ขาย'!A:A,"&lt;="&amp;DATE(YEAR('⚙️ Config'!$H$1),12,31)),)</f>
        <v/>
      </c>
    </row>
    <row r="558">
      <c r="A558" s="22"/>
      <c r="B558" s="22" t="str">
        <f>IF(A558&lt;&gt;"",SUMIFS('💸 Transaction ซื้อ'!E:E,'💸 Transaction ซื้อ'!B:B,A558)-SUMIFS('💰 Transaction ขาย'!E:E,'💰 Transaction ขาย'!B:B,A558),"")</f>
        <v/>
      </c>
      <c r="C558" s="23" t="str">
        <f>IF(A558&lt;&gt;"",vlookup(A558,'📦 ชื่อสินค้า'!A:E,5,false),"")</f>
        <v/>
      </c>
      <c r="D558" s="23" t="str">
        <f>IF(A558&lt;&gt;"",VLOOKUP(A558,'📦 ชื่อสินค้า'!A:F,6,false),"")</f>
        <v/>
      </c>
      <c r="E558" s="16" t="str">
        <f>IFERROR(IF(VLOOKUP(A558,'📦 ชื่อสินค้า'!A:G,7,false)="InActive","InActive",IF(A558&lt;&gt;"",IF(B558&lt;=0,"สินค้าหมด",IF(B558&lt;=C558,"ควรเติมทันที","OK")),"")),)</f>
        <v/>
      </c>
      <c r="F558" s="24" t="str">
        <f>IFERROR(IF(A558&lt;&gt;"", SUMIF('💸 Transaction ซื้อ'!B:B,A558,'💸 Transaction ซื้อ'!G:G)/SUMIF('💸 Transaction ซื้อ'!B:B,A558,'💸 Transaction ซื้อ'!E:E),""),"-")</f>
        <v/>
      </c>
      <c r="G558" s="24" t="str">
        <f t="shared" si="1"/>
        <v/>
      </c>
      <c r="H558" s="25"/>
      <c r="I558" s="26"/>
      <c r="J558" s="26"/>
      <c r="K558" s="27" t="str">
        <f>IF(A558&lt;&gt;"",IF(E558="InActive","-",SUMIFS('💰 Transaction ขาย'!E:E,'💰 Transaction ขาย'!B:B,A558,'💰 Transaction ขาย'!A:A,"&gt;"&amp;'⚙️ Config'!$H$1-'⚙️ Config'!$H$2)),)</f>
        <v/>
      </c>
      <c r="L558" s="28" t="str">
        <f>IF(E558="InActive","-",IF(A558&lt;&gt;"",K558/'⚙️ Config'!$H$2,))</f>
        <v/>
      </c>
      <c r="M558" s="28" t="str">
        <f t="shared" si="2"/>
        <v/>
      </c>
      <c r="N558" s="28" t="str">
        <f>IF(A558&lt;&gt;"", SUMIFS('💰 Transaction ขาย'!F:F,'💰 Transaction ขาย'!B:B,A558,'💰 Transaction ขาย'!A:A,"&gt;="&amp;DATE(YEAR('⚙️ Config'!$H$1),1,1),'💰 Transaction ขาย'!A:A,"&lt;="&amp;DATE(YEAR('⚙️ Config'!$H$1),12,31)),)</f>
        <v/>
      </c>
    </row>
    <row r="559">
      <c r="A559" s="22"/>
      <c r="B559" s="22" t="str">
        <f>IF(A559&lt;&gt;"",SUMIFS('💸 Transaction ซื้อ'!E:E,'💸 Transaction ซื้อ'!B:B,A559)-SUMIFS('💰 Transaction ขาย'!E:E,'💰 Transaction ขาย'!B:B,A559),"")</f>
        <v/>
      </c>
      <c r="C559" s="23" t="str">
        <f>IF(A559&lt;&gt;"",vlookup(A559,'📦 ชื่อสินค้า'!A:E,5,false),"")</f>
        <v/>
      </c>
      <c r="D559" s="23" t="str">
        <f>IF(A559&lt;&gt;"",VLOOKUP(A559,'📦 ชื่อสินค้า'!A:F,6,false),"")</f>
        <v/>
      </c>
      <c r="E559" s="16" t="str">
        <f>IFERROR(IF(VLOOKUP(A559,'📦 ชื่อสินค้า'!A:G,7,false)="InActive","InActive",IF(A559&lt;&gt;"",IF(B559&lt;=0,"สินค้าหมด",IF(B559&lt;=C559,"ควรเติมทันที","OK")),"")),)</f>
        <v/>
      </c>
      <c r="F559" s="24" t="str">
        <f>IFERROR(IF(A559&lt;&gt;"", SUMIF('💸 Transaction ซื้อ'!B:B,A559,'💸 Transaction ซื้อ'!G:G)/SUMIF('💸 Transaction ซื้อ'!B:B,A559,'💸 Transaction ซื้อ'!E:E),""),"-")</f>
        <v/>
      </c>
      <c r="G559" s="24" t="str">
        <f t="shared" si="1"/>
        <v/>
      </c>
      <c r="H559" s="25"/>
      <c r="I559" s="26"/>
      <c r="J559" s="26"/>
      <c r="K559" s="27" t="str">
        <f>IF(A559&lt;&gt;"",IF(E559="InActive","-",SUMIFS('💰 Transaction ขาย'!E:E,'💰 Transaction ขาย'!B:B,A559,'💰 Transaction ขาย'!A:A,"&gt;"&amp;'⚙️ Config'!$H$1-'⚙️ Config'!$H$2)),)</f>
        <v/>
      </c>
      <c r="L559" s="28" t="str">
        <f>IF(E559="InActive","-",IF(A559&lt;&gt;"",K559/'⚙️ Config'!$H$2,))</f>
        <v/>
      </c>
      <c r="M559" s="28" t="str">
        <f t="shared" si="2"/>
        <v/>
      </c>
      <c r="N559" s="28" t="str">
        <f>IF(A559&lt;&gt;"", SUMIFS('💰 Transaction ขาย'!F:F,'💰 Transaction ขาย'!B:B,A559,'💰 Transaction ขาย'!A:A,"&gt;="&amp;DATE(YEAR('⚙️ Config'!$H$1),1,1),'💰 Transaction ขาย'!A:A,"&lt;="&amp;DATE(YEAR('⚙️ Config'!$H$1),12,31)),)</f>
        <v/>
      </c>
    </row>
    <row r="560">
      <c r="A560" s="22"/>
      <c r="B560" s="22" t="str">
        <f>IF(A560&lt;&gt;"",SUMIFS('💸 Transaction ซื้อ'!E:E,'💸 Transaction ซื้อ'!B:B,A560)-SUMIFS('💰 Transaction ขาย'!E:E,'💰 Transaction ขาย'!B:B,A560),"")</f>
        <v/>
      </c>
      <c r="C560" s="23" t="str">
        <f>IF(A560&lt;&gt;"",vlookup(A560,'📦 ชื่อสินค้า'!A:E,5,false),"")</f>
        <v/>
      </c>
      <c r="D560" s="23" t="str">
        <f>IF(A560&lt;&gt;"",VLOOKUP(A560,'📦 ชื่อสินค้า'!A:F,6,false),"")</f>
        <v/>
      </c>
      <c r="E560" s="16" t="str">
        <f>IFERROR(IF(VLOOKUP(A560,'📦 ชื่อสินค้า'!A:G,7,false)="InActive","InActive",IF(A560&lt;&gt;"",IF(B560&lt;=0,"สินค้าหมด",IF(B560&lt;=C560,"ควรเติมทันที","OK")),"")),)</f>
        <v/>
      </c>
      <c r="F560" s="24" t="str">
        <f>IFERROR(IF(A560&lt;&gt;"", SUMIF('💸 Transaction ซื้อ'!B:B,A560,'💸 Transaction ซื้อ'!G:G)/SUMIF('💸 Transaction ซื้อ'!B:B,A560,'💸 Transaction ซื้อ'!E:E),""),"-")</f>
        <v/>
      </c>
      <c r="G560" s="24" t="str">
        <f t="shared" si="1"/>
        <v/>
      </c>
      <c r="H560" s="25"/>
      <c r="I560" s="26"/>
      <c r="J560" s="26"/>
      <c r="K560" s="27" t="str">
        <f>IF(A560&lt;&gt;"",IF(E560="InActive","-",SUMIFS('💰 Transaction ขาย'!E:E,'💰 Transaction ขาย'!B:B,A560,'💰 Transaction ขาย'!A:A,"&gt;"&amp;'⚙️ Config'!$H$1-'⚙️ Config'!$H$2)),)</f>
        <v/>
      </c>
      <c r="L560" s="28" t="str">
        <f>IF(E560="InActive","-",IF(A560&lt;&gt;"",K560/'⚙️ Config'!$H$2,))</f>
        <v/>
      </c>
      <c r="M560" s="28" t="str">
        <f t="shared" si="2"/>
        <v/>
      </c>
      <c r="N560" s="28" t="str">
        <f>IF(A560&lt;&gt;"", SUMIFS('💰 Transaction ขาย'!F:F,'💰 Transaction ขาย'!B:B,A560,'💰 Transaction ขาย'!A:A,"&gt;="&amp;DATE(YEAR('⚙️ Config'!$H$1),1,1),'💰 Transaction ขาย'!A:A,"&lt;="&amp;DATE(YEAR('⚙️ Config'!$H$1),12,31)),)</f>
        <v/>
      </c>
    </row>
    <row r="561">
      <c r="A561" s="22"/>
      <c r="B561" s="22" t="str">
        <f>IF(A561&lt;&gt;"",SUMIFS('💸 Transaction ซื้อ'!E:E,'💸 Transaction ซื้อ'!B:B,A561)-SUMIFS('💰 Transaction ขาย'!E:E,'💰 Transaction ขาย'!B:B,A561),"")</f>
        <v/>
      </c>
      <c r="C561" s="23" t="str">
        <f>IF(A561&lt;&gt;"",vlookup(A561,'📦 ชื่อสินค้า'!A:E,5,false),"")</f>
        <v/>
      </c>
      <c r="D561" s="23" t="str">
        <f>IF(A561&lt;&gt;"",VLOOKUP(A561,'📦 ชื่อสินค้า'!A:F,6,false),"")</f>
        <v/>
      </c>
      <c r="E561" s="16" t="str">
        <f>IFERROR(IF(VLOOKUP(A561,'📦 ชื่อสินค้า'!A:G,7,false)="InActive","InActive",IF(A561&lt;&gt;"",IF(B561&lt;=0,"สินค้าหมด",IF(B561&lt;=C561,"ควรเติมทันที","OK")),"")),)</f>
        <v/>
      </c>
      <c r="F561" s="24" t="str">
        <f>IFERROR(IF(A561&lt;&gt;"", SUMIF('💸 Transaction ซื้อ'!B:B,A561,'💸 Transaction ซื้อ'!G:G)/SUMIF('💸 Transaction ซื้อ'!B:B,A561,'💸 Transaction ซื้อ'!E:E),""),"-")</f>
        <v/>
      </c>
      <c r="G561" s="24" t="str">
        <f t="shared" si="1"/>
        <v/>
      </c>
      <c r="H561" s="25"/>
      <c r="I561" s="26"/>
      <c r="J561" s="26"/>
      <c r="K561" s="27" t="str">
        <f>IF(A561&lt;&gt;"",IF(E561="InActive","-",SUMIFS('💰 Transaction ขาย'!E:E,'💰 Transaction ขาย'!B:B,A561,'💰 Transaction ขาย'!A:A,"&gt;"&amp;'⚙️ Config'!$H$1-'⚙️ Config'!$H$2)),)</f>
        <v/>
      </c>
      <c r="L561" s="28" t="str">
        <f>IF(E561="InActive","-",IF(A561&lt;&gt;"",K561/'⚙️ Config'!$H$2,))</f>
        <v/>
      </c>
      <c r="M561" s="28" t="str">
        <f t="shared" si="2"/>
        <v/>
      </c>
      <c r="N561" s="28" t="str">
        <f>IF(A561&lt;&gt;"", SUMIFS('💰 Transaction ขาย'!F:F,'💰 Transaction ขาย'!B:B,A561,'💰 Transaction ขาย'!A:A,"&gt;="&amp;DATE(YEAR('⚙️ Config'!$H$1),1,1),'💰 Transaction ขาย'!A:A,"&lt;="&amp;DATE(YEAR('⚙️ Config'!$H$1),12,31)),)</f>
        <v/>
      </c>
    </row>
    <row r="562">
      <c r="A562" s="22"/>
      <c r="B562" s="22" t="str">
        <f>IF(A562&lt;&gt;"",SUMIFS('💸 Transaction ซื้อ'!E:E,'💸 Transaction ซื้อ'!B:B,A562)-SUMIFS('💰 Transaction ขาย'!E:E,'💰 Transaction ขาย'!B:B,A562),"")</f>
        <v/>
      </c>
      <c r="C562" s="23" t="str">
        <f>IF(A562&lt;&gt;"",vlookup(A562,'📦 ชื่อสินค้า'!A:E,5,false),"")</f>
        <v/>
      </c>
      <c r="D562" s="23" t="str">
        <f>IF(A562&lt;&gt;"",VLOOKUP(A562,'📦 ชื่อสินค้า'!A:F,6,false),"")</f>
        <v/>
      </c>
      <c r="E562" s="16" t="str">
        <f>IFERROR(IF(VLOOKUP(A562,'📦 ชื่อสินค้า'!A:G,7,false)="InActive","InActive",IF(A562&lt;&gt;"",IF(B562&lt;=0,"สินค้าหมด",IF(B562&lt;=C562,"ควรเติมทันที","OK")),"")),)</f>
        <v/>
      </c>
      <c r="F562" s="24" t="str">
        <f>IFERROR(IF(A562&lt;&gt;"", SUMIF('💸 Transaction ซื้อ'!B:B,A562,'💸 Transaction ซื้อ'!G:G)/SUMIF('💸 Transaction ซื้อ'!B:B,A562,'💸 Transaction ซื้อ'!E:E),""),"-")</f>
        <v/>
      </c>
      <c r="G562" s="24" t="str">
        <f t="shared" si="1"/>
        <v/>
      </c>
      <c r="H562" s="25"/>
      <c r="I562" s="26"/>
      <c r="J562" s="26"/>
      <c r="K562" s="27" t="str">
        <f>IF(A562&lt;&gt;"",IF(E562="InActive","-",SUMIFS('💰 Transaction ขาย'!E:E,'💰 Transaction ขาย'!B:B,A562,'💰 Transaction ขาย'!A:A,"&gt;"&amp;'⚙️ Config'!$H$1-'⚙️ Config'!$H$2)),)</f>
        <v/>
      </c>
      <c r="L562" s="28" t="str">
        <f>IF(E562="InActive","-",IF(A562&lt;&gt;"",K562/'⚙️ Config'!$H$2,))</f>
        <v/>
      </c>
      <c r="M562" s="28" t="str">
        <f t="shared" si="2"/>
        <v/>
      </c>
      <c r="N562" s="28" t="str">
        <f>IF(A562&lt;&gt;"", SUMIFS('💰 Transaction ขาย'!F:F,'💰 Transaction ขาย'!B:B,A562,'💰 Transaction ขาย'!A:A,"&gt;="&amp;DATE(YEAR('⚙️ Config'!$H$1),1,1),'💰 Transaction ขาย'!A:A,"&lt;="&amp;DATE(YEAR('⚙️ Config'!$H$1),12,31)),)</f>
        <v/>
      </c>
    </row>
    <row r="563">
      <c r="A563" s="22"/>
      <c r="B563" s="22" t="str">
        <f>IF(A563&lt;&gt;"",SUMIFS('💸 Transaction ซื้อ'!E:E,'💸 Transaction ซื้อ'!B:B,A563)-SUMIFS('💰 Transaction ขาย'!E:E,'💰 Transaction ขาย'!B:B,A563),"")</f>
        <v/>
      </c>
      <c r="C563" s="23" t="str">
        <f>IF(A563&lt;&gt;"",vlookup(A563,'📦 ชื่อสินค้า'!A:E,5,false),"")</f>
        <v/>
      </c>
      <c r="D563" s="23" t="str">
        <f>IF(A563&lt;&gt;"",VLOOKUP(A563,'📦 ชื่อสินค้า'!A:F,6,false),"")</f>
        <v/>
      </c>
      <c r="E563" s="16" t="str">
        <f>IFERROR(IF(VLOOKUP(A563,'📦 ชื่อสินค้า'!A:G,7,false)="InActive","InActive",IF(A563&lt;&gt;"",IF(B563&lt;=0,"สินค้าหมด",IF(B563&lt;=C563,"ควรเติมทันที","OK")),"")),)</f>
        <v/>
      </c>
      <c r="F563" s="24" t="str">
        <f>IFERROR(IF(A563&lt;&gt;"", SUMIF('💸 Transaction ซื้อ'!B:B,A563,'💸 Transaction ซื้อ'!G:G)/SUMIF('💸 Transaction ซื้อ'!B:B,A563,'💸 Transaction ซื้อ'!E:E),""),"-")</f>
        <v/>
      </c>
      <c r="G563" s="24" t="str">
        <f t="shared" si="1"/>
        <v/>
      </c>
      <c r="H563" s="25"/>
      <c r="I563" s="26"/>
      <c r="J563" s="26"/>
      <c r="K563" s="27" t="str">
        <f>IF(A563&lt;&gt;"",IF(E563="InActive","-",SUMIFS('💰 Transaction ขาย'!E:E,'💰 Transaction ขาย'!B:B,A563,'💰 Transaction ขาย'!A:A,"&gt;"&amp;'⚙️ Config'!$H$1-'⚙️ Config'!$H$2)),)</f>
        <v/>
      </c>
      <c r="L563" s="28" t="str">
        <f>IF(E563="InActive","-",IF(A563&lt;&gt;"",K563/'⚙️ Config'!$H$2,))</f>
        <v/>
      </c>
      <c r="M563" s="28" t="str">
        <f t="shared" si="2"/>
        <v/>
      </c>
      <c r="N563" s="28" t="str">
        <f>IF(A563&lt;&gt;"", SUMIFS('💰 Transaction ขาย'!F:F,'💰 Transaction ขาย'!B:B,A563,'💰 Transaction ขาย'!A:A,"&gt;="&amp;DATE(YEAR('⚙️ Config'!$H$1),1,1),'💰 Transaction ขาย'!A:A,"&lt;="&amp;DATE(YEAR('⚙️ Config'!$H$1),12,31)),)</f>
        <v/>
      </c>
    </row>
    <row r="564">
      <c r="A564" s="22"/>
      <c r="B564" s="22" t="str">
        <f>IF(A564&lt;&gt;"",SUMIFS('💸 Transaction ซื้อ'!E:E,'💸 Transaction ซื้อ'!B:B,A564)-SUMIFS('💰 Transaction ขาย'!E:E,'💰 Transaction ขาย'!B:B,A564),"")</f>
        <v/>
      </c>
      <c r="C564" s="23" t="str">
        <f>IF(A564&lt;&gt;"",vlookup(A564,'📦 ชื่อสินค้า'!A:E,5,false),"")</f>
        <v/>
      </c>
      <c r="D564" s="23" t="str">
        <f>IF(A564&lt;&gt;"",VLOOKUP(A564,'📦 ชื่อสินค้า'!A:F,6,false),"")</f>
        <v/>
      </c>
      <c r="E564" s="16" t="str">
        <f>IFERROR(IF(VLOOKUP(A564,'📦 ชื่อสินค้า'!A:G,7,false)="InActive","InActive",IF(A564&lt;&gt;"",IF(B564&lt;=0,"สินค้าหมด",IF(B564&lt;=C564,"ควรเติมทันที","OK")),"")),)</f>
        <v/>
      </c>
      <c r="F564" s="24" t="str">
        <f>IFERROR(IF(A564&lt;&gt;"", SUMIF('💸 Transaction ซื้อ'!B:B,A564,'💸 Transaction ซื้อ'!G:G)/SUMIF('💸 Transaction ซื้อ'!B:B,A564,'💸 Transaction ซื้อ'!E:E),""),"-")</f>
        <v/>
      </c>
      <c r="G564" s="24" t="str">
        <f t="shared" si="1"/>
        <v/>
      </c>
      <c r="H564" s="25"/>
      <c r="I564" s="26"/>
      <c r="J564" s="26"/>
      <c r="K564" s="27" t="str">
        <f>IF(A564&lt;&gt;"",IF(E564="InActive","-",SUMIFS('💰 Transaction ขาย'!E:E,'💰 Transaction ขาย'!B:B,A564,'💰 Transaction ขาย'!A:A,"&gt;"&amp;'⚙️ Config'!$H$1-'⚙️ Config'!$H$2)),)</f>
        <v/>
      </c>
      <c r="L564" s="28" t="str">
        <f>IF(E564="InActive","-",IF(A564&lt;&gt;"",K564/'⚙️ Config'!$H$2,))</f>
        <v/>
      </c>
      <c r="M564" s="28" t="str">
        <f t="shared" si="2"/>
        <v/>
      </c>
      <c r="N564" s="28" t="str">
        <f>IF(A564&lt;&gt;"", SUMIFS('💰 Transaction ขาย'!F:F,'💰 Transaction ขาย'!B:B,A564,'💰 Transaction ขาย'!A:A,"&gt;="&amp;DATE(YEAR('⚙️ Config'!$H$1),1,1),'💰 Transaction ขาย'!A:A,"&lt;="&amp;DATE(YEAR('⚙️ Config'!$H$1),12,31)),)</f>
        <v/>
      </c>
    </row>
    <row r="565">
      <c r="A565" s="22"/>
      <c r="B565" s="22" t="str">
        <f>IF(A565&lt;&gt;"",SUMIFS('💸 Transaction ซื้อ'!E:E,'💸 Transaction ซื้อ'!B:B,A565)-SUMIFS('💰 Transaction ขาย'!E:E,'💰 Transaction ขาย'!B:B,A565),"")</f>
        <v/>
      </c>
      <c r="C565" s="23" t="str">
        <f>IF(A565&lt;&gt;"",vlookup(A565,'📦 ชื่อสินค้า'!A:E,5,false),"")</f>
        <v/>
      </c>
      <c r="D565" s="23" t="str">
        <f>IF(A565&lt;&gt;"",VLOOKUP(A565,'📦 ชื่อสินค้า'!A:F,6,false),"")</f>
        <v/>
      </c>
      <c r="E565" s="16" t="str">
        <f>IFERROR(IF(VLOOKUP(A565,'📦 ชื่อสินค้า'!A:G,7,false)="InActive","InActive",IF(A565&lt;&gt;"",IF(B565&lt;=0,"สินค้าหมด",IF(B565&lt;=C565,"ควรเติมทันที","OK")),"")),)</f>
        <v/>
      </c>
      <c r="F565" s="24" t="str">
        <f>IFERROR(IF(A565&lt;&gt;"", SUMIF('💸 Transaction ซื้อ'!B:B,A565,'💸 Transaction ซื้อ'!G:G)/SUMIF('💸 Transaction ซื้อ'!B:B,A565,'💸 Transaction ซื้อ'!E:E),""),"-")</f>
        <v/>
      </c>
      <c r="G565" s="24" t="str">
        <f t="shared" si="1"/>
        <v/>
      </c>
      <c r="H565" s="25"/>
      <c r="I565" s="26"/>
      <c r="J565" s="26"/>
      <c r="K565" s="27" t="str">
        <f>IF(A565&lt;&gt;"",IF(E565="InActive","-",SUMIFS('💰 Transaction ขาย'!E:E,'💰 Transaction ขาย'!B:B,A565,'💰 Transaction ขาย'!A:A,"&gt;"&amp;'⚙️ Config'!$H$1-'⚙️ Config'!$H$2)),)</f>
        <v/>
      </c>
      <c r="L565" s="28" t="str">
        <f>IF(E565="InActive","-",IF(A565&lt;&gt;"",K565/'⚙️ Config'!$H$2,))</f>
        <v/>
      </c>
      <c r="M565" s="28" t="str">
        <f t="shared" si="2"/>
        <v/>
      </c>
      <c r="N565" s="28" t="str">
        <f>IF(A565&lt;&gt;"", SUMIFS('💰 Transaction ขาย'!F:F,'💰 Transaction ขาย'!B:B,A565,'💰 Transaction ขาย'!A:A,"&gt;="&amp;DATE(YEAR('⚙️ Config'!$H$1),1,1),'💰 Transaction ขาย'!A:A,"&lt;="&amp;DATE(YEAR('⚙️ Config'!$H$1),12,31)),)</f>
        <v/>
      </c>
    </row>
    <row r="566">
      <c r="A566" s="22"/>
      <c r="B566" s="22" t="str">
        <f>IF(A566&lt;&gt;"",SUMIFS('💸 Transaction ซื้อ'!E:E,'💸 Transaction ซื้อ'!B:B,A566)-SUMIFS('💰 Transaction ขาย'!E:E,'💰 Transaction ขาย'!B:B,A566),"")</f>
        <v/>
      </c>
      <c r="C566" s="23" t="str">
        <f>IF(A566&lt;&gt;"",vlookup(A566,'📦 ชื่อสินค้า'!A:E,5,false),"")</f>
        <v/>
      </c>
      <c r="D566" s="23" t="str">
        <f>IF(A566&lt;&gt;"",VLOOKUP(A566,'📦 ชื่อสินค้า'!A:F,6,false),"")</f>
        <v/>
      </c>
      <c r="E566" s="16" t="str">
        <f>IFERROR(IF(VLOOKUP(A566,'📦 ชื่อสินค้า'!A:G,7,false)="InActive","InActive",IF(A566&lt;&gt;"",IF(B566&lt;=0,"สินค้าหมด",IF(B566&lt;=C566,"ควรเติมทันที","OK")),"")),)</f>
        <v/>
      </c>
      <c r="F566" s="24" t="str">
        <f>IFERROR(IF(A566&lt;&gt;"", SUMIF('💸 Transaction ซื้อ'!B:B,A566,'💸 Transaction ซื้อ'!G:G)/SUMIF('💸 Transaction ซื้อ'!B:B,A566,'💸 Transaction ซื้อ'!E:E),""),"-")</f>
        <v/>
      </c>
      <c r="G566" s="24" t="str">
        <f t="shared" si="1"/>
        <v/>
      </c>
      <c r="H566" s="25"/>
      <c r="I566" s="26"/>
      <c r="J566" s="26"/>
      <c r="K566" s="27" t="str">
        <f>IF(A566&lt;&gt;"",IF(E566="InActive","-",SUMIFS('💰 Transaction ขาย'!E:E,'💰 Transaction ขาย'!B:B,A566,'💰 Transaction ขาย'!A:A,"&gt;"&amp;'⚙️ Config'!$H$1-'⚙️ Config'!$H$2)),)</f>
        <v/>
      </c>
      <c r="L566" s="28" t="str">
        <f>IF(E566="InActive","-",IF(A566&lt;&gt;"",K566/'⚙️ Config'!$H$2,))</f>
        <v/>
      </c>
      <c r="M566" s="28" t="str">
        <f t="shared" si="2"/>
        <v/>
      </c>
      <c r="N566" s="28" t="str">
        <f>IF(A566&lt;&gt;"", SUMIFS('💰 Transaction ขาย'!F:F,'💰 Transaction ขาย'!B:B,A566,'💰 Transaction ขาย'!A:A,"&gt;="&amp;DATE(YEAR('⚙️ Config'!$H$1),1,1),'💰 Transaction ขาย'!A:A,"&lt;="&amp;DATE(YEAR('⚙️ Config'!$H$1),12,31)),)</f>
        <v/>
      </c>
    </row>
    <row r="567">
      <c r="A567" s="22"/>
      <c r="B567" s="22" t="str">
        <f>IF(A567&lt;&gt;"",SUMIFS('💸 Transaction ซื้อ'!E:E,'💸 Transaction ซื้อ'!B:B,A567)-SUMIFS('💰 Transaction ขาย'!E:E,'💰 Transaction ขาย'!B:B,A567),"")</f>
        <v/>
      </c>
      <c r="C567" s="23" t="str">
        <f>IF(A567&lt;&gt;"",vlookup(A567,'📦 ชื่อสินค้า'!A:E,5,false),"")</f>
        <v/>
      </c>
      <c r="D567" s="23" t="str">
        <f>IF(A567&lt;&gt;"",VLOOKUP(A567,'📦 ชื่อสินค้า'!A:F,6,false),"")</f>
        <v/>
      </c>
      <c r="E567" s="16" t="str">
        <f>IFERROR(IF(VLOOKUP(A567,'📦 ชื่อสินค้า'!A:G,7,false)="InActive","InActive",IF(A567&lt;&gt;"",IF(B567&lt;=0,"สินค้าหมด",IF(B567&lt;=C567,"ควรเติมทันที","OK")),"")),)</f>
        <v/>
      </c>
      <c r="F567" s="24" t="str">
        <f>IFERROR(IF(A567&lt;&gt;"", SUMIF('💸 Transaction ซื้อ'!B:B,A567,'💸 Transaction ซื้อ'!G:G)/SUMIF('💸 Transaction ซื้อ'!B:B,A567,'💸 Transaction ซื้อ'!E:E),""),"-")</f>
        <v/>
      </c>
      <c r="G567" s="24" t="str">
        <f t="shared" si="1"/>
        <v/>
      </c>
      <c r="H567" s="25"/>
      <c r="I567" s="26"/>
      <c r="J567" s="26"/>
      <c r="K567" s="27" t="str">
        <f>IF(A567&lt;&gt;"",IF(E567="InActive","-",SUMIFS('💰 Transaction ขาย'!E:E,'💰 Transaction ขาย'!B:B,A567,'💰 Transaction ขาย'!A:A,"&gt;"&amp;'⚙️ Config'!$H$1-'⚙️ Config'!$H$2)),)</f>
        <v/>
      </c>
      <c r="L567" s="28" t="str">
        <f>IF(E567="InActive","-",IF(A567&lt;&gt;"",K567/'⚙️ Config'!$H$2,))</f>
        <v/>
      </c>
      <c r="M567" s="28" t="str">
        <f t="shared" si="2"/>
        <v/>
      </c>
      <c r="N567" s="28" t="str">
        <f>IF(A567&lt;&gt;"", SUMIFS('💰 Transaction ขาย'!F:F,'💰 Transaction ขาย'!B:B,A567,'💰 Transaction ขาย'!A:A,"&gt;="&amp;DATE(YEAR('⚙️ Config'!$H$1),1,1),'💰 Transaction ขาย'!A:A,"&lt;="&amp;DATE(YEAR('⚙️ Config'!$H$1),12,31)),)</f>
        <v/>
      </c>
    </row>
    <row r="568">
      <c r="A568" s="22"/>
      <c r="B568" s="22" t="str">
        <f>IF(A568&lt;&gt;"",SUMIFS('💸 Transaction ซื้อ'!E:E,'💸 Transaction ซื้อ'!B:B,A568)-SUMIFS('💰 Transaction ขาย'!E:E,'💰 Transaction ขาย'!B:B,A568),"")</f>
        <v/>
      </c>
      <c r="C568" s="23" t="str">
        <f>IF(A568&lt;&gt;"",vlookup(A568,'📦 ชื่อสินค้า'!A:E,5,false),"")</f>
        <v/>
      </c>
      <c r="D568" s="23" t="str">
        <f>IF(A568&lt;&gt;"",VLOOKUP(A568,'📦 ชื่อสินค้า'!A:F,6,false),"")</f>
        <v/>
      </c>
      <c r="E568" s="16" t="str">
        <f>IFERROR(IF(VLOOKUP(A568,'📦 ชื่อสินค้า'!A:G,7,false)="InActive","InActive",IF(A568&lt;&gt;"",IF(B568&lt;=0,"สินค้าหมด",IF(B568&lt;=C568,"ควรเติมทันที","OK")),"")),)</f>
        <v/>
      </c>
      <c r="F568" s="24" t="str">
        <f>IFERROR(IF(A568&lt;&gt;"", SUMIF('💸 Transaction ซื้อ'!B:B,A568,'💸 Transaction ซื้อ'!G:G)/SUMIF('💸 Transaction ซื้อ'!B:B,A568,'💸 Transaction ซื้อ'!E:E),""),"-")</f>
        <v/>
      </c>
      <c r="G568" s="24" t="str">
        <f t="shared" si="1"/>
        <v/>
      </c>
      <c r="H568" s="25"/>
      <c r="I568" s="26"/>
      <c r="J568" s="26"/>
      <c r="K568" s="27" t="str">
        <f>IF(A568&lt;&gt;"",IF(E568="InActive","-",SUMIFS('💰 Transaction ขาย'!E:E,'💰 Transaction ขาย'!B:B,A568,'💰 Transaction ขาย'!A:A,"&gt;"&amp;'⚙️ Config'!$H$1-'⚙️ Config'!$H$2)),)</f>
        <v/>
      </c>
      <c r="L568" s="28" t="str">
        <f>IF(E568="InActive","-",IF(A568&lt;&gt;"",K568/'⚙️ Config'!$H$2,))</f>
        <v/>
      </c>
      <c r="M568" s="28" t="str">
        <f t="shared" si="2"/>
        <v/>
      </c>
      <c r="N568" s="28" t="str">
        <f>IF(A568&lt;&gt;"", SUMIFS('💰 Transaction ขาย'!F:F,'💰 Transaction ขาย'!B:B,A568,'💰 Transaction ขาย'!A:A,"&gt;="&amp;DATE(YEAR('⚙️ Config'!$H$1),1,1),'💰 Transaction ขาย'!A:A,"&lt;="&amp;DATE(YEAR('⚙️ Config'!$H$1),12,31)),)</f>
        <v/>
      </c>
    </row>
    <row r="569">
      <c r="A569" s="22"/>
      <c r="B569" s="22" t="str">
        <f>IF(A569&lt;&gt;"",SUMIFS('💸 Transaction ซื้อ'!E:E,'💸 Transaction ซื้อ'!B:B,A569)-SUMIFS('💰 Transaction ขาย'!E:E,'💰 Transaction ขาย'!B:B,A569),"")</f>
        <v/>
      </c>
      <c r="C569" s="23" t="str">
        <f>IF(A569&lt;&gt;"",vlookup(A569,'📦 ชื่อสินค้า'!A:E,5,false),"")</f>
        <v/>
      </c>
      <c r="D569" s="23" t="str">
        <f>IF(A569&lt;&gt;"",VLOOKUP(A569,'📦 ชื่อสินค้า'!A:F,6,false),"")</f>
        <v/>
      </c>
      <c r="E569" s="16" t="str">
        <f>IFERROR(IF(VLOOKUP(A569,'📦 ชื่อสินค้า'!A:G,7,false)="InActive","InActive",IF(A569&lt;&gt;"",IF(B569&lt;=0,"สินค้าหมด",IF(B569&lt;=C569,"ควรเติมทันที","OK")),"")),)</f>
        <v/>
      </c>
      <c r="F569" s="24" t="str">
        <f>IFERROR(IF(A569&lt;&gt;"", SUMIF('💸 Transaction ซื้อ'!B:B,A569,'💸 Transaction ซื้อ'!G:G)/SUMIF('💸 Transaction ซื้อ'!B:B,A569,'💸 Transaction ซื้อ'!E:E),""),"-")</f>
        <v/>
      </c>
      <c r="G569" s="24" t="str">
        <f t="shared" si="1"/>
        <v/>
      </c>
      <c r="H569" s="25"/>
      <c r="I569" s="26"/>
      <c r="J569" s="26"/>
      <c r="K569" s="27" t="str">
        <f>IF(A569&lt;&gt;"",IF(E569="InActive","-",SUMIFS('💰 Transaction ขาย'!E:E,'💰 Transaction ขาย'!B:B,A569,'💰 Transaction ขาย'!A:A,"&gt;"&amp;'⚙️ Config'!$H$1-'⚙️ Config'!$H$2)),)</f>
        <v/>
      </c>
      <c r="L569" s="28" t="str">
        <f>IF(E569="InActive","-",IF(A569&lt;&gt;"",K569/'⚙️ Config'!$H$2,))</f>
        <v/>
      </c>
      <c r="M569" s="28" t="str">
        <f t="shared" si="2"/>
        <v/>
      </c>
      <c r="N569" s="28" t="str">
        <f>IF(A569&lt;&gt;"", SUMIFS('💰 Transaction ขาย'!F:F,'💰 Transaction ขาย'!B:B,A569,'💰 Transaction ขาย'!A:A,"&gt;="&amp;DATE(YEAR('⚙️ Config'!$H$1),1,1),'💰 Transaction ขาย'!A:A,"&lt;="&amp;DATE(YEAR('⚙️ Config'!$H$1),12,31)),)</f>
        <v/>
      </c>
    </row>
    <row r="570">
      <c r="A570" s="22"/>
      <c r="B570" s="22" t="str">
        <f>IF(A570&lt;&gt;"",SUMIFS('💸 Transaction ซื้อ'!E:E,'💸 Transaction ซื้อ'!B:B,A570)-SUMIFS('💰 Transaction ขาย'!E:E,'💰 Transaction ขาย'!B:B,A570),"")</f>
        <v/>
      </c>
      <c r="C570" s="23" t="str">
        <f>IF(A570&lt;&gt;"",vlookup(A570,'📦 ชื่อสินค้า'!A:E,5,false),"")</f>
        <v/>
      </c>
      <c r="D570" s="23" t="str">
        <f>IF(A570&lt;&gt;"",VLOOKUP(A570,'📦 ชื่อสินค้า'!A:F,6,false),"")</f>
        <v/>
      </c>
      <c r="E570" s="16" t="str">
        <f>IFERROR(IF(VLOOKUP(A570,'📦 ชื่อสินค้า'!A:G,7,false)="InActive","InActive",IF(A570&lt;&gt;"",IF(B570&lt;=0,"สินค้าหมด",IF(B570&lt;=C570,"ควรเติมทันที","OK")),"")),)</f>
        <v/>
      </c>
      <c r="F570" s="24" t="str">
        <f>IFERROR(IF(A570&lt;&gt;"", SUMIF('💸 Transaction ซื้อ'!B:B,A570,'💸 Transaction ซื้อ'!G:G)/SUMIF('💸 Transaction ซื้อ'!B:B,A570,'💸 Transaction ซื้อ'!E:E),""),"-")</f>
        <v/>
      </c>
      <c r="G570" s="24" t="str">
        <f t="shared" si="1"/>
        <v/>
      </c>
      <c r="H570" s="25"/>
      <c r="I570" s="26"/>
      <c r="J570" s="26"/>
      <c r="K570" s="27" t="str">
        <f>IF(A570&lt;&gt;"",IF(E570="InActive","-",SUMIFS('💰 Transaction ขาย'!E:E,'💰 Transaction ขาย'!B:B,A570,'💰 Transaction ขาย'!A:A,"&gt;"&amp;'⚙️ Config'!$H$1-'⚙️ Config'!$H$2)),)</f>
        <v/>
      </c>
      <c r="L570" s="28" t="str">
        <f>IF(E570="InActive","-",IF(A570&lt;&gt;"",K570/'⚙️ Config'!$H$2,))</f>
        <v/>
      </c>
      <c r="M570" s="28" t="str">
        <f t="shared" si="2"/>
        <v/>
      </c>
      <c r="N570" s="28" t="str">
        <f>IF(A570&lt;&gt;"", SUMIFS('💰 Transaction ขาย'!F:F,'💰 Transaction ขาย'!B:B,A570,'💰 Transaction ขาย'!A:A,"&gt;="&amp;DATE(YEAR('⚙️ Config'!$H$1),1,1),'💰 Transaction ขาย'!A:A,"&lt;="&amp;DATE(YEAR('⚙️ Config'!$H$1),12,31)),)</f>
        <v/>
      </c>
    </row>
    <row r="571">
      <c r="A571" s="22"/>
      <c r="B571" s="22" t="str">
        <f>IF(A571&lt;&gt;"",SUMIFS('💸 Transaction ซื้อ'!E:E,'💸 Transaction ซื้อ'!B:B,A571)-SUMIFS('💰 Transaction ขาย'!E:E,'💰 Transaction ขาย'!B:B,A571),"")</f>
        <v/>
      </c>
      <c r="C571" s="23" t="str">
        <f>IF(A571&lt;&gt;"",vlookup(A571,'📦 ชื่อสินค้า'!A:E,5,false),"")</f>
        <v/>
      </c>
      <c r="D571" s="23" t="str">
        <f>IF(A571&lt;&gt;"",VLOOKUP(A571,'📦 ชื่อสินค้า'!A:F,6,false),"")</f>
        <v/>
      </c>
      <c r="E571" s="16" t="str">
        <f>IFERROR(IF(VLOOKUP(A571,'📦 ชื่อสินค้า'!A:G,7,false)="InActive","InActive",IF(A571&lt;&gt;"",IF(B571&lt;=0,"สินค้าหมด",IF(B571&lt;=C571,"ควรเติมทันที","OK")),"")),)</f>
        <v/>
      </c>
      <c r="F571" s="24" t="str">
        <f>IFERROR(IF(A571&lt;&gt;"", SUMIF('💸 Transaction ซื้อ'!B:B,A571,'💸 Transaction ซื้อ'!G:G)/SUMIF('💸 Transaction ซื้อ'!B:B,A571,'💸 Transaction ซื้อ'!E:E),""),"-")</f>
        <v/>
      </c>
      <c r="G571" s="24" t="str">
        <f t="shared" si="1"/>
        <v/>
      </c>
      <c r="H571" s="25"/>
      <c r="I571" s="26"/>
      <c r="J571" s="26"/>
      <c r="K571" s="27" t="str">
        <f>IF(A571&lt;&gt;"",IF(E571="InActive","-",SUMIFS('💰 Transaction ขาย'!E:E,'💰 Transaction ขาย'!B:B,A571,'💰 Transaction ขาย'!A:A,"&gt;"&amp;'⚙️ Config'!$H$1-'⚙️ Config'!$H$2)),)</f>
        <v/>
      </c>
      <c r="L571" s="28" t="str">
        <f>IF(E571="InActive","-",IF(A571&lt;&gt;"",K571/'⚙️ Config'!$H$2,))</f>
        <v/>
      </c>
      <c r="M571" s="28" t="str">
        <f t="shared" si="2"/>
        <v/>
      </c>
      <c r="N571" s="28" t="str">
        <f>IF(A571&lt;&gt;"", SUMIFS('💰 Transaction ขาย'!F:F,'💰 Transaction ขาย'!B:B,A571,'💰 Transaction ขาย'!A:A,"&gt;="&amp;DATE(YEAR('⚙️ Config'!$H$1),1,1),'💰 Transaction ขาย'!A:A,"&lt;="&amp;DATE(YEAR('⚙️ Config'!$H$1),12,31)),)</f>
        <v/>
      </c>
    </row>
    <row r="572">
      <c r="A572" s="22"/>
      <c r="B572" s="22" t="str">
        <f>IF(A572&lt;&gt;"",SUMIFS('💸 Transaction ซื้อ'!E:E,'💸 Transaction ซื้อ'!B:B,A572)-SUMIFS('💰 Transaction ขาย'!E:E,'💰 Transaction ขาย'!B:B,A572),"")</f>
        <v/>
      </c>
      <c r="C572" s="23" t="str">
        <f>IF(A572&lt;&gt;"",vlookup(A572,'📦 ชื่อสินค้า'!A:E,5,false),"")</f>
        <v/>
      </c>
      <c r="D572" s="23" t="str">
        <f>IF(A572&lt;&gt;"",VLOOKUP(A572,'📦 ชื่อสินค้า'!A:F,6,false),"")</f>
        <v/>
      </c>
      <c r="E572" s="16" t="str">
        <f>IFERROR(IF(VLOOKUP(A572,'📦 ชื่อสินค้า'!A:G,7,false)="InActive","InActive",IF(A572&lt;&gt;"",IF(B572&lt;=0,"สินค้าหมด",IF(B572&lt;=C572,"ควรเติมทันที","OK")),"")),)</f>
        <v/>
      </c>
      <c r="F572" s="24" t="str">
        <f>IFERROR(IF(A572&lt;&gt;"", SUMIF('💸 Transaction ซื้อ'!B:B,A572,'💸 Transaction ซื้อ'!G:G)/SUMIF('💸 Transaction ซื้อ'!B:B,A572,'💸 Transaction ซื้อ'!E:E),""),"-")</f>
        <v/>
      </c>
      <c r="G572" s="24" t="str">
        <f t="shared" si="1"/>
        <v/>
      </c>
      <c r="H572" s="25"/>
      <c r="I572" s="26"/>
      <c r="J572" s="26"/>
      <c r="K572" s="27" t="str">
        <f>IF(A572&lt;&gt;"",IF(E572="InActive","-",SUMIFS('💰 Transaction ขาย'!E:E,'💰 Transaction ขาย'!B:B,A572,'💰 Transaction ขาย'!A:A,"&gt;"&amp;'⚙️ Config'!$H$1-'⚙️ Config'!$H$2)),)</f>
        <v/>
      </c>
      <c r="L572" s="28" t="str">
        <f>IF(E572="InActive","-",IF(A572&lt;&gt;"",K572/'⚙️ Config'!$H$2,))</f>
        <v/>
      </c>
      <c r="M572" s="28" t="str">
        <f t="shared" si="2"/>
        <v/>
      </c>
      <c r="N572" s="28" t="str">
        <f>IF(A572&lt;&gt;"", SUMIFS('💰 Transaction ขาย'!F:F,'💰 Transaction ขาย'!B:B,A572,'💰 Transaction ขาย'!A:A,"&gt;="&amp;DATE(YEAR('⚙️ Config'!$H$1),1,1),'💰 Transaction ขาย'!A:A,"&lt;="&amp;DATE(YEAR('⚙️ Config'!$H$1),12,31)),)</f>
        <v/>
      </c>
    </row>
    <row r="573">
      <c r="A573" s="22"/>
      <c r="B573" s="22" t="str">
        <f>IF(A573&lt;&gt;"",SUMIFS('💸 Transaction ซื้อ'!E:E,'💸 Transaction ซื้อ'!B:B,A573)-SUMIFS('💰 Transaction ขาย'!E:E,'💰 Transaction ขาย'!B:B,A573),"")</f>
        <v/>
      </c>
      <c r="C573" s="23" t="str">
        <f>IF(A573&lt;&gt;"",vlookup(A573,'📦 ชื่อสินค้า'!A:E,5,false),"")</f>
        <v/>
      </c>
      <c r="D573" s="23" t="str">
        <f>IF(A573&lt;&gt;"",VLOOKUP(A573,'📦 ชื่อสินค้า'!A:F,6,false),"")</f>
        <v/>
      </c>
      <c r="E573" s="16" t="str">
        <f>IFERROR(IF(VLOOKUP(A573,'📦 ชื่อสินค้า'!A:G,7,false)="InActive","InActive",IF(A573&lt;&gt;"",IF(B573&lt;=0,"สินค้าหมด",IF(B573&lt;=C573,"ควรเติมทันที","OK")),"")),)</f>
        <v/>
      </c>
      <c r="F573" s="24" t="str">
        <f>IFERROR(IF(A573&lt;&gt;"", SUMIF('💸 Transaction ซื้อ'!B:B,A573,'💸 Transaction ซื้อ'!G:G)/SUMIF('💸 Transaction ซื้อ'!B:B,A573,'💸 Transaction ซื้อ'!E:E),""),"-")</f>
        <v/>
      </c>
      <c r="G573" s="24" t="str">
        <f t="shared" si="1"/>
        <v/>
      </c>
      <c r="H573" s="25"/>
      <c r="I573" s="26"/>
      <c r="J573" s="26"/>
      <c r="K573" s="27" t="str">
        <f>IF(A573&lt;&gt;"",IF(E573="InActive","-",SUMIFS('💰 Transaction ขาย'!E:E,'💰 Transaction ขาย'!B:B,A573,'💰 Transaction ขาย'!A:A,"&gt;"&amp;'⚙️ Config'!$H$1-'⚙️ Config'!$H$2)),)</f>
        <v/>
      </c>
      <c r="L573" s="28" t="str">
        <f>IF(E573="InActive","-",IF(A573&lt;&gt;"",K573/'⚙️ Config'!$H$2,))</f>
        <v/>
      </c>
      <c r="M573" s="28" t="str">
        <f t="shared" si="2"/>
        <v/>
      </c>
      <c r="N573" s="28" t="str">
        <f>IF(A573&lt;&gt;"", SUMIFS('💰 Transaction ขาย'!F:F,'💰 Transaction ขาย'!B:B,A573,'💰 Transaction ขาย'!A:A,"&gt;="&amp;DATE(YEAR('⚙️ Config'!$H$1),1,1),'💰 Transaction ขาย'!A:A,"&lt;="&amp;DATE(YEAR('⚙️ Config'!$H$1),12,31)),)</f>
        <v/>
      </c>
    </row>
    <row r="574">
      <c r="A574" s="22"/>
      <c r="B574" s="22" t="str">
        <f>IF(A574&lt;&gt;"",SUMIFS('💸 Transaction ซื้อ'!E:E,'💸 Transaction ซื้อ'!B:B,A574)-SUMIFS('💰 Transaction ขาย'!E:E,'💰 Transaction ขาย'!B:B,A574),"")</f>
        <v/>
      </c>
      <c r="C574" s="23" t="str">
        <f>IF(A574&lt;&gt;"",vlookup(A574,'📦 ชื่อสินค้า'!A:E,5,false),"")</f>
        <v/>
      </c>
      <c r="D574" s="23" t="str">
        <f>IF(A574&lt;&gt;"",VLOOKUP(A574,'📦 ชื่อสินค้า'!A:F,6,false),"")</f>
        <v/>
      </c>
      <c r="E574" s="16" t="str">
        <f>IFERROR(IF(VLOOKUP(A574,'📦 ชื่อสินค้า'!A:G,7,false)="InActive","InActive",IF(A574&lt;&gt;"",IF(B574&lt;=0,"สินค้าหมด",IF(B574&lt;=C574,"ควรเติมทันที","OK")),"")),)</f>
        <v/>
      </c>
      <c r="F574" s="24" t="str">
        <f>IFERROR(IF(A574&lt;&gt;"", SUMIF('💸 Transaction ซื้อ'!B:B,A574,'💸 Transaction ซื้อ'!G:G)/SUMIF('💸 Transaction ซื้อ'!B:B,A574,'💸 Transaction ซื้อ'!E:E),""),"-")</f>
        <v/>
      </c>
      <c r="G574" s="24" t="str">
        <f t="shared" si="1"/>
        <v/>
      </c>
      <c r="H574" s="25"/>
      <c r="I574" s="26"/>
      <c r="J574" s="26"/>
      <c r="K574" s="27" t="str">
        <f>IF(A574&lt;&gt;"",IF(E574="InActive","-",SUMIFS('💰 Transaction ขาย'!E:E,'💰 Transaction ขาย'!B:B,A574,'💰 Transaction ขาย'!A:A,"&gt;"&amp;'⚙️ Config'!$H$1-'⚙️ Config'!$H$2)),)</f>
        <v/>
      </c>
      <c r="L574" s="28" t="str">
        <f>IF(E574="InActive","-",IF(A574&lt;&gt;"",K574/'⚙️ Config'!$H$2,))</f>
        <v/>
      </c>
      <c r="M574" s="28" t="str">
        <f t="shared" si="2"/>
        <v/>
      </c>
      <c r="N574" s="28" t="str">
        <f>IF(A574&lt;&gt;"", SUMIFS('💰 Transaction ขาย'!F:F,'💰 Transaction ขาย'!B:B,A574,'💰 Transaction ขาย'!A:A,"&gt;="&amp;DATE(YEAR('⚙️ Config'!$H$1),1,1),'💰 Transaction ขาย'!A:A,"&lt;="&amp;DATE(YEAR('⚙️ Config'!$H$1),12,31)),)</f>
        <v/>
      </c>
    </row>
    <row r="575">
      <c r="A575" s="22"/>
      <c r="B575" s="22" t="str">
        <f>IF(A575&lt;&gt;"",SUMIFS('💸 Transaction ซื้อ'!E:E,'💸 Transaction ซื้อ'!B:B,A575)-SUMIFS('💰 Transaction ขาย'!E:E,'💰 Transaction ขาย'!B:B,A575),"")</f>
        <v/>
      </c>
      <c r="C575" s="23" t="str">
        <f>IF(A575&lt;&gt;"",vlookup(A575,'📦 ชื่อสินค้า'!A:E,5,false),"")</f>
        <v/>
      </c>
      <c r="D575" s="23" t="str">
        <f>IF(A575&lt;&gt;"",VLOOKUP(A575,'📦 ชื่อสินค้า'!A:F,6,false),"")</f>
        <v/>
      </c>
      <c r="E575" s="16" t="str">
        <f>IFERROR(IF(VLOOKUP(A575,'📦 ชื่อสินค้า'!A:G,7,false)="InActive","InActive",IF(A575&lt;&gt;"",IF(B575&lt;=0,"สินค้าหมด",IF(B575&lt;=C575,"ควรเติมทันที","OK")),"")),)</f>
        <v/>
      </c>
      <c r="F575" s="24" t="str">
        <f>IFERROR(IF(A575&lt;&gt;"", SUMIF('💸 Transaction ซื้อ'!B:B,A575,'💸 Transaction ซื้อ'!G:G)/SUMIF('💸 Transaction ซื้อ'!B:B,A575,'💸 Transaction ซื้อ'!E:E),""),"-")</f>
        <v/>
      </c>
      <c r="G575" s="24" t="str">
        <f t="shared" si="1"/>
        <v/>
      </c>
      <c r="H575" s="25"/>
      <c r="I575" s="26"/>
      <c r="J575" s="26"/>
      <c r="K575" s="27" t="str">
        <f>IF(A575&lt;&gt;"",IF(E575="InActive","-",SUMIFS('💰 Transaction ขาย'!E:E,'💰 Transaction ขาย'!B:B,A575,'💰 Transaction ขาย'!A:A,"&gt;"&amp;'⚙️ Config'!$H$1-'⚙️ Config'!$H$2)),)</f>
        <v/>
      </c>
      <c r="L575" s="28" t="str">
        <f>IF(E575="InActive","-",IF(A575&lt;&gt;"",K575/'⚙️ Config'!$H$2,))</f>
        <v/>
      </c>
      <c r="M575" s="28" t="str">
        <f t="shared" si="2"/>
        <v/>
      </c>
      <c r="N575" s="28" t="str">
        <f>IF(A575&lt;&gt;"", SUMIFS('💰 Transaction ขาย'!F:F,'💰 Transaction ขาย'!B:B,A575,'💰 Transaction ขาย'!A:A,"&gt;="&amp;DATE(YEAR('⚙️ Config'!$H$1),1,1),'💰 Transaction ขาย'!A:A,"&lt;="&amp;DATE(YEAR('⚙️ Config'!$H$1),12,31)),)</f>
        <v/>
      </c>
    </row>
    <row r="576">
      <c r="A576" s="22"/>
      <c r="B576" s="22" t="str">
        <f>IF(A576&lt;&gt;"",SUMIFS('💸 Transaction ซื้อ'!E:E,'💸 Transaction ซื้อ'!B:B,A576)-SUMIFS('💰 Transaction ขาย'!E:E,'💰 Transaction ขาย'!B:B,A576),"")</f>
        <v/>
      </c>
      <c r="C576" s="23" t="str">
        <f>IF(A576&lt;&gt;"",vlookup(A576,'📦 ชื่อสินค้า'!A:E,5,false),"")</f>
        <v/>
      </c>
      <c r="D576" s="23" t="str">
        <f>IF(A576&lt;&gt;"",VLOOKUP(A576,'📦 ชื่อสินค้า'!A:F,6,false),"")</f>
        <v/>
      </c>
      <c r="E576" s="16" t="str">
        <f>IFERROR(IF(VLOOKUP(A576,'📦 ชื่อสินค้า'!A:G,7,false)="InActive","InActive",IF(A576&lt;&gt;"",IF(B576&lt;=0,"สินค้าหมด",IF(B576&lt;=C576,"ควรเติมทันที","OK")),"")),)</f>
        <v/>
      </c>
      <c r="F576" s="24" t="str">
        <f>IFERROR(IF(A576&lt;&gt;"", SUMIF('💸 Transaction ซื้อ'!B:B,A576,'💸 Transaction ซื้อ'!G:G)/SUMIF('💸 Transaction ซื้อ'!B:B,A576,'💸 Transaction ซื้อ'!E:E),""),"-")</f>
        <v/>
      </c>
      <c r="G576" s="24" t="str">
        <f t="shared" si="1"/>
        <v/>
      </c>
      <c r="H576" s="25"/>
      <c r="I576" s="26"/>
      <c r="J576" s="26"/>
      <c r="K576" s="27" t="str">
        <f>IF(A576&lt;&gt;"",IF(E576="InActive","-",SUMIFS('💰 Transaction ขาย'!E:E,'💰 Transaction ขาย'!B:B,A576,'💰 Transaction ขาย'!A:A,"&gt;"&amp;'⚙️ Config'!$H$1-'⚙️ Config'!$H$2)),)</f>
        <v/>
      </c>
      <c r="L576" s="28" t="str">
        <f>IF(E576="InActive","-",IF(A576&lt;&gt;"",K576/'⚙️ Config'!$H$2,))</f>
        <v/>
      </c>
      <c r="M576" s="28" t="str">
        <f t="shared" si="2"/>
        <v/>
      </c>
      <c r="N576" s="28" t="str">
        <f>IF(A576&lt;&gt;"", SUMIFS('💰 Transaction ขาย'!F:F,'💰 Transaction ขาย'!B:B,A576,'💰 Transaction ขาย'!A:A,"&gt;="&amp;DATE(YEAR('⚙️ Config'!$H$1),1,1),'💰 Transaction ขาย'!A:A,"&lt;="&amp;DATE(YEAR('⚙️ Config'!$H$1),12,31)),)</f>
        <v/>
      </c>
    </row>
    <row r="577">
      <c r="A577" s="22"/>
      <c r="B577" s="22" t="str">
        <f>IF(A577&lt;&gt;"",SUMIFS('💸 Transaction ซื้อ'!E:E,'💸 Transaction ซื้อ'!B:B,A577)-SUMIFS('💰 Transaction ขาย'!E:E,'💰 Transaction ขาย'!B:B,A577),"")</f>
        <v/>
      </c>
      <c r="C577" s="23" t="str">
        <f>IF(A577&lt;&gt;"",vlookup(A577,'📦 ชื่อสินค้า'!A:E,5,false),"")</f>
        <v/>
      </c>
      <c r="D577" s="23" t="str">
        <f>IF(A577&lt;&gt;"",VLOOKUP(A577,'📦 ชื่อสินค้า'!A:F,6,false),"")</f>
        <v/>
      </c>
      <c r="E577" s="16" t="str">
        <f>IFERROR(IF(VLOOKUP(A577,'📦 ชื่อสินค้า'!A:G,7,false)="InActive","InActive",IF(A577&lt;&gt;"",IF(B577&lt;=0,"สินค้าหมด",IF(B577&lt;=C577,"ควรเติมทันที","OK")),"")),)</f>
        <v/>
      </c>
      <c r="F577" s="24" t="str">
        <f>IFERROR(IF(A577&lt;&gt;"", SUMIF('💸 Transaction ซื้อ'!B:B,A577,'💸 Transaction ซื้อ'!G:G)/SUMIF('💸 Transaction ซื้อ'!B:B,A577,'💸 Transaction ซื้อ'!E:E),""),"-")</f>
        <v/>
      </c>
      <c r="G577" s="24" t="str">
        <f t="shared" si="1"/>
        <v/>
      </c>
      <c r="H577" s="25"/>
      <c r="I577" s="26"/>
      <c r="J577" s="26"/>
      <c r="K577" s="27" t="str">
        <f>IF(A577&lt;&gt;"",IF(E577="InActive","-",SUMIFS('💰 Transaction ขาย'!E:E,'💰 Transaction ขาย'!B:B,A577,'💰 Transaction ขาย'!A:A,"&gt;"&amp;'⚙️ Config'!$H$1-'⚙️ Config'!$H$2)),)</f>
        <v/>
      </c>
      <c r="L577" s="28" t="str">
        <f>IF(E577="InActive","-",IF(A577&lt;&gt;"",K577/'⚙️ Config'!$H$2,))</f>
        <v/>
      </c>
      <c r="M577" s="28" t="str">
        <f t="shared" si="2"/>
        <v/>
      </c>
      <c r="N577" s="28" t="str">
        <f>IF(A577&lt;&gt;"", SUMIFS('💰 Transaction ขาย'!F:F,'💰 Transaction ขาย'!B:B,A577,'💰 Transaction ขาย'!A:A,"&gt;="&amp;DATE(YEAR('⚙️ Config'!$H$1),1,1),'💰 Transaction ขาย'!A:A,"&lt;="&amp;DATE(YEAR('⚙️ Config'!$H$1),12,31)),)</f>
        <v/>
      </c>
    </row>
    <row r="578">
      <c r="A578" s="22"/>
      <c r="B578" s="22" t="str">
        <f>IF(A578&lt;&gt;"",SUMIFS('💸 Transaction ซื้อ'!E:E,'💸 Transaction ซื้อ'!B:B,A578)-SUMIFS('💰 Transaction ขาย'!E:E,'💰 Transaction ขาย'!B:B,A578),"")</f>
        <v/>
      </c>
      <c r="C578" s="23" t="str">
        <f>IF(A578&lt;&gt;"",vlookup(A578,'📦 ชื่อสินค้า'!A:E,5,false),"")</f>
        <v/>
      </c>
      <c r="D578" s="23" t="str">
        <f>IF(A578&lt;&gt;"",VLOOKUP(A578,'📦 ชื่อสินค้า'!A:F,6,false),"")</f>
        <v/>
      </c>
      <c r="E578" s="16" t="str">
        <f>IFERROR(IF(VLOOKUP(A578,'📦 ชื่อสินค้า'!A:G,7,false)="InActive","InActive",IF(A578&lt;&gt;"",IF(B578&lt;=0,"สินค้าหมด",IF(B578&lt;=C578,"ควรเติมทันที","OK")),"")),)</f>
        <v/>
      </c>
      <c r="F578" s="24" t="str">
        <f>IFERROR(IF(A578&lt;&gt;"", SUMIF('💸 Transaction ซื้อ'!B:B,A578,'💸 Transaction ซื้อ'!G:G)/SUMIF('💸 Transaction ซื้อ'!B:B,A578,'💸 Transaction ซื้อ'!E:E),""),"-")</f>
        <v/>
      </c>
      <c r="G578" s="24" t="str">
        <f t="shared" si="1"/>
        <v/>
      </c>
      <c r="H578" s="25"/>
      <c r="I578" s="26"/>
      <c r="J578" s="26"/>
      <c r="K578" s="27" t="str">
        <f>IF(A578&lt;&gt;"",IF(E578="InActive","-",SUMIFS('💰 Transaction ขาย'!E:E,'💰 Transaction ขาย'!B:B,A578,'💰 Transaction ขาย'!A:A,"&gt;"&amp;'⚙️ Config'!$H$1-'⚙️ Config'!$H$2)),)</f>
        <v/>
      </c>
      <c r="L578" s="28" t="str">
        <f>IF(E578="InActive","-",IF(A578&lt;&gt;"",K578/'⚙️ Config'!$H$2,))</f>
        <v/>
      </c>
      <c r="M578" s="28" t="str">
        <f t="shared" si="2"/>
        <v/>
      </c>
      <c r="N578" s="28" t="str">
        <f>IF(A578&lt;&gt;"", SUMIFS('💰 Transaction ขาย'!F:F,'💰 Transaction ขาย'!B:B,A578,'💰 Transaction ขาย'!A:A,"&gt;="&amp;DATE(YEAR('⚙️ Config'!$H$1),1,1),'💰 Transaction ขาย'!A:A,"&lt;="&amp;DATE(YEAR('⚙️ Config'!$H$1),12,31)),)</f>
        <v/>
      </c>
    </row>
    <row r="579">
      <c r="A579" s="22"/>
      <c r="B579" s="22" t="str">
        <f>IF(A579&lt;&gt;"",SUMIFS('💸 Transaction ซื้อ'!E:E,'💸 Transaction ซื้อ'!B:B,A579)-SUMIFS('💰 Transaction ขาย'!E:E,'💰 Transaction ขาย'!B:B,A579),"")</f>
        <v/>
      </c>
      <c r="C579" s="23" t="str">
        <f>IF(A579&lt;&gt;"",vlookup(A579,'📦 ชื่อสินค้า'!A:E,5,false),"")</f>
        <v/>
      </c>
      <c r="D579" s="23" t="str">
        <f>IF(A579&lt;&gt;"",VLOOKUP(A579,'📦 ชื่อสินค้า'!A:F,6,false),"")</f>
        <v/>
      </c>
      <c r="E579" s="16" t="str">
        <f>IFERROR(IF(VLOOKUP(A579,'📦 ชื่อสินค้า'!A:G,7,false)="InActive","InActive",IF(A579&lt;&gt;"",IF(B579&lt;=0,"สินค้าหมด",IF(B579&lt;=C579,"ควรเติมทันที","OK")),"")),)</f>
        <v/>
      </c>
      <c r="F579" s="24" t="str">
        <f>IFERROR(IF(A579&lt;&gt;"", SUMIF('💸 Transaction ซื้อ'!B:B,A579,'💸 Transaction ซื้อ'!G:G)/SUMIF('💸 Transaction ซื้อ'!B:B,A579,'💸 Transaction ซื้อ'!E:E),""),"-")</f>
        <v/>
      </c>
      <c r="G579" s="24" t="str">
        <f t="shared" si="1"/>
        <v/>
      </c>
      <c r="H579" s="25"/>
      <c r="I579" s="26"/>
      <c r="J579" s="26"/>
      <c r="K579" s="27" t="str">
        <f>IF(A579&lt;&gt;"",IF(E579="InActive","-",SUMIFS('💰 Transaction ขาย'!E:E,'💰 Transaction ขาย'!B:B,A579,'💰 Transaction ขาย'!A:A,"&gt;"&amp;'⚙️ Config'!$H$1-'⚙️ Config'!$H$2)),)</f>
        <v/>
      </c>
      <c r="L579" s="28" t="str">
        <f>IF(E579="InActive","-",IF(A579&lt;&gt;"",K579/'⚙️ Config'!$H$2,))</f>
        <v/>
      </c>
      <c r="M579" s="28" t="str">
        <f t="shared" si="2"/>
        <v/>
      </c>
      <c r="N579" s="28" t="str">
        <f>IF(A579&lt;&gt;"", SUMIFS('💰 Transaction ขาย'!F:F,'💰 Transaction ขาย'!B:B,A579,'💰 Transaction ขาย'!A:A,"&gt;="&amp;DATE(YEAR('⚙️ Config'!$H$1),1,1),'💰 Transaction ขาย'!A:A,"&lt;="&amp;DATE(YEAR('⚙️ Config'!$H$1),12,31)),)</f>
        <v/>
      </c>
    </row>
    <row r="580">
      <c r="A580" s="22"/>
      <c r="B580" s="22" t="str">
        <f>IF(A580&lt;&gt;"",SUMIFS('💸 Transaction ซื้อ'!E:E,'💸 Transaction ซื้อ'!B:B,A580)-SUMIFS('💰 Transaction ขาย'!E:E,'💰 Transaction ขาย'!B:B,A580),"")</f>
        <v/>
      </c>
      <c r="C580" s="23" t="str">
        <f>IF(A580&lt;&gt;"",vlookup(A580,'📦 ชื่อสินค้า'!A:E,5,false),"")</f>
        <v/>
      </c>
      <c r="D580" s="23" t="str">
        <f>IF(A580&lt;&gt;"",VLOOKUP(A580,'📦 ชื่อสินค้า'!A:F,6,false),"")</f>
        <v/>
      </c>
      <c r="E580" s="16" t="str">
        <f>IFERROR(IF(VLOOKUP(A580,'📦 ชื่อสินค้า'!A:G,7,false)="InActive","InActive",IF(A580&lt;&gt;"",IF(B580&lt;=0,"สินค้าหมด",IF(B580&lt;=C580,"ควรเติมทันที","OK")),"")),)</f>
        <v/>
      </c>
      <c r="F580" s="24" t="str">
        <f>IFERROR(IF(A580&lt;&gt;"", SUMIF('💸 Transaction ซื้อ'!B:B,A580,'💸 Transaction ซื้อ'!G:G)/SUMIF('💸 Transaction ซื้อ'!B:B,A580,'💸 Transaction ซื้อ'!E:E),""),"-")</f>
        <v/>
      </c>
      <c r="G580" s="24" t="str">
        <f t="shared" si="1"/>
        <v/>
      </c>
      <c r="H580" s="25"/>
      <c r="I580" s="26"/>
      <c r="J580" s="26"/>
      <c r="K580" s="27" t="str">
        <f>IF(A580&lt;&gt;"",IF(E580="InActive","-",SUMIFS('💰 Transaction ขาย'!E:E,'💰 Transaction ขาย'!B:B,A580,'💰 Transaction ขาย'!A:A,"&gt;"&amp;'⚙️ Config'!$H$1-'⚙️ Config'!$H$2)),)</f>
        <v/>
      </c>
      <c r="L580" s="28" t="str">
        <f>IF(E580="InActive","-",IF(A580&lt;&gt;"",K580/'⚙️ Config'!$H$2,))</f>
        <v/>
      </c>
      <c r="M580" s="28" t="str">
        <f t="shared" si="2"/>
        <v/>
      </c>
      <c r="N580" s="28" t="str">
        <f>IF(A580&lt;&gt;"", SUMIFS('💰 Transaction ขาย'!F:F,'💰 Transaction ขาย'!B:B,A580,'💰 Transaction ขาย'!A:A,"&gt;="&amp;DATE(YEAR('⚙️ Config'!$H$1),1,1),'💰 Transaction ขาย'!A:A,"&lt;="&amp;DATE(YEAR('⚙️ Config'!$H$1),12,31)),)</f>
        <v/>
      </c>
    </row>
    <row r="581">
      <c r="A581" s="22"/>
      <c r="B581" s="22" t="str">
        <f>IF(A581&lt;&gt;"",SUMIFS('💸 Transaction ซื้อ'!E:E,'💸 Transaction ซื้อ'!B:B,A581)-SUMIFS('💰 Transaction ขาย'!E:E,'💰 Transaction ขาย'!B:B,A581),"")</f>
        <v/>
      </c>
      <c r="C581" s="23" t="str">
        <f>IF(A581&lt;&gt;"",vlookup(A581,'📦 ชื่อสินค้า'!A:E,5,false),"")</f>
        <v/>
      </c>
      <c r="D581" s="23" t="str">
        <f>IF(A581&lt;&gt;"",VLOOKUP(A581,'📦 ชื่อสินค้า'!A:F,6,false),"")</f>
        <v/>
      </c>
      <c r="E581" s="16" t="str">
        <f>IFERROR(IF(VLOOKUP(A581,'📦 ชื่อสินค้า'!A:G,7,false)="InActive","InActive",IF(A581&lt;&gt;"",IF(B581&lt;=0,"สินค้าหมด",IF(B581&lt;=C581,"ควรเติมทันที","OK")),"")),)</f>
        <v/>
      </c>
      <c r="F581" s="24" t="str">
        <f>IFERROR(IF(A581&lt;&gt;"", SUMIF('💸 Transaction ซื้อ'!B:B,A581,'💸 Transaction ซื้อ'!G:G)/SUMIF('💸 Transaction ซื้อ'!B:B,A581,'💸 Transaction ซื้อ'!E:E),""),"-")</f>
        <v/>
      </c>
      <c r="G581" s="24" t="str">
        <f t="shared" si="1"/>
        <v/>
      </c>
      <c r="H581" s="25"/>
      <c r="I581" s="26"/>
      <c r="J581" s="26"/>
      <c r="K581" s="27" t="str">
        <f>IF(A581&lt;&gt;"",IF(E581="InActive","-",SUMIFS('💰 Transaction ขาย'!E:E,'💰 Transaction ขาย'!B:B,A581,'💰 Transaction ขาย'!A:A,"&gt;"&amp;'⚙️ Config'!$H$1-'⚙️ Config'!$H$2)),)</f>
        <v/>
      </c>
      <c r="L581" s="28" t="str">
        <f>IF(E581="InActive","-",IF(A581&lt;&gt;"",K581/'⚙️ Config'!$H$2,))</f>
        <v/>
      </c>
      <c r="M581" s="28" t="str">
        <f t="shared" si="2"/>
        <v/>
      </c>
      <c r="N581" s="28" t="str">
        <f>IF(A581&lt;&gt;"", SUMIFS('💰 Transaction ขาย'!F:F,'💰 Transaction ขาย'!B:B,A581,'💰 Transaction ขาย'!A:A,"&gt;="&amp;DATE(YEAR('⚙️ Config'!$H$1),1,1),'💰 Transaction ขาย'!A:A,"&lt;="&amp;DATE(YEAR('⚙️ Config'!$H$1),12,31)),)</f>
        <v/>
      </c>
    </row>
    <row r="582">
      <c r="A582" s="22"/>
      <c r="B582" s="22" t="str">
        <f>IF(A582&lt;&gt;"",SUMIFS('💸 Transaction ซื้อ'!E:E,'💸 Transaction ซื้อ'!B:B,A582)-SUMIFS('💰 Transaction ขาย'!E:E,'💰 Transaction ขาย'!B:B,A582),"")</f>
        <v/>
      </c>
      <c r="C582" s="23" t="str">
        <f>IF(A582&lt;&gt;"",vlookup(A582,'📦 ชื่อสินค้า'!A:E,5,false),"")</f>
        <v/>
      </c>
      <c r="D582" s="23" t="str">
        <f>IF(A582&lt;&gt;"",VLOOKUP(A582,'📦 ชื่อสินค้า'!A:F,6,false),"")</f>
        <v/>
      </c>
      <c r="E582" s="16" t="str">
        <f>IFERROR(IF(VLOOKUP(A582,'📦 ชื่อสินค้า'!A:G,7,false)="InActive","InActive",IF(A582&lt;&gt;"",IF(B582&lt;=0,"สินค้าหมด",IF(B582&lt;=C582,"ควรเติมทันที","OK")),"")),)</f>
        <v/>
      </c>
      <c r="F582" s="24" t="str">
        <f>IFERROR(IF(A582&lt;&gt;"", SUMIF('💸 Transaction ซื้อ'!B:B,A582,'💸 Transaction ซื้อ'!G:G)/SUMIF('💸 Transaction ซื้อ'!B:B,A582,'💸 Transaction ซื้อ'!E:E),""),"-")</f>
        <v/>
      </c>
      <c r="G582" s="24" t="str">
        <f t="shared" si="1"/>
        <v/>
      </c>
      <c r="H582" s="25"/>
      <c r="I582" s="26"/>
      <c r="J582" s="26"/>
      <c r="K582" s="27" t="str">
        <f>IF(A582&lt;&gt;"",IF(E582="InActive","-",SUMIFS('💰 Transaction ขาย'!E:E,'💰 Transaction ขาย'!B:B,A582,'💰 Transaction ขาย'!A:A,"&gt;"&amp;'⚙️ Config'!$H$1-'⚙️ Config'!$H$2)),)</f>
        <v/>
      </c>
      <c r="L582" s="28" t="str">
        <f>IF(E582="InActive","-",IF(A582&lt;&gt;"",K582/'⚙️ Config'!$H$2,))</f>
        <v/>
      </c>
      <c r="M582" s="28" t="str">
        <f t="shared" si="2"/>
        <v/>
      </c>
      <c r="N582" s="28" t="str">
        <f>IF(A582&lt;&gt;"", SUMIFS('💰 Transaction ขาย'!F:F,'💰 Transaction ขาย'!B:B,A582,'💰 Transaction ขาย'!A:A,"&gt;="&amp;DATE(YEAR('⚙️ Config'!$H$1),1,1),'💰 Transaction ขาย'!A:A,"&lt;="&amp;DATE(YEAR('⚙️ Config'!$H$1),12,31)),)</f>
        <v/>
      </c>
    </row>
    <row r="583">
      <c r="A583" s="22"/>
      <c r="B583" s="22" t="str">
        <f>IF(A583&lt;&gt;"",SUMIFS('💸 Transaction ซื้อ'!E:E,'💸 Transaction ซื้อ'!B:B,A583)-SUMIFS('💰 Transaction ขาย'!E:E,'💰 Transaction ขาย'!B:B,A583),"")</f>
        <v/>
      </c>
      <c r="C583" s="23" t="str">
        <f>IF(A583&lt;&gt;"",vlookup(A583,'📦 ชื่อสินค้า'!A:E,5,false),"")</f>
        <v/>
      </c>
      <c r="D583" s="23" t="str">
        <f>IF(A583&lt;&gt;"",VLOOKUP(A583,'📦 ชื่อสินค้า'!A:F,6,false),"")</f>
        <v/>
      </c>
      <c r="E583" s="16" t="str">
        <f>IFERROR(IF(VLOOKUP(A583,'📦 ชื่อสินค้า'!A:G,7,false)="InActive","InActive",IF(A583&lt;&gt;"",IF(B583&lt;=0,"สินค้าหมด",IF(B583&lt;=C583,"ควรเติมทันที","OK")),"")),)</f>
        <v/>
      </c>
      <c r="F583" s="24" t="str">
        <f>IFERROR(IF(A583&lt;&gt;"", SUMIF('💸 Transaction ซื้อ'!B:B,A583,'💸 Transaction ซื้อ'!G:G)/SUMIF('💸 Transaction ซื้อ'!B:B,A583,'💸 Transaction ซื้อ'!E:E),""),"-")</f>
        <v/>
      </c>
      <c r="G583" s="24" t="str">
        <f t="shared" si="1"/>
        <v/>
      </c>
      <c r="H583" s="25"/>
      <c r="I583" s="26"/>
      <c r="J583" s="26"/>
      <c r="K583" s="27" t="str">
        <f>IF(A583&lt;&gt;"",IF(E583="InActive","-",SUMIFS('💰 Transaction ขาย'!E:E,'💰 Transaction ขาย'!B:B,A583,'💰 Transaction ขาย'!A:A,"&gt;"&amp;'⚙️ Config'!$H$1-'⚙️ Config'!$H$2)),)</f>
        <v/>
      </c>
      <c r="L583" s="28" t="str">
        <f>IF(E583="InActive","-",IF(A583&lt;&gt;"",K583/'⚙️ Config'!$H$2,))</f>
        <v/>
      </c>
      <c r="M583" s="28" t="str">
        <f t="shared" si="2"/>
        <v/>
      </c>
      <c r="N583" s="28" t="str">
        <f>IF(A583&lt;&gt;"", SUMIFS('💰 Transaction ขาย'!F:F,'💰 Transaction ขาย'!B:B,A583,'💰 Transaction ขาย'!A:A,"&gt;="&amp;DATE(YEAR('⚙️ Config'!$H$1),1,1),'💰 Transaction ขาย'!A:A,"&lt;="&amp;DATE(YEAR('⚙️ Config'!$H$1),12,31)),)</f>
        <v/>
      </c>
    </row>
    <row r="584">
      <c r="A584" s="22"/>
      <c r="B584" s="22" t="str">
        <f>IF(A584&lt;&gt;"",SUMIFS('💸 Transaction ซื้อ'!E:E,'💸 Transaction ซื้อ'!B:B,A584)-SUMIFS('💰 Transaction ขาย'!E:E,'💰 Transaction ขาย'!B:B,A584),"")</f>
        <v/>
      </c>
      <c r="C584" s="23" t="str">
        <f>IF(A584&lt;&gt;"",vlookup(A584,'📦 ชื่อสินค้า'!A:E,5,false),"")</f>
        <v/>
      </c>
      <c r="D584" s="23" t="str">
        <f>IF(A584&lt;&gt;"",VLOOKUP(A584,'📦 ชื่อสินค้า'!A:F,6,false),"")</f>
        <v/>
      </c>
      <c r="E584" s="16" t="str">
        <f>IFERROR(IF(VLOOKUP(A584,'📦 ชื่อสินค้า'!A:G,7,false)="InActive","InActive",IF(A584&lt;&gt;"",IF(B584&lt;=0,"สินค้าหมด",IF(B584&lt;=C584,"ควรเติมทันที","OK")),"")),)</f>
        <v/>
      </c>
      <c r="F584" s="24" t="str">
        <f>IFERROR(IF(A584&lt;&gt;"", SUMIF('💸 Transaction ซื้อ'!B:B,A584,'💸 Transaction ซื้อ'!G:G)/SUMIF('💸 Transaction ซื้อ'!B:B,A584,'💸 Transaction ซื้อ'!E:E),""),"-")</f>
        <v/>
      </c>
      <c r="G584" s="24" t="str">
        <f t="shared" si="1"/>
        <v/>
      </c>
      <c r="H584" s="25"/>
      <c r="I584" s="26"/>
      <c r="J584" s="26"/>
      <c r="K584" s="27" t="str">
        <f>IF(A584&lt;&gt;"",IF(E584="InActive","-",SUMIFS('💰 Transaction ขาย'!E:E,'💰 Transaction ขาย'!B:B,A584,'💰 Transaction ขาย'!A:A,"&gt;"&amp;'⚙️ Config'!$H$1-'⚙️ Config'!$H$2)),)</f>
        <v/>
      </c>
      <c r="L584" s="28" t="str">
        <f>IF(E584="InActive","-",IF(A584&lt;&gt;"",K584/'⚙️ Config'!$H$2,))</f>
        <v/>
      </c>
      <c r="M584" s="28" t="str">
        <f t="shared" si="2"/>
        <v/>
      </c>
      <c r="N584" s="28" t="str">
        <f>IF(A584&lt;&gt;"", SUMIFS('💰 Transaction ขาย'!F:F,'💰 Transaction ขาย'!B:B,A584,'💰 Transaction ขาย'!A:A,"&gt;="&amp;DATE(YEAR('⚙️ Config'!$H$1),1,1),'💰 Transaction ขาย'!A:A,"&lt;="&amp;DATE(YEAR('⚙️ Config'!$H$1),12,31)),)</f>
        <v/>
      </c>
    </row>
    <row r="585">
      <c r="A585" s="22"/>
      <c r="B585" s="22" t="str">
        <f>IF(A585&lt;&gt;"",SUMIFS('💸 Transaction ซื้อ'!E:E,'💸 Transaction ซื้อ'!B:B,A585)-SUMIFS('💰 Transaction ขาย'!E:E,'💰 Transaction ขาย'!B:B,A585),"")</f>
        <v/>
      </c>
      <c r="C585" s="23" t="str">
        <f>IF(A585&lt;&gt;"",vlookup(A585,'📦 ชื่อสินค้า'!A:E,5,false),"")</f>
        <v/>
      </c>
      <c r="D585" s="23" t="str">
        <f>IF(A585&lt;&gt;"",VLOOKUP(A585,'📦 ชื่อสินค้า'!A:F,6,false),"")</f>
        <v/>
      </c>
      <c r="E585" s="16" t="str">
        <f>IFERROR(IF(VLOOKUP(A585,'📦 ชื่อสินค้า'!A:G,7,false)="InActive","InActive",IF(A585&lt;&gt;"",IF(B585&lt;=0,"สินค้าหมด",IF(B585&lt;=C585,"ควรเติมทันที","OK")),"")),)</f>
        <v/>
      </c>
      <c r="F585" s="24" t="str">
        <f>IFERROR(IF(A585&lt;&gt;"", SUMIF('💸 Transaction ซื้อ'!B:B,A585,'💸 Transaction ซื้อ'!G:G)/SUMIF('💸 Transaction ซื้อ'!B:B,A585,'💸 Transaction ซื้อ'!E:E),""),"-")</f>
        <v/>
      </c>
      <c r="G585" s="24" t="str">
        <f t="shared" si="1"/>
        <v/>
      </c>
      <c r="H585" s="25"/>
      <c r="I585" s="26"/>
      <c r="J585" s="26"/>
      <c r="K585" s="27" t="str">
        <f>IF(A585&lt;&gt;"",IF(E585="InActive","-",SUMIFS('💰 Transaction ขาย'!E:E,'💰 Transaction ขาย'!B:B,A585,'💰 Transaction ขาย'!A:A,"&gt;"&amp;'⚙️ Config'!$H$1-'⚙️ Config'!$H$2)),)</f>
        <v/>
      </c>
      <c r="L585" s="28" t="str">
        <f>IF(E585="InActive","-",IF(A585&lt;&gt;"",K585/'⚙️ Config'!$H$2,))</f>
        <v/>
      </c>
      <c r="M585" s="28" t="str">
        <f t="shared" si="2"/>
        <v/>
      </c>
      <c r="N585" s="28" t="str">
        <f>IF(A585&lt;&gt;"", SUMIFS('💰 Transaction ขาย'!F:F,'💰 Transaction ขาย'!B:B,A585,'💰 Transaction ขาย'!A:A,"&gt;="&amp;DATE(YEAR('⚙️ Config'!$H$1),1,1),'💰 Transaction ขาย'!A:A,"&lt;="&amp;DATE(YEAR('⚙️ Config'!$H$1),12,31)),)</f>
        <v/>
      </c>
    </row>
    <row r="586">
      <c r="A586" s="22"/>
      <c r="B586" s="22" t="str">
        <f>IF(A586&lt;&gt;"",SUMIFS('💸 Transaction ซื้อ'!E:E,'💸 Transaction ซื้อ'!B:B,A586)-SUMIFS('💰 Transaction ขาย'!E:E,'💰 Transaction ขาย'!B:B,A586),"")</f>
        <v/>
      </c>
      <c r="C586" s="23" t="str">
        <f>IF(A586&lt;&gt;"",vlookup(A586,'📦 ชื่อสินค้า'!A:E,5,false),"")</f>
        <v/>
      </c>
      <c r="D586" s="23" t="str">
        <f>IF(A586&lt;&gt;"",VLOOKUP(A586,'📦 ชื่อสินค้า'!A:F,6,false),"")</f>
        <v/>
      </c>
      <c r="E586" s="16" t="str">
        <f>IFERROR(IF(VLOOKUP(A586,'📦 ชื่อสินค้า'!A:G,7,false)="InActive","InActive",IF(A586&lt;&gt;"",IF(B586&lt;=0,"สินค้าหมด",IF(B586&lt;=C586,"ควรเติมทันที","OK")),"")),)</f>
        <v/>
      </c>
      <c r="F586" s="24" t="str">
        <f>IFERROR(IF(A586&lt;&gt;"", SUMIF('💸 Transaction ซื้อ'!B:B,A586,'💸 Transaction ซื้อ'!G:G)/SUMIF('💸 Transaction ซื้อ'!B:B,A586,'💸 Transaction ซื้อ'!E:E),""),"-")</f>
        <v/>
      </c>
      <c r="G586" s="24" t="str">
        <f t="shared" si="1"/>
        <v/>
      </c>
      <c r="H586" s="25"/>
      <c r="I586" s="26"/>
      <c r="J586" s="26"/>
      <c r="K586" s="27" t="str">
        <f>IF(A586&lt;&gt;"",IF(E586="InActive","-",SUMIFS('💰 Transaction ขาย'!E:E,'💰 Transaction ขาย'!B:B,A586,'💰 Transaction ขาย'!A:A,"&gt;"&amp;'⚙️ Config'!$H$1-'⚙️ Config'!$H$2)),)</f>
        <v/>
      </c>
      <c r="L586" s="28" t="str">
        <f>IF(E586="InActive","-",IF(A586&lt;&gt;"",K586/'⚙️ Config'!$H$2,))</f>
        <v/>
      </c>
      <c r="M586" s="28" t="str">
        <f t="shared" si="2"/>
        <v/>
      </c>
      <c r="N586" s="28" t="str">
        <f>IF(A586&lt;&gt;"", SUMIFS('💰 Transaction ขาย'!F:F,'💰 Transaction ขาย'!B:B,A586,'💰 Transaction ขาย'!A:A,"&gt;="&amp;DATE(YEAR('⚙️ Config'!$H$1),1,1),'💰 Transaction ขาย'!A:A,"&lt;="&amp;DATE(YEAR('⚙️ Config'!$H$1),12,31)),)</f>
        <v/>
      </c>
    </row>
    <row r="587">
      <c r="A587" s="22"/>
      <c r="B587" s="22" t="str">
        <f>IF(A587&lt;&gt;"",SUMIFS('💸 Transaction ซื้อ'!E:E,'💸 Transaction ซื้อ'!B:B,A587)-SUMIFS('💰 Transaction ขาย'!E:E,'💰 Transaction ขาย'!B:B,A587),"")</f>
        <v/>
      </c>
      <c r="C587" s="23" t="str">
        <f>IF(A587&lt;&gt;"",vlookup(A587,'📦 ชื่อสินค้า'!A:E,5,false),"")</f>
        <v/>
      </c>
      <c r="D587" s="23" t="str">
        <f>IF(A587&lt;&gt;"",VLOOKUP(A587,'📦 ชื่อสินค้า'!A:F,6,false),"")</f>
        <v/>
      </c>
      <c r="E587" s="16" t="str">
        <f>IFERROR(IF(VLOOKUP(A587,'📦 ชื่อสินค้า'!A:G,7,false)="InActive","InActive",IF(A587&lt;&gt;"",IF(B587&lt;=0,"สินค้าหมด",IF(B587&lt;=C587,"ควรเติมทันที","OK")),"")),)</f>
        <v/>
      </c>
      <c r="F587" s="24" t="str">
        <f>IFERROR(IF(A587&lt;&gt;"", SUMIF('💸 Transaction ซื้อ'!B:B,A587,'💸 Transaction ซื้อ'!G:G)/SUMIF('💸 Transaction ซื้อ'!B:B,A587,'💸 Transaction ซื้อ'!E:E),""),"-")</f>
        <v/>
      </c>
      <c r="G587" s="24" t="str">
        <f t="shared" si="1"/>
        <v/>
      </c>
      <c r="H587" s="25"/>
      <c r="I587" s="26"/>
      <c r="J587" s="26"/>
      <c r="K587" s="27" t="str">
        <f>IF(A587&lt;&gt;"",IF(E587="InActive","-",SUMIFS('💰 Transaction ขาย'!E:E,'💰 Transaction ขาย'!B:B,A587,'💰 Transaction ขาย'!A:A,"&gt;"&amp;'⚙️ Config'!$H$1-'⚙️ Config'!$H$2)),)</f>
        <v/>
      </c>
      <c r="L587" s="28" t="str">
        <f>IF(E587="InActive","-",IF(A587&lt;&gt;"",K587/'⚙️ Config'!$H$2,))</f>
        <v/>
      </c>
      <c r="M587" s="28" t="str">
        <f t="shared" si="2"/>
        <v/>
      </c>
      <c r="N587" s="28" t="str">
        <f>IF(A587&lt;&gt;"", SUMIFS('💰 Transaction ขาย'!F:F,'💰 Transaction ขาย'!B:B,A587,'💰 Transaction ขาย'!A:A,"&gt;="&amp;DATE(YEAR('⚙️ Config'!$H$1),1,1),'💰 Transaction ขาย'!A:A,"&lt;="&amp;DATE(YEAR('⚙️ Config'!$H$1),12,31)),)</f>
        <v/>
      </c>
    </row>
    <row r="588">
      <c r="A588" s="22"/>
      <c r="B588" s="22" t="str">
        <f>IF(A588&lt;&gt;"",SUMIFS('💸 Transaction ซื้อ'!E:E,'💸 Transaction ซื้อ'!B:B,A588)-SUMIFS('💰 Transaction ขาย'!E:E,'💰 Transaction ขาย'!B:B,A588),"")</f>
        <v/>
      </c>
      <c r="C588" s="23" t="str">
        <f>IF(A588&lt;&gt;"",vlookup(A588,'📦 ชื่อสินค้า'!A:E,5,false),"")</f>
        <v/>
      </c>
      <c r="D588" s="23" t="str">
        <f>IF(A588&lt;&gt;"",VLOOKUP(A588,'📦 ชื่อสินค้า'!A:F,6,false),"")</f>
        <v/>
      </c>
      <c r="E588" s="16" t="str">
        <f>IFERROR(IF(VLOOKUP(A588,'📦 ชื่อสินค้า'!A:G,7,false)="InActive","InActive",IF(A588&lt;&gt;"",IF(B588&lt;=0,"สินค้าหมด",IF(B588&lt;=C588,"ควรเติมทันที","OK")),"")),)</f>
        <v/>
      </c>
      <c r="F588" s="24" t="str">
        <f>IFERROR(IF(A588&lt;&gt;"", SUMIF('💸 Transaction ซื้อ'!B:B,A588,'💸 Transaction ซื้อ'!G:G)/SUMIF('💸 Transaction ซื้อ'!B:B,A588,'💸 Transaction ซื้อ'!E:E),""),"-")</f>
        <v/>
      </c>
      <c r="G588" s="24" t="str">
        <f t="shared" si="1"/>
        <v/>
      </c>
      <c r="H588" s="25"/>
      <c r="I588" s="26"/>
      <c r="J588" s="26"/>
      <c r="K588" s="27" t="str">
        <f>IF(A588&lt;&gt;"",IF(E588="InActive","-",SUMIFS('💰 Transaction ขาย'!E:E,'💰 Transaction ขาย'!B:B,A588,'💰 Transaction ขาย'!A:A,"&gt;"&amp;'⚙️ Config'!$H$1-'⚙️ Config'!$H$2)),)</f>
        <v/>
      </c>
      <c r="L588" s="28" t="str">
        <f>IF(E588="InActive","-",IF(A588&lt;&gt;"",K588/'⚙️ Config'!$H$2,))</f>
        <v/>
      </c>
      <c r="M588" s="28" t="str">
        <f t="shared" si="2"/>
        <v/>
      </c>
      <c r="N588" s="28" t="str">
        <f>IF(A588&lt;&gt;"", SUMIFS('💰 Transaction ขาย'!F:F,'💰 Transaction ขาย'!B:B,A588,'💰 Transaction ขาย'!A:A,"&gt;="&amp;DATE(YEAR('⚙️ Config'!$H$1),1,1),'💰 Transaction ขาย'!A:A,"&lt;="&amp;DATE(YEAR('⚙️ Config'!$H$1),12,31)),)</f>
        <v/>
      </c>
    </row>
    <row r="589">
      <c r="A589" s="22"/>
      <c r="B589" s="22" t="str">
        <f>IF(A589&lt;&gt;"",SUMIFS('💸 Transaction ซื้อ'!E:E,'💸 Transaction ซื้อ'!B:B,A589)-SUMIFS('💰 Transaction ขาย'!E:E,'💰 Transaction ขาย'!B:B,A589),"")</f>
        <v/>
      </c>
      <c r="C589" s="23" t="str">
        <f>IF(A589&lt;&gt;"",vlookup(A589,'📦 ชื่อสินค้า'!A:E,5,false),"")</f>
        <v/>
      </c>
      <c r="D589" s="23" t="str">
        <f>IF(A589&lt;&gt;"",VLOOKUP(A589,'📦 ชื่อสินค้า'!A:F,6,false),"")</f>
        <v/>
      </c>
      <c r="E589" s="16" t="str">
        <f>IFERROR(IF(VLOOKUP(A589,'📦 ชื่อสินค้า'!A:G,7,false)="InActive","InActive",IF(A589&lt;&gt;"",IF(B589&lt;=0,"สินค้าหมด",IF(B589&lt;=C589,"ควรเติมทันที","OK")),"")),)</f>
        <v/>
      </c>
      <c r="F589" s="24" t="str">
        <f>IFERROR(IF(A589&lt;&gt;"", SUMIF('💸 Transaction ซื้อ'!B:B,A589,'💸 Transaction ซื้อ'!G:G)/SUMIF('💸 Transaction ซื้อ'!B:B,A589,'💸 Transaction ซื้อ'!E:E),""),"-")</f>
        <v/>
      </c>
      <c r="G589" s="24" t="str">
        <f t="shared" si="1"/>
        <v/>
      </c>
      <c r="H589" s="25"/>
      <c r="I589" s="26"/>
      <c r="J589" s="26"/>
      <c r="K589" s="27" t="str">
        <f>IF(A589&lt;&gt;"",IF(E589="InActive","-",SUMIFS('💰 Transaction ขาย'!E:E,'💰 Transaction ขาย'!B:B,A589,'💰 Transaction ขาย'!A:A,"&gt;"&amp;'⚙️ Config'!$H$1-'⚙️ Config'!$H$2)),)</f>
        <v/>
      </c>
      <c r="L589" s="28" t="str">
        <f>IF(E589="InActive","-",IF(A589&lt;&gt;"",K589/'⚙️ Config'!$H$2,))</f>
        <v/>
      </c>
      <c r="M589" s="28" t="str">
        <f t="shared" si="2"/>
        <v/>
      </c>
      <c r="N589" s="28" t="str">
        <f>IF(A589&lt;&gt;"", SUMIFS('💰 Transaction ขาย'!F:F,'💰 Transaction ขาย'!B:B,A589,'💰 Transaction ขาย'!A:A,"&gt;="&amp;DATE(YEAR('⚙️ Config'!$H$1),1,1),'💰 Transaction ขาย'!A:A,"&lt;="&amp;DATE(YEAR('⚙️ Config'!$H$1),12,31)),)</f>
        <v/>
      </c>
    </row>
    <row r="590">
      <c r="A590" s="22"/>
      <c r="B590" s="22" t="str">
        <f>IF(A590&lt;&gt;"",SUMIFS('💸 Transaction ซื้อ'!E:E,'💸 Transaction ซื้อ'!B:B,A590)-SUMIFS('💰 Transaction ขาย'!E:E,'💰 Transaction ขาย'!B:B,A590),"")</f>
        <v/>
      </c>
      <c r="C590" s="23" t="str">
        <f>IF(A590&lt;&gt;"",vlookup(A590,'📦 ชื่อสินค้า'!A:E,5,false),"")</f>
        <v/>
      </c>
      <c r="D590" s="23" t="str">
        <f>IF(A590&lt;&gt;"",VLOOKUP(A590,'📦 ชื่อสินค้า'!A:F,6,false),"")</f>
        <v/>
      </c>
      <c r="E590" s="16" t="str">
        <f>IFERROR(IF(VLOOKUP(A590,'📦 ชื่อสินค้า'!A:G,7,false)="InActive","InActive",IF(A590&lt;&gt;"",IF(B590&lt;=0,"สินค้าหมด",IF(B590&lt;=C590,"ควรเติมทันที","OK")),"")),)</f>
        <v/>
      </c>
      <c r="F590" s="24" t="str">
        <f>IFERROR(IF(A590&lt;&gt;"", SUMIF('💸 Transaction ซื้อ'!B:B,A590,'💸 Transaction ซื้อ'!G:G)/SUMIF('💸 Transaction ซื้อ'!B:B,A590,'💸 Transaction ซื้อ'!E:E),""),"-")</f>
        <v/>
      </c>
      <c r="G590" s="24" t="str">
        <f t="shared" si="1"/>
        <v/>
      </c>
      <c r="H590" s="25"/>
      <c r="I590" s="26"/>
      <c r="J590" s="26"/>
      <c r="K590" s="27" t="str">
        <f>IF(A590&lt;&gt;"",IF(E590="InActive","-",SUMIFS('💰 Transaction ขาย'!E:E,'💰 Transaction ขาย'!B:B,A590,'💰 Transaction ขาย'!A:A,"&gt;"&amp;'⚙️ Config'!$H$1-'⚙️ Config'!$H$2)),)</f>
        <v/>
      </c>
      <c r="L590" s="28" t="str">
        <f>IF(E590="InActive","-",IF(A590&lt;&gt;"",K590/'⚙️ Config'!$H$2,))</f>
        <v/>
      </c>
      <c r="M590" s="28" t="str">
        <f t="shared" si="2"/>
        <v/>
      </c>
      <c r="N590" s="28" t="str">
        <f>IF(A590&lt;&gt;"", SUMIFS('💰 Transaction ขาย'!F:F,'💰 Transaction ขาย'!B:B,A590,'💰 Transaction ขาย'!A:A,"&gt;="&amp;DATE(YEAR('⚙️ Config'!$H$1),1,1),'💰 Transaction ขาย'!A:A,"&lt;="&amp;DATE(YEAR('⚙️ Config'!$H$1),12,31)),)</f>
        <v/>
      </c>
    </row>
    <row r="591">
      <c r="A591" s="22"/>
      <c r="B591" s="22" t="str">
        <f>IF(A591&lt;&gt;"",SUMIFS('💸 Transaction ซื้อ'!E:E,'💸 Transaction ซื้อ'!B:B,A591)-SUMIFS('💰 Transaction ขาย'!E:E,'💰 Transaction ขาย'!B:B,A591),"")</f>
        <v/>
      </c>
      <c r="C591" s="23" t="str">
        <f>IF(A591&lt;&gt;"",vlookup(A591,'📦 ชื่อสินค้า'!A:E,5,false),"")</f>
        <v/>
      </c>
      <c r="D591" s="23" t="str">
        <f>IF(A591&lt;&gt;"",VLOOKUP(A591,'📦 ชื่อสินค้า'!A:F,6,false),"")</f>
        <v/>
      </c>
      <c r="E591" s="16" t="str">
        <f>IFERROR(IF(VLOOKUP(A591,'📦 ชื่อสินค้า'!A:G,7,false)="InActive","InActive",IF(A591&lt;&gt;"",IF(B591&lt;=0,"สินค้าหมด",IF(B591&lt;=C591,"ควรเติมทันที","OK")),"")),)</f>
        <v/>
      </c>
      <c r="F591" s="24" t="str">
        <f>IFERROR(IF(A591&lt;&gt;"", SUMIF('💸 Transaction ซื้อ'!B:B,A591,'💸 Transaction ซื้อ'!G:G)/SUMIF('💸 Transaction ซื้อ'!B:B,A591,'💸 Transaction ซื้อ'!E:E),""),"-")</f>
        <v/>
      </c>
      <c r="G591" s="24" t="str">
        <f t="shared" si="1"/>
        <v/>
      </c>
      <c r="H591" s="25"/>
      <c r="I591" s="26"/>
      <c r="J591" s="26"/>
      <c r="K591" s="27" t="str">
        <f>IF(A591&lt;&gt;"",IF(E591="InActive","-",SUMIFS('💰 Transaction ขาย'!E:E,'💰 Transaction ขาย'!B:B,A591,'💰 Transaction ขาย'!A:A,"&gt;"&amp;'⚙️ Config'!$H$1-'⚙️ Config'!$H$2)),)</f>
        <v/>
      </c>
      <c r="L591" s="28" t="str">
        <f>IF(E591="InActive","-",IF(A591&lt;&gt;"",K591/'⚙️ Config'!$H$2,))</f>
        <v/>
      </c>
      <c r="M591" s="28" t="str">
        <f t="shared" si="2"/>
        <v/>
      </c>
      <c r="N591" s="28" t="str">
        <f>IF(A591&lt;&gt;"", SUMIFS('💰 Transaction ขาย'!F:F,'💰 Transaction ขาย'!B:B,A591,'💰 Transaction ขาย'!A:A,"&gt;="&amp;DATE(YEAR('⚙️ Config'!$H$1),1,1),'💰 Transaction ขาย'!A:A,"&lt;="&amp;DATE(YEAR('⚙️ Config'!$H$1),12,31)),)</f>
        <v/>
      </c>
    </row>
    <row r="592">
      <c r="A592" s="22"/>
      <c r="B592" s="22" t="str">
        <f>IF(A592&lt;&gt;"",SUMIFS('💸 Transaction ซื้อ'!E:E,'💸 Transaction ซื้อ'!B:B,A592)-SUMIFS('💰 Transaction ขาย'!E:E,'💰 Transaction ขาย'!B:B,A592),"")</f>
        <v/>
      </c>
      <c r="C592" s="23" t="str">
        <f>IF(A592&lt;&gt;"",vlookup(A592,'📦 ชื่อสินค้า'!A:E,5,false),"")</f>
        <v/>
      </c>
      <c r="D592" s="23" t="str">
        <f>IF(A592&lt;&gt;"",VLOOKUP(A592,'📦 ชื่อสินค้า'!A:F,6,false),"")</f>
        <v/>
      </c>
      <c r="E592" s="16" t="str">
        <f>IFERROR(IF(VLOOKUP(A592,'📦 ชื่อสินค้า'!A:G,7,false)="InActive","InActive",IF(A592&lt;&gt;"",IF(B592&lt;=0,"สินค้าหมด",IF(B592&lt;=C592,"ควรเติมทันที","OK")),"")),)</f>
        <v/>
      </c>
      <c r="F592" s="24" t="str">
        <f>IFERROR(IF(A592&lt;&gt;"", SUMIF('💸 Transaction ซื้อ'!B:B,A592,'💸 Transaction ซื้อ'!G:G)/SUMIF('💸 Transaction ซื้อ'!B:B,A592,'💸 Transaction ซื้อ'!E:E),""),"-")</f>
        <v/>
      </c>
      <c r="G592" s="24" t="str">
        <f t="shared" si="1"/>
        <v/>
      </c>
      <c r="H592" s="25"/>
      <c r="I592" s="26"/>
      <c r="J592" s="26"/>
      <c r="K592" s="27" t="str">
        <f>IF(A592&lt;&gt;"",IF(E592="InActive","-",SUMIFS('💰 Transaction ขาย'!E:E,'💰 Transaction ขาย'!B:B,A592,'💰 Transaction ขาย'!A:A,"&gt;"&amp;'⚙️ Config'!$H$1-'⚙️ Config'!$H$2)),)</f>
        <v/>
      </c>
      <c r="L592" s="28" t="str">
        <f>IF(E592="InActive","-",IF(A592&lt;&gt;"",K592/'⚙️ Config'!$H$2,))</f>
        <v/>
      </c>
      <c r="M592" s="28" t="str">
        <f t="shared" si="2"/>
        <v/>
      </c>
      <c r="N592" s="28" t="str">
        <f>IF(A592&lt;&gt;"", SUMIFS('💰 Transaction ขาย'!F:F,'💰 Transaction ขาย'!B:B,A592,'💰 Transaction ขาย'!A:A,"&gt;="&amp;DATE(YEAR('⚙️ Config'!$H$1),1,1),'💰 Transaction ขาย'!A:A,"&lt;="&amp;DATE(YEAR('⚙️ Config'!$H$1),12,31)),)</f>
        <v/>
      </c>
    </row>
    <row r="593">
      <c r="A593" s="22"/>
      <c r="B593" s="22" t="str">
        <f>IF(A593&lt;&gt;"",SUMIFS('💸 Transaction ซื้อ'!E:E,'💸 Transaction ซื้อ'!B:B,A593)-SUMIFS('💰 Transaction ขาย'!E:E,'💰 Transaction ขาย'!B:B,A593),"")</f>
        <v/>
      </c>
      <c r="C593" s="23" t="str">
        <f>IF(A593&lt;&gt;"",vlookup(A593,'📦 ชื่อสินค้า'!A:E,5,false),"")</f>
        <v/>
      </c>
      <c r="D593" s="23" t="str">
        <f>IF(A593&lt;&gt;"",VLOOKUP(A593,'📦 ชื่อสินค้า'!A:F,6,false),"")</f>
        <v/>
      </c>
      <c r="E593" s="16" t="str">
        <f>IFERROR(IF(VLOOKUP(A593,'📦 ชื่อสินค้า'!A:G,7,false)="InActive","InActive",IF(A593&lt;&gt;"",IF(B593&lt;=0,"สินค้าหมด",IF(B593&lt;=C593,"ควรเติมทันที","OK")),"")),)</f>
        <v/>
      </c>
      <c r="F593" s="24" t="str">
        <f>IFERROR(IF(A593&lt;&gt;"", SUMIF('💸 Transaction ซื้อ'!B:B,A593,'💸 Transaction ซื้อ'!G:G)/SUMIF('💸 Transaction ซื้อ'!B:B,A593,'💸 Transaction ซื้อ'!E:E),""),"-")</f>
        <v/>
      </c>
      <c r="G593" s="24" t="str">
        <f t="shared" si="1"/>
        <v/>
      </c>
      <c r="H593" s="25"/>
      <c r="I593" s="26"/>
      <c r="J593" s="26"/>
      <c r="K593" s="27" t="str">
        <f>IF(A593&lt;&gt;"",IF(E593="InActive","-",SUMIFS('💰 Transaction ขาย'!E:E,'💰 Transaction ขาย'!B:B,A593,'💰 Transaction ขาย'!A:A,"&gt;"&amp;'⚙️ Config'!$H$1-'⚙️ Config'!$H$2)),)</f>
        <v/>
      </c>
      <c r="L593" s="28" t="str">
        <f>IF(E593="InActive","-",IF(A593&lt;&gt;"",K593/'⚙️ Config'!$H$2,))</f>
        <v/>
      </c>
      <c r="M593" s="28" t="str">
        <f t="shared" si="2"/>
        <v/>
      </c>
      <c r="N593" s="28" t="str">
        <f>IF(A593&lt;&gt;"", SUMIFS('💰 Transaction ขาย'!F:F,'💰 Transaction ขาย'!B:B,A593,'💰 Transaction ขาย'!A:A,"&gt;="&amp;DATE(YEAR('⚙️ Config'!$H$1),1,1),'💰 Transaction ขาย'!A:A,"&lt;="&amp;DATE(YEAR('⚙️ Config'!$H$1),12,31)),)</f>
        <v/>
      </c>
    </row>
    <row r="594">
      <c r="A594" s="22"/>
      <c r="B594" s="22" t="str">
        <f>IF(A594&lt;&gt;"",SUMIFS('💸 Transaction ซื้อ'!E:E,'💸 Transaction ซื้อ'!B:B,A594)-SUMIFS('💰 Transaction ขาย'!E:E,'💰 Transaction ขาย'!B:B,A594),"")</f>
        <v/>
      </c>
      <c r="C594" s="23" t="str">
        <f>IF(A594&lt;&gt;"",vlookup(A594,'📦 ชื่อสินค้า'!A:E,5,false),"")</f>
        <v/>
      </c>
      <c r="D594" s="23" t="str">
        <f>IF(A594&lt;&gt;"",VLOOKUP(A594,'📦 ชื่อสินค้า'!A:F,6,false),"")</f>
        <v/>
      </c>
      <c r="E594" s="16" t="str">
        <f>IFERROR(IF(VLOOKUP(A594,'📦 ชื่อสินค้า'!A:G,7,false)="InActive","InActive",IF(A594&lt;&gt;"",IF(B594&lt;=0,"สินค้าหมด",IF(B594&lt;=C594,"ควรเติมทันที","OK")),"")),)</f>
        <v/>
      </c>
      <c r="F594" s="24" t="str">
        <f>IFERROR(IF(A594&lt;&gt;"", SUMIF('💸 Transaction ซื้อ'!B:B,A594,'💸 Transaction ซื้อ'!G:G)/SUMIF('💸 Transaction ซื้อ'!B:B,A594,'💸 Transaction ซื้อ'!E:E),""),"-")</f>
        <v/>
      </c>
      <c r="G594" s="24" t="str">
        <f t="shared" si="1"/>
        <v/>
      </c>
      <c r="H594" s="25"/>
      <c r="I594" s="26"/>
      <c r="J594" s="26"/>
      <c r="K594" s="27" t="str">
        <f>IF(A594&lt;&gt;"",IF(E594="InActive","-",SUMIFS('💰 Transaction ขาย'!E:E,'💰 Transaction ขาย'!B:B,A594,'💰 Transaction ขาย'!A:A,"&gt;"&amp;'⚙️ Config'!$H$1-'⚙️ Config'!$H$2)),)</f>
        <v/>
      </c>
      <c r="L594" s="28" t="str">
        <f>IF(E594="InActive","-",IF(A594&lt;&gt;"",K594/'⚙️ Config'!$H$2,))</f>
        <v/>
      </c>
      <c r="M594" s="28" t="str">
        <f t="shared" si="2"/>
        <v/>
      </c>
      <c r="N594" s="28" t="str">
        <f>IF(A594&lt;&gt;"", SUMIFS('💰 Transaction ขาย'!F:F,'💰 Transaction ขาย'!B:B,A594,'💰 Transaction ขาย'!A:A,"&gt;="&amp;DATE(YEAR('⚙️ Config'!$H$1),1,1),'💰 Transaction ขาย'!A:A,"&lt;="&amp;DATE(YEAR('⚙️ Config'!$H$1),12,31)),)</f>
        <v/>
      </c>
    </row>
    <row r="595">
      <c r="A595" s="22"/>
      <c r="B595" s="22" t="str">
        <f>IF(A595&lt;&gt;"",SUMIFS('💸 Transaction ซื้อ'!E:E,'💸 Transaction ซื้อ'!B:B,A595)-SUMIFS('💰 Transaction ขาย'!E:E,'💰 Transaction ขาย'!B:B,A595),"")</f>
        <v/>
      </c>
      <c r="C595" s="23" t="str">
        <f>IF(A595&lt;&gt;"",vlookup(A595,'📦 ชื่อสินค้า'!A:E,5,false),"")</f>
        <v/>
      </c>
      <c r="D595" s="23" t="str">
        <f>IF(A595&lt;&gt;"",VLOOKUP(A595,'📦 ชื่อสินค้า'!A:F,6,false),"")</f>
        <v/>
      </c>
      <c r="E595" s="16" t="str">
        <f>IFERROR(IF(VLOOKUP(A595,'📦 ชื่อสินค้า'!A:G,7,false)="InActive","InActive",IF(A595&lt;&gt;"",IF(B595&lt;=0,"สินค้าหมด",IF(B595&lt;=C595,"ควรเติมทันที","OK")),"")),)</f>
        <v/>
      </c>
      <c r="F595" s="24" t="str">
        <f>IFERROR(IF(A595&lt;&gt;"", SUMIF('💸 Transaction ซื้อ'!B:B,A595,'💸 Transaction ซื้อ'!G:G)/SUMIF('💸 Transaction ซื้อ'!B:B,A595,'💸 Transaction ซื้อ'!E:E),""),"-")</f>
        <v/>
      </c>
      <c r="G595" s="24" t="str">
        <f t="shared" si="1"/>
        <v/>
      </c>
      <c r="H595" s="25"/>
      <c r="I595" s="26"/>
      <c r="J595" s="26"/>
      <c r="K595" s="27" t="str">
        <f>IF(A595&lt;&gt;"",IF(E595="InActive","-",SUMIFS('💰 Transaction ขาย'!E:E,'💰 Transaction ขาย'!B:B,A595,'💰 Transaction ขาย'!A:A,"&gt;"&amp;'⚙️ Config'!$H$1-'⚙️ Config'!$H$2)),)</f>
        <v/>
      </c>
      <c r="L595" s="28" t="str">
        <f>IF(E595="InActive","-",IF(A595&lt;&gt;"",K595/'⚙️ Config'!$H$2,))</f>
        <v/>
      </c>
      <c r="M595" s="28" t="str">
        <f t="shared" si="2"/>
        <v/>
      </c>
      <c r="N595" s="28" t="str">
        <f>IF(A595&lt;&gt;"", SUMIFS('💰 Transaction ขาย'!F:F,'💰 Transaction ขาย'!B:B,A595,'💰 Transaction ขาย'!A:A,"&gt;="&amp;DATE(YEAR('⚙️ Config'!$H$1),1,1),'💰 Transaction ขาย'!A:A,"&lt;="&amp;DATE(YEAR('⚙️ Config'!$H$1),12,31)),)</f>
        <v/>
      </c>
    </row>
    <row r="596">
      <c r="A596" s="22"/>
      <c r="B596" s="22" t="str">
        <f>IF(A596&lt;&gt;"",SUMIFS('💸 Transaction ซื้อ'!E:E,'💸 Transaction ซื้อ'!B:B,A596)-SUMIFS('💰 Transaction ขาย'!E:E,'💰 Transaction ขาย'!B:B,A596),"")</f>
        <v/>
      </c>
      <c r="C596" s="23" t="str">
        <f>IF(A596&lt;&gt;"",vlookup(A596,'📦 ชื่อสินค้า'!A:E,5,false),"")</f>
        <v/>
      </c>
      <c r="D596" s="23" t="str">
        <f>IF(A596&lt;&gt;"",VLOOKUP(A596,'📦 ชื่อสินค้า'!A:F,6,false),"")</f>
        <v/>
      </c>
      <c r="E596" s="16" t="str">
        <f>IFERROR(IF(VLOOKUP(A596,'📦 ชื่อสินค้า'!A:G,7,false)="InActive","InActive",IF(A596&lt;&gt;"",IF(B596&lt;=0,"สินค้าหมด",IF(B596&lt;=C596,"ควรเติมทันที","OK")),"")),)</f>
        <v/>
      </c>
      <c r="F596" s="24" t="str">
        <f>IFERROR(IF(A596&lt;&gt;"", SUMIF('💸 Transaction ซื้อ'!B:B,A596,'💸 Transaction ซื้อ'!G:G)/SUMIF('💸 Transaction ซื้อ'!B:B,A596,'💸 Transaction ซื้อ'!E:E),""),"-")</f>
        <v/>
      </c>
      <c r="G596" s="24" t="str">
        <f t="shared" si="1"/>
        <v/>
      </c>
      <c r="H596" s="25"/>
      <c r="I596" s="26"/>
      <c r="J596" s="26"/>
      <c r="K596" s="27" t="str">
        <f>IF(A596&lt;&gt;"",IF(E596="InActive","-",SUMIFS('💰 Transaction ขาย'!E:E,'💰 Transaction ขาย'!B:B,A596,'💰 Transaction ขาย'!A:A,"&gt;"&amp;'⚙️ Config'!$H$1-'⚙️ Config'!$H$2)),)</f>
        <v/>
      </c>
      <c r="L596" s="28" t="str">
        <f>IF(E596="InActive","-",IF(A596&lt;&gt;"",K596/'⚙️ Config'!$H$2,))</f>
        <v/>
      </c>
      <c r="M596" s="28" t="str">
        <f t="shared" si="2"/>
        <v/>
      </c>
      <c r="N596" s="28" t="str">
        <f>IF(A596&lt;&gt;"", SUMIFS('💰 Transaction ขาย'!F:F,'💰 Transaction ขาย'!B:B,A596,'💰 Transaction ขาย'!A:A,"&gt;="&amp;DATE(YEAR('⚙️ Config'!$H$1),1,1),'💰 Transaction ขาย'!A:A,"&lt;="&amp;DATE(YEAR('⚙️ Config'!$H$1),12,31)),)</f>
        <v/>
      </c>
    </row>
    <row r="597">
      <c r="A597" s="22"/>
      <c r="B597" s="22" t="str">
        <f>IF(A597&lt;&gt;"",SUMIFS('💸 Transaction ซื้อ'!E:E,'💸 Transaction ซื้อ'!B:B,A597)-SUMIFS('💰 Transaction ขาย'!E:E,'💰 Transaction ขาย'!B:B,A597),"")</f>
        <v/>
      </c>
      <c r="C597" s="23" t="str">
        <f>IF(A597&lt;&gt;"",vlookup(A597,'📦 ชื่อสินค้า'!A:E,5,false),"")</f>
        <v/>
      </c>
      <c r="D597" s="23" t="str">
        <f>IF(A597&lt;&gt;"",VLOOKUP(A597,'📦 ชื่อสินค้า'!A:F,6,false),"")</f>
        <v/>
      </c>
      <c r="E597" s="16" t="str">
        <f>IFERROR(IF(VLOOKUP(A597,'📦 ชื่อสินค้า'!A:G,7,false)="InActive","InActive",IF(A597&lt;&gt;"",IF(B597&lt;=0,"สินค้าหมด",IF(B597&lt;=C597,"ควรเติมทันที","OK")),"")),)</f>
        <v/>
      </c>
      <c r="F597" s="24" t="str">
        <f>IFERROR(IF(A597&lt;&gt;"", SUMIF('💸 Transaction ซื้อ'!B:B,A597,'💸 Transaction ซื้อ'!G:G)/SUMIF('💸 Transaction ซื้อ'!B:B,A597,'💸 Transaction ซื้อ'!E:E),""),"-")</f>
        <v/>
      </c>
      <c r="G597" s="24" t="str">
        <f t="shared" si="1"/>
        <v/>
      </c>
      <c r="H597" s="25"/>
      <c r="I597" s="26"/>
      <c r="J597" s="26"/>
      <c r="K597" s="27" t="str">
        <f>IF(A597&lt;&gt;"",IF(E597="InActive","-",SUMIFS('💰 Transaction ขาย'!E:E,'💰 Transaction ขาย'!B:B,A597,'💰 Transaction ขาย'!A:A,"&gt;"&amp;'⚙️ Config'!$H$1-'⚙️ Config'!$H$2)),)</f>
        <v/>
      </c>
      <c r="L597" s="28" t="str">
        <f>IF(E597="InActive","-",IF(A597&lt;&gt;"",K597/'⚙️ Config'!$H$2,))</f>
        <v/>
      </c>
      <c r="M597" s="28" t="str">
        <f t="shared" si="2"/>
        <v/>
      </c>
      <c r="N597" s="28" t="str">
        <f>IF(A597&lt;&gt;"", SUMIFS('💰 Transaction ขาย'!F:F,'💰 Transaction ขาย'!B:B,A597,'💰 Transaction ขาย'!A:A,"&gt;="&amp;DATE(YEAR('⚙️ Config'!$H$1),1,1),'💰 Transaction ขาย'!A:A,"&lt;="&amp;DATE(YEAR('⚙️ Config'!$H$1),12,31)),)</f>
        <v/>
      </c>
    </row>
    <row r="598">
      <c r="A598" s="22"/>
      <c r="B598" s="22" t="str">
        <f>IF(A598&lt;&gt;"",SUMIFS('💸 Transaction ซื้อ'!E:E,'💸 Transaction ซื้อ'!B:B,A598)-SUMIFS('💰 Transaction ขาย'!E:E,'💰 Transaction ขาย'!B:B,A598),"")</f>
        <v/>
      </c>
      <c r="C598" s="23" t="str">
        <f>IF(A598&lt;&gt;"",vlookup(A598,'📦 ชื่อสินค้า'!A:E,5,false),"")</f>
        <v/>
      </c>
      <c r="D598" s="23" t="str">
        <f>IF(A598&lt;&gt;"",VLOOKUP(A598,'📦 ชื่อสินค้า'!A:F,6,false),"")</f>
        <v/>
      </c>
      <c r="E598" s="16" t="str">
        <f>IFERROR(IF(VLOOKUP(A598,'📦 ชื่อสินค้า'!A:G,7,false)="InActive","InActive",IF(A598&lt;&gt;"",IF(B598&lt;=0,"สินค้าหมด",IF(B598&lt;=C598,"ควรเติมทันที","OK")),"")),)</f>
        <v/>
      </c>
      <c r="F598" s="24" t="str">
        <f>IFERROR(IF(A598&lt;&gt;"", SUMIF('💸 Transaction ซื้อ'!B:B,A598,'💸 Transaction ซื้อ'!G:G)/SUMIF('💸 Transaction ซื้อ'!B:B,A598,'💸 Transaction ซื้อ'!E:E),""),"-")</f>
        <v/>
      </c>
      <c r="G598" s="24" t="str">
        <f t="shared" si="1"/>
        <v/>
      </c>
      <c r="H598" s="25"/>
      <c r="I598" s="26"/>
      <c r="J598" s="26"/>
      <c r="K598" s="27" t="str">
        <f>IF(A598&lt;&gt;"",IF(E598="InActive","-",SUMIFS('💰 Transaction ขาย'!E:E,'💰 Transaction ขาย'!B:B,A598,'💰 Transaction ขาย'!A:A,"&gt;"&amp;'⚙️ Config'!$H$1-'⚙️ Config'!$H$2)),)</f>
        <v/>
      </c>
      <c r="L598" s="28" t="str">
        <f>IF(E598="InActive","-",IF(A598&lt;&gt;"",K598/'⚙️ Config'!$H$2,))</f>
        <v/>
      </c>
      <c r="M598" s="28" t="str">
        <f t="shared" si="2"/>
        <v/>
      </c>
      <c r="N598" s="28" t="str">
        <f>IF(A598&lt;&gt;"", SUMIFS('💰 Transaction ขาย'!F:F,'💰 Transaction ขาย'!B:B,A598,'💰 Transaction ขาย'!A:A,"&gt;="&amp;DATE(YEAR('⚙️ Config'!$H$1),1,1),'💰 Transaction ขาย'!A:A,"&lt;="&amp;DATE(YEAR('⚙️ Config'!$H$1),12,31)),)</f>
        <v/>
      </c>
    </row>
    <row r="599">
      <c r="A599" s="22"/>
      <c r="B599" s="22" t="str">
        <f>IF(A599&lt;&gt;"",SUMIFS('💸 Transaction ซื้อ'!E:E,'💸 Transaction ซื้อ'!B:B,A599)-SUMIFS('💰 Transaction ขาย'!E:E,'💰 Transaction ขาย'!B:B,A599),"")</f>
        <v/>
      </c>
      <c r="C599" s="23" t="str">
        <f>IF(A599&lt;&gt;"",vlookup(A599,'📦 ชื่อสินค้า'!A:E,5,false),"")</f>
        <v/>
      </c>
      <c r="D599" s="23" t="str">
        <f>IF(A599&lt;&gt;"",VLOOKUP(A599,'📦 ชื่อสินค้า'!A:F,6,false),"")</f>
        <v/>
      </c>
      <c r="E599" s="16" t="str">
        <f>IFERROR(IF(VLOOKUP(A599,'📦 ชื่อสินค้า'!A:G,7,false)="InActive","InActive",IF(A599&lt;&gt;"",IF(B599&lt;=0,"สินค้าหมด",IF(B599&lt;=C599,"ควรเติมทันที","OK")),"")),)</f>
        <v/>
      </c>
      <c r="F599" s="24" t="str">
        <f>IFERROR(IF(A599&lt;&gt;"", SUMIF('💸 Transaction ซื้อ'!B:B,A599,'💸 Transaction ซื้อ'!G:G)/SUMIF('💸 Transaction ซื้อ'!B:B,A599,'💸 Transaction ซื้อ'!E:E),""),"-")</f>
        <v/>
      </c>
      <c r="G599" s="24" t="str">
        <f t="shared" si="1"/>
        <v/>
      </c>
      <c r="H599" s="25"/>
      <c r="I599" s="26"/>
      <c r="J599" s="26"/>
      <c r="K599" s="27" t="str">
        <f>IF(A599&lt;&gt;"",IF(E599="InActive","-",SUMIFS('💰 Transaction ขาย'!E:E,'💰 Transaction ขาย'!B:B,A599,'💰 Transaction ขาย'!A:A,"&gt;"&amp;'⚙️ Config'!$H$1-'⚙️ Config'!$H$2)),)</f>
        <v/>
      </c>
      <c r="L599" s="28" t="str">
        <f>IF(E599="InActive","-",IF(A599&lt;&gt;"",K599/'⚙️ Config'!$H$2,))</f>
        <v/>
      </c>
      <c r="M599" s="28" t="str">
        <f t="shared" si="2"/>
        <v/>
      </c>
      <c r="N599" s="28" t="str">
        <f>IF(A599&lt;&gt;"", SUMIFS('💰 Transaction ขาย'!F:F,'💰 Transaction ขาย'!B:B,A599,'💰 Transaction ขาย'!A:A,"&gt;="&amp;DATE(YEAR('⚙️ Config'!$H$1),1,1),'💰 Transaction ขาย'!A:A,"&lt;="&amp;DATE(YEAR('⚙️ Config'!$H$1),12,31)),)</f>
        <v/>
      </c>
    </row>
    <row r="600">
      <c r="A600" s="22"/>
      <c r="B600" s="22" t="str">
        <f>IF(A600&lt;&gt;"",SUMIFS('💸 Transaction ซื้อ'!E:E,'💸 Transaction ซื้อ'!B:B,A600)-SUMIFS('💰 Transaction ขาย'!E:E,'💰 Transaction ขาย'!B:B,A600),"")</f>
        <v/>
      </c>
      <c r="C600" s="23" t="str">
        <f>IF(A600&lt;&gt;"",vlookup(A600,'📦 ชื่อสินค้า'!A:E,5,false),"")</f>
        <v/>
      </c>
      <c r="D600" s="23" t="str">
        <f>IF(A600&lt;&gt;"",VLOOKUP(A600,'📦 ชื่อสินค้า'!A:F,6,false),"")</f>
        <v/>
      </c>
      <c r="E600" s="16" t="str">
        <f>IFERROR(IF(VLOOKUP(A600,'📦 ชื่อสินค้า'!A:G,7,false)="InActive","InActive",IF(A600&lt;&gt;"",IF(B600&lt;=0,"สินค้าหมด",IF(B600&lt;=C600,"ควรเติมทันที","OK")),"")),)</f>
        <v/>
      </c>
      <c r="F600" s="24" t="str">
        <f>IFERROR(IF(A600&lt;&gt;"", SUMIF('💸 Transaction ซื้อ'!B:B,A600,'💸 Transaction ซื้อ'!G:G)/SUMIF('💸 Transaction ซื้อ'!B:B,A600,'💸 Transaction ซื้อ'!E:E),""),"-")</f>
        <v/>
      </c>
      <c r="G600" s="24" t="str">
        <f t="shared" si="1"/>
        <v/>
      </c>
      <c r="H600" s="25"/>
      <c r="I600" s="26"/>
      <c r="J600" s="26"/>
      <c r="K600" s="27" t="str">
        <f>IF(A600&lt;&gt;"",IF(E600="InActive","-",SUMIFS('💰 Transaction ขาย'!E:E,'💰 Transaction ขาย'!B:B,A600,'💰 Transaction ขาย'!A:A,"&gt;"&amp;'⚙️ Config'!$H$1-'⚙️ Config'!$H$2)),)</f>
        <v/>
      </c>
      <c r="L600" s="28" t="str">
        <f>IF(E600="InActive","-",IF(A600&lt;&gt;"",K600/'⚙️ Config'!$H$2,))</f>
        <v/>
      </c>
      <c r="M600" s="28" t="str">
        <f t="shared" si="2"/>
        <v/>
      </c>
      <c r="N600" s="28" t="str">
        <f>IF(A600&lt;&gt;"", SUMIFS('💰 Transaction ขาย'!F:F,'💰 Transaction ขาย'!B:B,A600,'💰 Transaction ขาย'!A:A,"&gt;="&amp;DATE(YEAR('⚙️ Config'!$H$1),1,1),'💰 Transaction ขาย'!A:A,"&lt;="&amp;DATE(YEAR('⚙️ Config'!$H$1),12,31)),)</f>
        <v/>
      </c>
    </row>
    <row r="601">
      <c r="A601" s="22"/>
      <c r="B601" s="22" t="str">
        <f>IF(A601&lt;&gt;"",SUMIFS('💸 Transaction ซื้อ'!E:E,'💸 Transaction ซื้อ'!B:B,A601)-SUMIFS('💰 Transaction ขาย'!E:E,'💰 Transaction ขาย'!B:B,A601),"")</f>
        <v/>
      </c>
      <c r="C601" s="23" t="str">
        <f>IF(A601&lt;&gt;"",vlookup(A601,'📦 ชื่อสินค้า'!A:E,5,false),"")</f>
        <v/>
      </c>
      <c r="D601" s="23" t="str">
        <f>IF(A601&lt;&gt;"",VLOOKUP(A601,'📦 ชื่อสินค้า'!A:F,6,false),"")</f>
        <v/>
      </c>
      <c r="E601" s="16" t="str">
        <f>IFERROR(IF(VLOOKUP(A601,'📦 ชื่อสินค้า'!A:G,7,false)="InActive","InActive",IF(A601&lt;&gt;"",IF(B601&lt;=0,"สินค้าหมด",IF(B601&lt;=C601,"ควรเติมทันที","OK")),"")),)</f>
        <v/>
      </c>
      <c r="F601" s="24" t="str">
        <f>IFERROR(IF(A601&lt;&gt;"", SUMIF('💸 Transaction ซื้อ'!B:B,A601,'💸 Transaction ซื้อ'!G:G)/SUMIF('💸 Transaction ซื้อ'!B:B,A601,'💸 Transaction ซื้อ'!E:E),""),"-")</f>
        <v/>
      </c>
      <c r="G601" s="24" t="str">
        <f t="shared" si="1"/>
        <v/>
      </c>
      <c r="H601" s="25"/>
      <c r="I601" s="26"/>
      <c r="J601" s="26"/>
      <c r="K601" s="27" t="str">
        <f>IF(A601&lt;&gt;"",IF(E601="InActive","-",SUMIFS('💰 Transaction ขาย'!E:E,'💰 Transaction ขาย'!B:B,A601,'💰 Transaction ขาย'!A:A,"&gt;"&amp;'⚙️ Config'!$H$1-'⚙️ Config'!$H$2)),)</f>
        <v/>
      </c>
      <c r="L601" s="28" t="str">
        <f>IF(E601="InActive","-",IF(A601&lt;&gt;"",K601/'⚙️ Config'!$H$2,))</f>
        <v/>
      </c>
      <c r="M601" s="28" t="str">
        <f t="shared" si="2"/>
        <v/>
      </c>
      <c r="N601" s="28" t="str">
        <f>IF(A601&lt;&gt;"", SUMIFS('💰 Transaction ขาย'!F:F,'💰 Transaction ขาย'!B:B,A601,'💰 Transaction ขาย'!A:A,"&gt;="&amp;DATE(YEAR('⚙️ Config'!$H$1),1,1),'💰 Transaction ขาย'!A:A,"&lt;="&amp;DATE(YEAR('⚙️ Config'!$H$1),12,31)),)</f>
        <v/>
      </c>
    </row>
    <row r="602">
      <c r="A602" s="22"/>
      <c r="B602" s="22" t="str">
        <f>IF(A602&lt;&gt;"",SUMIFS('💸 Transaction ซื้อ'!E:E,'💸 Transaction ซื้อ'!B:B,A602)-SUMIFS('💰 Transaction ขาย'!E:E,'💰 Transaction ขาย'!B:B,A602),"")</f>
        <v/>
      </c>
      <c r="C602" s="23" t="str">
        <f>IF(A602&lt;&gt;"",vlookup(A602,'📦 ชื่อสินค้า'!A:E,5,false),"")</f>
        <v/>
      </c>
      <c r="D602" s="23" t="str">
        <f>IF(A602&lt;&gt;"",VLOOKUP(A602,'📦 ชื่อสินค้า'!A:F,6,false),"")</f>
        <v/>
      </c>
      <c r="E602" s="16" t="str">
        <f>IFERROR(IF(VLOOKUP(A602,'📦 ชื่อสินค้า'!A:G,7,false)="InActive","InActive",IF(A602&lt;&gt;"",IF(B602&lt;=0,"สินค้าหมด",IF(B602&lt;=C602,"ควรเติมทันที","OK")),"")),)</f>
        <v/>
      </c>
      <c r="F602" s="24" t="str">
        <f>IFERROR(IF(A602&lt;&gt;"", SUMIF('💸 Transaction ซื้อ'!B:B,A602,'💸 Transaction ซื้อ'!G:G)/SUMIF('💸 Transaction ซื้อ'!B:B,A602,'💸 Transaction ซื้อ'!E:E),""),"-")</f>
        <v/>
      </c>
      <c r="G602" s="24" t="str">
        <f t="shared" si="1"/>
        <v/>
      </c>
      <c r="H602" s="25"/>
      <c r="I602" s="26"/>
      <c r="J602" s="26"/>
      <c r="K602" s="27" t="str">
        <f>IF(A602&lt;&gt;"",IF(E602="InActive","-",SUMIFS('💰 Transaction ขาย'!E:E,'💰 Transaction ขาย'!B:B,A602,'💰 Transaction ขาย'!A:A,"&gt;"&amp;'⚙️ Config'!$H$1-'⚙️ Config'!$H$2)),)</f>
        <v/>
      </c>
      <c r="L602" s="28" t="str">
        <f>IF(E602="InActive","-",IF(A602&lt;&gt;"",K602/'⚙️ Config'!$H$2,))</f>
        <v/>
      </c>
      <c r="M602" s="28" t="str">
        <f t="shared" si="2"/>
        <v/>
      </c>
      <c r="N602" s="28" t="str">
        <f>IF(A602&lt;&gt;"", SUMIFS('💰 Transaction ขาย'!F:F,'💰 Transaction ขาย'!B:B,A602,'💰 Transaction ขาย'!A:A,"&gt;="&amp;DATE(YEAR('⚙️ Config'!$H$1),1,1),'💰 Transaction ขาย'!A:A,"&lt;="&amp;DATE(YEAR('⚙️ Config'!$H$1),12,31)),)</f>
        <v/>
      </c>
    </row>
    <row r="603">
      <c r="A603" s="22"/>
      <c r="B603" s="22" t="str">
        <f>IF(A603&lt;&gt;"",SUMIFS('💸 Transaction ซื้อ'!E:E,'💸 Transaction ซื้อ'!B:B,A603)-SUMIFS('💰 Transaction ขาย'!E:E,'💰 Transaction ขาย'!B:B,A603),"")</f>
        <v/>
      </c>
      <c r="C603" s="23" t="str">
        <f>IF(A603&lt;&gt;"",vlookup(A603,'📦 ชื่อสินค้า'!A:E,5,false),"")</f>
        <v/>
      </c>
      <c r="D603" s="23" t="str">
        <f>IF(A603&lt;&gt;"",VLOOKUP(A603,'📦 ชื่อสินค้า'!A:F,6,false),"")</f>
        <v/>
      </c>
      <c r="E603" s="16" t="str">
        <f>IFERROR(IF(VLOOKUP(A603,'📦 ชื่อสินค้า'!A:G,7,false)="InActive","InActive",IF(A603&lt;&gt;"",IF(B603&lt;=0,"สินค้าหมด",IF(B603&lt;=C603,"ควรเติมทันที","OK")),"")),)</f>
        <v/>
      </c>
      <c r="F603" s="24" t="str">
        <f>IFERROR(IF(A603&lt;&gt;"", SUMIF('💸 Transaction ซื้อ'!B:B,A603,'💸 Transaction ซื้อ'!G:G)/SUMIF('💸 Transaction ซื้อ'!B:B,A603,'💸 Transaction ซื้อ'!E:E),""),"-")</f>
        <v/>
      </c>
      <c r="G603" s="24" t="str">
        <f t="shared" si="1"/>
        <v/>
      </c>
      <c r="H603" s="25"/>
      <c r="I603" s="26"/>
      <c r="J603" s="26"/>
      <c r="K603" s="27" t="str">
        <f>IF(A603&lt;&gt;"",IF(E603="InActive","-",SUMIFS('💰 Transaction ขาย'!E:E,'💰 Transaction ขาย'!B:B,A603,'💰 Transaction ขาย'!A:A,"&gt;"&amp;'⚙️ Config'!$H$1-'⚙️ Config'!$H$2)),)</f>
        <v/>
      </c>
      <c r="L603" s="28" t="str">
        <f>IF(E603="InActive","-",IF(A603&lt;&gt;"",K603/'⚙️ Config'!$H$2,))</f>
        <v/>
      </c>
      <c r="M603" s="28" t="str">
        <f t="shared" si="2"/>
        <v/>
      </c>
      <c r="N603" s="28" t="str">
        <f>IF(A603&lt;&gt;"", SUMIFS('💰 Transaction ขาย'!F:F,'💰 Transaction ขาย'!B:B,A603,'💰 Transaction ขาย'!A:A,"&gt;="&amp;DATE(YEAR('⚙️ Config'!$H$1),1,1),'💰 Transaction ขาย'!A:A,"&lt;="&amp;DATE(YEAR('⚙️ Config'!$H$1),12,31)),)</f>
        <v/>
      </c>
    </row>
    <row r="604">
      <c r="A604" s="22"/>
      <c r="B604" s="22" t="str">
        <f>IF(A604&lt;&gt;"",SUMIFS('💸 Transaction ซื้อ'!E:E,'💸 Transaction ซื้อ'!B:B,A604)-SUMIFS('💰 Transaction ขาย'!E:E,'💰 Transaction ขาย'!B:B,A604),"")</f>
        <v/>
      </c>
      <c r="C604" s="23" t="str">
        <f>IF(A604&lt;&gt;"",vlookup(A604,'📦 ชื่อสินค้า'!A:E,5,false),"")</f>
        <v/>
      </c>
      <c r="D604" s="23" t="str">
        <f>IF(A604&lt;&gt;"",VLOOKUP(A604,'📦 ชื่อสินค้า'!A:F,6,false),"")</f>
        <v/>
      </c>
      <c r="E604" s="16" t="str">
        <f>IFERROR(IF(VLOOKUP(A604,'📦 ชื่อสินค้า'!A:G,7,false)="InActive","InActive",IF(A604&lt;&gt;"",IF(B604&lt;=0,"สินค้าหมด",IF(B604&lt;=C604,"ควรเติมทันที","OK")),"")),)</f>
        <v/>
      </c>
      <c r="F604" s="24" t="str">
        <f>IFERROR(IF(A604&lt;&gt;"", SUMIF('💸 Transaction ซื้อ'!B:B,A604,'💸 Transaction ซื้อ'!G:G)/SUMIF('💸 Transaction ซื้อ'!B:B,A604,'💸 Transaction ซื้อ'!E:E),""),"-")</f>
        <v/>
      </c>
      <c r="G604" s="24" t="str">
        <f t="shared" si="1"/>
        <v/>
      </c>
      <c r="H604" s="25"/>
      <c r="I604" s="26"/>
      <c r="J604" s="26"/>
      <c r="K604" s="27" t="str">
        <f>IF(A604&lt;&gt;"",IF(E604="InActive","-",SUMIFS('💰 Transaction ขาย'!E:E,'💰 Transaction ขาย'!B:B,A604,'💰 Transaction ขาย'!A:A,"&gt;"&amp;'⚙️ Config'!$H$1-'⚙️ Config'!$H$2)),)</f>
        <v/>
      </c>
      <c r="L604" s="28" t="str">
        <f>IF(E604="InActive","-",IF(A604&lt;&gt;"",K604/'⚙️ Config'!$H$2,))</f>
        <v/>
      </c>
      <c r="M604" s="28" t="str">
        <f t="shared" si="2"/>
        <v/>
      </c>
      <c r="N604" s="28" t="str">
        <f>IF(A604&lt;&gt;"", SUMIFS('💰 Transaction ขาย'!F:F,'💰 Transaction ขาย'!B:B,A604,'💰 Transaction ขาย'!A:A,"&gt;="&amp;DATE(YEAR('⚙️ Config'!$H$1),1,1),'💰 Transaction ขาย'!A:A,"&lt;="&amp;DATE(YEAR('⚙️ Config'!$H$1),12,31)),)</f>
        <v/>
      </c>
    </row>
    <row r="605">
      <c r="A605" s="22"/>
      <c r="B605" s="22" t="str">
        <f>IF(A605&lt;&gt;"",SUMIFS('💸 Transaction ซื้อ'!E:E,'💸 Transaction ซื้อ'!B:B,A605)-SUMIFS('💰 Transaction ขาย'!E:E,'💰 Transaction ขาย'!B:B,A605),"")</f>
        <v/>
      </c>
      <c r="C605" s="23" t="str">
        <f>IF(A605&lt;&gt;"",vlookup(A605,'📦 ชื่อสินค้า'!A:E,5,false),"")</f>
        <v/>
      </c>
      <c r="D605" s="23" t="str">
        <f>IF(A605&lt;&gt;"",VLOOKUP(A605,'📦 ชื่อสินค้า'!A:F,6,false),"")</f>
        <v/>
      </c>
      <c r="E605" s="16" t="str">
        <f>IFERROR(IF(VLOOKUP(A605,'📦 ชื่อสินค้า'!A:G,7,false)="InActive","InActive",IF(A605&lt;&gt;"",IF(B605&lt;=0,"สินค้าหมด",IF(B605&lt;=C605,"ควรเติมทันที","OK")),"")),)</f>
        <v/>
      </c>
      <c r="F605" s="24" t="str">
        <f>IFERROR(IF(A605&lt;&gt;"", SUMIF('💸 Transaction ซื้อ'!B:B,A605,'💸 Transaction ซื้อ'!G:G)/SUMIF('💸 Transaction ซื้อ'!B:B,A605,'💸 Transaction ซื้อ'!E:E),""),"-")</f>
        <v/>
      </c>
      <c r="G605" s="24" t="str">
        <f t="shared" si="1"/>
        <v/>
      </c>
      <c r="H605" s="25"/>
      <c r="I605" s="26"/>
      <c r="J605" s="26"/>
      <c r="K605" s="27" t="str">
        <f>IF(A605&lt;&gt;"",IF(E605="InActive","-",SUMIFS('💰 Transaction ขาย'!E:E,'💰 Transaction ขาย'!B:B,A605,'💰 Transaction ขาย'!A:A,"&gt;"&amp;'⚙️ Config'!$H$1-'⚙️ Config'!$H$2)),)</f>
        <v/>
      </c>
      <c r="L605" s="28" t="str">
        <f>IF(E605="InActive","-",IF(A605&lt;&gt;"",K605/'⚙️ Config'!$H$2,))</f>
        <v/>
      </c>
      <c r="M605" s="28" t="str">
        <f t="shared" si="2"/>
        <v/>
      </c>
      <c r="N605" s="28" t="str">
        <f>IF(A605&lt;&gt;"", SUMIFS('💰 Transaction ขาย'!F:F,'💰 Transaction ขาย'!B:B,A605,'💰 Transaction ขาย'!A:A,"&gt;="&amp;DATE(YEAR('⚙️ Config'!$H$1),1,1),'💰 Transaction ขาย'!A:A,"&lt;="&amp;DATE(YEAR('⚙️ Config'!$H$1),12,31)),)</f>
        <v/>
      </c>
    </row>
    <row r="606">
      <c r="A606" s="22"/>
      <c r="B606" s="22" t="str">
        <f>IF(A606&lt;&gt;"",SUMIFS('💸 Transaction ซื้อ'!E:E,'💸 Transaction ซื้อ'!B:B,A606)-SUMIFS('💰 Transaction ขาย'!E:E,'💰 Transaction ขาย'!B:B,A606),"")</f>
        <v/>
      </c>
      <c r="C606" s="23" t="str">
        <f>IF(A606&lt;&gt;"",vlookup(A606,'📦 ชื่อสินค้า'!A:E,5,false),"")</f>
        <v/>
      </c>
      <c r="D606" s="23" t="str">
        <f>IF(A606&lt;&gt;"",VLOOKUP(A606,'📦 ชื่อสินค้า'!A:F,6,false),"")</f>
        <v/>
      </c>
      <c r="E606" s="16" t="str">
        <f>IFERROR(IF(VLOOKUP(A606,'📦 ชื่อสินค้า'!A:G,7,false)="InActive","InActive",IF(A606&lt;&gt;"",IF(B606&lt;=0,"สินค้าหมด",IF(B606&lt;=C606,"ควรเติมทันที","OK")),"")),)</f>
        <v/>
      </c>
      <c r="F606" s="24" t="str">
        <f>IFERROR(IF(A606&lt;&gt;"", SUMIF('💸 Transaction ซื้อ'!B:B,A606,'💸 Transaction ซื้อ'!G:G)/SUMIF('💸 Transaction ซื้อ'!B:B,A606,'💸 Transaction ซื้อ'!E:E),""),"-")</f>
        <v/>
      </c>
      <c r="G606" s="24" t="str">
        <f t="shared" si="1"/>
        <v/>
      </c>
      <c r="H606" s="25"/>
      <c r="I606" s="26"/>
      <c r="J606" s="26"/>
      <c r="K606" s="27" t="str">
        <f>IF(A606&lt;&gt;"",IF(E606="InActive","-",SUMIFS('💰 Transaction ขาย'!E:E,'💰 Transaction ขาย'!B:B,A606,'💰 Transaction ขาย'!A:A,"&gt;"&amp;'⚙️ Config'!$H$1-'⚙️ Config'!$H$2)),)</f>
        <v/>
      </c>
      <c r="L606" s="28" t="str">
        <f>IF(E606="InActive","-",IF(A606&lt;&gt;"",K606/'⚙️ Config'!$H$2,))</f>
        <v/>
      </c>
      <c r="M606" s="28" t="str">
        <f t="shared" si="2"/>
        <v/>
      </c>
      <c r="N606" s="28" t="str">
        <f>IF(A606&lt;&gt;"", SUMIFS('💰 Transaction ขาย'!F:F,'💰 Transaction ขาย'!B:B,A606,'💰 Transaction ขาย'!A:A,"&gt;="&amp;DATE(YEAR('⚙️ Config'!$H$1),1,1),'💰 Transaction ขาย'!A:A,"&lt;="&amp;DATE(YEAR('⚙️ Config'!$H$1),12,31)),)</f>
        <v/>
      </c>
    </row>
    <row r="607">
      <c r="A607" s="22"/>
      <c r="B607" s="22" t="str">
        <f>IF(A607&lt;&gt;"",SUMIFS('💸 Transaction ซื้อ'!E:E,'💸 Transaction ซื้อ'!B:B,A607)-SUMIFS('💰 Transaction ขาย'!E:E,'💰 Transaction ขาย'!B:B,A607),"")</f>
        <v/>
      </c>
      <c r="C607" s="23" t="str">
        <f>IF(A607&lt;&gt;"",vlookup(A607,'📦 ชื่อสินค้า'!A:E,5,false),"")</f>
        <v/>
      </c>
      <c r="D607" s="23" t="str">
        <f>IF(A607&lt;&gt;"",VLOOKUP(A607,'📦 ชื่อสินค้า'!A:F,6,false),"")</f>
        <v/>
      </c>
      <c r="E607" s="16" t="str">
        <f>IFERROR(IF(VLOOKUP(A607,'📦 ชื่อสินค้า'!A:G,7,false)="InActive","InActive",IF(A607&lt;&gt;"",IF(B607&lt;=0,"สินค้าหมด",IF(B607&lt;=C607,"ควรเติมทันที","OK")),"")),)</f>
        <v/>
      </c>
      <c r="F607" s="24" t="str">
        <f>IFERROR(IF(A607&lt;&gt;"", SUMIF('💸 Transaction ซื้อ'!B:B,A607,'💸 Transaction ซื้อ'!G:G)/SUMIF('💸 Transaction ซื้อ'!B:B,A607,'💸 Transaction ซื้อ'!E:E),""),"-")</f>
        <v/>
      </c>
      <c r="G607" s="24" t="str">
        <f t="shared" si="1"/>
        <v/>
      </c>
      <c r="H607" s="25"/>
      <c r="I607" s="26"/>
      <c r="J607" s="26"/>
      <c r="K607" s="27" t="str">
        <f>IF(A607&lt;&gt;"",IF(E607="InActive","-",SUMIFS('💰 Transaction ขาย'!E:E,'💰 Transaction ขาย'!B:B,A607,'💰 Transaction ขาย'!A:A,"&gt;"&amp;'⚙️ Config'!$H$1-'⚙️ Config'!$H$2)),)</f>
        <v/>
      </c>
      <c r="L607" s="28" t="str">
        <f>IF(E607="InActive","-",IF(A607&lt;&gt;"",K607/'⚙️ Config'!$H$2,))</f>
        <v/>
      </c>
      <c r="M607" s="28" t="str">
        <f t="shared" si="2"/>
        <v/>
      </c>
      <c r="N607" s="28" t="str">
        <f>IF(A607&lt;&gt;"", SUMIFS('💰 Transaction ขาย'!F:F,'💰 Transaction ขาย'!B:B,A607,'💰 Transaction ขาย'!A:A,"&gt;="&amp;DATE(YEAR('⚙️ Config'!$H$1),1,1),'💰 Transaction ขาย'!A:A,"&lt;="&amp;DATE(YEAR('⚙️ Config'!$H$1),12,31)),)</f>
        <v/>
      </c>
    </row>
    <row r="608">
      <c r="A608" s="22"/>
      <c r="B608" s="22" t="str">
        <f>IF(A608&lt;&gt;"",SUMIFS('💸 Transaction ซื้อ'!E:E,'💸 Transaction ซื้อ'!B:B,A608)-SUMIFS('💰 Transaction ขาย'!E:E,'💰 Transaction ขาย'!B:B,A608),"")</f>
        <v/>
      </c>
      <c r="C608" s="23" t="str">
        <f>IF(A608&lt;&gt;"",vlookup(A608,'📦 ชื่อสินค้า'!A:E,5,false),"")</f>
        <v/>
      </c>
      <c r="D608" s="23" t="str">
        <f>IF(A608&lt;&gt;"",VLOOKUP(A608,'📦 ชื่อสินค้า'!A:F,6,false),"")</f>
        <v/>
      </c>
      <c r="E608" s="16" t="str">
        <f>IFERROR(IF(VLOOKUP(A608,'📦 ชื่อสินค้า'!A:G,7,false)="InActive","InActive",IF(A608&lt;&gt;"",IF(B608&lt;=0,"สินค้าหมด",IF(B608&lt;=C608,"ควรเติมทันที","OK")),"")),)</f>
        <v/>
      </c>
      <c r="F608" s="24" t="str">
        <f>IFERROR(IF(A608&lt;&gt;"", SUMIF('💸 Transaction ซื้อ'!B:B,A608,'💸 Transaction ซื้อ'!G:G)/SUMIF('💸 Transaction ซื้อ'!B:B,A608,'💸 Transaction ซื้อ'!E:E),""),"-")</f>
        <v/>
      </c>
      <c r="G608" s="24" t="str">
        <f t="shared" si="1"/>
        <v/>
      </c>
      <c r="H608" s="25"/>
      <c r="I608" s="26"/>
      <c r="J608" s="26"/>
      <c r="K608" s="27" t="str">
        <f>IF(A608&lt;&gt;"",IF(E608="InActive","-",SUMIFS('💰 Transaction ขาย'!E:E,'💰 Transaction ขาย'!B:B,A608,'💰 Transaction ขาย'!A:A,"&gt;"&amp;'⚙️ Config'!$H$1-'⚙️ Config'!$H$2)),)</f>
        <v/>
      </c>
      <c r="L608" s="28" t="str">
        <f>IF(E608="InActive","-",IF(A608&lt;&gt;"",K608/'⚙️ Config'!$H$2,))</f>
        <v/>
      </c>
      <c r="M608" s="28" t="str">
        <f t="shared" si="2"/>
        <v/>
      </c>
      <c r="N608" s="28" t="str">
        <f>IF(A608&lt;&gt;"", SUMIFS('💰 Transaction ขาย'!F:F,'💰 Transaction ขาย'!B:B,A608,'💰 Transaction ขาย'!A:A,"&gt;="&amp;DATE(YEAR('⚙️ Config'!$H$1),1,1),'💰 Transaction ขาย'!A:A,"&lt;="&amp;DATE(YEAR('⚙️ Config'!$H$1),12,31)),)</f>
        <v/>
      </c>
    </row>
    <row r="609">
      <c r="A609" s="22"/>
      <c r="B609" s="22" t="str">
        <f>IF(A609&lt;&gt;"",SUMIFS('💸 Transaction ซื้อ'!E:E,'💸 Transaction ซื้อ'!B:B,A609)-SUMIFS('💰 Transaction ขาย'!E:E,'💰 Transaction ขาย'!B:B,A609),"")</f>
        <v/>
      </c>
      <c r="C609" s="23" t="str">
        <f>IF(A609&lt;&gt;"",vlookup(A609,'📦 ชื่อสินค้า'!A:E,5,false),"")</f>
        <v/>
      </c>
      <c r="D609" s="23" t="str">
        <f>IF(A609&lt;&gt;"",VLOOKUP(A609,'📦 ชื่อสินค้า'!A:F,6,false),"")</f>
        <v/>
      </c>
      <c r="E609" s="16" t="str">
        <f>IFERROR(IF(VLOOKUP(A609,'📦 ชื่อสินค้า'!A:G,7,false)="InActive","InActive",IF(A609&lt;&gt;"",IF(B609&lt;=0,"สินค้าหมด",IF(B609&lt;=C609,"ควรเติมทันที","OK")),"")),)</f>
        <v/>
      </c>
      <c r="F609" s="24" t="str">
        <f>IFERROR(IF(A609&lt;&gt;"", SUMIF('💸 Transaction ซื้อ'!B:B,A609,'💸 Transaction ซื้อ'!G:G)/SUMIF('💸 Transaction ซื้อ'!B:B,A609,'💸 Transaction ซื้อ'!E:E),""),"-")</f>
        <v/>
      </c>
      <c r="G609" s="24" t="str">
        <f t="shared" si="1"/>
        <v/>
      </c>
      <c r="H609" s="25"/>
      <c r="I609" s="26"/>
      <c r="J609" s="26"/>
      <c r="K609" s="27" t="str">
        <f>IF(A609&lt;&gt;"",IF(E609="InActive","-",SUMIFS('💰 Transaction ขาย'!E:E,'💰 Transaction ขาย'!B:B,A609,'💰 Transaction ขาย'!A:A,"&gt;"&amp;'⚙️ Config'!$H$1-'⚙️ Config'!$H$2)),)</f>
        <v/>
      </c>
      <c r="L609" s="28" t="str">
        <f>IF(E609="InActive","-",IF(A609&lt;&gt;"",K609/'⚙️ Config'!$H$2,))</f>
        <v/>
      </c>
      <c r="M609" s="28" t="str">
        <f t="shared" si="2"/>
        <v/>
      </c>
      <c r="N609" s="28" t="str">
        <f>IF(A609&lt;&gt;"", SUMIFS('💰 Transaction ขาย'!F:F,'💰 Transaction ขาย'!B:B,A609,'💰 Transaction ขาย'!A:A,"&gt;="&amp;DATE(YEAR('⚙️ Config'!$H$1),1,1),'💰 Transaction ขาย'!A:A,"&lt;="&amp;DATE(YEAR('⚙️ Config'!$H$1),12,31)),)</f>
        <v/>
      </c>
    </row>
    <row r="610">
      <c r="A610" s="22"/>
      <c r="B610" s="22" t="str">
        <f>IF(A610&lt;&gt;"",SUMIFS('💸 Transaction ซื้อ'!E:E,'💸 Transaction ซื้อ'!B:B,A610)-SUMIFS('💰 Transaction ขาย'!E:E,'💰 Transaction ขาย'!B:B,A610),"")</f>
        <v/>
      </c>
      <c r="C610" s="23" t="str">
        <f>IF(A610&lt;&gt;"",vlookup(A610,'📦 ชื่อสินค้า'!A:E,5,false),"")</f>
        <v/>
      </c>
      <c r="D610" s="23" t="str">
        <f>IF(A610&lt;&gt;"",VLOOKUP(A610,'📦 ชื่อสินค้า'!A:F,6,false),"")</f>
        <v/>
      </c>
      <c r="E610" s="16" t="str">
        <f>IFERROR(IF(VLOOKUP(A610,'📦 ชื่อสินค้า'!A:G,7,false)="InActive","InActive",IF(A610&lt;&gt;"",IF(B610&lt;=0,"สินค้าหมด",IF(B610&lt;=C610,"ควรเติมทันที","OK")),"")),)</f>
        <v/>
      </c>
      <c r="F610" s="24" t="str">
        <f>IFERROR(IF(A610&lt;&gt;"", SUMIF('💸 Transaction ซื้อ'!B:B,A610,'💸 Transaction ซื้อ'!G:G)/SUMIF('💸 Transaction ซื้อ'!B:B,A610,'💸 Transaction ซื้อ'!E:E),""),"-")</f>
        <v/>
      </c>
      <c r="G610" s="24" t="str">
        <f t="shared" si="1"/>
        <v/>
      </c>
      <c r="H610" s="25"/>
      <c r="I610" s="26"/>
      <c r="J610" s="26"/>
      <c r="K610" s="27" t="str">
        <f>IF(A610&lt;&gt;"",IF(E610="InActive","-",SUMIFS('💰 Transaction ขาย'!E:E,'💰 Transaction ขาย'!B:B,A610,'💰 Transaction ขาย'!A:A,"&gt;"&amp;'⚙️ Config'!$H$1-'⚙️ Config'!$H$2)),)</f>
        <v/>
      </c>
      <c r="L610" s="28" t="str">
        <f>IF(E610="InActive","-",IF(A610&lt;&gt;"",K610/'⚙️ Config'!$H$2,))</f>
        <v/>
      </c>
      <c r="M610" s="28" t="str">
        <f t="shared" si="2"/>
        <v/>
      </c>
      <c r="N610" s="28" t="str">
        <f>IF(A610&lt;&gt;"", SUMIFS('💰 Transaction ขาย'!F:F,'💰 Transaction ขาย'!B:B,A610,'💰 Transaction ขาย'!A:A,"&gt;="&amp;DATE(YEAR('⚙️ Config'!$H$1),1,1),'💰 Transaction ขาย'!A:A,"&lt;="&amp;DATE(YEAR('⚙️ Config'!$H$1),12,31)),)</f>
        <v/>
      </c>
    </row>
    <row r="611">
      <c r="A611" s="22"/>
      <c r="B611" s="22" t="str">
        <f>IF(A611&lt;&gt;"",SUMIFS('💸 Transaction ซื้อ'!E:E,'💸 Transaction ซื้อ'!B:B,A611)-SUMIFS('💰 Transaction ขาย'!E:E,'💰 Transaction ขาย'!B:B,A611),"")</f>
        <v/>
      </c>
      <c r="C611" s="23" t="str">
        <f>IF(A611&lt;&gt;"",vlookup(A611,'📦 ชื่อสินค้า'!A:E,5,false),"")</f>
        <v/>
      </c>
      <c r="D611" s="23" t="str">
        <f>IF(A611&lt;&gt;"",VLOOKUP(A611,'📦 ชื่อสินค้า'!A:F,6,false),"")</f>
        <v/>
      </c>
      <c r="E611" s="16" t="str">
        <f>IFERROR(IF(VLOOKUP(A611,'📦 ชื่อสินค้า'!A:G,7,false)="InActive","InActive",IF(A611&lt;&gt;"",IF(B611&lt;=0,"สินค้าหมด",IF(B611&lt;=C611,"ควรเติมทันที","OK")),"")),)</f>
        <v/>
      </c>
      <c r="F611" s="24" t="str">
        <f>IFERROR(IF(A611&lt;&gt;"", SUMIF('💸 Transaction ซื้อ'!B:B,A611,'💸 Transaction ซื้อ'!G:G)/SUMIF('💸 Transaction ซื้อ'!B:B,A611,'💸 Transaction ซื้อ'!E:E),""),"-")</f>
        <v/>
      </c>
      <c r="G611" s="24" t="str">
        <f t="shared" si="1"/>
        <v/>
      </c>
      <c r="H611" s="25"/>
      <c r="I611" s="26"/>
      <c r="J611" s="26"/>
      <c r="K611" s="27" t="str">
        <f>IF(A611&lt;&gt;"",IF(E611="InActive","-",SUMIFS('💰 Transaction ขาย'!E:E,'💰 Transaction ขาย'!B:B,A611,'💰 Transaction ขาย'!A:A,"&gt;"&amp;'⚙️ Config'!$H$1-'⚙️ Config'!$H$2)),)</f>
        <v/>
      </c>
      <c r="L611" s="28" t="str">
        <f>IF(E611="InActive","-",IF(A611&lt;&gt;"",K611/'⚙️ Config'!$H$2,))</f>
        <v/>
      </c>
      <c r="M611" s="28" t="str">
        <f t="shared" si="2"/>
        <v/>
      </c>
      <c r="N611" s="28" t="str">
        <f>IF(A611&lt;&gt;"", SUMIFS('💰 Transaction ขาย'!F:F,'💰 Transaction ขาย'!B:B,A611,'💰 Transaction ขาย'!A:A,"&gt;="&amp;DATE(YEAR('⚙️ Config'!$H$1),1,1),'💰 Transaction ขาย'!A:A,"&lt;="&amp;DATE(YEAR('⚙️ Config'!$H$1),12,31)),)</f>
        <v/>
      </c>
    </row>
    <row r="612">
      <c r="A612" s="22"/>
      <c r="B612" s="22" t="str">
        <f>IF(A612&lt;&gt;"",SUMIFS('💸 Transaction ซื้อ'!E:E,'💸 Transaction ซื้อ'!B:B,A612)-SUMIFS('💰 Transaction ขาย'!E:E,'💰 Transaction ขาย'!B:B,A612),"")</f>
        <v/>
      </c>
      <c r="C612" s="23" t="str">
        <f>IF(A612&lt;&gt;"",vlookup(A612,'📦 ชื่อสินค้า'!A:E,5,false),"")</f>
        <v/>
      </c>
      <c r="D612" s="23" t="str">
        <f>IF(A612&lt;&gt;"",VLOOKUP(A612,'📦 ชื่อสินค้า'!A:F,6,false),"")</f>
        <v/>
      </c>
      <c r="E612" s="16" t="str">
        <f>IFERROR(IF(VLOOKUP(A612,'📦 ชื่อสินค้า'!A:G,7,false)="InActive","InActive",IF(A612&lt;&gt;"",IF(B612&lt;=0,"สินค้าหมด",IF(B612&lt;=C612,"ควรเติมทันที","OK")),"")),)</f>
        <v/>
      </c>
      <c r="F612" s="24" t="str">
        <f>IFERROR(IF(A612&lt;&gt;"", SUMIF('💸 Transaction ซื้อ'!B:B,A612,'💸 Transaction ซื้อ'!G:G)/SUMIF('💸 Transaction ซื้อ'!B:B,A612,'💸 Transaction ซื้อ'!E:E),""),"-")</f>
        <v/>
      </c>
      <c r="G612" s="24" t="str">
        <f t="shared" si="1"/>
        <v/>
      </c>
      <c r="H612" s="25"/>
      <c r="I612" s="26"/>
      <c r="J612" s="26"/>
      <c r="K612" s="27" t="str">
        <f>IF(A612&lt;&gt;"",IF(E612="InActive","-",SUMIFS('💰 Transaction ขาย'!E:E,'💰 Transaction ขาย'!B:B,A612,'💰 Transaction ขาย'!A:A,"&gt;"&amp;'⚙️ Config'!$H$1-'⚙️ Config'!$H$2)),)</f>
        <v/>
      </c>
      <c r="L612" s="28" t="str">
        <f>IF(E612="InActive","-",IF(A612&lt;&gt;"",K612/'⚙️ Config'!$H$2,))</f>
        <v/>
      </c>
      <c r="M612" s="28" t="str">
        <f t="shared" si="2"/>
        <v/>
      </c>
      <c r="N612" s="28" t="str">
        <f>IF(A612&lt;&gt;"", SUMIFS('💰 Transaction ขาย'!F:F,'💰 Transaction ขาย'!B:B,A612,'💰 Transaction ขาย'!A:A,"&gt;="&amp;DATE(YEAR('⚙️ Config'!$H$1),1,1),'💰 Transaction ขาย'!A:A,"&lt;="&amp;DATE(YEAR('⚙️ Config'!$H$1),12,31)),)</f>
        <v/>
      </c>
    </row>
    <row r="613">
      <c r="A613" s="22"/>
      <c r="B613" s="22" t="str">
        <f>IF(A613&lt;&gt;"",SUMIFS('💸 Transaction ซื้อ'!E:E,'💸 Transaction ซื้อ'!B:B,A613)-SUMIFS('💰 Transaction ขาย'!E:E,'💰 Transaction ขาย'!B:B,A613),"")</f>
        <v/>
      </c>
      <c r="C613" s="23" t="str">
        <f>IF(A613&lt;&gt;"",vlookup(A613,'📦 ชื่อสินค้า'!A:E,5,false),"")</f>
        <v/>
      </c>
      <c r="D613" s="23" t="str">
        <f>IF(A613&lt;&gt;"",VLOOKUP(A613,'📦 ชื่อสินค้า'!A:F,6,false),"")</f>
        <v/>
      </c>
      <c r="E613" s="16" t="str">
        <f>IFERROR(IF(VLOOKUP(A613,'📦 ชื่อสินค้า'!A:G,7,false)="InActive","InActive",IF(A613&lt;&gt;"",IF(B613&lt;=0,"สินค้าหมด",IF(B613&lt;=C613,"ควรเติมทันที","OK")),"")),)</f>
        <v/>
      </c>
      <c r="F613" s="24" t="str">
        <f>IFERROR(IF(A613&lt;&gt;"", SUMIF('💸 Transaction ซื้อ'!B:B,A613,'💸 Transaction ซื้อ'!G:G)/SUMIF('💸 Transaction ซื้อ'!B:B,A613,'💸 Transaction ซื้อ'!E:E),""),"-")</f>
        <v/>
      </c>
      <c r="G613" s="24" t="str">
        <f t="shared" si="1"/>
        <v/>
      </c>
      <c r="H613" s="25"/>
      <c r="I613" s="26"/>
      <c r="J613" s="26"/>
      <c r="K613" s="27" t="str">
        <f>IF(A613&lt;&gt;"",IF(E613="InActive","-",SUMIFS('💰 Transaction ขาย'!E:E,'💰 Transaction ขาย'!B:B,A613,'💰 Transaction ขาย'!A:A,"&gt;"&amp;'⚙️ Config'!$H$1-'⚙️ Config'!$H$2)),)</f>
        <v/>
      </c>
      <c r="L613" s="28" t="str">
        <f>IF(E613="InActive","-",IF(A613&lt;&gt;"",K613/'⚙️ Config'!$H$2,))</f>
        <v/>
      </c>
      <c r="M613" s="28" t="str">
        <f t="shared" si="2"/>
        <v/>
      </c>
      <c r="N613" s="28" t="str">
        <f>IF(A613&lt;&gt;"", SUMIFS('💰 Transaction ขาย'!F:F,'💰 Transaction ขาย'!B:B,A613,'💰 Transaction ขาย'!A:A,"&gt;="&amp;DATE(YEAR('⚙️ Config'!$H$1),1,1),'💰 Transaction ขาย'!A:A,"&lt;="&amp;DATE(YEAR('⚙️ Config'!$H$1),12,31)),)</f>
        <v/>
      </c>
    </row>
    <row r="614">
      <c r="A614" s="22"/>
      <c r="B614" s="22" t="str">
        <f>IF(A614&lt;&gt;"",SUMIFS('💸 Transaction ซื้อ'!E:E,'💸 Transaction ซื้อ'!B:B,A614)-SUMIFS('💰 Transaction ขาย'!E:E,'💰 Transaction ขาย'!B:B,A614),"")</f>
        <v/>
      </c>
      <c r="C614" s="23" t="str">
        <f>IF(A614&lt;&gt;"",vlookup(A614,'📦 ชื่อสินค้า'!A:E,5,false),"")</f>
        <v/>
      </c>
      <c r="D614" s="23" t="str">
        <f>IF(A614&lt;&gt;"",VLOOKUP(A614,'📦 ชื่อสินค้า'!A:F,6,false),"")</f>
        <v/>
      </c>
      <c r="E614" s="16" t="str">
        <f>IFERROR(IF(VLOOKUP(A614,'📦 ชื่อสินค้า'!A:G,7,false)="InActive","InActive",IF(A614&lt;&gt;"",IF(B614&lt;=0,"สินค้าหมด",IF(B614&lt;=C614,"ควรเติมทันที","OK")),"")),)</f>
        <v/>
      </c>
      <c r="F614" s="24" t="str">
        <f>IFERROR(IF(A614&lt;&gt;"", SUMIF('💸 Transaction ซื้อ'!B:B,A614,'💸 Transaction ซื้อ'!G:G)/SUMIF('💸 Transaction ซื้อ'!B:B,A614,'💸 Transaction ซื้อ'!E:E),""),"-")</f>
        <v/>
      </c>
      <c r="G614" s="24" t="str">
        <f t="shared" si="1"/>
        <v/>
      </c>
      <c r="H614" s="25"/>
      <c r="I614" s="26"/>
      <c r="J614" s="26"/>
      <c r="K614" s="27" t="str">
        <f>IF(A614&lt;&gt;"",IF(E614="InActive","-",SUMIFS('💰 Transaction ขาย'!E:E,'💰 Transaction ขาย'!B:B,A614,'💰 Transaction ขาย'!A:A,"&gt;"&amp;'⚙️ Config'!$H$1-'⚙️ Config'!$H$2)),)</f>
        <v/>
      </c>
      <c r="L614" s="28" t="str">
        <f>IF(E614="InActive","-",IF(A614&lt;&gt;"",K614/'⚙️ Config'!$H$2,))</f>
        <v/>
      </c>
      <c r="M614" s="28" t="str">
        <f t="shared" si="2"/>
        <v/>
      </c>
      <c r="N614" s="28" t="str">
        <f>IF(A614&lt;&gt;"", SUMIFS('💰 Transaction ขาย'!F:F,'💰 Transaction ขาย'!B:B,A614,'💰 Transaction ขาย'!A:A,"&gt;="&amp;DATE(YEAR('⚙️ Config'!$H$1),1,1),'💰 Transaction ขาย'!A:A,"&lt;="&amp;DATE(YEAR('⚙️ Config'!$H$1),12,31)),)</f>
        <v/>
      </c>
    </row>
    <row r="615">
      <c r="A615" s="22"/>
      <c r="B615" s="22" t="str">
        <f>IF(A615&lt;&gt;"",SUMIFS('💸 Transaction ซื้อ'!E:E,'💸 Transaction ซื้อ'!B:B,A615)-SUMIFS('💰 Transaction ขาย'!E:E,'💰 Transaction ขาย'!B:B,A615),"")</f>
        <v/>
      </c>
      <c r="C615" s="23" t="str">
        <f>IF(A615&lt;&gt;"",vlookup(A615,'📦 ชื่อสินค้า'!A:E,5,false),"")</f>
        <v/>
      </c>
      <c r="D615" s="23" t="str">
        <f>IF(A615&lt;&gt;"",VLOOKUP(A615,'📦 ชื่อสินค้า'!A:F,6,false),"")</f>
        <v/>
      </c>
      <c r="E615" s="16" t="str">
        <f>IFERROR(IF(VLOOKUP(A615,'📦 ชื่อสินค้า'!A:G,7,false)="InActive","InActive",IF(A615&lt;&gt;"",IF(B615&lt;=0,"สินค้าหมด",IF(B615&lt;=C615,"ควรเติมทันที","OK")),"")),)</f>
        <v/>
      </c>
      <c r="F615" s="24" t="str">
        <f>IFERROR(IF(A615&lt;&gt;"", SUMIF('💸 Transaction ซื้อ'!B:B,A615,'💸 Transaction ซื้อ'!G:G)/SUMIF('💸 Transaction ซื้อ'!B:B,A615,'💸 Transaction ซื้อ'!E:E),""),"-")</f>
        <v/>
      </c>
      <c r="G615" s="24" t="str">
        <f t="shared" si="1"/>
        <v/>
      </c>
      <c r="H615" s="25"/>
      <c r="I615" s="26"/>
      <c r="J615" s="26"/>
      <c r="K615" s="27" t="str">
        <f>IF(A615&lt;&gt;"",IF(E615="InActive","-",SUMIFS('💰 Transaction ขาย'!E:E,'💰 Transaction ขาย'!B:B,A615,'💰 Transaction ขาย'!A:A,"&gt;"&amp;'⚙️ Config'!$H$1-'⚙️ Config'!$H$2)),)</f>
        <v/>
      </c>
      <c r="L615" s="28" t="str">
        <f>IF(E615="InActive","-",IF(A615&lt;&gt;"",K615/'⚙️ Config'!$H$2,))</f>
        <v/>
      </c>
      <c r="M615" s="28" t="str">
        <f t="shared" si="2"/>
        <v/>
      </c>
      <c r="N615" s="28" t="str">
        <f>IF(A615&lt;&gt;"", SUMIFS('💰 Transaction ขาย'!F:F,'💰 Transaction ขาย'!B:B,A615,'💰 Transaction ขาย'!A:A,"&gt;="&amp;DATE(YEAR('⚙️ Config'!$H$1),1,1),'💰 Transaction ขาย'!A:A,"&lt;="&amp;DATE(YEAR('⚙️ Config'!$H$1),12,31)),)</f>
        <v/>
      </c>
    </row>
    <row r="616">
      <c r="A616" s="22"/>
      <c r="B616" s="22" t="str">
        <f>IF(A616&lt;&gt;"",SUMIFS('💸 Transaction ซื้อ'!E:E,'💸 Transaction ซื้อ'!B:B,A616)-SUMIFS('💰 Transaction ขาย'!E:E,'💰 Transaction ขาย'!B:B,A616),"")</f>
        <v/>
      </c>
      <c r="C616" s="23" t="str">
        <f>IF(A616&lt;&gt;"",vlookup(A616,'📦 ชื่อสินค้า'!A:E,5,false),"")</f>
        <v/>
      </c>
      <c r="D616" s="23" t="str">
        <f>IF(A616&lt;&gt;"",VLOOKUP(A616,'📦 ชื่อสินค้า'!A:F,6,false),"")</f>
        <v/>
      </c>
      <c r="E616" s="16" t="str">
        <f>IFERROR(IF(VLOOKUP(A616,'📦 ชื่อสินค้า'!A:G,7,false)="InActive","InActive",IF(A616&lt;&gt;"",IF(B616&lt;=0,"สินค้าหมด",IF(B616&lt;=C616,"ควรเติมทันที","OK")),"")),)</f>
        <v/>
      </c>
      <c r="F616" s="24" t="str">
        <f>IFERROR(IF(A616&lt;&gt;"", SUMIF('💸 Transaction ซื้อ'!B:B,A616,'💸 Transaction ซื้อ'!G:G)/SUMIF('💸 Transaction ซื้อ'!B:B,A616,'💸 Transaction ซื้อ'!E:E),""),"-")</f>
        <v/>
      </c>
      <c r="G616" s="24" t="str">
        <f t="shared" si="1"/>
        <v/>
      </c>
      <c r="H616" s="25"/>
      <c r="I616" s="26"/>
      <c r="J616" s="26"/>
      <c r="K616" s="27" t="str">
        <f>IF(A616&lt;&gt;"",IF(E616="InActive","-",SUMIFS('💰 Transaction ขาย'!E:E,'💰 Transaction ขาย'!B:B,A616,'💰 Transaction ขาย'!A:A,"&gt;"&amp;'⚙️ Config'!$H$1-'⚙️ Config'!$H$2)),)</f>
        <v/>
      </c>
      <c r="L616" s="28" t="str">
        <f>IF(E616="InActive","-",IF(A616&lt;&gt;"",K616/'⚙️ Config'!$H$2,))</f>
        <v/>
      </c>
      <c r="M616" s="28" t="str">
        <f t="shared" si="2"/>
        <v/>
      </c>
      <c r="N616" s="28" t="str">
        <f>IF(A616&lt;&gt;"", SUMIFS('💰 Transaction ขาย'!F:F,'💰 Transaction ขาย'!B:B,A616,'💰 Transaction ขาย'!A:A,"&gt;="&amp;DATE(YEAR('⚙️ Config'!$H$1),1,1),'💰 Transaction ขาย'!A:A,"&lt;="&amp;DATE(YEAR('⚙️ Config'!$H$1),12,31)),)</f>
        <v/>
      </c>
    </row>
    <row r="617">
      <c r="A617" s="22"/>
      <c r="B617" s="22" t="str">
        <f>IF(A617&lt;&gt;"",SUMIFS('💸 Transaction ซื้อ'!E:E,'💸 Transaction ซื้อ'!B:B,A617)-SUMIFS('💰 Transaction ขาย'!E:E,'💰 Transaction ขาย'!B:B,A617),"")</f>
        <v/>
      </c>
      <c r="C617" s="23" t="str">
        <f>IF(A617&lt;&gt;"",vlookup(A617,'📦 ชื่อสินค้า'!A:E,5,false),"")</f>
        <v/>
      </c>
      <c r="D617" s="23" t="str">
        <f>IF(A617&lt;&gt;"",VLOOKUP(A617,'📦 ชื่อสินค้า'!A:F,6,false),"")</f>
        <v/>
      </c>
      <c r="E617" s="16" t="str">
        <f>IFERROR(IF(VLOOKUP(A617,'📦 ชื่อสินค้า'!A:G,7,false)="InActive","InActive",IF(A617&lt;&gt;"",IF(B617&lt;=0,"สินค้าหมด",IF(B617&lt;=C617,"ควรเติมทันที","OK")),"")),)</f>
        <v/>
      </c>
      <c r="F617" s="24" t="str">
        <f>IFERROR(IF(A617&lt;&gt;"", SUMIF('💸 Transaction ซื้อ'!B:B,A617,'💸 Transaction ซื้อ'!G:G)/SUMIF('💸 Transaction ซื้อ'!B:B,A617,'💸 Transaction ซื้อ'!E:E),""),"-")</f>
        <v/>
      </c>
      <c r="G617" s="24" t="str">
        <f t="shared" si="1"/>
        <v/>
      </c>
      <c r="H617" s="25"/>
      <c r="I617" s="26"/>
      <c r="J617" s="26"/>
      <c r="K617" s="27" t="str">
        <f>IF(A617&lt;&gt;"",IF(E617="InActive","-",SUMIFS('💰 Transaction ขาย'!E:E,'💰 Transaction ขาย'!B:B,A617,'💰 Transaction ขาย'!A:A,"&gt;"&amp;'⚙️ Config'!$H$1-'⚙️ Config'!$H$2)),)</f>
        <v/>
      </c>
      <c r="L617" s="28" t="str">
        <f>IF(E617="InActive","-",IF(A617&lt;&gt;"",K617/'⚙️ Config'!$H$2,))</f>
        <v/>
      </c>
      <c r="M617" s="28" t="str">
        <f t="shared" si="2"/>
        <v/>
      </c>
      <c r="N617" s="28" t="str">
        <f>IF(A617&lt;&gt;"", SUMIFS('💰 Transaction ขาย'!F:F,'💰 Transaction ขาย'!B:B,A617,'💰 Transaction ขาย'!A:A,"&gt;="&amp;DATE(YEAR('⚙️ Config'!$H$1),1,1),'💰 Transaction ขาย'!A:A,"&lt;="&amp;DATE(YEAR('⚙️ Config'!$H$1),12,31)),)</f>
        <v/>
      </c>
    </row>
    <row r="618">
      <c r="A618" s="22"/>
      <c r="B618" s="22" t="str">
        <f>IF(A618&lt;&gt;"",SUMIFS('💸 Transaction ซื้อ'!E:E,'💸 Transaction ซื้อ'!B:B,A618)-SUMIFS('💰 Transaction ขาย'!E:E,'💰 Transaction ขาย'!B:B,A618),"")</f>
        <v/>
      </c>
      <c r="C618" s="23" t="str">
        <f>IF(A618&lt;&gt;"",vlookup(A618,'📦 ชื่อสินค้า'!A:E,5,false),"")</f>
        <v/>
      </c>
      <c r="D618" s="23" t="str">
        <f>IF(A618&lt;&gt;"",VLOOKUP(A618,'📦 ชื่อสินค้า'!A:F,6,false),"")</f>
        <v/>
      </c>
      <c r="E618" s="16" t="str">
        <f>IFERROR(IF(VLOOKUP(A618,'📦 ชื่อสินค้า'!A:G,7,false)="InActive","InActive",IF(A618&lt;&gt;"",IF(B618&lt;=0,"สินค้าหมด",IF(B618&lt;=C618,"ควรเติมทันที","OK")),"")),)</f>
        <v/>
      </c>
      <c r="F618" s="24" t="str">
        <f>IFERROR(IF(A618&lt;&gt;"", SUMIF('💸 Transaction ซื้อ'!B:B,A618,'💸 Transaction ซื้อ'!G:G)/SUMIF('💸 Transaction ซื้อ'!B:B,A618,'💸 Transaction ซื้อ'!E:E),""),"-")</f>
        <v/>
      </c>
      <c r="G618" s="24" t="str">
        <f t="shared" si="1"/>
        <v/>
      </c>
      <c r="H618" s="25"/>
      <c r="I618" s="26"/>
      <c r="J618" s="26"/>
      <c r="K618" s="27" t="str">
        <f>IF(A618&lt;&gt;"",IF(E618="InActive","-",SUMIFS('💰 Transaction ขาย'!E:E,'💰 Transaction ขาย'!B:B,A618,'💰 Transaction ขาย'!A:A,"&gt;"&amp;'⚙️ Config'!$H$1-'⚙️ Config'!$H$2)),)</f>
        <v/>
      </c>
      <c r="L618" s="28" t="str">
        <f>IF(E618="InActive","-",IF(A618&lt;&gt;"",K618/'⚙️ Config'!$H$2,))</f>
        <v/>
      </c>
      <c r="M618" s="28" t="str">
        <f t="shared" si="2"/>
        <v/>
      </c>
      <c r="N618" s="28" t="str">
        <f>IF(A618&lt;&gt;"", SUMIFS('💰 Transaction ขาย'!F:F,'💰 Transaction ขาย'!B:B,A618,'💰 Transaction ขาย'!A:A,"&gt;="&amp;DATE(YEAR('⚙️ Config'!$H$1),1,1),'💰 Transaction ขาย'!A:A,"&lt;="&amp;DATE(YEAR('⚙️ Config'!$H$1),12,31)),)</f>
        <v/>
      </c>
    </row>
    <row r="619">
      <c r="A619" s="22"/>
      <c r="B619" s="22" t="str">
        <f>IF(A619&lt;&gt;"",SUMIFS('💸 Transaction ซื้อ'!E:E,'💸 Transaction ซื้อ'!B:B,A619)-SUMIFS('💰 Transaction ขาย'!E:E,'💰 Transaction ขาย'!B:B,A619),"")</f>
        <v/>
      </c>
      <c r="C619" s="23" t="str">
        <f>IF(A619&lt;&gt;"",vlookup(A619,'📦 ชื่อสินค้า'!A:E,5,false),"")</f>
        <v/>
      </c>
      <c r="D619" s="23" t="str">
        <f>IF(A619&lt;&gt;"",VLOOKUP(A619,'📦 ชื่อสินค้า'!A:F,6,false),"")</f>
        <v/>
      </c>
      <c r="E619" s="16" t="str">
        <f>IFERROR(IF(VLOOKUP(A619,'📦 ชื่อสินค้า'!A:G,7,false)="InActive","InActive",IF(A619&lt;&gt;"",IF(B619&lt;=0,"สินค้าหมด",IF(B619&lt;=C619,"ควรเติมทันที","OK")),"")),)</f>
        <v/>
      </c>
      <c r="F619" s="24" t="str">
        <f>IFERROR(IF(A619&lt;&gt;"", SUMIF('💸 Transaction ซื้อ'!B:B,A619,'💸 Transaction ซื้อ'!G:G)/SUMIF('💸 Transaction ซื้อ'!B:B,A619,'💸 Transaction ซื้อ'!E:E),""),"-")</f>
        <v/>
      </c>
      <c r="G619" s="24" t="str">
        <f t="shared" si="1"/>
        <v/>
      </c>
      <c r="H619" s="25"/>
      <c r="I619" s="26"/>
      <c r="J619" s="26"/>
      <c r="K619" s="27" t="str">
        <f>IF(A619&lt;&gt;"",IF(E619="InActive","-",SUMIFS('💰 Transaction ขาย'!E:E,'💰 Transaction ขาย'!B:B,A619,'💰 Transaction ขาย'!A:A,"&gt;"&amp;'⚙️ Config'!$H$1-'⚙️ Config'!$H$2)),)</f>
        <v/>
      </c>
      <c r="L619" s="28" t="str">
        <f>IF(E619="InActive","-",IF(A619&lt;&gt;"",K619/'⚙️ Config'!$H$2,))</f>
        <v/>
      </c>
      <c r="M619" s="28" t="str">
        <f t="shared" si="2"/>
        <v/>
      </c>
      <c r="N619" s="28" t="str">
        <f>IF(A619&lt;&gt;"", SUMIFS('💰 Transaction ขาย'!F:F,'💰 Transaction ขาย'!B:B,A619,'💰 Transaction ขาย'!A:A,"&gt;="&amp;DATE(YEAR('⚙️ Config'!$H$1),1,1),'💰 Transaction ขาย'!A:A,"&lt;="&amp;DATE(YEAR('⚙️ Config'!$H$1),12,31)),)</f>
        <v/>
      </c>
    </row>
    <row r="620">
      <c r="A620" s="22"/>
      <c r="B620" s="22" t="str">
        <f>IF(A620&lt;&gt;"",SUMIFS('💸 Transaction ซื้อ'!E:E,'💸 Transaction ซื้อ'!B:B,A620)-SUMIFS('💰 Transaction ขาย'!E:E,'💰 Transaction ขาย'!B:B,A620),"")</f>
        <v/>
      </c>
      <c r="C620" s="23" t="str">
        <f>IF(A620&lt;&gt;"",vlookup(A620,'📦 ชื่อสินค้า'!A:E,5,false),"")</f>
        <v/>
      </c>
      <c r="D620" s="23" t="str">
        <f>IF(A620&lt;&gt;"",VLOOKUP(A620,'📦 ชื่อสินค้า'!A:F,6,false),"")</f>
        <v/>
      </c>
      <c r="E620" s="16" t="str">
        <f>IFERROR(IF(VLOOKUP(A620,'📦 ชื่อสินค้า'!A:G,7,false)="InActive","InActive",IF(A620&lt;&gt;"",IF(B620&lt;=0,"สินค้าหมด",IF(B620&lt;=C620,"ควรเติมทันที","OK")),"")),)</f>
        <v/>
      </c>
      <c r="F620" s="24" t="str">
        <f>IFERROR(IF(A620&lt;&gt;"", SUMIF('💸 Transaction ซื้อ'!B:B,A620,'💸 Transaction ซื้อ'!G:G)/SUMIF('💸 Transaction ซื้อ'!B:B,A620,'💸 Transaction ซื้อ'!E:E),""),"-")</f>
        <v/>
      </c>
      <c r="G620" s="24" t="str">
        <f t="shared" si="1"/>
        <v/>
      </c>
      <c r="H620" s="25"/>
      <c r="I620" s="26"/>
      <c r="J620" s="26"/>
      <c r="K620" s="27" t="str">
        <f>IF(A620&lt;&gt;"",IF(E620="InActive","-",SUMIFS('💰 Transaction ขาย'!E:E,'💰 Transaction ขาย'!B:B,A620,'💰 Transaction ขาย'!A:A,"&gt;"&amp;'⚙️ Config'!$H$1-'⚙️ Config'!$H$2)),)</f>
        <v/>
      </c>
      <c r="L620" s="28" t="str">
        <f>IF(E620="InActive","-",IF(A620&lt;&gt;"",K620/'⚙️ Config'!$H$2,))</f>
        <v/>
      </c>
      <c r="M620" s="28" t="str">
        <f t="shared" si="2"/>
        <v/>
      </c>
      <c r="N620" s="28" t="str">
        <f>IF(A620&lt;&gt;"", SUMIFS('💰 Transaction ขาย'!F:F,'💰 Transaction ขาย'!B:B,A620,'💰 Transaction ขาย'!A:A,"&gt;="&amp;DATE(YEAR('⚙️ Config'!$H$1),1,1),'💰 Transaction ขาย'!A:A,"&lt;="&amp;DATE(YEAR('⚙️ Config'!$H$1),12,31)),)</f>
        <v/>
      </c>
    </row>
    <row r="621">
      <c r="A621" s="22"/>
      <c r="B621" s="22" t="str">
        <f>IF(A621&lt;&gt;"",SUMIFS('💸 Transaction ซื้อ'!E:E,'💸 Transaction ซื้อ'!B:B,A621)-SUMIFS('💰 Transaction ขาย'!E:E,'💰 Transaction ขาย'!B:B,A621),"")</f>
        <v/>
      </c>
      <c r="C621" s="23" t="str">
        <f>IF(A621&lt;&gt;"",vlookup(A621,'📦 ชื่อสินค้า'!A:E,5,false),"")</f>
        <v/>
      </c>
      <c r="D621" s="23" t="str">
        <f>IF(A621&lt;&gt;"",VLOOKUP(A621,'📦 ชื่อสินค้า'!A:F,6,false),"")</f>
        <v/>
      </c>
      <c r="E621" s="16" t="str">
        <f>IFERROR(IF(VLOOKUP(A621,'📦 ชื่อสินค้า'!A:G,7,false)="InActive","InActive",IF(A621&lt;&gt;"",IF(B621&lt;=0,"สินค้าหมด",IF(B621&lt;=C621,"ควรเติมทันที","OK")),"")),)</f>
        <v/>
      </c>
      <c r="F621" s="24" t="str">
        <f>IFERROR(IF(A621&lt;&gt;"", SUMIF('💸 Transaction ซื้อ'!B:B,A621,'💸 Transaction ซื้อ'!G:G)/SUMIF('💸 Transaction ซื้อ'!B:B,A621,'💸 Transaction ซื้อ'!E:E),""),"-")</f>
        <v/>
      </c>
      <c r="G621" s="24" t="str">
        <f t="shared" si="1"/>
        <v/>
      </c>
      <c r="H621" s="25"/>
      <c r="I621" s="26"/>
      <c r="J621" s="26"/>
      <c r="K621" s="27" t="str">
        <f>IF(A621&lt;&gt;"",IF(E621="InActive","-",SUMIFS('💰 Transaction ขาย'!E:E,'💰 Transaction ขาย'!B:B,A621,'💰 Transaction ขาย'!A:A,"&gt;"&amp;'⚙️ Config'!$H$1-'⚙️ Config'!$H$2)),)</f>
        <v/>
      </c>
      <c r="L621" s="28" t="str">
        <f>IF(E621="InActive","-",IF(A621&lt;&gt;"",K621/'⚙️ Config'!$H$2,))</f>
        <v/>
      </c>
      <c r="M621" s="28" t="str">
        <f t="shared" si="2"/>
        <v/>
      </c>
      <c r="N621" s="28" t="str">
        <f>IF(A621&lt;&gt;"", SUMIFS('💰 Transaction ขาย'!F:F,'💰 Transaction ขาย'!B:B,A621,'💰 Transaction ขาย'!A:A,"&gt;="&amp;DATE(YEAR('⚙️ Config'!$H$1),1,1),'💰 Transaction ขาย'!A:A,"&lt;="&amp;DATE(YEAR('⚙️ Config'!$H$1),12,31)),)</f>
        <v/>
      </c>
    </row>
    <row r="622">
      <c r="A622" s="22"/>
      <c r="B622" s="22" t="str">
        <f>IF(A622&lt;&gt;"",SUMIFS('💸 Transaction ซื้อ'!E:E,'💸 Transaction ซื้อ'!B:B,A622)-SUMIFS('💰 Transaction ขาย'!E:E,'💰 Transaction ขาย'!B:B,A622),"")</f>
        <v/>
      </c>
      <c r="C622" s="23" t="str">
        <f>IF(A622&lt;&gt;"",vlookup(A622,'📦 ชื่อสินค้า'!A:E,5,false),"")</f>
        <v/>
      </c>
      <c r="D622" s="23" t="str">
        <f>IF(A622&lt;&gt;"",VLOOKUP(A622,'📦 ชื่อสินค้า'!A:F,6,false),"")</f>
        <v/>
      </c>
      <c r="E622" s="16" t="str">
        <f>IFERROR(IF(VLOOKUP(A622,'📦 ชื่อสินค้า'!A:G,7,false)="InActive","InActive",IF(A622&lt;&gt;"",IF(B622&lt;=0,"สินค้าหมด",IF(B622&lt;=C622,"ควรเติมทันที","OK")),"")),)</f>
        <v/>
      </c>
      <c r="F622" s="24" t="str">
        <f>IFERROR(IF(A622&lt;&gt;"", SUMIF('💸 Transaction ซื้อ'!B:B,A622,'💸 Transaction ซื้อ'!G:G)/SUMIF('💸 Transaction ซื้อ'!B:B,A622,'💸 Transaction ซื้อ'!E:E),""),"-")</f>
        <v/>
      </c>
      <c r="G622" s="24" t="str">
        <f t="shared" si="1"/>
        <v/>
      </c>
      <c r="H622" s="25"/>
      <c r="I622" s="26"/>
      <c r="J622" s="26"/>
      <c r="K622" s="27" t="str">
        <f>IF(A622&lt;&gt;"",IF(E622="InActive","-",SUMIFS('💰 Transaction ขาย'!E:E,'💰 Transaction ขาย'!B:B,A622,'💰 Transaction ขาย'!A:A,"&gt;"&amp;'⚙️ Config'!$H$1-'⚙️ Config'!$H$2)),)</f>
        <v/>
      </c>
      <c r="L622" s="28" t="str">
        <f>IF(E622="InActive","-",IF(A622&lt;&gt;"",K622/'⚙️ Config'!$H$2,))</f>
        <v/>
      </c>
      <c r="M622" s="28" t="str">
        <f t="shared" si="2"/>
        <v/>
      </c>
      <c r="N622" s="28" t="str">
        <f>IF(A622&lt;&gt;"", SUMIFS('💰 Transaction ขาย'!F:F,'💰 Transaction ขาย'!B:B,A622,'💰 Transaction ขาย'!A:A,"&gt;="&amp;DATE(YEAR('⚙️ Config'!$H$1),1,1),'💰 Transaction ขาย'!A:A,"&lt;="&amp;DATE(YEAR('⚙️ Config'!$H$1),12,31)),)</f>
        <v/>
      </c>
    </row>
    <row r="623">
      <c r="A623" s="22"/>
      <c r="B623" s="22" t="str">
        <f>IF(A623&lt;&gt;"",SUMIFS('💸 Transaction ซื้อ'!E:E,'💸 Transaction ซื้อ'!B:B,A623)-SUMIFS('💰 Transaction ขาย'!E:E,'💰 Transaction ขาย'!B:B,A623),"")</f>
        <v/>
      </c>
      <c r="C623" s="23" t="str">
        <f>IF(A623&lt;&gt;"",vlookup(A623,'📦 ชื่อสินค้า'!A:E,5,false),"")</f>
        <v/>
      </c>
      <c r="D623" s="23" t="str">
        <f>IF(A623&lt;&gt;"",VLOOKUP(A623,'📦 ชื่อสินค้า'!A:F,6,false),"")</f>
        <v/>
      </c>
      <c r="E623" s="16" t="str">
        <f>IFERROR(IF(VLOOKUP(A623,'📦 ชื่อสินค้า'!A:G,7,false)="InActive","InActive",IF(A623&lt;&gt;"",IF(B623&lt;=0,"สินค้าหมด",IF(B623&lt;=C623,"ควรเติมทันที","OK")),"")),)</f>
        <v/>
      </c>
      <c r="F623" s="24" t="str">
        <f>IFERROR(IF(A623&lt;&gt;"", SUMIF('💸 Transaction ซื้อ'!B:B,A623,'💸 Transaction ซื้อ'!G:G)/SUMIF('💸 Transaction ซื้อ'!B:B,A623,'💸 Transaction ซื้อ'!E:E),""),"-")</f>
        <v/>
      </c>
      <c r="G623" s="24" t="str">
        <f t="shared" si="1"/>
        <v/>
      </c>
      <c r="H623" s="25"/>
      <c r="I623" s="26"/>
      <c r="J623" s="26"/>
      <c r="K623" s="27" t="str">
        <f>IF(A623&lt;&gt;"",IF(E623="InActive","-",SUMIFS('💰 Transaction ขาย'!E:E,'💰 Transaction ขาย'!B:B,A623,'💰 Transaction ขาย'!A:A,"&gt;"&amp;'⚙️ Config'!$H$1-'⚙️ Config'!$H$2)),)</f>
        <v/>
      </c>
      <c r="L623" s="28" t="str">
        <f>IF(E623="InActive","-",IF(A623&lt;&gt;"",K623/'⚙️ Config'!$H$2,))</f>
        <v/>
      </c>
      <c r="M623" s="28" t="str">
        <f t="shared" si="2"/>
        <v/>
      </c>
      <c r="N623" s="28" t="str">
        <f>IF(A623&lt;&gt;"", SUMIFS('💰 Transaction ขาย'!F:F,'💰 Transaction ขาย'!B:B,A623,'💰 Transaction ขาย'!A:A,"&gt;="&amp;DATE(YEAR('⚙️ Config'!$H$1),1,1),'💰 Transaction ขาย'!A:A,"&lt;="&amp;DATE(YEAR('⚙️ Config'!$H$1),12,31)),)</f>
        <v/>
      </c>
    </row>
    <row r="624">
      <c r="A624" s="22"/>
      <c r="B624" s="22" t="str">
        <f>IF(A624&lt;&gt;"",SUMIFS('💸 Transaction ซื้อ'!E:E,'💸 Transaction ซื้อ'!B:B,A624)-SUMIFS('💰 Transaction ขาย'!E:E,'💰 Transaction ขาย'!B:B,A624),"")</f>
        <v/>
      </c>
      <c r="C624" s="23" t="str">
        <f>IF(A624&lt;&gt;"",vlookup(A624,'📦 ชื่อสินค้า'!A:E,5,false),"")</f>
        <v/>
      </c>
      <c r="D624" s="23" t="str">
        <f>IF(A624&lt;&gt;"",VLOOKUP(A624,'📦 ชื่อสินค้า'!A:F,6,false),"")</f>
        <v/>
      </c>
      <c r="E624" s="16" t="str">
        <f>IFERROR(IF(VLOOKUP(A624,'📦 ชื่อสินค้า'!A:G,7,false)="InActive","InActive",IF(A624&lt;&gt;"",IF(B624&lt;=0,"สินค้าหมด",IF(B624&lt;=C624,"ควรเติมทันที","OK")),"")),)</f>
        <v/>
      </c>
      <c r="F624" s="24" t="str">
        <f>IFERROR(IF(A624&lt;&gt;"", SUMIF('💸 Transaction ซื้อ'!B:B,A624,'💸 Transaction ซื้อ'!G:G)/SUMIF('💸 Transaction ซื้อ'!B:B,A624,'💸 Transaction ซื้อ'!E:E),""),"-")</f>
        <v/>
      </c>
      <c r="G624" s="24" t="str">
        <f t="shared" si="1"/>
        <v/>
      </c>
      <c r="H624" s="25"/>
      <c r="I624" s="26"/>
      <c r="J624" s="26"/>
      <c r="K624" s="27" t="str">
        <f>IF(A624&lt;&gt;"",IF(E624="InActive","-",SUMIFS('💰 Transaction ขาย'!E:E,'💰 Transaction ขาย'!B:B,A624,'💰 Transaction ขาย'!A:A,"&gt;"&amp;'⚙️ Config'!$H$1-'⚙️ Config'!$H$2)),)</f>
        <v/>
      </c>
      <c r="L624" s="28" t="str">
        <f>IF(E624="InActive","-",IF(A624&lt;&gt;"",K624/'⚙️ Config'!$H$2,))</f>
        <v/>
      </c>
      <c r="M624" s="28" t="str">
        <f t="shared" si="2"/>
        <v/>
      </c>
      <c r="N624" s="28" t="str">
        <f>IF(A624&lt;&gt;"", SUMIFS('💰 Transaction ขาย'!F:F,'💰 Transaction ขาย'!B:B,A624,'💰 Transaction ขาย'!A:A,"&gt;="&amp;DATE(YEAR('⚙️ Config'!$H$1),1,1),'💰 Transaction ขาย'!A:A,"&lt;="&amp;DATE(YEAR('⚙️ Config'!$H$1),12,31)),)</f>
        <v/>
      </c>
    </row>
    <row r="625">
      <c r="A625" s="22"/>
      <c r="B625" s="22" t="str">
        <f>IF(A625&lt;&gt;"",SUMIFS('💸 Transaction ซื้อ'!E:E,'💸 Transaction ซื้อ'!B:B,A625)-SUMIFS('💰 Transaction ขาย'!E:E,'💰 Transaction ขาย'!B:B,A625),"")</f>
        <v/>
      </c>
      <c r="C625" s="23" t="str">
        <f>IF(A625&lt;&gt;"",vlookup(A625,'📦 ชื่อสินค้า'!A:E,5,false),"")</f>
        <v/>
      </c>
      <c r="D625" s="23" t="str">
        <f>IF(A625&lt;&gt;"",VLOOKUP(A625,'📦 ชื่อสินค้า'!A:F,6,false),"")</f>
        <v/>
      </c>
      <c r="E625" s="16" t="str">
        <f>IFERROR(IF(VLOOKUP(A625,'📦 ชื่อสินค้า'!A:G,7,false)="InActive","InActive",IF(A625&lt;&gt;"",IF(B625&lt;=0,"สินค้าหมด",IF(B625&lt;=C625,"ควรเติมทันที","OK")),"")),)</f>
        <v/>
      </c>
      <c r="F625" s="24" t="str">
        <f>IFERROR(IF(A625&lt;&gt;"", SUMIF('💸 Transaction ซื้อ'!B:B,A625,'💸 Transaction ซื้อ'!G:G)/SUMIF('💸 Transaction ซื้อ'!B:B,A625,'💸 Transaction ซื้อ'!E:E),""),"-")</f>
        <v/>
      </c>
      <c r="G625" s="24" t="str">
        <f t="shared" si="1"/>
        <v/>
      </c>
      <c r="H625" s="25"/>
      <c r="I625" s="26"/>
      <c r="J625" s="26"/>
      <c r="K625" s="27" t="str">
        <f>IF(A625&lt;&gt;"",IF(E625="InActive","-",SUMIFS('💰 Transaction ขาย'!E:E,'💰 Transaction ขาย'!B:B,A625,'💰 Transaction ขาย'!A:A,"&gt;"&amp;'⚙️ Config'!$H$1-'⚙️ Config'!$H$2)),)</f>
        <v/>
      </c>
      <c r="L625" s="28" t="str">
        <f>IF(E625="InActive","-",IF(A625&lt;&gt;"",K625/'⚙️ Config'!$H$2,))</f>
        <v/>
      </c>
      <c r="M625" s="28" t="str">
        <f t="shared" si="2"/>
        <v/>
      </c>
      <c r="N625" s="28" t="str">
        <f>IF(A625&lt;&gt;"", SUMIFS('💰 Transaction ขาย'!F:F,'💰 Transaction ขาย'!B:B,A625,'💰 Transaction ขาย'!A:A,"&gt;="&amp;DATE(YEAR('⚙️ Config'!$H$1),1,1),'💰 Transaction ขาย'!A:A,"&lt;="&amp;DATE(YEAR('⚙️ Config'!$H$1),12,31)),)</f>
        <v/>
      </c>
    </row>
    <row r="626">
      <c r="A626" s="22"/>
      <c r="B626" s="22" t="str">
        <f>IF(A626&lt;&gt;"",SUMIFS('💸 Transaction ซื้อ'!E:E,'💸 Transaction ซื้อ'!B:B,A626)-SUMIFS('💰 Transaction ขาย'!E:E,'💰 Transaction ขาย'!B:B,A626),"")</f>
        <v/>
      </c>
      <c r="C626" s="23" t="str">
        <f>IF(A626&lt;&gt;"",vlookup(A626,'📦 ชื่อสินค้า'!A:E,5,false),"")</f>
        <v/>
      </c>
      <c r="D626" s="23" t="str">
        <f>IF(A626&lt;&gt;"",VLOOKUP(A626,'📦 ชื่อสินค้า'!A:F,6,false),"")</f>
        <v/>
      </c>
      <c r="E626" s="16" t="str">
        <f>IFERROR(IF(VLOOKUP(A626,'📦 ชื่อสินค้า'!A:G,7,false)="InActive","InActive",IF(A626&lt;&gt;"",IF(B626&lt;=0,"สินค้าหมด",IF(B626&lt;=C626,"ควรเติมทันที","OK")),"")),)</f>
        <v/>
      </c>
      <c r="F626" s="24" t="str">
        <f>IFERROR(IF(A626&lt;&gt;"", SUMIF('💸 Transaction ซื้อ'!B:B,A626,'💸 Transaction ซื้อ'!G:G)/SUMIF('💸 Transaction ซื้อ'!B:B,A626,'💸 Transaction ซื้อ'!E:E),""),"-")</f>
        <v/>
      </c>
      <c r="G626" s="24" t="str">
        <f t="shared" si="1"/>
        <v/>
      </c>
      <c r="H626" s="25"/>
      <c r="I626" s="26"/>
      <c r="J626" s="26"/>
      <c r="K626" s="27" t="str">
        <f>IF(A626&lt;&gt;"",IF(E626="InActive","-",SUMIFS('💰 Transaction ขาย'!E:E,'💰 Transaction ขาย'!B:B,A626,'💰 Transaction ขาย'!A:A,"&gt;"&amp;'⚙️ Config'!$H$1-'⚙️ Config'!$H$2)),)</f>
        <v/>
      </c>
      <c r="L626" s="28" t="str">
        <f>IF(E626="InActive","-",IF(A626&lt;&gt;"",K626/'⚙️ Config'!$H$2,))</f>
        <v/>
      </c>
      <c r="M626" s="28" t="str">
        <f t="shared" si="2"/>
        <v/>
      </c>
      <c r="N626" s="28" t="str">
        <f>IF(A626&lt;&gt;"", SUMIFS('💰 Transaction ขาย'!F:F,'💰 Transaction ขาย'!B:B,A626,'💰 Transaction ขาย'!A:A,"&gt;="&amp;DATE(YEAR('⚙️ Config'!$H$1),1,1),'💰 Transaction ขาย'!A:A,"&lt;="&amp;DATE(YEAR('⚙️ Config'!$H$1),12,31)),)</f>
        <v/>
      </c>
    </row>
    <row r="627">
      <c r="A627" s="22"/>
      <c r="B627" s="22" t="str">
        <f>IF(A627&lt;&gt;"",SUMIFS('💸 Transaction ซื้อ'!E:E,'💸 Transaction ซื้อ'!B:B,A627)-SUMIFS('💰 Transaction ขาย'!E:E,'💰 Transaction ขาย'!B:B,A627),"")</f>
        <v/>
      </c>
      <c r="C627" s="23" t="str">
        <f>IF(A627&lt;&gt;"",vlookup(A627,'📦 ชื่อสินค้า'!A:E,5,false),"")</f>
        <v/>
      </c>
      <c r="D627" s="23" t="str">
        <f>IF(A627&lt;&gt;"",VLOOKUP(A627,'📦 ชื่อสินค้า'!A:F,6,false),"")</f>
        <v/>
      </c>
      <c r="E627" s="16" t="str">
        <f>IFERROR(IF(VLOOKUP(A627,'📦 ชื่อสินค้า'!A:G,7,false)="InActive","InActive",IF(A627&lt;&gt;"",IF(B627&lt;=0,"สินค้าหมด",IF(B627&lt;=C627,"ควรเติมทันที","OK")),"")),)</f>
        <v/>
      </c>
      <c r="F627" s="24" t="str">
        <f>IFERROR(IF(A627&lt;&gt;"", SUMIF('💸 Transaction ซื้อ'!B:B,A627,'💸 Transaction ซื้อ'!G:G)/SUMIF('💸 Transaction ซื้อ'!B:B,A627,'💸 Transaction ซื้อ'!E:E),""),"-")</f>
        <v/>
      </c>
      <c r="G627" s="24" t="str">
        <f t="shared" si="1"/>
        <v/>
      </c>
      <c r="H627" s="25"/>
      <c r="I627" s="26"/>
      <c r="J627" s="26"/>
      <c r="K627" s="27" t="str">
        <f>IF(A627&lt;&gt;"",IF(E627="InActive","-",SUMIFS('💰 Transaction ขาย'!E:E,'💰 Transaction ขาย'!B:B,A627,'💰 Transaction ขาย'!A:A,"&gt;"&amp;'⚙️ Config'!$H$1-'⚙️ Config'!$H$2)),)</f>
        <v/>
      </c>
      <c r="L627" s="28" t="str">
        <f>IF(E627="InActive","-",IF(A627&lt;&gt;"",K627/'⚙️ Config'!$H$2,))</f>
        <v/>
      </c>
      <c r="M627" s="28" t="str">
        <f t="shared" si="2"/>
        <v/>
      </c>
      <c r="N627" s="28" t="str">
        <f>IF(A627&lt;&gt;"", SUMIFS('💰 Transaction ขาย'!F:F,'💰 Transaction ขาย'!B:B,A627,'💰 Transaction ขาย'!A:A,"&gt;="&amp;DATE(YEAR('⚙️ Config'!$H$1),1,1),'💰 Transaction ขาย'!A:A,"&lt;="&amp;DATE(YEAR('⚙️ Config'!$H$1),12,31)),)</f>
        <v/>
      </c>
    </row>
    <row r="628">
      <c r="A628" s="22"/>
      <c r="B628" s="22" t="str">
        <f>IF(A628&lt;&gt;"",SUMIFS('💸 Transaction ซื้อ'!E:E,'💸 Transaction ซื้อ'!B:B,A628)-SUMIFS('💰 Transaction ขาย'!E:E,'💰 Transaction ขาย'!B:B,A628),"")</f>
        <v/>
      </c>
      <c r="C628" s="23" t="str">
        <f>IF(A628&lt;&gt;"",vlookup(A628,'📦 ชื่อสินค้า'!A:E,5,false),"")</f>
        <v/>
      </c>
      <c r="D628" s="23" t="str">
        <f>IF(A628&lt;&gt;"",VLOOKUP(A628,'📦 ชื่อสินค้า'!A:F,6,false),"")</f>
        <v/>
      </c>
      <c r="E628" s="16" t="str">
        <f>IFERROR(IF(VLOOKUP(A628,'📦 ชื่อสินค้า'!A:G,7,false)="InActive","InActive",IF(A628&lt;&gt;"",IF(B628&lt;=0,"สินค้าหมด",IF(B628&lt;=C628,"ควรเติมทันที","OK")),"")),)</f>
        <v/>
      </c>
      <c r="F628" s="24" t="str">
        <f>IFERROR(IF(A628&lt;&gt;"", SUMIF('💸 Transaction ซื้อ'!B:B,A628,'💸 Transaction ซื้อ'!G:G)/SUMIF('💸 Transaction ซื้อ'!B:B,A628,'💸 Transaction ซื้อ'!E:E),""),"-")</f>
        <v/>
      </c>
      <c r="G628" s="24" t="str">
        <f t="shared" si="1"/>
        <v/>
      </c>
      <c r="H628" s="25"/>
      <c r="I628" s="26"/>
      <c r="J628" s="26"/>
      <c r="K628" s="27" t="str">
        <f>IF(A628&lt;&gt;"",IF(E628="InActive","-",SUMIFS('💰 Transaction ขาย'!E:E,'💰 Transaction ขาย'!B:B,A628,'💰 Transaction ขาย'!A:A,"&gt;"&amp;'⚙️ Config'!$H$1-'⚙️ Config'!$H$2)),)</f>
        <v/>
      </c>
      <c r="L628" s="28" t="str">
        <f>IF(E628="InActive","-",IF(A628&lt;&gt;"",K628/'⚙️ Config'!$H$2,))</f>
        <v/>
      </c>
      <c r="M628" s="28" t="str">
        <f t="shared" si="2"/>
        <v/>
      </c>
      <c r="N628" s="28" t="str">
        <f>IF(A628&lt;&gt;"", SUMIFS('💰 Transaction ขาย'!F:F,'💰 Transaction ขาย'!B:B,A628,'💰 Transaction ขาย'!A:A,"&gt;="&amp;DATE(YEAR('⚙️ Config'!$H$1),1,1),'💰 Transaction ขาย'!A:A,"&lt;="&amp;DATE(YEAR('⚙️ Config'!$H$1),12,31)),)</f>
        <v/>
      </c>
    </row>
    <row r="629">
      <c r="A629" s="22"/>
      <c r="B629" s="22" t="str">
        <f>IF(A629&lt;&gt;"",SUMIFS('💸 Transaction ซื้อ'!E:E,'💸 Transaction ซื้อ'!B:B,A629)-SUMIFS('💰 Transaction ขาย'!E:E,'💰 Transaction ขาย'!B:B,A629),"")</f>
        <v/>
      </c>
      <c r="C629" s="23" t="str">
        <f>IF(A629&lt;&gt;"",vlookup(A629,'📦 ชื่อสินค้า'!A:E,5,false),"")</f>
        <v/>
      </c>
      <c r="D629" s="23" t="str">
        <f>IF(A629&lt;&gt;"",VLOOKUP(A629,'📦 ชื่อสินค้า'!A:F,6,false),"")</f>
        <v/>
      </c>
      <c r="E629" s="16" t="str">
        <f>IFERROR(IF(VLOOKUP(A629,'📦 ชื่อสินค้า'!A:G,7,false)="InActive","InActive",IF(A629&lt;&gt;"",IF(B629&lt;=0,"สินค้าหมด",IF(B629&lt;=C629,"ควรเติมทันที","OK")),"")),)</f>
        <v/>
      </c>
      <c r="F629" s="24" t="str">
        <f>IFERROR(IF(A629&lt;&gt;"", SUMIF('💸 Transaction ซื้อ'!B:B,A629,'💸 Transaction ซื้อ'!G:G)/SUMIF('💸 Transaction ซื้อ'!B:B,A629,'💸 Transaction ซื้อ'!E:E),""),"-")</f>
        <v/>
      </c>
      <c r="G629" s="24" t="str">
        <f t="shared" si="1"/>
        <v/>
      </c>
      <c r="H629" s="25"/>
      <c r="I629" s="26"/>
      <c r="J629" s="26"/>
      <c r="K629" s="27" t="str">
        <f>IF(A629&lt;&gt;"",IF(E629="InActive","-",SUMIFS('💰 Transaction ขาย'!E:E,'💰 Transaction ขาย'!B:B,A629,'💰 Transaction ขาย'!A:A,"&gt;"&amp;'⚙️ Config'!$H$1-'⚙️ Config'!$H$2)),)</f>
        <v/>
      </c>
      <c r="L629" s="28" t="str">
        <f>IF(E629="InActive","-",IF(A629&lt;&gt;"",K629/'⚙️ Config'!$H$2,))</f>
        <v/>
      </c>
      <c r="M629" s="28" t="str">
        <f t="shared" si="2"/>
        <v/>
      </c>
      <c r="N629" s="28" t="str">
        <f>IF(A629&lt;&gt;"", SUMIFS('💰 Transaction ขาย'!F:F,'💰 Transaction ขาย'!B:B,A629,'💰 Transaction ขาย'!A:A,"&gt;="&amp;DATE(YEAR('⚙️ Config'!$H$1),1,1),'💰 Transaction ขาย'!A:A,"&lt;="&amp;DATE(YEAR('⚙️ Config'!$H$1),12,31)),)</f>
        <v/>
      </c>
    </row>
    <row r="630">
      <c r="A630" s="22"/>
      <c r="B630" s="22" t="str">
        <f>IF(A630&lt;&gt;"",SUMIFS('💸 Transaction ซื้อ'!E:E,'💸 Transaction ซื้อ'!B:B,A630)-SUMIFS('💰 Transaction ขาย'!E:E,'💰 Transaction ขาย'!B:B,A630),"")</f>
        <v/>
      </c>
      <c r="C630" s="23" t="str">
        <f>IF(A630&lt;&gt;"",vlookup(A630,'📦 ชื่อสินค้า'!A:E,5,false),"")</f>
        <v/>
      </c>
      <c r="D630" s="23" t="str">
        <f>IF(A630&lt;&gt;"",VLOOKUP(A630,'📦 ชื่อสินค้า'!A:F,6,false),"")</f>
        <v/>
      </c>
      <c r="E630" s="16" t="str">
        <f>IFERROR(IF(VLOOKUP(A630,'📦 ชื่อสินค้า'!A:G,7,false)="InActive","InActive",IF(A630&lt;&gt;"",IF(B630&lt;=0,"สินค้าหมด",IF(B630&lt;=C630,"ควรเติมทันที","OK")),"")),)</f>
        <v/>
      </c>
      <c r="F630" s="24" t="str">
        <f>IFERROR(IF(A630&lt;&gt;"", SUMIF('💸 Transaction ซื้อ'!B:B,A630,'💸 Transaction ซื้อ'!G:G)/SUMIF('💸 Transaction ซื้อ'!B:B,A630,'💸 Transaction ซื้อ'!E:E),""),"-")</f>
        <v/>
      </c>
      <c r="G630" s="24" t="str">
        <f t="shared" si="1"/>
        <v/>
      </c>
      <c r="H630" s="25"/>
      <c r="I630" s="26"/>
      <c r="J630" s="26"/>
      <c r="K630" s="27" t="str">
        <f>IF(A630&lt;&gt;"",IF(E630="InActive","-",SUMIFS('💰 Transaction ขาย'!E:E,'💰 Transaction ขาย'!B:B,A630,'💰 Transaction ขาย'!A:A,"&gt;"&amp;'⚙️ Config'!$H$1-'⚙️ Config'!$H$2)),)</f>
        <v/>
      </c>
      <c r="L630" s="28" t="str">
        <f>IF(E630="InActive","-",IF(A630&lt;&gt;"",K630/'⚙️ Config'!$H$2,))</f>
        <v/>
      </c>
      <c r="M630" s="28" t="str">
        <f t="shared" si="2"/>
        <v/>
      </c>
      <c r="N630" s="28" t="str">
        <f>IF(A630&lt;&gt;"", SUMIFS('💰 Transaction ขาย'!F:F,'💰 Transaction ขาย'!B:B,A630,'💰 Transaction ขาย'!A:A,"&gt;="&amp;DATE(YEAR('⚙️ Config'!$H$1),1,1),'💰 Transaction ขาย'!A:A,"&lt;="&amp;DATE(YEAR('⚙️ Config'!$H$1),12,31)),)</f>
        <v/>
      </c>
    </row>
    <row r="631">
      <c r="A631" s="22"/>
      <c r="B631" s="22" t="str">
        <f>IF(A631&lt;&gt;"",SUMIFS('💸 Transaction ซื้อ'!E:E,'💸 Transaction ซื้อ'!B:B,A631)-SUMIFS('💰 Transaction ขาย'!E:E,'💰 Transaction ขาย'!B:B,A631),"")</f>
        <v/>
      </c>
      <c r="C631" s="23" t="str">
        <f>IF(A631&lt;&gt;"",vlookup(A631,'📦 ชื่อสินค้า'!A:E,5,false),"")</f>
        <v/>
      </c>
      <c r="D631" s="23" t="str">
        <f>IF(A631&lt;&gt;"",VLOOKUP(A631,'📦 ชื่อสินค้า'!A:F,6,false),"")</f>
        <v/>
      </c>
      <c r="E631" s="16" t="str">
        <f>IFERROR(IF(VLOOKUP(A631,'📦 ชื่อสินค้า'!A:G,7,false)="InActive","InActive",IF(A631&lt;&gt;"",IF(B631&lt;=0,"สินค้าหมด",IF(B631&lt;=C631,"ควรเติมทันที","OK")),"")),)</f>
        <v/>
      </c>
      <c r="F631" s="24" t="str">
        <f>IFERROR(IF(A631&lt;&gt;"", SUMIF('💸 Transaction ซื้อ'!B:B,A631,'💸 Transaction ซื้อ'!G:G)/SUMIF('💸 Transaction ซื้อ'!B:B,A631,'💸 Transaction ซื้อ'!E:E),""),"-")</f>
        <v/>
      </c>
      <c r="G631" s="24" t="str">
        <f t="shared" si="1"/>
        <v/>
      </c>
      <c r="H631" s="25"/>
      <c r="I631" s="26"/>
      <c r="J631" s="26"/>
      <c r="K631" s="27" t="str">
        <f>IF(A631&lt;&gt;"",IF(E631="InActive","-",SUMIFS('💰 Transaction ขาย'!E:E,'💰 Transaction ขาย'!B:B,A631,'💰 Transaction ขาย'!A:A,"&gt;"&amp;'⚙️ Config'!$H$1-'⚙️ Config'!$H$2)),)</f>
        <v/>
      </c>
      <c r="L631" s="28" t="str">
        <f>IF(E631="InActive","-",IF(A631&lt;&gt;"",K631/'⚙️ Config'!$H$2,))</f>
        <v/>
      </c>
      <c r="M631" s="28" t="str">
        <f t="shared" si="2"/>
        <v/>
      </c>
      <c r="N631" s="28" t="str">
        <f>IF(A631&lt;&gt;"", SUMIFS('💰 Transaction ขาย'!F:F,'💰 Transaction ขาย'!B:B,A631,'💰 Transaction ขาย'!A:A,"&gt;="&amp;DATE(YEAR('⚙️ Config'!$H$1),1,1),'💰 Transaction ขาย'!A:A,"&lt;="&amp;DATE(YEAR('⚙️ Config'!$H$1),12,31)),)</f>
        <v/>
      </c>
    </row>
    <row r="632">
      <c r="A632" s="22"/>
      <c r="B632" s="22" t="str">
        <f>IF(A632&lt;&gt;"",SUMIFS('💸 Transaction ซื้อ'!E:E,'💸 Transaction ซื้อ'!B:B,A632)-SUMIFS('💰 Transaction ขาย'!E:E,'💰 Transaction ขาย'!B:B,A632),"")</f>
        <v/>
      </c>
      <c r="C632" s="23" t="str">
        <f>IF(A632&lt;&gt;"",vlookup(A632,'📦 ชื่อสินค้า'!A:E,5,false),"")</f>
        <v/>
      </c>
      <c r="D632" s="23" t="str">
        <f>IF(A632&lt;&gt;"",VLOOKUP(A632,'📦 ชื่อสินค้า'!A:F,6,false),"")</f>
        <v/>
      </c>
      <c r="E632" s="16" t="str">
        <f>IFERROR(IF(VLOOKUP(A632,'📦 ชื่อสินค้า'!A:G,7,false)="InActive","InActive",IF(A632&lt;&gt;"",IF(B632&lt;=0,"สินค้าหมด",IF(B632&lt;=C632,"ควรเติมทันที","OK")),"")),)</f>
        <v/>
      </c>
      <c r="F632" s="24" t="str">
        <f>IFERROR(IF(A632&lt;&gt;"", SUMIF('💸 Transaction ซื้อ'!B:B,A632,'💸 Transaction ซื้อ'!G:G)/SUMIF('💸 Transaction ซื้อ'!B:B,A632,'💸 Transaction ซื้อ'!E:E),""),"-")</f>
        <v/>
      </c>
      <c r="G632" s="24" t="str">
        <f t="shared" si="1"/>
        <v/>
      </c>
      <c r="H632" s="25"/>
      <c r="I632" s="26"/>
      <c r="J632" s="26"/>
      <c r="K632" s="27" t="str">
        <f>IF(A632&lt;&gt;"",IF(E632="InActive","-",SUMIFS('💰 Transaction ขาย'!E:E,'💰 Transaction ขาย'!B:B,A632,'💰 Transaction ขาย'!A:A,"&gt;"&amp;'⚙️ Config'!$H$1-'⚙️ Config'!$H$2)),)</f>
        <v/>
      </c>
      <c r="L632" s="28" t="str">
        <f>IF(E632="InActive","-",IF(A632&lt;&gt;"",K632/'⚙️ Config'!$H$2,))</f>
        <v/>
      </c>
      <c r="M632" s="28" t="str">
        <f t="shared" si="2"/>
        <v/>
      </c>
      <c r="N632" s="28" t="str">
        <f>IF(A632&lt;&gt;"", SUMIFS('💰 Transaction ขาย'!F:F,'💰 Transaction ขาย'!B:B,A632,'💰 Transaction ขาย'!A:A,"&gt;="&amp;DATE(YEAR('⚙️ Config'!$H$1),1,1),'💰 Transaction ขาย'!A:A,"&lt;="&amp;DATE(YEAR('⚙️ Config'!$H$1),12,31)),)</f>
        <v/>
      </c>
    </row>
    <row r="633">
      <c r="A633" s="22"/>
      <c r="B633" s="22" t="str">
        <f>IF(A633&lt;&gt;"",SUMIFS('💸 Transaction ซื้อ'!E:E,'💸 Transaction ซื้อ'!B:B,A633)-SUMIFS('💰 Transaction ขาย'!E:E,'💰 Transaction ขาย'!B:B,A633),"")</f>
        <v/>
      </c>
      <c r="C633" s="23" t="str">
        <f>IF(A633&lt;&gt;"",vlookup(A633,'📦 ชื่อสินค้า'!A:E,5,false),"")</f>
        <v/>
      </c>
      <c r="D633" s="23" t="str">
        <f>IF(A633&lt;&gt;"",VLOOKUP(A633,'📦 ชื่อสินค้า'!A:F,6,false),"")</f>
        <v/>
      </c>
      <c r="E633" s="16" t="str">
        <f>IFERROR(IF(VLOOKUP(A633,'📦 ชื่อสินค้า'!A:G,7,false)="InActive","InActive",IF(A633&lt;&gt;"",IF(B633&lt;=0,"สินค้าหมด",IF(B633&lt;=C633,"ควรเติมทันที","OK")),"")),)</f>
        <v/>
      </c>
      <c r="F633" s="24" t="str">
        <f>IFERROR(IF(A633&lt;&gt;"", SUMIF('💸 Transaction ซื้อ'!B:B,A633,'💸 Transaction ซื้อ'!G:G)/SUMIF('💸 Transaction ซื้อ'!B:B,A633,'💸 Transaction ซื้อ'!E:E),""),"-")</f>
        <v/>
      </c>
      <c r="G633" s="24" t="str">
        <f t="shared" si="1"/>
        <v/>
      </c>
      <c r="H633" s="25"/>
      <c r="I633" s="26"/>
      <c r="J633" s="26"/>
      <c r="K633" s="27" t="str">
        <f>IF(A633&lt;&gt;"",IF(E633="InActive","-",SUMIFS('💰 Transaction ขาย'!E:E,'💰 Transaction ขาย'!B:B,A633,'💰 Transaction ขาย'!A:A,"&gt;"&amp;'⚙️ Config'!$H$1-'⚙️ Config'!$H$2)),)</f>
        <v/>
      </c>
      <c r="L633" s="28" t="str">
        <f>IF(E633="InActive","-",IF(A633&lt;&gt;"",K633/'⚙️ Config'!$H$2,))</f>
        <v/>
      </c>
      <c r="M633" s="28" t="str">
        <f t="shared" si="2"/>
        <v/>
      </c>
      <c r="N633" s="28" t="str">
        <f>IF(A633&lt;&gt;"", SUMIFS('💰 Transaction ขาย'!F:F,'💰 Transaction ขาย'!B:B,A633,'💰 Transaction ขาย'!A:A,"&gt;="&amp;DATE(YEAR('⚙️ Config'!$H$1),1,1),'💰 Transaction ขาย'!A:A,"&lt;="&amp;DATE(YEAR('⚙️ Config'!$H$1),12,31)),)</f>
        <v/>
      </c>
    </row>
    <row r="634">
      <c r="A634" s="22"/>
      <c r="B634" s="22" t="str">
        <f>IF(A634&lt;&gt;"",SUMIFS('💸 Transaction ซื้อ'!E:E,'💸 Transaction ซื้อ'!B:B,A634)-SUMIFS('💰 Transaction ขาย'!E:E,'💰 Transaction ขาย'!B:B,A634),"")</f>
        <v/>
      </c>
      <c r="C634" s="23" t="str">
        <f>IF(A634&lt;&gt;"",vlookup(A634,'📦 ชื่อสินค้า'!A:E,5,false),"")</f>
        <v/>
      </c>
      <c r="D634" s="23" t="str">
        <f>IF(A634&lt;&gt;"",VLOOKUP(A634,'📦 ชื่อสินค้า'!A:F,6,false),"")</f>
        <v/>
      </c>
      <c r="E634" s="16" t="str">
        <f>IFERROR(IF(VLOOKUP(A634,'📦 ชื่อสินค้า'!A:G,7,false)="InActive","InActive",IF(A634&lt;&gt;"",IF(B634&lt;=0,"สินค้าหมด",IF(B634&lt;=C634,"ควรเติมทันที","OK")),"")),)</f>
        <v/>
      </c>
      <c r="F634" s="24" t="str">
        <f>IFERROR(IF(A634&lt;&gt;"", SUMIF('💸 Transaction ซื้อ'!B:B,A634,'💸 Transaction ซื้อ'!G:G)/SUMIF('💸 Transaction ซื้อ'!B:B,A634,'💸 Transaction ซื้อ'!E:E),""),"-")</f>
        <v/>
      </c>
      <c r="G634" s="24" t="str">
        <f t="shared" si="1"/>
        <v/>
      </c>
      <c r="H634" s="25"/>
      <c r="I634" s="26"/>
      <c r="J634" s="26"/>
      <c r="K634" s="27" t="str">
        <f>IF(A634&lt;&gt;"",IF(E634="InActive","-",SUMIFS('💰 Transaction ขาย'!E:E,'💰 Transaction ขาย'!B:B,A634,'💰 Transaction ขาย'!A:A,"&gt;"&amp;'⚙️ Config'!$H$1-'⚙️ Config'!$H$2)),)</f>
        <v/>
      </c>
      <c r="L634" s="28" t="str">
        <f>IF(E634="InActive","-",IF(A634&lt;&gt;"",K634/'⚙️ Config'!$H$2,))</f>
        <v/>
      </c>
      <c r="M634" s="28" t="str">
        <f t="shared" si="2"/>
        <v/>
      </c>
      <c r="N634" s="28" t="str">
        <f>IF(A634&lt;&gt;"", SUMIFS('💰 Transaction ขาย'!F:F,'💰 Transaction ขาย'!B:B,A634,'💰 Transaction ขาย'!A:A,"&gt;="&amp;DATE(YEAR('⚙️ Config'!$H$1),1,1),'💰 Transaction ขาย'!A:A,"&lt;="&amp;DATE(YEAR('⚙️ Config'!$H$1),12,31)),)</f>
        <v/>
      </c>
    </row>
    <row r="635">
      <c r="A635" s="22"/>
      <c r="B635" s="22" t="str">
        <f>IF(A635&lt;&gt;"",SUMIFS('💸 Transaction ซื้อ'!E:E,'💸 Transaction ซื้อ'!B:B,A635)-SUMIFS('💰 Transaction ขาย'!E:E,'💰 Transaction ขาย'!B:B,A635),"")</f>
        <v/>
      </c>
      <c r="C635" s="23" t="str">
        <f>IF(A635&lt;&gt;"",vlookup(A635,'📦 ชื่อสินค้า'!A:E,5,false),"")</f>
        <v/>
      </c>
      <c r="D635" s="23" t="str">
        <f>IF(A635&lt;&gt;"",VLOOKUP(A635,'📦 ชื่อสินค้า'!A:F,6,false),"")</f>
        <v/>
      </c>
      <c r="E635" s="16" t="str">
        <f>IFERROR(IF(VLOOKUP(A635,'📦 ชื่อสินค้า'!A:G,7,false)="InActive","InActive",IF(A635&lt;&gt;"",IF(B635&lt;=0,"สินค้าหมด",IF(B635&lt;=C635,"ควรเติมทันที","OK")),"")),)</f>
        <v/>
      </c>
      <c r="F635" s="24" t="str">
        <f>IFERROR(IF(A635&lt;&gt;"", SUMIF('💸 Transaction ซื้อ'!B:B,A635,'💸 Transaction ซื้อ'!G:G)/SUMIF('💸 Transaction ซื้อ'!B:B,A635,'💸 Transaction ซื้อ'!E:E),""),"-")</f>
        <v/>
      </c>
      <c r="G635" s="24" t="str">
        <f t="shared" si="1"/>
        <v/>
      </c>
      <c r="H635" s="25"/>
      <c r="I635" s="26"/>
      <c r="J635" s="26"/>
      <c r="K635" s="27" t="str">
        <f>IF(A635&lt;&gt;"",IF(E635="InActive","-",SUMIFS('💰 Transaction ขาย'!E:E,'💰 Transaction ขาย'!B:B,A635,'💰 Transaction ขาย'!A:A,"&gt;"&amp;'⚙️ Config'!$H$1-'⚙️ Config'!$H$2)),)</f>
        <v/>
      </c>
      <c r="L635" s="28" t="str">
        <f>IF(E635="InActive","-",IF(A635&lt;&gt;"",K635/'⚙️ Config'!$H$2,))</f>
        <v/>
      </c>
      <c r="M635" s="28" t="str">
        <f t="shared" si="2"/>
        <v/>
      </c>
      <c r="N635" s="28" t="str">
        <f>IF(A635&lt;&gt;"", SUMIFS('💰 Transaction ขาย'!F:F,'💰 Transaction ขาย'!B:B,A635,'💰 Transaction ขาย'!A:A,"&gt;="&amp;DATE(YEAR('⚙️ Config'!$H$1),1,1),'💰 Transaction ขาย'!A:A,"&lt;="&amp;DATE(YEAR('⚙️ Config'!$H$1),12,31)),)</f>
        <v/>
      </c>
    </row>
    <row r="636">
      <c r="A636" s="22"/>
      <c r="B636" s="22" t="str">
        <f>IF(A636&lt;&gt;"",SUMIFS('💸 Transaction ซื้อ'!E:E,'💸 Transaction ซื้อ'!B:B,A636)-SUMIFS('💰 Transaction ขาย'!E:E,'💰 Transaction ขาย'!B:B,A636),"")</f>
        <v/>
      </c>
      <c r="C636" s="23" t="str">
        <f>IF(A636&lt;&gt;"",vlookup(A636,'📦 ชื่อสินค้า'!A:E,5,false),"")</f>
        <v/>
      </c>
      <c r="D636" s="23" t="str">
        <f>IF(A636&lt;&gt;"",VLOOKUP(A636,'📦 ชื่อสินค้า'!A:F,6,false),"")</f>
        <v/>
      </c>
      <c r="E636" s="16" t="str">
        <f>IFERROR(IF(VLOOKUP(A636,'📦 ชื่อสินค้า'!A:G,7,false)="InActive","InActive",IF(A636&lt;&gt;"",IF(B636&lt;=0,"สินค้าหมด",IF(B636&lt;=C636,"ควรเติมทันที","OK")),"")),)</f>
        <v/>
      </c>
      <c r="F636" s="24" t="str">
        <f>IFERROR(IF(A636&lt;&gt;"", SUMIF('💸 Transaction ซื้อ'!B:B,A636,'💸 Transaction ซื้อ'!G:G)/SUMIF('💸 Transaction ซื้อ'!B:B,A636,'💸 Transaction ซื้อ'!E:E),""),"-")</f>
        <v/>
      </c>
      <c r="G636" s="24" t="str">
        <f t="shared" si="1"/>
        <v/>
      </c>
      <c r="H636" s="25"/>
      <c r="I636" s="26"/>
      <c r="J636" s="26"/>
      <c r="K636" s="27" t="str">
        <f>IF(A636&lt;&gt;"",IF(E636="InActive","-",SUMIFS('💰 Transaction ขาย'!E:E,'💰 Transaction ขาย'!B:B,A636,'💰 Transaction ขาย'!A:A,"&gt;"&amp;'⚙️ Config'!$H$1-'⚙️ Config'!$H$2)),)</f>
        <v/>
      </c>
      <c r="L636" s="28" t="str">
        <f>IF(E636="InActive","-",IF(A636&lt;&gt;"",K636/'⚙️ Config'!$H$2,))</f>
        <v/>
      </c>
      <c r="M636" s="28" t="str">
        <f t="shared" si="2"/>
        <v/>
      </c>
      <c r="N636" s="28" t="str">
        <f>IF(A636&lt;&gt;"", SUMIFS('💰 Transaction ขาย'!F:F,'💰 Transaction ขาย'!B:B,A636,'💰 Transaction ขาย'!A:A,"&gt;="&amp;DATE(YEAR('⚙️ Config'!$H$1),1,1),'💰 Transaction ขาย'!A:A,"&lt;="&amp;DATE(YEAR('⚙️ Config'!$H$1),12,31)),)</f>
        <v/>
      </c>
    </row>
    <row r="637">
      <c r="A637" s="22"/>
      <c r="B637" s="22" t="str">
        <f>IF(A637&lt;&gt;"",SUMIFS('💸 Transaction ซื้อ'!E:E,'💸 Transaction ซื้อ'!B:B,A637)-SUMIFS('💰 Transaction ขาย'!E:E,'💰 Transaction ขาย'!B:B,A637),"")</f>
        <v/>
      </c>
      <c r="C637" s="23" t="str">
        <f>IF(A637&lt;&gt;"",vlookup(A637,'📦 ชื่อสินค้า'!A:E,5,false),"")</f>
        <v/>
      </c>
      <c r="D637" s="23" t="str">
        <f>IF(A637&lt;&gt;"",VLOOKUP(A637,'📦 ชื่อสินค้า'!A:F,6,false),"")</f>
        <v/>
      </c>
      <c r="E637" s="16" t="str">
        <f>IFERROR(IF(VLOOKUP(A637,'📦 ชื่อสินค้า'!A:G,7,false)="InActive","InActive",IF(A637&lt;&gt;"",IF(B637&lt;=0,"สินค้าหมด",IF(B637&lt;=C637,"ควรเติมทันที","OK")),"")),)</f>
        <v/>
      </c>
      <c r="F637" s="24" t="str">
        <f>IFERROR(IF(A637&lt;&gt;"", SUMIF('💸 Transaction ซื้อ'!B:B,A637,'💸 Transaction ซื้อ'!G:G)/SUMIF('💸 Transaction ซื้อ'!B:B,A637,'💸 Transaction ซื้อ'!E:E),""),"-")</f>
        <v/>
      </c>
      <c r="G637" s="24" t="str">
        <f t="shared" si="1"/>
        <v/>
      </c>
      <c r="H637" s="25"/>
      <c r="I637" s="26"/>
      <c r="J637" s="26"/>
      <c r="K637" s="27" t="str">
        <f>IF(A637&lt;&gt;"",IF(E637="InActive","-",SUMIFS('💰 Transaction ขาย'!E:E,'💰 Transaction ขาย'!B:B,A637,'💰 Transaction ขาย'!A:A,"&gt;"&amp;'⚙️ Config'!$H$1-'⚙️ Config'!$H$2)),)</f>
        <v/>
      </c>
      <c r="L637" s="28" t="str">
        <f>IF(E637="InActive","-",IF(A637&lt;&gt;"",K637/'⚙️ Config'!$H$2,))</f>
        <v/>
      </c>
      <c r="M637" s="28" t="str">
        <f t="shared" si="2"/>
        <v/>
      </c>
      <c r="N637" s="28" t="str">
        <f>IF(A637&lt;&gt;"", SUMIFS('💰 Transaction ขาย'!F:F,'💰 Transaction ขาย'!B:B,A637,'💰 Transaction ขาย'!A:A,"&gt;="&amp;DATE(YEAR('⚙️ Config'!$H$1),1,1),'💰 Transaction ขาย'!A:A,"&lt;="&amp;DATE(YEAR('⚙️ Config'!$H$1),12,31)),)</f>
        <v/>
      </c>
    </row>
    <row r="638">
      <c r="A638" s="22"/>
      <c r="B638" s="22" t="str">
        <f>IF(A638&lt;&gt;"",SUMIFS('💸 Transaction ซื้อ'!E:E,'💸 Transaction ซื้อ'!B:B,A638)-SUMIFS('💰 Transaction ขาย'!E:E,'💰 Transaction ขาย'!B:B,A638),"")</f>
        <v/>
      </c>
      <c r="C638" s="23" t="str">
        <f>IF(A638&lt;&gt;"",vlookup(A638,'📦 ชื่อสินค้า'!A:E,5,false),"")</f>
        <v/>
      </c>
      <c r="D638" s="23" t="str">
        <f>IF(A638&lt;&gt;"",VLOOKUP(A638,'📦 ชื่อสินค้า'!A:F,6,false),"")</f>
        <v/>
      </c>
      <c r="E638" s="16" t="str">
        <f>IFERROR(IF(VLOOKUP(A638,'📦 ชื่อสินค้า'!A:G,7,false)="InActive","InActive",IF(A638&lt;&gt;"",IF(B638&lt;=0,"สินค้าหมด",IF(B638&lt;=C638,"ควรเติมทันที","OK")),"")),)</f>
        <v/>
      </c>
      <c r="F638" s="24" t="str">
        <f>IFERROR(IF(A638&lt;&gt;"", SUMIF('💸 Transaction ซื้อ'!B:B,A638,'💸 Transaction ซื้อ'!G:G)/SUMIF('💸 Transaction ซื้อ'!B:B,A638,'💸 Transaction ซื้อ'!E:E),""),"-")</f>
        <v/>
      </c>
      <c r="G638" s="24" t="str">
        <f t="shared" si="1"/>
        <v/>
      </c>
      <c r="H638" s="25"/>
      <c r="I638" s="26"/>
      <c r="J638" s="26"/>
      <c r="K638" s="27" t="str">
        <f>IF(A638&lt;&gt;"",IF(E638="InActive","-",SUMIFS('💰 Transaction ขาย'!E:E,'💰 Transaction ขาย'!B:B,A638,'💰 Transaction ขาย'!A:A,"&gt;"&amp;'⚙️ Config'!$H$1-'⚙️ Config'!$H$2)),)</f>
        <v/>
      </c>
      <c r="L638" s="28" t="str">
        <f>IF(E638="InActive","-",IF(A638&lt;&gt;"",K638/'⚙️ Config'!$H$2,))</f>
        <v/>
      </c>
      <c r="M638" s="28" t="str">
        <f t="shared" si="2"/>
        <v/>
      </c>
      <c r="N638" s="28" t="str">
        <f>IF(A638&lt;&gt;"", SUMIFS('💰 Transaction ขาย'!F:F,'💰 Transaction ขาย'!B:B,A638,'💰 Transaction ขาย'!A:A,"&gt;="&amp;DATE(YEAR('⚙️ Config'!$H$1),1,1),'💰 Transaction ขาย'!A:A,"&lt;="&amp;DATE(YEAR('⚙️ Config'!$H$1),12,31)),)</f>
        <v/>
      </c>
    </row>
    <row r="639">
      <c r="A639" s="22"/>
      <c r="B639" s="22" t="str">
        <f>IF(A639&lt;&gt;"",SUMIFS('💸 Transaction ซื้อ'!E:E,'💸 Transaction ซื้อ'!B:B,A639)-SUMIFS('💰 Transaction ขาย'!E:E,'💰 Transaction ขาย'!B:B,A639),"")</f>
        <v/>
      </c>
      <c r="C639" s="23" t="str">
        <f>IF(A639&lt;&gt;"",vlookup(A639,'📦 ชื่อสินค้า'!A:E,5,false),"")</f>
        <v/>
      </c>
      <c r="D639" s="23" t="str">
        <f>IF(A639&lt;&gt;"",VLOOKUP(A639,'📦 ชื่อสินค้า'!A:F,6,false),"")</f>
        <v/>
      </c>
      <c r="E639" s="16" t="str">
        <f>IFERROR(IF(VLOOKUP(A639,'📦 ชื่อสินค้า'!A:G,7,false)="InActive","InActive",IF(A639&lt;&gt;"",IF(B639&lt;=0,"สินค้าหมด",IF(B639&lt;=C639,"ควรเติมทันที","OK")),"")),)</f>
        <v/>
      </c>
      <c r="F639" s="24" t="str">
        <f>IFERROR(IF(A639&lt;&gt;"", SUMIF('💸 Transaction ซื้อ'!B:B,A639,'💸 Transaction ซื้อ'!G:G)/SUMIF('💸 Transaction ซื้อ'!B:B,A639,'💸 Transaction ซื้อ'!E:E),""),"-")</f>
        <v/>
      </c>
      <c r="G639" s="24" t="str">
        <f t="shared" si="1"/>
        <v/>
      </c>
      <c r="H639" s="25"/>
      <c r="I639" s="26"/>
      <c r="J639" s="26"/>
      <c r="K639" s="27" t="str">
        <f>IF(A639&lt;&gt;"",IF(E639="InActive","-",SUMIFS('💰 Transaction ขาย'!E:E,'💰 Transaction ขาย'!B:B,A639,'💰 Transaction ขาย'!A:A,"&gt;"&amp;'⚙️ Config'!$H$1-'⚙️ Config'!$H$2)),)</f>
        <v/>
      </c>
      <c r="L639" s="28" t="str">
        <f>IF(E639="InActive","-",IF(A639&lt;&gt;"",K639/'⚙️ Config'!$H$2,))</f>
        <v/>
      </c>
      <c r="M639" s="28" t="str">
        <f t="shared" si="2"/>
        <v/>
      </c>
      <c r="N639" s="28" t="str">
        <f>IF(A639&lt;&gt;"", SUMIFS('💰 Transaction ขาย'!F:F,'💰 Transaction ขาย'!B:B,A639,'💰 Transaction ขาย'!A:A,"&gt;="&amp;DATE(YEAR('⚙️ Config'!$H$1),1,1),'💰 Transaction ขาย'!A:A,"&lt;="&amp;DATE(YEAR('⚙️ Config'!$H$1),12,31)),)</f>
        <v/>
      </c>
    </row>
    <row r="640">
      <c r="A640" s="22"/>
      <c r="B640" s="22" t="str">
        <f>IF(A640&lt;&gt;"",SUMIFS('💸 Transaction ซื้อ'!E:E,'💸 Transaction ซื้อ'!B:B,A640)-SUMIFS('💰 Transaction ขาย'!E:E,'💰 Transaction ขาย'!B:B,A640),"")</f>
        <v/>
      </c>
      <c r="C640" s="23" t="str">
        <f>IF(A640&lt;&gt;"",vlookup(A640,'📦 ชื่อสินค้า'!A:E,5,false),"")</f>
        <v/>
      </c>
      <c r="D640" s="23" t="str">
        <f>IF(A640&lt;&gt;"",VLOOKUP(A640,'📦 ชื่อสินค้า'!A:F,6,false),"")</f>
        <v/>
      </c>
      <c r="E640" s="16" t="str">
        <f>IFERROR(IF(VLOOKUP(A640,'📦 ชื่อสินค้า'!A:G,7,false)="InActive","InActive",IF(A640&lt;&gt;"",IF(B640&lt;=0,"สินค้าหมด",IF(B640&lt;=C640,"ควรเติมทันที","OK")),"")),)</f>
        <v/>
      </c>
      <c r="F640" s="24" t="str">
        <f>IFERROR(IF(A640&lt;&gt;"", SUMIF('💸 Transaction ซื้อ'!B:B,A640,'💸 Transaction ซื้อ'!G:G)/SUMIF('💸 Transaction ซื้อ'!B:B,A640,'💸 Transaction ซื้อ'!E:E),""),"-")</f>
        <v/>
      </c>
      <c r="G640" s="24" t="str">
        <f t="shared" si="1"/>
        <v/>
      </c>
      <c r="H640" s="25"/>
      <c r="I640" s="26"/>
      <c r="J640" s="26"/>
      <c r="K640" s="27" t="str">
        <f>IF(A640&lt;&gt;"",IF(E640="InActive","-",SUMIFS('💰 Transaction ขาย'!E:E,'💰 Transaction ขาย'!B:B,A640,'💰 Transaction ขาย'!A:A,"&gt;"&amp;'⚙️ Config'!$H$1-'⚙️ Config'!$H$2)),)</f>
        <v/>
      </c>
      <c r="L640" s="28" t="str">
        <f>IF(E640="InActive","-",IF(A640&lt;&gt;"",K640/'⚙️ Config'!$H$2,))</f>
        <v/>
      </c>
      <c r="M640" s="28" t="str">
        <f t="shared" si="2"/>
        <v/>
      </c>
      <c r="N640" s="28" t="str">
        <f>IF(A640&lt;&gt;"", SUMIFS('💰 Transaction ขาย'!F:F,'💰 Transaction ขาย'!B:B,A640,'💰 Transaction ขาย'!A:A,"&gt;="&amp;DATE(YEAR('⚙️ Config'!$H$1),1,1),'💰 Transaction ขาย'!A:A,"&lt;="&amp;DATE(YEAR('⚙️ Config'!$H$1),12,31)),)</f>
        <v/>
      </c>
    </row>
    <row r="641">
      <c r="A641" s="22"/>
      <c r="B641" s="22" t="str">
        <f>IF(A641&lt;&gt;"",SUMIFS('💸 Transaction ซื้อ'!E:E,'💸 Transaction ซื้อ'!B:B,A641)-SUMIFS('💰 Transaction ขาย'!E:E,'💰 Transaction ขาย'!B:B,A641),"")</f>
        <v/>
      </c>
      <c r="C641" s="23" t="str">
        <f>IF(A641&lt;&gt;"",vlookup(A641,'📦 ชื่อสินค้า'!A:E,5,false),"")</f>
        <v/>
      </c>
      <c r="D641" s="23" t="str">
        <f>IF(A641&lt;&gt;"",VLOOKUP(A641,'📦 ชื่อสินค้า'!A:F,6,false),"")</f>
        <v/>
      </c>
      <c r="E641" s="16" t="str">
        <f>IFERROR(IF(VLOOKUP(A641,'📦 ชื่อสินค้า'!A:G,7,false)="InActive","InActive",IF(A641&lt;&gt;"",IF(B641&lt;=0,"สินค้าหมด",IF(B641&lt;=C641,"ควรเติมทันที","OK")),"")),)</f>
        <v/>
      </c>
      <c r="F641" s="24" t="str">
        <f>IFERROR(IF(A641&lt;&gt;"", SUMIF('💸 Transaction ซื้อ'!B:B,A641,'💸 Transaction ซื้อ'!G:G)/SUMIF('💸 Transaction ซื้อ'!B:B,A641,'💸 Transaction ซื้อ'!E:E),""),"-")</f>
        <v/>
      </c>
      <c r="G641" s="24" t="str">
        <f t="shared" si="1"/>
        <v/>
      </c>
      <c r="H641" s="25"/>
      <c r="I641" s="26"/>
      <c r="J641" s="26"/>
      <c r="K641" s="27" t="str">
        <f>IF(A641&lt;&gt;"",IF(E641="InActive","-",SUMIFS('💰 Transaction ขาย'!E:E,'💰 Transaction ขาย'!B:B,A641,'💰 Transaction ขาย'!A:A,"&gt;"&amp;'⚙️ Config'!$H$1-'⚙️ Config'!$H$2)),)</f>
        <v/>
      </c>
      <c r="L641" s="28" t="str">
        <f>IF(E641="InActive","-",IF(A641&lt;&gt;"",K641/'⚙️ Config'!$H$2,))</f>
        <v/>
      </c>
      <c r="M641" s="28" t="str">
        <f t="shared" si="2"/>
        <v/>
      </c>
      <c r="N641" s="28" t="str">
        <f>IF(A641&lt;&gt;"", SUMIFS('💰 Transaction ขาย'!F:F,'💰 Transaction ขาย'!B:B,A641,'💰 Transaction ขาย'!A:A,"&gt;="&amp;DATE(YEAR('⚙️ Config'!$H$1),1,1),'💰 Transaction ขาย'!A:A,"&lt;="&amp;DATE(YEAR('⚙️ Config'!$H$1),12,31)),)</f>
        <v/>
      </c>
    </row>
    <row r="642">
      <c r="A642" s="22"/>
      <c r="B642" s="22" t="str">
        <f>IF(A642&lt;&gt;"",SUMIFS('💸 Transaction ซื้อ'!E:E,'💸 Transaction ซื้อ'!B:B,A642)-SUMIFS('💰 Transaction ขาย'!E:E,'💰 Transaction ขาย'!B:B,A642),"")</f>
        <v/>
      </c>
      <c r="C642" s="23" t="str">
        <f>IF(A642&lt;&gt;"",vlookup(A642,'📦 ชื่อสินค้า'!A:E,5,false),"")</f>
        <v/>
      </c>
      <c r="D642" s="23" t="str">
        <f>IF(A642&lt;&gt;"",VLOOKUP(A642,'📦 ชื่อสินค้า'!A:F,6,false),"")</f>
        <v/>
      </c>
      <c r="E642" s="16" t="str">
        <f>IFERROR(IF(VLOOKUP(A642,'📦 ชื่อสินค้า'!A:G,7,false)="InActive","InActive",IF(A642&lt;&gt;"",IF(B642&lt;=0,"สินค้าหมด",IF(B642&lt;=C642,"ควรเติมทันที","OK")),"")),)</f>
        <v/>
      </c>
      <c r="F642" s="24" t="str">
        <f>IFERROR(IF(A642&lt;&gt;"", SUMIF('💸 Transaction ซื้อ'!B:B,A642,'💸 Transaction ซื้อ'!G:G)/SUMIF('💸 Transaction ซื้อ'!B:B,A642,'💸 Transaction ซื้อ'!E:E),""),"-")</f>
        <v/>
      </c>
      <c r="G642" s="24" t="str">
        <f t="shared" si="1"/>
        <v/>
      </c>
      <c r="H642" s="25"/>
      <c r="I642" s="26"/>
      <c r="J642" s="26"/>
      <c r="K642" s="27" t="str">
        <f>IF(A642&lt;&gt;"",IF(E642="InActive","-",SUMIFS('💰 Transaction ขาย'!E:E,'💰 Transaction ขาย'!B:B,A642,'💰 Transaction ขาย'!A:A,"&gt;"&amp;'⚙️ Config'!$H$1-'⚙️ Config'!$H$2)),)</f>
        <v/>
      </c>
      <c r="L642" s="28" t="str">
        <f>IF(E642="InActive","-",IF(A642&lt;&gt;"",K642/'⚙️ Config'!$H$2,))</f>
        <v/>
      </c>
      <c r="M642" s="28" t="str">
        <f t="shared" si="2"/>
        <v/>
      </c>
      <c r="N642" s="28" t="str">
        <f>IF(A642&lt;&gt;"", SUMIFS('💰 Transaction ขาย'!F:F,'💰 Transaction ขาย'!B:B,A642,'💰 Transaction ขาย'!A:A,"&gt;="&amp;DATE(YEAR('⚙️ Config'!$H$1),1,1),'💰 Transaction ขาย'!A:A,"&lt;="&amp;DATE(YEAR('⚙️ Config'!$H$1),12,31)),)</f>
        <v/>
      </c>
    </row>
    <row r="643">
      <c r="A643" s="22"/>
      <c r="B643" s="22" t="str">
        <f>IF(A643&lt;&gt;"",SUMIFS('💸 Transaction ซื้อ'!E:E,'💸 Transaction ซื้อ'!B:B,A643)-SUMIFS('💰 Transaction ขาย'!E:E,'💰 Transaction ขาย'!B:B,A643),"")</f>
        <v/>
      </c>
      <c r="C643" s="23" t="str">
        <f>IF(A643&lt;&gt;"",vlookup(A643,'📦 ชื่อสินค้า'!A:E,5,false),"")</f>
        <v/>
      </c>
      <c r="D643" s="23" t="str">
        <f>IF(A643&lt;&gt;"",VLOOKUP(A643,'📦 ชื่อสินค้า'!A:F,6,false),"")</f>
        <v/>
      </c>
      <c r="E643" s="16" t="str">
        <f>IFERROR(IF(VLOOKUP(A643,'📦 ชื่อสินค้า'!A:G,7,false)="InActive","InActive",IF(A643&lt;&gt;"",IF(B643&lt;=0,"สินค้าหมด",IF(B643&lt;=C643,"ควรเติมทันที","OK")),"")),)</f>
        <v/>
      </c>
      <c r="F643" s="24" t="str">
        <f>IFERROR(IF(A643&lt;&gt;"", SUMIF('💸 Transaction ซื้อ'!B:B,A643,'💸 Transaction ซื้อ'!G:G)/SUMIF('💸 Transaction ซื้อ'!B:B,A643,'💸 Transaction ซื้อ'!E:E),""),"-")</f>
        <v/>
      </c>
      <c r="G643" s="24" t="str">
        <f t="shared" si="1"/>
        <v/>
      </c>
      <c r="H643" s="25"/>
      <c r="I643" s="26"/>
      <c r="J643" s="26"/>
      <c r="K643" s="27" t="str">
        <f>IF(A643&lt;&gt;"",IF(E643="InActive","-",SUMIFS('💰 Transaction ขาย'!E:E,'💰 Transaction ขาย'!B:B,A643,'💰 Transaction ขาย'!A:A,"&gt;"&amp;'⚙️ Config'!$H$1-'⚙️ Config'!$H$2)),)</f>
        <v/>
      </c>
      <c r="L643" s="28" t="str">
        <f>IF(E643="InActive","-",IF(A643&lt;&gt;"",K643/'⚙️ Config'!$H$2,))</f>
        <v/>
      </c>
      <c r="M643" s="28" t="str">
        <f t="shared" si="2"/>
        <v/>
      </c>
      <c r="N643" s="28" t="str">
        <f>IF(A643&lt;&gt;"", SUMIFS('💰 Transaction ขาย'!F:F,'💰 Transaction ขาย'!B:B,A643,'💰 Transaction ขาย'!A:A,"&gt;="&amp;DATE(YEAR('⚙️ Config'!$H$1),1,1),'💰 Transaction ขาย'!A:A,"&lt;="&amp;DATE(YEAR('⚙️ Config'!$H$1),12,31)),)</f>
        <v/>
      </c>
    </row>
    <row r="644">
      <c r="A644" s="22"/>
      <c r="B644" s="22" t="str">
        <f>IF(A644&lt;&gt;"",SUMIFS('💸 Transaction ซื้อ'!E:E,'💸 Transaction ซื้อ'!B:B,A644)-SUMIFS('💰 Transaction ขาย'!E:E,'💰 Transaction ขาย'!B:B,A644),"")</f>
        <v/>
      </c>
      <c r="C644" s="23" t="str">
        <f>IF(A644&lt;&gt;"",vlookup(A644,'📦 ชื่อสินค้า'!A:E,5,false),"")</f>
        <v/>
      </c>
      <c r="D644" s="23" t="str">
        <f>IF(A644&lt;&gt;"",VLOOKUP(A644,'📦 ชื่อสินค้า'!A:F,6,false),"")</f>
        <v/>
      </c>
      <c r="E644" s="16" t="str">
        <f>IFERROR(IF(VLOOKUP(A644,'📦 ชื่อสินค้า'!A:G,7,false)="InActive","InActive",IF(A644&lt;&gt;"",IF(B644&lt;=0,"สินค้าหมด",IF(B644&lt;=C644,"ควรเติมทันที","OK")),"")),)</f>
        <v/>
      </c>
      <c r="F644" s="24" t="str">
        <f>IFERROR(IF(A644&lt;&gt;"", SUMIF('💸 Transaction ซื้อ'!B:B,A644,'💸 Transaction ซื้อ'!G:G)/SUMIF('💸 Transaction ซื้อ'!B:B,A644,'💸 Transaction ซื้อ'!E:E),""),"-")</f>
        <v/>
      </c>
      <c r="G644" s="24" t="str">
        <f t="shared" si="1"/>
        <v/>
      </c>
      <c r="H644" s="25"/>
      <c r="I644" s="26"/>
      <c r="J644" s="26"/>
      <c r="K644" s="27" t="str">
        <f>IF(A644&lt;&gt;"",IF(E644="InActive","-",SUMIFS('💰 Transaction ขาย'!E:E,'💰 Transaction ขาย'!B:B,A644,'💰 Transaction ขาย'!A:A,"&gt;"&amp;'⚙️ Config'!$H$1-'⚙️ Config'!$H$2)),)</f>
        <v/>
      </c>
      <c r="L644" s="28" t="str">
        <f>IF(E644="InActive","-",IF(A644&lt;&gt;"",K644/'⚙️ Config'!$H$2,))</f>
        <v/>
      </c>
      <c r="M644" s="28" t="str">
        <f t="shared" si="2"/>
        <v/>
      </c>
      <c r="N644" s="28" t="str">
        <f>IF(A644&lt;&gt;"", SUMIFS('💰 Transaction ขาย'!F:F,'💰 Transaction ขาย'!B:B,A644,'💰 Transaction ขาย'!A:A,"&gt;="&amp;DATE(YEAR('⚙️ Config'!$H$1),1,1),'💰 Transaction ขาย'!A:A,"&lt;="&amp;DATE(YEAR('⚙️ Config'!$H$1),12,31)),)</f>
        <v/>
      </c>
    </row>
    <row r="645">
      <c r="A645" s="22"/>
      <c r="B645" s="22" t="str">
        <f>IF(A645&lt;&gt;"",SUMIFS('💸 Transaction ซื้อ'!E:E,'💸 Transaction ซื้อ'!B:B,A645)-SUMIFS('💰 Transaction ขาย'!E:E,'💰 Transaction ขาย'!B:B,A645),"")</f>
        <v/>
      </c>
      <c r="C645" s="23" t="str">
        <f>IF(A645&lt;&gt;"",vlookup(A645,'📦 ชื่อสินค้า'!A:E,5,false),"")</f>
        <v/>
      </c>
      <c r="D645" s="23" t="str">
        <f>IF(A645&lt;&gt;"",VLOOKUP(A645,'📦 ชื่อสินค้า'!A:F,6,false),"")</f>
        <v/>
      </c>
      <c r="E645" s="16" t="str">
        <f>IFERROR(IF(VLOOKUP(A645,'📦 ชื่อสินค้า'!A:G,7,false)="InActive","InActive",IF(A645&lt;&gt;"",IF(B645&lt;=0,"สินค้าหมด",IF(B645&lt;=C645,"ควรเติมทันที","OK")),"")),)</f>
        <v/>
      </c>
      <c r="F645" s="24" t="str">
        <f>IFERROR(IF(A645&lt;&gt;"", SUMIF('💸 Transaction ซื้อ'!B:B,A645,'💸 Transaction ซื้อ'!G:G)/SUMIF('💸 Transaction ซื้อ'!B:B,A645,'💸 Transaction ซื้อ'!E:E),""),"-")</f>
        <v/>
      </c>
      <c r="G645" s="24" t="str">
        <f t="shared" si="1"/>
        <v/>
      </c>
      <c r="H645" s="25"/>
      <c r="I645" s="26"/>
      <c r="J645" s="26"/>
      <c r="K645" s="27" t="str">
        <f>IF(A645&lt;&gt;"",IF(E645="InActive","-",SUMIFS('💰 Transaction ขาย'!E:E,'💰 Transaction ขาย'!B:B,A645,'💰 Transaction ขาย'!A:A,"&gt;"&amp;'⚙️ Config'!$H$1-'⚙️ Config'!$H$2)),)</f>
        <v/>
      </c>
      <c r="L645" s="28" t="str">
        <f>IF(E645="InActive","-",IF(A645&lt;&gt;"",K645/'⚙️ Config'!$H$2,))</f>
        <v/>
      </c>
      <c r="M645" s="28" t="str">
        <f t="shared" si="2"/>
        <v/>
      </c>
      <c r="N645" s="28" t="str">
        <f>IF(A645&lt;&gt;"", SUMIFS('💰 Transaction ขาย'!F:F,'💰 Transaction ขาย'!B:B,A645,'💰 Transaction ขาย'!A:A,"&gt;="&amp;DATE(YEAR('⚙️ Config'!$H$1),1,1),'💰 Transaction ขาย'!A:A,"&lt;="&amp;DATE(YEAR('⚙️ Config'!$H$1),12,31)),)</f>
        <v/>
      </c>
    </row>
    <row r="646">
      <c r="A646" s="22"/>
      <c r="B646" s="22" t="str">
        <f>IF(A646&lt;&gt;"",SUMIFS('💸 Transaction ซื้อ'!E:E,'💸 Transaction ซื้อ'!B:B,A646)-SUMIFS('💰 Transaction ขาย'!E:E,'💰 Transaction ขาย'!B:B,A646),"")</f>
        <v/>
      </c>
      <c r="C646" s="23" t="str">
        <f>IF(A646&lt;&gt;"",vlookup(A646,'📦 ชื่อสินค้า'!A:E,5,false),"")</f>
        <v/>
      </c>
      <c r="D646" s="23" t="str">
        <f>IF(A646&lt;&gt;"",VLOOKUP(A646,'📦 ชื่อสินค้า'!A:F,6,false),"")</f>
        <v/>
      </c>
      <c r="E646" s="16" t="str">
        <f>IFERROR(IF(VLOOKUP(A646,'📦 ชื่อสินค้า'!A:G,7,false)="InActive","InActive",IF(A646&lt;&gt;"",IF(B646&lt;=0,"สินค้าหมด",IF(B646&lt;=C646,"ควรเติมทันที","OK")),"")),)</f>
        <v/>
      </c>
      <c r="F646" s="24" t="str">
        <f>IFERROR(IF(A646&lt;&gt;"", SUMIF('💸 Transaction ซื้อ'!B:B,A646,'💸 Transaction ซื้อ'!G:G)/SUMIF('💸 Transaction ซื้อ'!B:B,A646,'💸 Transaction ซื้อ'!E:E),""),"-")</f>
        <v/>
      </c>
      <c r="G646" s="24" t="str">
        <f t="shared" si="1"/>
        <v/>
      </c>
      <c r="H646" s="25"/>
      <c r="I646" s="26"/>
      <c r="J646" s="26"/>
      <c r="K646" s="27" t="str">
        <f>IF(A646&lt;&gt;"",IF(E646="InActive","-",SUMIFS('💰 Transaction ขาย'!E:E,'💰 Transaction ขาย'!B:B,A646,'💰 Transaction ขาย'!A:A,"&gt;"&amp;'⚙️ Config'!$H$1-'⚙️ Config'!$H$2)),)</f>
        <v/>
      </c>
      <c r="L646" s="28" t="str">
        <f>IF(E646="InActive","-",IF(A646&lt;&gt;"",K646/'⚙️ Config'!$H$2,))</f>
        <v/>
      </c>
      <c r="M646" s="28" t="str">
        <f t="shared" si="2"/>
        <v/>
      </c>
      <c r="N646" s="28" t="str">
        <f>IF(A646&lt;&gt;"", SUMIFS('💰 Transaction ขาย'!F:F,'💰 Transaction ขาย'!B:B,A646,'💰 Transaction ขาย'!A:A,"&gt;="&amp;DATE(YEAR('⚙️ Config'!$H$1),1,1),'💰 Transaction ขาย'!A:A,"&lt;="&amp;DATE(YEAR('⚙️ Config'!$H$1),12,31)),)</f>
        <v/>
      </c>
    </row>
    <row r="647">
      <c r="A647" s="22"/>
      <c r="B647" s="22" t="str">
        <f>IF(A647&lt;&gt;"",SUMIFS('💸 Transaction ซื้อ'!E:E,'💸 Transaction ซื้อ'!B:B,A647)-SUMIFS('💰 Transaction ขาย'!E:E,'💰 Transaction ขาย'!B:B,A647),"")</f>
        <v/>
      </c>
      <c r="C647" s="23" t="str">
        <f>IF(A647&lt;&gt;"",vlookup(A647,'📦 ชื่อสินค้า'!A:E,5,false),"")</f>
        <v/>
      </c>
      <c r="D647" s="23" t="str">
        <f>IF(A647&lt;&gt;"",VLOOKUP(A647,'📦 ชื่อสินค้า'!A:F,6,false),"")</f>
        <v/>
      </c>
      <c r="E647" s="16" t="str">
        <f>IFERROR(IF(VLOOKUP(A647,'📦 ชื่อสินค้า'!A:G,7,false)="InActive","InActive",IF(A647&lt;&gt;"",IF(B647&lt;=0,"สินค้าหมด",IF(B647&lt;=C647,"ควรเติมทันที","OK")),"")),)</f>
        <v/>
      </c>
      <c r="F647" s="24" t="str">
        <f>IFERROR(IF(A647&lt;&gt;"", SUMIF('💸 Transaction ซื้อ'!B:B,A647,'💸 Transaction ซื้อ'!G:G)/SUMIF('💸 Transaction ซื้อ'!B:B,A647,'💸 Transaction ซื้อ'!E:E),""),"-")</f>
        <v/>
      </c>
      <c r="G647" s="24" t="str">
        <f t="shared" si="1"/>
        <v/>
      </c>
      <c r="H647" s="25"/>
      <c r="I647" s="26"/>
      <c r="J647" s="26"/>
      <c r="K647" s="27" t="str">
        <f>IF(A647&lt;&gt;"",IF(E647="InActive","-",SUMIFS('💰 Transaction ขาย'!E:E,'💰 Transaction ขาย'!B:B,A647,'💰 Transaction ขาย'!A:A,"&gt;"&amp;'⚙️ Config'!$H$1-'⚙️ Config'!$H$2)),)</f>
        <v/>
      </c>
      <c r="L647" s="28" t="str">
        <f>IF(E647="InActive","-",IF(A647&lt;&gt;"",K647/'⚙️ Config'!$H$2,))</f>
        <v/>
      </c>
      <c r="M647" s="28" t="str">
        <f t="shared" si="2"/>
        <v/>
      </c>
      <c r="N647" s="28" t="str">
        <f>IF(A647&lt;&gt;"", SUMIFS('💰 Transaction ขาย'!F:F,'💰 Transaction ขาย'!B:B,A647,'💰 Transaction ขาย'!A:A,"&gt;="&amp;DATE(YEAR('⚙️ Config'!$H$1),1,1),'💰 Transaction ขาย'!A:A,"&lt;="&amp;DATE(YEAR('⚙️ Config'!$H$1),12,31)),)</f>
        <v/>
      </c>
    </row>
    <row r="648">
      <c r="A648" s="22"/>
      <c r="B648" s="22" t="str">
        <f>IF(A648&lt;&gt;"",SUMIFS('💸 Transaction ซื้อ'!E:E,'💸 Transaction ซื้อ'!B:B,A648)-SUMIFS('💰 Transaction ขาย'!E:E,'💰 Transaction ขาย'!B:B,A648),"")</f>
        <v/>
      </c>
      <c r="C648" s="23" t="str">
        <f>IF(A648&lt;&gt;"",vlookup(A648,'📦 ชื่อสินค้า'!A:E,5,false),"")</f>
        <v/>
      </c>
      <c r="D648" s="23" t="str">
        <f>IF(A648&lt;&gt;"",VLOOKUP(A648,'📦 ชื่อสินค้า'!A:F,6,false),"")</f>
        <v/>
      </c>
      <c r="E648" s="16" t="str">
        <f>IFERROR(IF(VLOOKUP(A648,'📦 ชื่อสินค้า'!A:G,7,false)="InActive","InActive",IF(A648&lt;&gt;"",IF(B648&lt;=0,"สินค้าหมด",IF(B648&lt;=C648,"ควรเติมทันที","OK")),"")),)</f>
        <v/>
      </c>
      <c r="F648" s="24" t="str">
        <f>IFERROR(IF(A648&lt;&gt;"", SUMIF('💸 Transaction ซื้อ'!B:B,A648,'💸 Transaction ซื้อ'!G:G)/SUMIF('💸 Transaction ซื้อ'!B:B,A648,'💸 Transaction ซื้อ'!E:E),""),"-")</f>
        <v/>
      </c>
      <c r="G648" s="24" t="str">
        <f t="shared" si="1"/>
        <v/>
      </c>
      <c r="H648" s="25"/>
      <c r="I648" s="26"/>
      <c r="J648" s="26"/>
      <c r="K648" s="27" t="str">
        <f>IF(A648&lt;&gt;"",IF(E648="InActive","-",SUMIFS('💰 Transaction ขาย'!E:E,'💰 Transaction ขาย'!B:B,A648,'💰 Transaction ขาย'!A:A,"&gt;"&amp;'⚙️ Config'!$H$1-'⚙️ Config'!$H$2)),)</f>
        <v/>
      </c>
      <c r="L648" s="28" t="str">
        <f>IF(E648="InActive","-",IF(A648&lt;&gt;"",K648/'⚙️ Config'!$H$2,))</f>
        <v/>
      </c>
      <c r="M648" s="28" t="str">
        <f t="shared" si="2"/>
        <v/>
      </c>
      <c r="N648" s="28" t="str">
        <f>IF(A648&lt;&gt;"", SUMIFS('💰 Transaction ขาย'!F:F,'💰 Transaction ขาย'!B:B,A648,'💰 Transaction ขาย'!A:A,"&gt;="&amp;DATE(YEAR('⚙️ Config'!$H$1),1,1),'💰 Transaction ขาย'!A:A,"&lt;="&amp;DATE(YEAR('⚙️ Config'!$H$1),12,31)),)</f>
        <v/>
      </c>
    </row>
    <row r="649">
      <c r="A649" s="22"/>
      <c r="B649" s="22" t="str">
        <f>IF(A649&lt;&gt;"",SUMIFS('💸 Transaction ซื้อ'!E:E,'💸 Transaction ซื้อ'!B:B,A649)-SUMIFS('💰 Transaction ขาย'!E:E,'💰 Transaction ขาย'!B:B,A649),"")</f>
        <v/>
      </c>
      <c r="C649" s="23" t="str">
        <f>IF(A649&lt;&gt;"",vlookup(A649,'📦 ชื่อสินค้า'!A:E,5,false),"")</f>
        <v/>
      </c>
      <c r="D649" s="23" t="str">
        <f>IF(A649&lt;&gt;"",VLOOKUP(A649,'📦 ชื่อสินค้า'!A:F,6,false),"")</f>
        <v/>
      </c>
      <c r="E649" s="16" t="str">
        <f>IFERROR(IF(VLOOKUP(A649,'📦 ชื่อสินค้า'!A:G,7,false)="InActive","InActive",IF(A649&lt;&gt;"",IF(B649&lt;=0,"สินค้าหมด",IF(B649&lt;=C649,"ควรเติมทันที","OK")),"")),)</f>
        <v/>
      </c>
      <c r="F649" s="24" t="str">
        <f>IFERROR(IF(A649&lt;&gt;"", SUMIF('💸 Transaction ซื้อ'!B:B,A649,'💸 Transaction ซื้อ'!G:G)/SUMIF('💸 Transaction ซื้อ'!B:B,A649,'💸 Transaction ซื้อ'!E:E),""),"-")</f>
        <v/>
      </c>
      <c r="G649" s="24" t="str">
        <f t="shared" si="1"/>
        <v/>
      </c>
      <c r="H649" s="25"/>
      <c r="I649" s="26"/>
      <c r="J649" s="26"/>
      <c r="K649" s="27" t="str">
        <f>IF(A649&lt;&gt;"",IF(E649="InActive","-",SUMIFS('💰 Transaction ขาย'!E:E,'💰 Transaction ขาย'!B:B,A649,'💰 Transaction ขาย'!A:A,"&gt;"&amp;'⚙️ Config'!$H$1-'⚙️ Config'!$H$2)),)</f>
        <v/>
      </c>
      <c r="L649" s="28" t="str">
        <f>IF(E649="InActive","-",IF(A649&lt;&gt;"",K649/'⚙️ Config'!$H$2,))</f>
        <v/>
      </c>
      <c r="M649" s="28" t="str">
        <f t="shared" si="2"/>
        <v/>
      </c>
      <c r="N649" s="28" t="str">
        <f>IF(A649&lt;&gt;"", SUMIFS('💰 Transaction ขาย'!F:F,'💰 Transaction ขาย'!B:B,A649,'💰 Transaction ขาย'!A:A,"&gt;="&amp;DATE(YEAR('⚙️ Config'!$H$1),1,1),'💰 Transaction ขาย'!A:A,"&lt;="&amp;DATE(YEAR('⚙️ Config'!$H$1),12,31)),)</f>
        <v/>
      </c>
    </row>
    <row r="650">
      <c r="A650" s="22"/>
      <c r="B650" s="22" t="str">
        <f>IF(A650&lt;&gt;"",SUMIFS('💸 Transaction ซื้อ'!E:E,'💸 Transaction ซื้อ'!B:B,A650)-SUMIFS('💰 Transaction ขาย'!E:E,'💰 Transaction ขาย'!B:B,A650),"")</f>
        <v/>
      </c>
      <c r="C650" s="23" t="str">
        <f>IF(A650&lt;&gt;"",vlookup(A650,'📦 ชื่อสินค้า'!A:E,5,false),"")</f>
        <v/>
      </c>
      <c r="D650" s="23" t="str">
        <f>IF(A650&lt;&gt;"",VLOOKUP(A650,'📦 ชื่อสินค้า'!A:F,6,false),"")</f>
        <v/>
      </c>
      <c r="E650" s="16" t="str">
        <f>IFERROR(IF(VLOOKUP(A650,'📦 ชื่อสินค้า'!A:G,7,false)="InActive","InActive",IF(A650&lt;&gt;"",IF(B650&lt;=0,"สินค้าหมด",IF(B650&lt;=C650,"ควรเติมทันที","OK")),"")),)</f>
        <v/>
      </c>
      <c r="F650" s="24" t="str">
        <f>IFERROR(IF(A650&lt;&gt;"", SUMIF('💸 Transaction ซื้อ'!B:B,A650,'💸 Transaction ซื้อ'!G:G)/SUMIF('💸 Transaction ซื้อ'!B:B,A650,'💸 Transaction ซื้อ'!E:E),""),"-")</f>
        <v/>
      </c>
      <c r="G650" s="24" t="str">
        <f t="shared" si="1"/>
        <v/>
      </c>
      <c r="H650" s="25"/>
      <c r="I650" s="26"/>
      <c r="J650" s="26"/>
      <c r="K650" s="27" t="str">
        <f>IF(A650&lt;&gt;"",IF(E650="InActive","-",SUMIFS('💰 Transaction ขาย'!E:E,'💰 Transaction ขาย'!B:B,A650,'💰 Transaction ขาย'!A:A,"&gt;"&amp;'⚙️ Config'!$H$1-'⚙️ Config'!$H$2)),)</f>
        <v/>
      </c>
      <c r="L650" s="28" t="str">
        <f>IF(E650="InActive","-",IF(A650&lt;&gt;"",K650/'⚙️ Config'!$H$2,))</f>
        <v/>
      </c>
      <c r="M650" s="28" t="str">
        <f t="shared" si="2"/>
        <v/>
      </c>
      <c r="N650" s="28" t="str">
        <f>IF(A650&lt;&gt;"", SUMIFS('💰 Transaction ขาย'!F:F,'💰 Transaction ขาย'!B:B,A650,'💰 Transaction ขาย'!A:A,"&gt;="&amp;DATE(YEAR('⚙️ Config'!$H$1),1,1),'💰 Transaction ขาย'!A:A,"&lt;="&amp;DATE(YEAR('⚙️ Config'!$H$1),12,31)),)</f>
        <v/>
      </c>
    </row>
    <row r="651">
      <c r="A651" s="22"/>
      <c r="B651" s="22" t="str">
        <f>IF(A651&lt;&gt;"",SUMIFS('💸 Transaction ซื้อ'!E:E,'💸 Transaction ซื้อ'!B:B,A651)-SUMIFS('💰 Transaction ขาย'!E:E,'💰 Transaction ขาย'!B:B,A651),"")</f>
        <v/>
      </c>
      <c r="C651" s="23" t="str">
        <f>IF(A651&lt;&gt;"",vlookup(A651,'📦 ชื่อสินค้า'!A:E,5,false),"")</f>
        <v/>
      </c>
      <c r="D651" s="23" t="str">
        <f>IF(A651&lt;&gt;"",VLOOKUP(A651,'📦 ชื่อสินค้า'!A:F,6,false),"")</f>
        <v/>
      </c>
      <c r="E651" s="16" t="str">
        <f>IFERROR(IF(VLOOKUP(A651,'📦 ชื่อสินค้า'!A:G,7,false)="InActive","InActive",IF(A651&lt;&gt;"",IF(B651&lt;=0,"สินค้าหมด",IF(B651&lt;=C651,"ควรเติมทันที","OK")),"")),)</f>
        <v/>
      </c>
      <c r="F651" s="24" t="str">
        <f>IFERROR(IF(A651&lt;&gt;"", SUMIF('💸 Transaction ซื้อ'!B:B,A651,'💸 Transaction ซื้อ'!G:G)/SUMIF('💸 Transaction ซื้อ'!B:B,A651,'💸 Transaction ซื้อ'!E:E),""),"-")</f>
        <v/>
      </c>
      <c r="G651" s="24" t="str">
        <f t="shared" si="1"/>
        <v/>
      </c>
      <c r="H651" s="25"/>
      <c r="I651" s="26"/>
      <c r="J651" s="26"/>
      <c r="K651" s="27" t="str">
        <f>IF(A651&lt;&gt;"",IF(E651="InActive","-",SUMIFS('💰 Transaction ขาย'!E:E,'💰 Transaction ขาย'!B:B,A651,'💰 Transaction ขาย'!A:A,"&gt;"&amp;'⚙️ Config'!$H$1-'⚙️ Config'!$H$2)),)</f>
        <v/>
      </c>
      <c r="L651" s="28" t="str">
        <f>IF(E651="InActive","-",IF(A651&lt;&gt;"",K651/'⚙️ Config'!$H$2,))</f>
        <v/>
      </c>
      <c r="M651" s="28" t="str">
        <f t="shared" si="2"/>
        <v/>
      </c>
      <c r="N651" s="28" t="str">
        <f>IF(A651&lt;&gt;"", SUMIFS('💰 Transaction ขาย'!F:F,'💰 Transaction ขาย'!B:B,A651,'💰 Transaction ขาย'!A:A,"&gt;="&amp;DATE(YEAR('⚙️ Config'!$H$1),1,1),'💰 Transaction ขาย'!A:A,"&lt;="&amp;DATE(YEAR('⚙️ Config'!$H$1),12,31)),)</f>
        <v/>
      </c>
    </row>
    <row r="652">
      <c r="A652" s="22"/>
      <c r="B652" s="22" t="str">
        <f>IF(A652&lt;&gt;"",SUMIFS('💸 Transaction ซื้อ'!E:E,'💸 Transaction ซื้อ'!B:B,A652)-SUMIFS('💰 Transaction ขาย'!E:E,'💰 Transaction ขาย'!B:B,A652),"")</f>
        <v/>
      </c>
      <c r="C652" s="23" t="str">
        <f>IF(A652&lt;&gt;"",vlookup(A652,'📦 ชื่อสินค้า'!A:E,5,false),"")</f>
        <v/>
      </c>
      <c r="D652" s="23" t="str">
        <f>IF(A652&lt;&gt;"",VLOOKUP(A652,'📦 ชื่อสินค้า'!A:F,6,false),"")</f>
        <v/>
      </c>
      <c r="E652" s="16" t="str">
        <f>IFERROR(IF(VLOOKUP(A652,'📦 ชื่อสินค้า'!A:G,7,false)="InActive","InActive",IF(A652&lt;&gt;"",IF(B652&lt;=0,"สินค้าหมด",IF(B652&lt;=C652,"ควรเติมทันที","OK")),"")),)</f>
        <v/>
      </c>
      <c r="F652" s="24" t="str">
        <f>IFERROR(IF(A652&lt;&gt;"", SUMIF('💸 Transaction ซื้อ'!B:B,A652,'💸 Transaction ซื้อ'!G:G)/SUMIF('💸 Transaction ซื้อ'!B:B,A652,'💸 Transaction ซื้อ'!E:E),""),"-")</f>
        <v/>
      </c>
      <c r="G652" s="24" t="str">
        <f t="shared" si="1"/>
        <v/>
      </c>
      <c r="H652" s="25"/>
      <c r="I652" s="26"/>
      <c r="J652" s="26"/>
      <c r="K652" s="27" t="str">
        <f>IF(A652&lt;&gt;"",IF(E652="InActive","-",SUMIFS('💰 Transaction ขาย'!E:E,'💰 Transaction ขาย'!B:B,A652,'💰 Transaction ขาย'!A:A,"&gt;"&amp;'⚙️ Config'!$H$1-'⚙️ Config'!$H$2)),)</f>
        <v/>
      </c>
      <c r="L652" s="28" t="str">
        <f>IF(E652="InActive","-",IF(A652&lt;&gt;"",K652/'⚙️ Config'!$H$2,))</f>
        <v/>
      </c>
      <c r="M652" s="28" t="str">
        <f t="shared" si="2"/>
        <v/>
      </c>
      <c r="N652" s="28" t="str">
        <f>IF(A652&lt;&gt;"", SUMIFS('💰 Transaction ขาย'!F:F,'💰 Transaction ขาย'!B:B,A652,'💰 Transaction ขาย'!A:A,"&gt;="&amp;DATE(YEAR('⚙️ Config'!$H$1),1,1),'💰 Transaction ขาย'!A:A,"&lt;="&amp;DATE(YEAR('⚙️ Config'!$H$1),12,31)),)</f>
        <v/>
      </c>
    </row>
    <row r="653">
      <c r="A653" s="22"/>
      <c r="B653" s="22" t="str">
        <f>IF(A653&lt;&gt;"",SUMIFS('💸 Transaction ซื้อ'!E:E,'💸 Transaction ซื้อ'!B:B,A653)-SUMIFS('💰 Transaction ขาย'!E:E,'💰 Transaction ขาย'!B:B,A653),"")</f>
        <v/>
      </c>
      <c r="C653" s="23" t="str">
        <f>IF(A653&lt;&gt;"",vlookup(A653,'📦 ชื่อสินค้า'!A:E,5,false),"")</f>
        <v/>
      </c>
      <c r="D653" s="23" t="str">
        <f>IF(A653&lt;&gt;"",VLOOKUP(A653,'📦 ชื่อสินค้า'!A:F,6,false),"")</f>
        <v/>
      </c>
      <c r="E653" s="16" t="str">
        <f>IFERROR(IF(VLOOKUP(A653,'📦 ชื่อสินค้า'!A:G,7,false)="InActive","InActive",IF(A653&lt;&gt;"",IF(B653&lt;=0,"สินค้าหมด",IF(B653&lt;=C653,"ควรเติมทันที","OK")),"")),)</f>
        <v/>
      </c>
      <c r="F653" s="24" t="str">
        <f>IFERROR(IF(A653&lt;&gt;"", SUMIF('💸 Transaction ซื้อ'!B:B,A653,'💸 Transaction ซื้อ'!G:G)/SUMIF('💸 Transaction ซื้อ'!B:B,A653,'💸 Transaction ซื้อ'!E:E),""),"-")</f>
        <v/>
      </c>
      <c r="G653" s="24" t="str">
        <f t="shared" si="1"/>
        <v/>
      </c>
      <c r="H653" s="25"/>
      <c r="I653" s="26"/>
      <c r="J653" s="26"/>
      <c r="K653" s="27" t="str">
        <f>IF(A653&lt;&gt;"",IF(E653="InActive","-",SUMIFS('💰 Transaction ขาย'!E:E,'💰 Transaction ขาย'!B:B,A653,'💰 Transaction ขาย'!A:A,"&gt;"&amp;'⚙️ Config'!$H$1-'⚙️ Config'!$H$2)),)</f>
        <v/>
      </c>
      <c r="L653" s="28" t="str">
        <f>IF(E653="InActive","-",IF(A653&lt;&gt;"",K653/'⚙️ Config'!$H$2,))</f>
        <v/>
      </c>
      <c r="M653" s="28" t="str">
        <f t="shared" si="2"/>
        <v/>
      </c>
      <c r="N653" s="28" t="str">
        <f>IF(A653&lt;&gt;"", SUMIFS('💰 Transaction ขาย'!F:F,'💰 Transaction ขาย'!B:B,A653,'💰 Transaction ขาย'!A:A,"&gt;="&amp;DATE(YEAR('⚙️ Config'!$H$1),1,1),'💰 Transaction ขาย'!A:A,"&lt;="&amp;DATE(YEAR('⚙️ Config'!$H$1),12,31)),)</f>
        <v/>
      </c>
    </row>
    <row r="654">
      <c r="A654" s="22"/>
      <c r="B654" s="22" t="str">
        <f>IF(A654&lt;&gt;"",SUMIFS('💸 Transaction ซื้อ'!E:E,'💸 Transaction ซื้อ'!B:B,A654)-SUMIFS('💰 Transaction ขาย'!E:E,'💰 Transaction ขาย'!B:B,A654),"")</f>
        <v/>
      </c>
      <c r="C654" s="23" t="str">
        <f>IF(A654&lt;&gt;"",vlookup(A654,'📦 ชื่อสินค้า'!A:E,5,false),"")</f>
        <v/>
      </c>
      <c r="D654" s="23" t="str">
        <f>IF(A654&lt;&gt;"",VLOOKUP(A654,'📦 ชื่อสินค้า'!A:F,6,false),"")</f>
        <v/>
      </c>
      <c r="E654" s="16" t="str">
        <f>IFERROR(IF(VLOOKUP(A654,'📦 ชื่อสินค้า'!A:G,7,false)="InActive","InActive",IF(A654&lt;&gt;"",IF(B654&lt;=0,"สินค้าหมด",IF(B654&lt;=C654,"ควรเติมทันที","OK")),"")),)</f>
        <v/>
      </c>
      <c r="F654" s="24" t="str">
        <f>IFERROR(IF(A654&lt;&gt;"", SUMIF('💸 Transaction ซื้อ'!B:B,A654,'💸 Transaction ซื้อ'!G:G)/SUMIF('💸 Transaction ซื้อ'!B:B,A654,'💸 Transaction ซื้อ'!E:E),""),"-")</f>
        <v/>
      </c>
      <c r="G654" s="24" t="str">
        <f t="shared" si="1"/>
        <v/>
      </c>
      <c r="H654" s="25"/>
      <c r="I654" s="26"/>
      <c r="J654" s="26"/>
      <c r="K654" s="27" t="str">
        <f>IF(A654&lt;&gt;"",IF(E654="InActive","-",SUMIFS('💰 Transaction ขาย'!E:E,'💰 Transaction ขาย'!B:B,A654,'💰 Transaction ขาย'!A:A,"&gt;"&amp;'⚙️ Config'!$H$1-'⚙️ Config'!$H$2)),)</f>
        <v/>
      </c>
      <c r="L654" s="28" t="str">
        <f>IF(E654="InActive","-",IF(A654&lt;&gt;"",K654/'⚙️ Config'!$H$2,))</f>
        <v/>
      </c>
      <c r="M654" s="28" t="str">
        <f t="shared" si="2"/>
        <v/>
      </c>
      <c r="N654" s="28" t="str">
        <f>IF(A654&lt;&gt;"", SUMIFS('💰 Transaction ขาย'!F:F,'💰 Transaction ขาย'!B:B,A654,'💰 Transaction ขาย'!A:A,"&gt;="&amp;DATE(YEAR('⚙️ Config'!$H$1),1,1),'💰 Transaction ขาย'!A:A,"&lt;="&amp;DATE(YEAR('⚙️ Config'!$H$1),12,31)),)</f>
        <v/>
      </c>
    </row>
    <row r="655">
      <c r="A655" s="22"/>
      <c r="B655" s="22" t="str">
        <f>IF(A655&lt;&gt;"",SUMIFS('💸 Transaction ซื้อ'!E:E,'💸 Transaction ซื้อ'!B:B,A655)-SUMIFS('💰 Transaction ขาย'!E:E,'💰 Transaction ขาย'!B:B,A655),"")</f>
        <v/>
      </c>
      <c r="C655" s="23" t="str">
        <f>IF(A655&lt;&gt;"",vlookup(A655,'📦 ชื่อสินค้า'!A:E,5,false),"")</f>
        <v/>
      </c>
      <c r="D655" s="23" t="str">
        <f>IF(A655&lt;&gt;"",VLOOKUP(A655,'📦 ชื่อสินค้า'!A:F,6,false),"")</f>
        <v/>
      </c>
      <c r="E655" s="16" t="str">
        <f>IFERROR(IF(VLOOKUP(A655,'📦 ชื่อสินค้า'!A:G,7,false)="InActive","InActive",IF(A655&lt;&gt;"",IF(B655&lt;=0,"สินค้าหมด",IF(B655&lt;=C655,"ควรเติมทันที","OK")),"")),)</f>
        <v/>
      </c>
      <c r="F655" s="24" t="str">
        <f>IFERROR(IF(A655&lt;&gt;"", SUMIF('💸 Transaction ซื้อ'!B:B,A655,'💸 Transaction ซื้อ'!G:G)/SUMIF('💸 Transaction ซื้อ'!B:B,A655,'💸 Transaction ซื้อ'!E:E),""),"-")</f>
        <v/>
      </c>
      <c r="G655" s="24" t="str">
        <f t="shared" si="1"/>
        <v/>
      </c>
      <c r="H655" s="25"/>
      <c r="I655" s="26"/>
      <c r="J655" s="26"/>
      <c r="K655" s="27" t="str">
        <f>IF(A655&lt;&gt;"",IF(E655="InActive","-",SUMIFS('💰 Transaction ขาย'!E:E,'💰 Transaction ขาย'!B:B,A655,'💰 Transaction ขาย'!A:A,"&gt;"&amp;'⚙️ Config'!$H$1-'⚙️ Config'!$H$2)),)</f>
        <v/>
      </c>
      <c r="L655" s="28" t="str">
        <f>IF(E655="InActive","-",IF(A655&lt;&gt;"",K655/'⚙️ Config'!$H$2,))</f>
        <v/>
      </c>
      <c r="M655" s="28" t="str">
        <f t="shared" si="2"/>
        <v/>
      </c>
      <c r="N655" s="28" t="str">
        <f>IF(A655&lt;&gt;"", SUMIFS('💰 Transaction ขาย'!F:F,'💰 Transaction ขาย'!B:B,A655,'💰 Transaction ขาย'!A:A,"&gt;="&amp;DATE(YEAR('⚙️ Config'!$H$1),1,1),'💰 Transaction ขาย'!A:A,"&lt;="&amp;DATE(YEAR('⚙️ Config'!$H$1),12,31)),)</f>
        <v/>
      </c>
    </row>
    <row r="656">
      <c r="A656" s="22"/>
      <c r="B656" s="22" t="str">
        <f>IF(A656&lt;&gt;"",SUMIFS('💸 Transaction ซื้อ'!E:E,'💸 Transaction ซื้อ'!B:B,A656)-SUMIFS('💰 Transaction ขาย'!E:E,'💰 Transaction ขาย'!B:B,A656),"")</f>
        <v/>
      </c>
      <c r="C656" s="23" t="str">
        <f>IF(A656&lt;&gt;"",vlookup(A656,'📦 ชื่อสินค้า'!A:E,5,false),"")</f>
        <v/>
      </c>
      <c r="D656" s="23" t="str">
        <f>IF(A656&lt;&gt;"",VLOOKUP(A656,'📦 ชื่อสินค้า'!A:F,6,false),"")</f>
        <v/>
      </c>
      <c r="E656" s="16" t="str">
        <f>IFERROR(IF(VLOOKUP(A656,'📦 ชื่อสินค้า'!A:G,7,false)="InActive","InActive",IF(A656&lt;&gt;"",IF(B656&lt;=0,"สินค้าหมด",IF(B656&lt;=C656,"ควรเติมทันที","OK")),"")),)</f>
        <v/>
      </c>
      <c r="F656" s="24" t="str">
        <f>IFERROR(IF(A656&lt;&gt;"", SUMIF('💸 Transaction ซื้อ'!B:B,A656,'💸 Transaction ซื้อ'!G:G)/SUMIF('💸 Transaction ซื้อ'!B:B,A656,'💸 Transaction ซื้อ'!E:E),""),"-")</f>
        <v/>
      </c>
      <c r="G656" s="24" t="str">
        <f t="shared" si="1"/>
        <v/>
      </c>
      <c r="H656" s="25"/>
      <c r="I656" s="26"/>
      <c r="J656" s="26"/>
      <c r="K656" s="27" t="str">
        <f>IF(A656&lt;&gt;"",IF(E656="InActive","-",SUMIFS('💰 Transaction ขาย'!E:E,'💰 Transaction ขาย'!B:B,A656,'💰 Transaction ขาย'!A:A,"&gt;"&amp;'⚙️ Config'!$H$1-'⚙️ Config'!$H$2)),)</f>
        <v/>
      </c>
      <c r="L656" s="28" t="str">
        <f>IF(E656="InActive","-",IF(A656&lt;&gt;"",K656/'⚙️ Config'!$H$2,))</f>
        <v/>
      </c>
      <c r="M656" s="28" t="str">
        <f t="shared" si="2"/>
        <v/>
      </c>
      <c r="N656" s="28" t="str">
        <f>IF(A656&lt;&gt;"", SUMIFS('💰 Transaction ขาย'!F:F,'💰 Transaction ขาย'!B:B,A656,'💰 Transaction ขาย'!A:A,"&gt;="&amp;DATE(YEAR('⚙️ Config'!$H$1),1,1),'💰 Transaction ขาย'!A:A,"&lt;="&amp;DATE(YEAR('⚙️ Config'!$H$1),12,31)),)</f>
        <v/>
      </c>
    </row>
    <row r="657">
      <c r="A657" s="22"/>
      <c r="B657" s="22" t="str">
        <f>IF(A657&lt;&gt;"",SUMIFS('💸 Transaction ซื้อ'!E:E,'💸 Transaction ซื้อ'!B:B,A657)-SUMIFS('💰 Transaction ขาย'!E:E,'💰 Transaction ขาย'!B:B,A657),"")</f>
        <v/>
      </c>
      <c r="C657" s="23" t="str">
        <f>IF(A657&lt;&gt;"",vlookup(A657,'📦 ชื่อสินค้า'!A:E,5,false),"")</f>
        <v/>
      </c>
      <c r="D657" s="23" t="str">
        <f>IF(A657&lt;&gt;"",VLOOKUP(A657,'📦 ชื่อสินค้า'!A:F,6,false),"")</f>
        <v/>
      </c>
      <c r="E657" s="16" t="str">
        <f>IFERROR(IF(VLOOKUP(A657,'📦 ชื่อสินค้า'!A:G,7,false)="InActive","InActive",IF(A657&lt;&gt;"",IF(B657&lt;=0,"สินค้าหมด",IF(B657&lt;=C657,"ควรเติมทันที","OK")),"")),)</f>
        <v/>
      </c>
      <c r="F657" s="24" t="str">
        <f>IFERROR(IF(A657&lt;&gt;"", SUMIF('💸 Transaction ซื้อ'!B:B,A657,'💸 Transaction ซื้อ'!G:G)/SUMIF('💸 Transaction ซื้อ'!B:B,A657,'💸 Transaction ซื้อ'!E:E),""),"-")</f>
        <v/>
      </c>
      <c r="G657" s="24" t="str">
        <f t="shared" si="1"/>
        <v/>
      </c>
      <c r="H657" s="25"/>
      <c r="I657" s="26"/>
      <c r="J657" s="26"/>
      <c r="K657" s="27" t="str">
        <f>IF(A657&lt;&gt;"",IF(E657="InActive","-",SUMIFS('💰 Transaction ขาย'!E:E,'💰 Transaction ขาย'!B:B,A657,'💰 Transaction ขาย'!A:A,"&gt;"&amp;'⚙️ Config'!$H$1-'⚙️ Config'!$H$2)),)</f>
        <v/>
      </c>
      <c r="L657" s="28" t="str">
        <f>IF(E657="InActive","-",IF(A657&lt;&gt;"",K657/'⚙️ Config'!$H$2,))</f>
        <v/>
      </c>
      <c r="M657" s="28" t="str">
        <f t="shared" si="2"/>
        <v/>
      </c>
      <c r="N657" s="28" t="str">
        <f>IF(A657&lt;&gt;"", SUMIFS('💰 Transaction ขาย'!F:F,'💰 Transaction ขาย'!B:B,A657,'💰 Transaction ขาย'!A:A,"&gt;="&amp;DATE(YEAR('⚙️ Config'!$H$1),1,1),'💰 Transaction ขาย'!A:A,"&lt;="&amp;DATE(YEAR('⚙️ Config'!$H$1),12,31)),)</f>
        <v/>
      </c>
    </row>
    <row r="658">
      <c r="A658" s="22"/>
      <c r="B658" s="22" t="str">
        <f>IF(A658&lt;&gt;"",SUMIFS('💸 Transaction ซื้อ'!E:E,'💸 Transaction ซื้อ'!B:B,A658)-SUMIFS('💰 Transaction ขาย'!E:E,'💰 Transaction ขาย'!B:B,A658),"")</f>
        <v/>
      </c>
      <c r="C658" s="23" t="str">
        <f>IF(A658&lt;&gt;"",vlookup(A658,'📦 ชื่อสินค้า'!A:E,5,false),"")</f>
        <v/>
      </c>
      <c r="D658" s="23" t="str">
        <f>IF(A658&lt;&gt;"",VLOOKUP(A658,'📦 ชื่อสินค้า'!A:F,6,false),"")</f>
        <v/>
      </c>
      <c r="E658" s="16" t="str">
        <f>IFERROR(IF(VLOOKUP(A658,'📦 ชื่อสินค้า'!A:G,7,false)="InActive","InActive",IF(A658&lt;&gt;"",IF(B658&lt;=0,"สินค้าหมด",IF(B658&lt;=C658,"ควรเติมทันที","OK")),"")),)</f>
        <v/>
      </c>
      <c r="F658" s="24" t="str">
        <f>IFERROR(IF(A658&lt;&gt;"", SUMIF('💸 Transaction ซื้อ'!B:B,A658,'💸 Transaction ซื้อ'!G:G)/SUMIF('💸 Transaction ซื้อ'!B:B,A658,'💸 Transaction ซื้อ'!E:E),""),"-")</f>
        <v/>
      </c>
      <c r="G658" s="24" t="str">
        <f t="shared" si="1"/>
        <v/>
      </c>
      <c r="H658" s="25"/>
      <c r="I658" s="26"/>
      <c r="J658" s="26"/>
      <c r="K658" s="27" t="str">
        <f>IF(A658&lt;&gt;"",IF(E658="InActive","-",SUMIFS('💰 Transaction ขาย'!E:E,'💰 Transaction ขาย'!B:B,A658,'💰 Transaction ขาย'!A:A,"&gt;"&amp;'⚙️ Config'!$H$1-'⚙️ Config'!$H$2)),)</f>
        <v/>
      </c>
      <c r="L658" s="28" t="str">
        <f>IF(E658="InActive","-",IF(A658&lt;&gt;"",K658/'⚙️ Config'!$H$2,))</f>
        <v/>
      </c>
      <c r="M658" s="28" t="str">
        <f t="shared" si="2"/>
        <v/>
      </c>
      <c r="N658" s="28" t="str">
        <f>IF(A658&lt;&gt;"", SUMIFS('💰 Transaction ขาย'!F:F,'💰 Transaction ขาย'!B:B,A658,'💰 Transaction ขาย'!A:A,"&gt;="&amp;DATE(YEAR('⚙️ Config'!$H$1),1,1),'💰 Transaction ขาย'!A:A,"&lt;="&amp;DATE(YEAR('⚙️ Config'!$H$1),12,31)),)</f>
        <v/>
      </c>
    </row>
    <row r="659">
      <c r="A659" s="22"/>
      <c r="B659" s="22" t="str">
        <f>IF(A659&lt;&gt;"",SUMIFS('💸 Transaction ซื้อ'!E:E,'💸 Transaction ซื้อ'!B:B,A659)-SUMIFS('💰 Transaction ขาย'!E:E,'💰 Transaction ขาย'!B:B,A659),"")</f>
        <v/>
      </c>
      <c r="C659" s="23" t="str">
        <f>IF(A659&lt;&gt;"",vlookup(A659,'📦 ชื่อสินค้า'!A:E,5,false),"")</f>
        <v/>
      </c>
      <c r="D659" s="23" t="str">
        <f>IF(A659&lt;&gt;"",VLOOKUP(A659,'📦 ชื่อสินค้า'!A:F,6,false),"")</f>
        <v/>
      </c>
      <c r="E659" s="16" t="str">
        <f>IFERROR(IF(VLOOKUP(A659,'📦 ชื่อสินค้า'!A:G,7,false)="InActive","InActive",IF(A659&lt;&gt;"",IF(B659&lt;=0,"สินค้าหมด",IF(B659&lt;=C659,"ควรเติมทันที","OK")),"")),)</f>
        <v/>
      </c>
      <c r="F659" s="24" t="str">
        <f>IFERROR(IF(A659&lt;&gt;"", SUMIF('💸 Transaction ซื้อ'!B:B,A659,'💸 Transaction ซื้อ'!G:G)/SUMIF('💸 Transaction ซื้อ'!B:B,A659,'💸 Transaction ซื้อ'!E:E),""),"-")</f>
        <v/>
      </c>
      <c r="G659" s="24" t="str">
        <f t="shared" si="1"/>
        <v/>
      </c>
      <c r="H659" s="25"/>
      <c r="I659" s="26"/>
      <c r="J659" s="26"/>
      <c r="K659" s="27" t="str">
        <f>IF(A659&lt;&gt;"",IF(E659="InActive","-",SUMIFS('💰 Transaction ขาย'!E:E,'💰 Transaction ขาย'!B:B,A659,'💰 Transaction ขาย'!A:A,"&gt;"&amp;'⚙️ Config'!$H$1-'⚙️ Config'!$H$2)),)</f>
        <v/>
      </c>
      <c r="L659" s="28" t="str">
        <f>IF(E659="InActive","-",IF(A659&lt;&gt;"",K659/'⚙️ Config'!$H$2,))</f>
        <v/>
      </c>
      <c r="M659" s="28" t="str">
        <f t="shared" si="2"/>
        <v/>
      </c>
      <c r="N659" s="28" t="str">
        <f>IF(A659&lt;&gt;"", SUMIFS('💰 Transaction ขาย'!F:F,'💰 Transaction ขาย'!B:B,A659,'💰 Transaction ขาย'!A:A,"&gt;="&amp;DATE(YEAR('⚙️ Config'!$H$1),1,1),'💰 Transaction ขาย'!A:A,"&lt;="&amp;DATE(YEAR('⚙️ Config'!$H$1),12,31)),)</f>
        <v/>
      </c>
    </row>
    <row r="660">
      <c r="A660" s="22"/>
      <c r="B660" s="22" t="str">
        <f>IF(A660&lt;&gt;"",SUMIFS('💸 Transaction ซื้อ'!E:E,'💸 Transaction ซื้อ'!B:B,A660)-SUMIFS('💰 Transaction ขาย'!E:E,'💰 Transaction ขาย'!B:B,A660),"")</f>
        <v/>
      </c>
      <c r="C660" s="23" t="str">
        <f>IF(A660&lt;&gt;"",vlookup(A660,'📦 ชื่อสินค้า'!A:E,5,false),"")</f>
        <v/>
      </c>
      <c r="D660" s="23" t="str">
        <f>IF(A660&lt;&gt;"",VLOOKUP(A660,'📦 ชื่อสินค้า'!A:F,6,false),"")</f>
        <v/>
      </c>
      <c r="E660" s="16" t="str">
        <f>IFERROR(IF(VLOOKUP(A660,'📦 ชื่อสินค้า'!A:G,7,false)="InActive","InActive",IF(A660&lt;&gt;"",IF(B660&lt;=0,"สินค้าหมด",IF(B660&lt;=C660,"ควรเติมทันที","OK")),"")),)</f>
        <v/>
      </c>
      <c r="F660" s="24" t="str">
        <f>IFERROR(IF(A660&lt;&gt;"", SUMIF('💸 Transaction ซื้อ'!B:B,A660,'💸 Transaction ซื้อ'!G:G)/SUMIF('💸 Transaction ซื้อ'!B:B,A660,'💸 Transaction ซื้อ'!E:E),""),"-")</f>
        <v/>
      </c>
      <c r="G660" s="24" t="str">
        <f t="shared" si="1"/>
        <v/>
      </c>
      <c r="H660" s="25"/>
      <c r="I660" s="26"/>
      <c r="J660" s="26"/>
      <c r="K660" s="27" t="str">
        <f>IF(A660&lt;&gt;"",IF(E660="InActive","-",SUMIFS('💰 Transaction ขาย'!E:E,'💰 Transaction ขาย'!B:B,A660,'💰 Transaction ขาย'!A:A,"&gt;"&amp;'⚙️ Config'!$H$1-'⚙️ Config'!$H$2)),)</f>
        <v/>
      </c>
      <c r="L660" s="28" t="str">
        <f>IF(E660="InActive","-",IF(A660&lt;&gt;"",K660/'⚙️ Config'!$H$2,))</f>
        <v/>
      </c>
      <c r="M660" s="28" t="str">
        <f t="shared" si="2"/>
        <v/>
      </c>
      <c r="N660" s="28" t="str">
        <f>IF(A660&lt;&gt;"", SUMIFS('💰 Transaction ขาย'!F:F,'💰 Transaction ขาย'!B:B,A660,'💰 Transaction ขาย'!A:A,"&gt;="&amp;DATE(YEAR('⚙️ Config'!$H$1),1,1),'💰 Transaction ขาย'!A:A,"&lt;="&amp;DATE(YEAR('⚙️ Config'!$H$1),12,31)),)</f>
        <v/>
      </c>
    </row>
    <row r="661">
      <c r="A661" s="22"/>
      <c r="B661" s="22" t="str">
        <f>IF(A661&lt;&gt;"",SUMIFS('💸 Transaction ซื้อ'!E:E,'💸 Transaction ซื้อ'!B:B,A661)-SUMIFS('💰 Transaction ขาย'!E:E,'💰 Transaction ขาย'!B:B,A661),"")</f>
        <v/>
      </c>
      <c r="C661" s="23" t="str">
        <f>IF(A661&lt;&gt;"",vlookup(A661,'📦 ชื่อสินค้า'!A:E,5,false),"")</f>
        <v/>
      </c>
      <c r="D661" s="23" t="str">
        <f>IF(A661&lt;&gt;"",VLOOKUP(A661,'📦 ชื่อสินค้า'!A:F,6,false),"")</f>
        <v/>
      </c>
      <c r="E661" s="16" t="str">
        <f>IFERROR(IF(VLOOKUP(A661,'📦 ชื่อสินค้า'!A:G,7,false)="InActive","InActive",IF(A661&lt;&gt;"",IF(B661&lt;=0,"สินค้าหมด",IF(B661&lt;=C661,"ควรเติมทันที","OK")),"")),)</f>
        <v/>
      </c>
      <c r="F661" s="24" t="str">
        <f>IFERROR(IF(A661&lt;&gt;"", SUMIF('💸 Transaction ซื้อ'!B:B,A661,'💸 Transaction ซื้อ'!G:G)/SUMIF('💸 Transaction ซื้อ'!B:B,A661,'💸 Transaction ซื้อ'!E:E),""),"-")</f>
        <v/>
      </c>
      <c r="G661" s="24" t="str">
        <f t="shared" si="1"/>
        <v/>
      </c>
      <c r="H661" s="25"/>
      <c r="I661" s="26"/>
      <c r="J661" s="26"/>
      <c r="K661" s="27" t="str">
        <f>IF(A661&lt;&gt;"",IF(E661="InActive","-",SUMIFS('💰 Transaction ขาย'!E:E,'💰 Transaction ขาย'!B:B,A661,'💰 Transaction ขาย'!A:A,"&gt;"&amp;'⚙️ Config'!$H$1-'⚙️ Config'!$H$2)),)</f>
        <v/>
      </c>
      <c r="L661" s="28" t="str">
        <f>IF(E661="InActive","-",IF(A661&lt;&gt;"",K661/'⚙️ Config'!$H$2,))</f>
        <v/>
      </c>
      <c r="M661" s="28" t="str">
        <f t="shared" si="2"/>
        <v/>
      </c>
      <c r="N661" s="28" t="str">
        <f>IF(A661&lt;&gt;"", SUMIFS('💰 Transaction ขาย'!F:F,'💰 Transaction ขาย'!B:B,A661,'💰 Transaction ขาย'!A:A,"&gt;="&amp;DATE(YEAR('⚙️ Config'!$H$1),1,1),'💰 Transaction ขาย'!A:A,"&lt;="&amp;DATE(YEAR('⚙️ Config'!$H$1),12,31)),)</f>
        <v/>
      </c>
    </row>
    <row r="662">
      <c r="A662" s="22"/>
      <c r="B662" s="22" t="str">
        <f>IF(A662&lt;&gt;"",SUMIFS('💸 Transaction ซื้อ'!E:E,'💸 Transaction ซื้อ'!B:B,A662)-SUMIFS('💰 Transaction ขาย'!E:E,'💰 Transaction ขาย'!B:B,A662),"")</f>
        <v/>
      </c>
      <c r="C662" s="23" t="str">
        <f>IF(A662&lt;&gt;"",vlookup(A662,'📦 ชื่อสินค้า'!A:E,5,false),"")</f>
        <v/>
      </c>
      <c r="D662" s="23" t="str">
        <f>IF(A662&lt;&gt;"",VLOOKUP(A662,'📦 ชื่อสินค้า'!A:F,6,false),"")</f>
        <v/>
      </c>
      <c r="E662" s="16" t="str">
        <f>IFERROR(IF(VLOOKUP(A662,'📦 ชื่อสินค้า'!A:G,7,false)="InActive","InActive",IF(A662&lt;&gt;"",IF(B662&lt;=0,"สินค้าหมด",IF(B662&lt;=C662,"ควรเติมทันที","OK")),"")),)</f>
        <v/>
      </c>
      <c r="F662" s="24" t="str">
        <f>IFERROR(IF(A662&lt;&gt;"", SUMIF('💸 Transaction ซื้อ'!B:B,A662,'💸 Transaction ซื้อ'!G:G)/SUMIF('💸 Transaction ซื้อ'!B:B,A662,'💸 Transaction ซื้อ'!E:E),""),"-")</f>
        <v/>
      </c>
      <c r="G662" s="24" t="str">
        <f t="shared" si="1"/>
        <v/>
      </c>
      <c r="H662" s="25"/>
      <c r="I662" s="26"/>
      <c r="J662" s="26"/>
      <c r="K662" s="27" t="str">
        <f>IF(A662&lt;&gt;"",IF(E662="InActive","-",SUMIFS('💰 Transaction ขาย'!E:E,'💰 Transaction ขาย'!B:B,A662,'💰 Transaction ขาย'!A:A,"&gt;"&amp;'⚙️ Config'!$H$1-'⚙️ Config'!$H$2)),)</f>
        <v/>
      </c>
      <c r="L662" s="28" t="str">
        <f>IF(E662="InActive","-",IF(A662&lt;&gt;"",K662/'⚙️ Config'!$H$2,))</f>
        <v/>
      </c>
      <c r="M662" s="28" t="str">
        <f t="shared" si="2"/>
        <v/>
      </c>
      <c r="N662" s="28" t="str">
        <f>IF(A662&lt;&gt;"", SUMIFS('💰 Transaction ขาย'!F:F,'💰 Transaction ขาย'!B:B,A662,'💰 Transaction ขาย'!A:A,"&gt;="&amp;DATE(YEAR('⚙️ Config'!$H$1),1,1),'💰 Transaction ขาย'!A:A,"&lt;="&amp;DATE(YEAR('⚙️ Config'!$H$1),12,31)),)</f>
        <v/>
      </c>
    </row>
    <row r="663">
      <c r="A663" s="22"/>
      <c r="B663" s="22" t="str">
        <f>IF(A663&lt;&gt;"",SUMIFS('💸 Transaction ซื้อ'!E:E,'💸 Transaction ซื้อ'!B:B,A663)-SUMIFS('💰 Transaction ขาย'!E:E,'💰 Transaction ขาย'!B:B,A663),"")</f>
        <v/>
      </c>
      <c r="C663" s="23" t="str">
        <f>IF(A663&lt;&gt;"",vlookup(A663,'📦 ชื่อสินค้า'!A:E,5,false),"")</f>
        <v/>
      </c>
      <c r="D663" s="23" t="str">
        <f>IF(A663&lt;&gt;"",VLOOKUP(A663,'📦 ชื่อสินค้า'!A:F,6,false),"")</f>
        <v/>
      </c>
      <c r="E663" s="16" t="str">
        <f>IFERROR(IF(VLOOKUP(A663,'📦 ชื่อสินค้า'!A:G,7,false)="InActive","InActive",IF(A663&lt;&gt;"",IF(B663&lt;=0,"สินค้าหมด",IF(B663&lt;=C663,"ควรเติมทันที","OK")),"")),)</f>
        <v/>
      </c>
      <c r="F663" s="24" t="str">
        <f>IFERROR(IF(A663&lt;&gt;"", SUMIF('💸 Transaction ซื้อ'!B:B,A663,'💸 Transaction ซื้อ'!G:G)/SUMIF('💸 Transaction ซื้อ'!B:B,A663,'💸 Transaction ซื้อ'!E:E),""),"-")</f>
        <v/>
      </c>
      <c r="G663" s="24" t="str">
        <f t="shared" si="1"/>
        <v/>
      </c>
      <c r="H663" s="25"/>
      <c r="I663" s="26"/>
      <c r="J663" s="26"/>
      <c r="K663" s="27" t="str">
        <f>IF(A663&lt;&gt;"",IF(E663="InActive","-",SUMIFS('💰 Transaction ขาย'!E:E,'💰 Transaction ขาย'!B:B,A663,'💰 Transaction ขาย'!A:A,"&gt;"&amp;'⚙️ Config'!$H$1-'⚙️ Config'!$H$2)),)</f>
        <v/>
      </c>
      <c r="L663" s="28" t="str">
        <f>IF(E663="InActive","-",IF(A663&lt;&gt;"",K663/'⚙️ Config'!$H$2,))</f>
        <v/>
      </c>
      <c r="M663" s="28" t="str">
        <f t="shared" si="2"/>
        <v/>
      </c>
      <c r="N663" s="28" t="str">
        <f>IF(A663&lt;&gt;"", SUMIFS('💰 Transaction ขาย'!F:F,'💰 Transaction ขาย'!B:B,A663,'💰 Transaction ขาย'!A:A,"&gt;="&amp;DATE(YEAR('⚙️ Config'!$H$1),1,1),'💰 Transaction ขาย'!A:A,"&lt;="&amp;DATE(YEAR('⚙️ Config'!$H$1),12,31)),)</f>
        <v/>
      </c>
    </row>
    <row r="664">
      <c r="A664" s="22"/>
      <c r="B664" s="22" t="str">
        <f>IF(A664&lt;&gt;"",SUMIFS('💸 Transaction ซื้อ'!E:E,'💸 Transaction ซื้อ'!B:B,A664)-SUMIFS('💰 Transaction ขาย'!E:E,'💰 Transaction ขาย'!B:B,A664),"")</f>
        <v/>
      </c>
      <c r="C664" s="23" t="str">
        <f>IF(A664&lt;&gt;"",vlookup(A664,'📦 ชื่อสินค้า'!A:E,5,false),"")</f>
        <v/>
      </c>
      <c r="D664" s="23" t="str">
        <f>IF(A664&lt;&gt;"",VLOOKUP(A664,'📦 ชื่อสินค้า'!A:F,6,false),"")</f>
        <v/>
      </c>
      <c r="E664" s="16" t="str">
        <f>IFERROR(IF(VLOOKUP(A664,'📦 ชื่อสินค้า'!A:G,7,false)="InActive","InActive",IF(A664&lt;&gt;"",IF(B664&lt;=0,"สินค้าหมด",IF(B664&lt;=C664,"ควรเติมทันที","OK")),"")),)</f>
        <v/>
      </c>
      <c r="F664" s="24" t="str">
        <f>IFERROR(IF(A664&lt;&gt;"", SUMIF('💸 Transaction ซื้อ'!B:B,A664,'💸 Transaction ซื้อ'!G:G)/SUMIF('💸 Transaction ซื้อ'!B:B,A664,'💸 Transaction ซื้อ'!E:E),""),"-")</f>
        <v/>
      </c>
      <c r="G664" s="24" t="str">
        <f t="shared" si="1"/>
        <v/>
      </c>
      <c r="H664" s="25"/>
      <c r="I664" s="26"/>
      <c r="J664" s="26"/>
      <c r="K664" s="27" t="str">
        <f>IF(A664&lt;&gt;"",IF(E664="InActive","-",SUMIFS('💰 Transaction ขาย'!E:E,'💰 Transaction ขาย'!B:B,A664,'💰 Transaction ขาย'!A:A,"&gt;"&amp;'⚙️ Config'!$H$1-'⚙️ Config'!$H$2)),)</f>
        <v/>
      </c>
      <c r="L664" s="28" t="str">
        <f>IF(E664="InActive","-",IF(A664&lt;&gt;"",K664/'⚙️ Config'!$H$2,))</f>
        <v/>
      </c>
      <c r="M664" s="28" t="str">
        <f t="shared" si="2"/>
        <v/>
      </c>
      <c r="N664" s="28" t="str">
        <f>IF(A664&lt;&gt;"", SUMIFS('💰 Transaction ขาย'!F:F,'💰 Transaction ขาย'!B:B,A664,'💰 Transaction ขาย'!A:A,"&gt;="&amp;DATE(YEAR('⚙️ Config'!$H$1),1,1),'💰 Transaction ขาย'!A:A,"&lt;="&amp;DATE(YEAR('⚙️ Config'!$H$1),12,31)),)</f>
        <v/>
      </c>
    </row>
    <row r="665">
      <c r="A665" s="22"/>
      <c r="B665" s="22" t="str">
        <f>IF(A665&lt;&gt;"",SUMIFS('💸 Transaction ซื้อ'!E:E,'💸 Transaction ซื้อ'!B:B,A665)-SUMIFS('💰 Transaction ขาย'!E:E,'💰 Transaction ขาย'!B:B,A665),"")</f>
        <v/>
      </c>
      <c r="C665" s="23" t="str">
        <f>IF(A665&lt;&gt;"",vlookup(A665,'📦 ชื่อสินค้า'!A:E,5,false),"")</f>
        <v/>
      </c>
      <c r="D665" s="23" t="str">
        <f>IF(A665&lt;&gt;"",VLOOKUP(A665,'📦 ชื่อสินค้า'!A:F,6,false),"")</f>
        <v/>
      </c>
      <c r="E665" s="16" t="str">
        <f>IFERROR(IF(VLOOKUP(A665,'📦 ชื่อสินค้า'!A:G,7,false)="InActive","InActive",IF(A665&lt;&gt;"",IF(B665&lt;=0,"สินค้าหมด",IF(B665&lt;=C665,"ควรเติมทันที","OK")),"")),)</f>
        <v/>
      </c>
      <c r="F665" s="24" t="str">
        <f>IFERROR(IF(A665&lt;&gt;"", SUMIF('💸 Transaction ซื้อ'!B:B,A665,'💸 Transaction ซื้อ'!G:G)/SUMIF('💸 Transaction ซื้อ'!B:B,A665,'💸 Transaction ซื้อ'!E:E),""),"-")</f>
        <v/>
      </c>
      <c r="G665" s="24" t="str">
        <f t="shared" si="1"/>
        <v/>
      </c>
      <c r="H665" s="25"/>
      <c r="I665" s="26"/>
      <c r="J665" s="26"/>
      <c r="K665" s="27" t="str">
        <f>IF(A665&lt;&gt;"",IF(E665="InActive","-",SUMIFS('💰 Transaction ขาย'!E:E,'💰 Transaction ขาย'!B:B,A665,'💰 Transaction ขาย'!A:A,"&gt;"&amp;'⚙️ Config'!$H$1-'⚙️ Config'!$H$2)),)</f>
        <v/>
      </c>
      <c r="L665" s="28" t="str">
        <f>IF(E665="InActive","-",IF(A665&lt;&gt;"",K665/'⚙️ Config'!$H$2,))</f>
        <v/>
      </c>
      <c r="M665" s="28" t="str">
        <f t="shared" si="2"/>
        <v/>
      </c>
      <c r="N665" s="28" t="str">
        <f>IF(A665&lt;&gt;"", SUMIFS('💰 Transaction ขาย'!F:F,'💰 Transaction ขาย'!B:B,A665,'💰 Transaction ขาย'!A:A,"&gt;="&amp;DATE(YEAR('⚙️ Config'!$H$1),1,1),'💰 Transaction ขาย'!A:A,"&lt;="&amp;DATE(YEAR('⚙️ Config'!$H$1),12,31)),)</f>
        <v/>
      </c>
    </row>
    <row r="666">
      <c r="A666" s="22"/>
      <c r="B666" s="22" t="str">
        <f>IF(A666&lt;&gt;"",SUMIFS('💸 Transaction ซื้อ'!E:E,'💸 Transaction ซื้อ'!B:B,A666)-SUMIFS('💰 Transaction ขาย'!E:E,'💰 Transaction ขาย'!B:B,A666),"")</f>
        <v/>
      </c>
      <c r="C666" s="23" t="str">
        <f>IF(A666&lt;&gt;"",vlookup(A666,'📦 ชื่อสินค้า'!A:E,5,false),"")</f>
        <v/>
      </c>
      <c r="D666" s="23" t="str">
        <f>IF(A666&lt;&gt;"",VLOOKUP(A666,'📦 ชื่อสินค้า'!A:F,6,false),"")</f>
        <v/>
      </c>
      <c r="E666" s="16" t="str">
        <f>IFERROR(IF(VLOOKUP(A666,'📦 ชื่อสินค้า'!A:G,7,false)="InActive","InActive",IF(A666&lt;&gt;"",IF(B666&lt;=0,"สินค้าหมด",IF(B666&lt;=C666,"ควรเติมทันที","OK")),"")),)</f>
        <v/>
      </c>
      <c r="F666" s="24" t="str">
        <f>IFERROR(IF(A666&lt;&gt;"", SUMIF('💸 Transaction ซื้อ'!B:B,A666,'💸 Transaction ซื้อ'!G:G)/SUMIF('💸 Transaction ซื้อ'!B:B,A666,'💸 Transaction ซื้อ'!E:E),""),"-")</f>
        <v/>
      </c>
      <c r="G666" s="24" t="str">
        <f t="shared" si="1"/>
        <v/>
      </c>
      <c r="H666" s="25"/>
      <c r="I666" s="26"/>
      <c r="J666" s="26"/>
      <c r="K666" s="27" t="str">
        <f>IF(A666&lt;&gt;"",IF(E666="InActive","-",SUMIFS('💰 Transaction ขาย'!E:E,'💰 Transaction ขาย'!B:B,A666,'💰 Transaction ขาย'!A:A,"&gt;"&amp;'⚙️ Config'!$H$1-'⚙️ Config'!$H$2)),)</f>
        <v/>
      </c>
      <c r="L666" s="28" t="str">
        <f>IF(E666="InActive","-",IF(A666&lt;&gt;"",K666/'⚙️ Config'!$H$2,))</f>
        <v/>
      </c>
      <c r="M666" s="28" t="str">
        <f t="shared" si="2"/>
        <v/>
      </c>
      <c r="N666" s="28" t="str">
        <f>IF(A666&lt;&gt;"", SUMIFS('💰 Transaction ขาย'!F:F,'💰 Transaction ขาย'!B:B,A666,'💰 Transaction ขาย'!A:A,"&gt;="&amp;DATE(YEAR('⚙️ Config'!$H$1),1,1),'💰 Transaction ขาย'!A:A,"&lt;="&amp;DATE(YEAR('⚙️ Config'!$H$1),12,31)),)</f>
        <v/>
      </c>
    </row>
    <row r="667">
      <c r="A667" s="22"/>
      <c r="B667" s="22" t="str">
        <f>IF(A667&lt;&gt;"",SUMIFS('💸 Transaction ซื้อ'!E:E,'💸 Transaction ซื้อ'!B:B,A667)-SUMIFS('💰 Transaction ขาย'!E:E,'💰 Transaction ขาย'!B:B,A667),"")</f>
        <v/>
      </c>
      <c r="C667" s="23" t="str">
        <f>IF(A667&lt;&gt;"",vlookup(A667,'📦 ชื่อสินค้า'!A:E,5,false),"")</f>
        <v/>
      </c>
      <c r="D667" s="23" t="str">
        <f>IF(A667&lt;&gt;"",VLOOKUP(A667,'📦 ชื่อสินค้า'!A:F,6,false),"")</f>
        <v/>
      </c>
      <c r="E667" s="16" t="str">
        <f>IFERROR(IF(VLOOKUP(A667,'📦 ชื่อสินค้า'!A:G,7,false)="InActive","InActive",IF(A667&lt;&gt;"",IF(B667&lt;=0,"สินค้าหมด",IF(B667&lt;=C667,"ควรเติมทันที","OK")),"")),)</f>
        <v/>
      </c>
      <c r="F667" s="24" t="str">
        <f>IFERROR(IF(A667&lt;&gt;"", SUMIF('💸 Transaction ซื้อ'!B:B,A667,'💸 Transaction ซื้อ'!G:G)/SUMIF('💸 Transaction ซื้อ'!B:B,A667,'💸 Transaction ซื้อ'!E:E),""),"-")</f>
        <v/>
      </c>
      <c r="G667" s="24" t="str">
        <f t="shared" si="1"/>
        <v/>
      </c>
      <c r="H667" s="25"/>
      <c r="I667" s="26"/>
      <c r="J667" s="26"/>
      <c r="K667" s="27" t="str">
        <f>IF(A667&lt;&gt;"",IF(E667="InActive","-",SUMIFS('💰 Transaction ขาย'!E:E,'💰 Transaction ขาย'!B:B,A667,'💰 Transaction ขาย'!A:A,"&gt;"&amp;'⚙️ Config'!$H$1-'⚙️ Config'!$H$2)),)</f>
        <v/>
      </c>
      <c r="L667" s="28" t="str">
        <f>IF(E667="InActive","-",IF(A667&lt;&gt;"",K667/'⚙️ Config'!$H$2,))</f>
        <v/>
      </c>
      <c r="M667" s="28" t="str">
        <f t="shared" si="2"/>
        <v/>
      </c>
      <c r="N667" s="28" t="str">
        <f>IF(A667&lt;&gt;"", SUMIFS('💰 Transaction ขาย'!F:F,'💰 Transaction ขาย'!B:B,A667,'💰 Transaction ขาย'!A:A,"&gt;="&amp;DATE(YEAR('⚙️ Config'!$H$1),1,1),'💰 Transaction ขาย'!A:A,"&lt;="&amp;DATE(YEAR('⚙️ Config'!$H$1),12,31)),)</f>
        <v/>
      </c>
    </row>
    <row r="668">
      <c r="A668" s="22"/>
      <c r="B668" s="22" t="str">
        <f>IF(A668&lt;&gt;"",SUMIFS('💸 Transaction ซื้อ'!E:E,'💸 Transaction ซื้อ'!B:B,A668)-SUMIFS('💰 Transaction ขาย'!E:E,'💰 Transaction ขาย'!B:B,A668),"")</f>
        <v/>
      </c>
      <c r="C668" s="23" t="str">
        <f>IF(A668&lt;&gt;"",vlookup(A668,'📦 ชื่อสินค้า'!A:E,5,false),"")</f>
        <v/>
      </c>
      <c r="D668" s="23" t="str">
        <f>IF(A668&lt;&gt;"",VLOOKUP(A668,'📦 ชื่อสินค้า'!A:F,6,false),"")</f>
        <v/>
      </c>
      <c r="E668" s="16" t="str">
        <f>IFERROR(IF(VLOOKUP(A668,'📦 ชื่อสินค้า'!A:G,7,false)="InActive","InActive",IF(A668&lt;&gt;"",IF(B668&lt;=0,"สินค้าหมด",IF(B668&lt;=C668,"ควรเติมทันที","OK")),"")),)</f>
        <v/>
      </c>
      <c r="F668" s="24" t="str">
        <f>IFERROR(IF(A668&lt;&gt;"", SUMIF('💸 Transaction ซื้อ'!B:B,A668,'💸 Transaction ซื้อ'!G:G)/SUMIF('💸 Transaction ซื้อ'!B:B,A668,'💸 Transaction ซื้อ'!E:E),""),"-")</f>
        <v/>
      </c>
      <c r="G668" s="24" t="str">
        <f t="shared" si="1"/>
        <v/>
      </c>
      <c r="H668" s="25"/>
      <c r="I668" s="26"/>
      <c r="J668" s="26"/>
      <c r="K668" s="27" t="str">
        <f>IF(A668&lt;&gt;"",IF(E668="InActive","-",SUMIFS('💰 Transaction ขาย'!E:E,'💰 Transaction ขาย'!B:B,A668,'💰 Transaction ขาย'!A:A,"&gt;"&amp;'⚙️ Config'!$H$1-'⚙️ Config'!$H$2)),)</f>
        <v/>
      </c>
      <c r="L668" s="28" t="str">
        <f>IF(E668="InActive","-",IF(A668&lt;&gt;"",K668/'⚙️ Config'!$H$2,))</f>
        <v/>
      </c>
      <c r="M668" s="28" t="str">
        <f t="shared" si="2"/>
        <v/>
      </c>
      <c r="N668" s="28" t="str">
        <f>IF(A668&lt;&gt;"", SUMIFS('💰 Transaction ขาย'!F:F,'💰 Transaction ขาย'!B:B,A668,'💰 Transaction ขาย'!A:A,"&gt;="&amp;DATE(YEAR('⚙️ Config'!$H$1),1,1),'💰 Transaction ขาย'!A:A,"&lt;="&amp;DATE(YEAR('⚙️ Config'!$H$1),12,31)),)</f>
        <v/>
      </c>
    </row>
    <row r="669">
      <c r="A669" s="22"/>
      <c r="B669" s="22" t="str">
        <f>IF(A669&lt;&gt;"",SUMIFS('💸 Transaction ซื้อ'!E:E,'💸 Transaction ซื้อ'!B:B,A669)-SUMIFS('💰 Transaction ขาย'!E:E,'💰 Transaction ขาย'!B:B,A669),"")</f>
        <v/>
      </c>
      <c r="C669" s="23" t="str">
        <f>IF(A669&lt;&gt;"",vlookup(A669,'📦 ชื่อสินค้า'!A:E,5,false),"")</f>
        <v/>
      </c>
      <c r="D669" s="23" t="str">
        <f>IF(A669&lt;&gt;"",VLOOKUP(A669,'📦 ชื่อสินค้า'!A:F,6,false),"")</f>
        <v/>
      </c>
      <c r="E669" s="16" t="str">
        <f>IFERROR(IF(VLOOKUP(A669,'📦 ชื่อสินค้า'!A:G,7,false)="InActive","InActive",IF(A669&lt;&gt;"",IF(B669&lt;=0,"สินค้าหมด",IF(B669&lt;=C669,"ควรเติมทันที","OK")),"")),)</f>
        <v/>
      </c>
      <c r="F669" s="24" t="str">
        <f>IFERROR(IF(A669&lt;&gt;"", SUMIF('💸 Transaction ซื้อ'!B:B,A669,'💸 Transaction ซื้อ'!G:G)/SUMIF('💸 Transaction ซื้อ'!B:B,A669,'💸 Transaction ซื้อ'!E:E),""),"-")</f>
        <v/>
      </c>
      <c r="G669" s="24" t="str">
        <f t="shared" si="1"/>
        <v/>
      </c>
      <c r="H669" s="25"/>
      <c r="I669" s="26"/>
      <c r="J669" s="26"/>
      <c r="K669" s="27" t="str">
        <f>IF(A669&lt;&gt;"",IF(E669="InActive","-",SUMIFS('💰 Transaction ขาย'!E:E,'💰 Transaction ขาย'!B:B,A669,'💰 Transaction ขาย'!A:A,"&gt;"&amp;'⚙️ Config'!$H$1-'⚙️ Config'!$H$2)),)</f>
        <v/>
      </c>
      <c r="L669" s="28" t="str">
        <f>IF(E669="InActive","-",IF(A669&lt;&gt;"",K669/'⚙️ Config'!$H$2,))</f>
        <v/>
      </c>
      <c r="M669" s="28" t="str">
        <f t="shared" si="2"/>
        <v/>
      </c>
      <c r="N669" s="28" t="str">
        <f>IF(A669&lt;&gt;"", SUMIFS('💰 Transaction ขาย'!F:F,'💰 Transaction ขาย'!B:B,A669,'💰 Transaction ขาย'!A:A,"&gt;="&amp;DATE(YEAR('⚙️ Config'!$H$1),1,1),'💰 Transaction ขาย'!A:A,"&lt;="&amp;DATE(YEAR('⚙️ Config'!$H$1),12,31)),)</f>
        <v/>
      </c>
    </row>
    <row r="670">
      <c r="A670" s="22"/>
      <c r="B670" s="22" t="str">
        <f>IF(A670&lt;&gt;"",SUMIFS('💸 Transaction ซื้อ'!E:E,'💸 Transaction ซื้อ'!B:B,A670)-SUMIFS('💰 Transaction ขาย'!E:E,'💰 Transaction ขาย'!B:B,A670),"")</f>
        <v/>
      </c>
      <c r="C670" s="23" t="str">
        <f>IF(A670&lt;&gt;"",vlookup(A670,'📦 ชื่อสินค้า'!A:E,5,false),"")</f>
        <v/>
      </c>
      <c r="D670" s="23" t="str">
        <f>IF(A670&lt;&gt;"",VLOOKUP(A670,'📦 ชื่อสินค้า'!A:F,6,false),"")</f>
        <v/>
      </c>
      <c r="E670" s="16" t="str">
        <f>IFERROR(IF(VLOOKUP(A670,'📦 ชื่อสินค้า'!A:G,7,false)="InActive","InActive",IF(A670&lt;&gt;"",IF(B670&lt;=0,"สินค้าหมด",IF(B670&lt;=C670,"ควรเติมทันที","OK")),"")),)</f>
        <v/>
      </c>
      <c r="F670" s="24" t="str">
        <f>IFERROR(IF(A670&lt;&gt;"", SUMIF('💸 Transaction ซื้อ'!B:B,A670,'💸 Transaction ซื้อ'!G:G)/SUMIF('💸 Transaction ซื้อ'!B:B,A670,'💸 Transaction ซื้อ'!E:E),""),"-")</f>
        <v/>
      </c>
      <c r="G670" s="24" t="str">
        <f t="shared" si="1"/>
        <v/>
      </c>
      <c r="H670" s="25"/>
      <c r="I670" s="26"/>
      <c r="J670" s="26"/>
      <c r="K670" s="27" t="str">
        <f>IF(A670&lt;&gt;"",IF(E670="InActive","-",SUMIFS('💰 Transaction ขาย'!E:E,'💰 Transaction ขาย'!B:B,A670,'💰 Transaction ขาย'!A:A,"&gt;"&amp;'⚙️ Config'!$H$1-'⚙️ Config'!$H$2)),)</f>
        <v/>
      </c>
      <c r="L670" s="28" t="str">
        <f>IF(E670="InActive","-",IF(A670&lt;&gt;"",K670/'⚙️ Config'!$H$2,))</f>
        <v/>
      </c>
      <c r="M670" s="28" t="str">
        <f t="shared" si="2"/>
        <v/>
      </c>
      <c r="N670" s="28" t="str">
        <f>IF(A670&lt;&gt;"", SUMIFS('💰 Transaction ขาย'!F:F,'💰 Transaction ขาย'!B:B,A670,'💰 Transaction ขาย'!A:A,"&gt;="&amp;DATE(YEAR('⚙️ Config'!$H$1),1,1),'💰 Transaction ขาย'!A:A,"&lt;="&amp;DATE(YEAR('⚙️ Config'!$H$1),12,31)),)</f>
        <v/>
      </c>
    </row>
    <row r="671">
      <c r="A671" s="22"/>
      <c r="B671" s="22" t="str">
        <f>IF(A671&lt;&gt;"",SUMIFS('💸 Transaction ซื้อ'!E:E,'💸 Transaction ซื้อ'!B:B,A671)-SUMIFS('💰 Transaction ขาย'!E:E,'💰 Transaction ขาย'!B:B,A671),"")</f>
        <v/>
      </c>
      <c r="C671" s="23" t="str">
        <f>IF(A671&lt;&gt;"",vlookup(A671,'📦 ชื่อสินค้า'!A:E,5,false),"")</f>
        <v/>
      </c>
      <c r="D671" s="23" t="str">
        <f>IF(A671&lt;&gt;"",VLOOKUP(A671,'📦 ชื่อสินค้า'!A:F,6,false),"")</f>
        <v/>
      </c>
      <c r="E671" s="16" t="str">
        <f>IFERROR(IF(VLOOKUP(A671,'📦 ชื่อสินค้า'!A:G,7,false)="InActive","InActive",IF(A671&lt;&gt;"",IF(B671&lt;=0,"สินค้าหมด",IF(B671&lt;=C671,"ควรเติมทันที","OK")),"")),)</f>
        <v/>
      </c>
      <c r="F671" s="24" t="str">
        <f>IFERROR(IF(A671&lt;&gt;"", SUMIF('💸 Transaction ซื้อ'!B:B,A671,'💸 Transaction ซื้อ'!G:G)/SUMIF('💸 Transaction ซื้อ'!B:B,A671,'💸 Transaction ซื้อ'!E:E),""),"-")</f>
        <v/>
      </c>
      <c r="G671" s="24" t="str">
        <f t="shared" si="1"/>
        <v/>
      </c>
      <c r="H671" s="25"/>
      <c r="I671" s="26"/>
      <c r="J671" s="26"/>
      <c r="K671" s="27" t="str">
        <f>IF(A671&lt;&gt;"",IF(E671="InActive","-",SUMIFS('💰 Transaction ขาย'!E:E,'💰 Transaction ขาย'!B:B,A671,'💰 Transaction ขาย'!A:A,"&gt;"&amp;'⚙️ Config'!$H$1-'⚙️ Config'!$H$2)),)</f>
        <v/>
      </c>
      <c r="L671" s="28" t="str">
        <f>IF(E671="InActive","-",IF(A671&lt;&gt;"",K671/'⚙️ Config'!$H$2,))</f>
        <v/>
      </c>
      <c r="M671" s="28" t="str">
        <f t="shared" si="2"/>
        <v/>
      </c>
      <c r="N671" s="28" t="str">
        <f>IF(A671&lt;&gt;"", SUMIFS('💰 Transaction ขาย'!F:F,'💰 Transaction ขาย'!B:B,A671,'💰 Transaction ขาย'!A:A,"&gt;="&amp;DATE(YEAR('⚙️ Config'!$H$1),1,1),'💰 Transaction ขาย'!A:A,"&lt;="&amp;DATE(YEAR('⚙️ Config'!$H$1),12,31)),)</f>
        <v/>
      </c>
    </row>
    <row r="672">
      <c r="A672" s="22"/>
      <c r="B672" s="22" t="str">
        <f>IF(A672&lt;&gt;"",SUMIFS('💸 Transaction ซื้อ'!E:E,'💸 Transaction ซื้อ'!B:B,A672)-SUMIFS('💰 Transaction ขาย'!E:E,'💰 Transaction ขาย'!B:B,A672),"")</f>
        <v/>
      </c>
      <c r="C672" s="23" t="str">
        <f>IF(A672&lt;&gt;"",vlookup(A672,'📦 ชื่อสินค้า'!A:E,5,false),"")</f>
        <v/>
      </c>
      <c r="D672" s="23" t="str">
        <f>IF(A672&lt;&gt;"",VLOOKUP(A672,'📦 ชื่อสินค้า'!A:F,6,false),"")</f>
        <v/>
      </c>
      <c r="E672" s="16" t="str">
        <f>IFERROR(IF(VLOOKUP(A672,'📦 ชื่อสินค้า'!A:G,7,false)="InActive","InActive",IF(A672&lt;&gt;"",IF(B672&lt;=0,"สินค้าหมด",IF(B672&lt;=C672,"ควรเติมทันที","OK")),"")),)</f>
        <v/>
      </c>
      <c r="F672" s="24" t="str">
        <f>IFERROR(IF(A672&lt;&gt;"", SUMIF('💸 Transaction ซื้อ'!B:B,A672,'💸 Transaction ซื้อ'!G:G)/SUMIF('💸 Transaction ซื้อ'!B:B,A672,'💸 Transaction ซื้อ'!E:E),""),"-")</f>
        <v/>
      </c>
      <c r="G672" s="24" t="str">
        <f t="shared" si="1"/>
        <v/>
      </c>
      <c r="H672" s="25"/>
      <c r="I672" s="26"/>
      <c r="J672" s="26"/>
      <c r="K672" s="27" t="str">
        <f>IF(A672&lt;&gt;"",IF(E672="InActive","-",SUMIFS('💰 Transaction ขาย'!E:E,'💰 Transaction ขาย'!B:B,A672,'💰 Transaction ขาย'!A:A,"&gt;"&amp;'⚙️ Config'!$H$1-'⚙️ Config'!$H$2)),)</f>
        <v/>
      </c>
      <c r="L672" s="28" t="str">
        <f>IF(E672="InActive","-",IF(A672&lt;&gt;"",K672/'⚙️ Config'!$H$2,))</f>
        <v/>
      </c>
      <c r="M672" s="28" t="str">
        <f t="shared" si="2"/>
        <v/>
      </c>
      <c r="N672" s="28" t="str">
        <f>IF(A672&lt;&gt;"", SUMIFS('💰 Transaction ขาย'!F:F,'💰 Transaction ขาย'!B:B,A672,'💰 Transaction ขาย'!A:A,"&gt;="&amp;DATE(YEAR('⚙️ Config'!$H$1),1,1),'💰 Transaction ขาย'!A:A,"&lt;="&amp;DATE(YEAR('⚙️ Config'!$H$1),12,31)),)</f>
        <v/>
      </c>
    </row>
    <row r="673">
      <c r="A673" s="22"/>
      <c r="B673" s="22" t="str">
        <f>IF(A673&lt;&gt;"",SUMIFS('💸 Transaction ซื้อ'!E:E,'💸 Transaction ซื้อ'!B:B,A673)-SUMIFS('💰 Transaction ขาย'!E:E,'💰 Transaction ขาย'!B:B,A673),"")</f>
        <v/>
      </c>
      <c r="C673" s="23" t="str">
        <f>IF(A673&lt;&gt;"",vlookup(A673,'📦 ชื่อสินค้า'!A:E,5,false),"")</f>
        <v/>
      </c>
      <c r="D673" s="23" t="str">
        <f>IF(A673&lt;&gt;"",VLOOKUP(A673,'📦 ชื่อสินค้า'!A:F,6,false),"")</f>
        <v/>
      </c>
      <c r="E673" s="16" t="str">
        <f>IFERROR(IF(VLOOKUP(A673,'📦 ชื่อสินค้า'!A:G,7,false)="InActive","InActive",IF(A673&lt;&gt;"",IF(B673&lt;=0,"สินค้าหมด",IF(B673&lt;=C673,"ควรเติมทันที","OK")),"")),)</f>
        <v/>
      </c>
      <c r="F673" s="24" t="str">
        <f>IFERROR(IF(A673&lt;&gt;"", SUMIF('💸 Transaction ซื้อ'!B:B,A673,'💸 Transaction ซื้อ'!G:G)/SUMIF('💸 Transaction ซื้อ'!B:B,A673,'💸 Transaction ซื้อ'!E:E),""),"-")</f>
        <v/>
      </c>
      <c r="G673" s="24" t="str">
        <f t="shared" si="1"/>
        <v/>
      </c>
      <c r="H673" s="25"/>
      <c r="I673" s="26"/>
      <c r="J673" s="26"/>
      <c r="K673" s="27" t="str">
        <f>IF(A673&lt;&gt;"",IF(E673="InActive","-",SUMIFS('💰 Transaction ขาย'!E:E,'💰 Transaction ขาย'!B:B,A673,'💰 Transaction ขาย'!A:A,"&gt;"&amp;'⚙️ Config'!$H$1-'⚙️ Config'!$H$2)),)</f>
        <v/>
      </c>
      <c r="L673" s="28" t="str">
        <f>IF(E673="InActive","-",IF(A673&lt;&gt;"",K673/'⚙️ Config'!$H$2,))</f>
        <v/>
      </c>
      <c r="M673" s="28" t="str">
        <f t="shared" si="2"/>
        <v/>
      </c>
      <c r="N673" s="28" t="str">
        <f>IF(A673&lt;&gt;"", SUMIFS('💰 Transaction ขาย'!F:F,'💰 Transaction ขาย'!B:B,A673,'💰 Transaction ขาย'!A:A,"&gt;="&amp;DATE(YEAR('⚙️ Config'!$H$1),1,1),'💰 Transaction ขาย'!A:A,"&lt;="&amp;DATE(YEAR('⚙️ Config'!$H$1),12,31)),)</f>
        <v/>
      </c>
    </row>
    <row r="674">
      <c r="A674" s="22"/>
      <c r="B674" s="22" t="str">
        <f>IF(A674&lt;&gt;"",SUMIFS('💸 Transaction ซื้อ'!E:E,'💸 Transaction ซื้อ'!B:B,A674)-SUMIFS('💰 Transaction ขาย'!E:E,'💰 Transaction ขาย'!B:B,A674),"")</f>
        <v/>
      </c>
      <c r="C674" s="23" t="str">
        <f>IF(A674&lt;&gt;"",vlookup(A674,'📦 ชื่อสินค้า'!A:E,5,false),"")</f>
        <v/>
      </c>
      <c r="D674" s="23" t="str">
        <f>IF(A674&lt;&gt;"",VLOOKUP(A674,'📦 ชื่อสินค้า'!A:F,6,false),"")</f>
        <v/>
      </c>
      <c r="E674" s="16" t="str">
        <f>IFERROR(IF(VLOOKUP(A674,'📦 ชื่อสินค้า'!A:G,7,false)="InActive","InActive",IF(A674&lt;&gt;"",IF(B674&lt;=0,"สินค้าหมด",IF(B674&lt;=C674,"ควรเติมทันที","OK")),"")),)</f>
        <v/>
      </c>
      <c r="F674" s="24" t="str">
        <f>IFERROR(IF(A674&lt;&gt;"", SUMIF('💸 Transaction ซื้อ'!B:B,A674,'💸 Transaction ซื้อ'!G:G)/SUMIF('💸 Transaction ซื้อ'!B:B,A674,'💸 Transaction ซื้อ'!E:E),""),"-")</f>
        <v/>
      </c>
      <c r="G674" s="24" t="str">
        <f t="shared" si="1"/>
        <v/>
      </c>
      <c r="H674" s="25"/>
      <c r="I674" s="26"/>
      <c r="J674" s="26"/>
      <c r="K674" s="27" t="str">
        <f>IF(A674&lt;&gt;"",IF(E674="InActive","-",SUMIFS('💰 Transaction ขาย'!E:E,'💰 Transaction ขาย'!B:B,A674,'💰 Transaction ขาย'!A:A,"&gt;"&amp;'⚙️ Config'!$H$1-'⚙️ Config'!$H$2)),)</f>
        <v/>
      </c>
      <c r="L674" s="28" t="str">
        <f>IF(E674="InActive","-",IF(A674&lt;&gt;"",K674/'⚙️ Config'!$H$2,))</f>
        <v/>
      </c>
      <c r="M674" s="28" t="str">
        <f t="shared" si="2"/>
        <v/>
      </c>
      <c r="N674" s="28" t="str">
        <f>IF(A674&lt;&gt;"", SUMIFS('💰 Transaction ขาย'!F:F,'💰 Transaction ขาย'!B:B,A674,'💰 Transaction ขาย'!A:A,"&gt;="&amp;DATE(YEAR('⚙️ Config'!$H$1),1,1),'💰 Transaction ขาย'!A:A,"&lt;="&amp;DATE(YEAR('⚙️ Config'!$H$1),12,31)),)</f>
        <v/>
      </c>
    </row>
    <row r="675">
      <c r="A675" s="22"/>
      <c r="B675" s="22" t="str">
        <f>IF(A675&lt;&gt;"",SUMIFS('💸 Transaction ซื้อ'!E:E,'💸 Transaction ซื้อ'!B:B,A675)-SUMIFS('💰 Transaction ขาย'!E:E,'💰 Transaction ขาย'!B:B,A675),"")</f>
        <v/>
      </c>
      <c r="C675" s="23" t="str">
        <f>IF(A675&lt;&gt;"",vlookup(A675,'📦 ชื่อสินค้า'!A:E,5,false),"")</f>
        <v/>
      </c>
      <c r="D675" s="23" t="str">
        <f>IF(A675&lt;&gt;"",VLOOKUP(A675,'📦 ชื่อสินค้า'!A:F,6,false),"")</f>
        <v/>
      </c>
      <c r="E675" s="16" t="str">
        <f>IFERROR(IF(VLOOKUP(A675,'📦 ชื่อสินค้า'!A:G,7,false)="InActive","InActive",IF(A675&lt;&gt;"",IF(B675&lt;=0,"สินค้าหมด",IF(B675&lt;=C675,"ควรเติมทันที","OK")),"")),)</f>
        <v/>
      </c>
      <c r="F675" s="24" t="str">
        <f>IFERROR(IF(A675&lt;&gt;"", SUMIF('💸 Transaction ซื้อ'!B:B,A675,'💸 Transaction ซื้อ'!G:G)/SUMIF('💸 Transaction ซื้อ'!B:B,A675,'💸 Transaction ซื้อ'!E:E),""),"-")</f>
        <v/>
      </c>
      <c r="G675" s="24" t="str">
        <f t="shared" si="1"/>
        <v/>
      </c>
      <c r="H675" s="25"/>
      <c r="I675" s="26"/>
      <c r="J675" s="26"/>
      <c r="K675" s="27" t="str">
        <f>IF(A675&lt;&gt;"",IF(E675="InActive","-",SUMIFS('💰 Transaction ขาย'!E:E,'💰 Transaction ขาย'!B:B,A675,'💰 Transaction ขาย'!A:A,"&gt;"&amp;'⚙️ Config'!$H$1-'⚙️ Config'!$H$2)),)</f>
        <v/>
      </c>
      <c r="L675" s="28" t="str">
        <f>IF(E675="InActive","-",IF(A675&lt;&gt;"",K675/'⚙️ Config'!$H$2,))</f>
        <v/>
      </c>
      <c r="M675" s="28" t="str">
        <f t="shared" si="2"/>
        <v/>
      </c>
      <c r="N675" s="28" t="str">
        <f>IF(A675&lt;&gt;"", SUMIFS('💰 Transaction ขาย'!F:F,'💰 Transaction ขาย'!B:B,A675,'💰 Transaction ขาย'!A:A,"&gt;="&amp;DATE(YEAR('⚙️ Config'!$H$1),1,1),'💰 Transaction ขาย'!A:A,"&lt;="&amp;DATE(YEAR('⚙️ Config'!$H$1),12,31)),)</f>
        <v/>
      </c>
    </row>
    <row r="676">
      <c r="A676" s="22"/>
      <c r="B676" s="22" t="str">
        <f>IF(A676&lt;&gt;"",SUMIFS('💸 Transaction ซื้อ'!E:E,'💸 Transaction ซื้อ'!B:B,A676)-SUMIFS('💰 Transaction ขาย'!E:E,'💰 Transaction ขาย'!B:B,A676),"")</f>
        <v/>
      </c>
      <c r="C676" s="23" t="str">
        <f>IF(A676&lt;&gt;"",vlookup(A676,'📦 ชื่อสินค้า'!A:E,5,false),"")</f>
        <v/>
      </c>
      <c r="D676" s="23" t="str">
        <f>IF(A676&lt;&gt;"",VLOOKUP(A676,'📦 ชื่อสินค้า'!A:F,6,false),"")</f>
        <v/>
      </c>
      <c r="E676" s="16" t="str">
        <f>IFERROR(IF(VLOOKUP(A676,'📦 ชื่อสินค้า'!A:G,7,false)="InActive","InActive",IF(A676&lt;&gt;"",IF(B676&lt;=0,"สินค้าหมด",IF(B676&lt;=C676,"ควรเติมทันที","OK")),"")),)</f>
        <v/>
      </c>
      <c r="F676" s="24" t="str">
        <f>IFERROR(IF(A676&lt;&gt;"", SUMIF('💸 Transaction ซื้อ'!B:B,A676,'💸 Transaction ซื้อ'!G:G)/SUMIF('💸 Transaction ซื้อ'!B:B,A676,'💸 Transaction ซื้อ'!E:E),""),"-")</f>
        <v/>
      </c>
      <c r="G676" s="24" t="str">
        <f t="shared" si="1"/>
        <v/>
      </c>
      <c r="H676" s="25"/>
      <c r="I676" s="26"/>
      <c r="J676" s="26"/>
      <c r="K676" s="27" t="str">
        <f>IF(A676&lt;&gt;"",IF(E676="InActive","-",SUMIFS('💰 Transaction ขาย'!E:E,'💰 Transaction ขาย'!B:B,A676,'💰 Transaction ขาย'!A:A,"&gt;"&amp;'⚙️ Config'!$H$1-'⚙️ Config'!$H$2)),)</f>
        <v/>
      </c>
      <c r="L676" s="28" t="str">
        <f>IF(E676="InActive","-",IF(A676&lt;&gt;"",K676/'⚙️ Config'!$H$2,))</f>
        <v/>
      </c>
      <c r="M676" s="28" t="str">
        <f t="shared" si="2"/>
        <v/>
      </c>
      <c r="N676" s="28" t="str">
        <f>IF(A676&lt;&gt;"", SUMIFS('💰 Transaction ขาย'!F:F,'💰 Transaction ขาย'!B:B,A676,'💰 Transaction ขาย'!A:A,"&gt;="&amp;DATE(YEAR('⚙️ Config'!$H$1),1,1),'💰 Transaction ขาย'!A:A,"&lt;="&amp;DATE(YEAR('⚙️ Config'!$H$1),12,31)),)</f>
        <v/>
      </c>
    </row>
    <row r="677">
      <c r="A677" s="22"/>
      <c r="B677" s="22" t="str">
        <f>IF(A677&lt;&gt;"",SUMIFS('💸 Transaction ซื้อ'!E:E,'💸 Transaction ซื้อ'!B:B,A677)-SUMIFS('💰 Transaction ขาย'!E:E,'💰 Transaction ขาย'!B:B,A677),"")</f>
        <v/>
      </c>
      <c r="C677" s="23" t="str">
        <f>IF(A677&lt;&gt;"",vlookup(A677,'📦 ชื่อสินค้า'!A:E,5,false),"")</f>
        <v/>
      </c>
      <c r="D677" s="23" t="str">
        <f>IF(A677&lt;&gt;"",VLOOKUP(A677,'📦 ชื่อสินค้า'!A:F,6,false),"")</f>
        <v/>
      </c>
      <c r="E677" s="16" t="str">
        <f>IFERROR(IF(VLOOKUP(A677,'📦 ชื่อสินค้า'!A:G,7,false)="InActive","InActive",IF(A677&lt;&gt;"",IF(B677&lt;=0,"สินค้าหมด",IF(B677&lt;=C677,"ควรเติมทันที","OK")),"")),)</f>
        <v/>
      </c>
      <c r="F677" s="24" t="str">
        <f>IFERROR(IF(A677&lt;&gt;"", SUMIF('💸 Transaction ซื้อ'!B:B,A677,'💸 Transaction ซื้อ'!G:G)/SUMIF('💸 Transaction ซื้อ'!B:B,A677,'💸 Transaction ซื้อ'!E:E),""),"-")</f>
        <v/>
      </c>
      <c r="G677" s="24" t="str">
        <f t="shared" si="1"/>
        <v/>
      </c>
      <c r="H677" s="25"/>
      <c r="I677" s="26"/>
      <c r="J677" s="26"/>
      <c r="K677" s="27" t="str">
        <f>IF(A677&lt;&gt;"",IF(E677="InActive","-",SUMIFS('💰 Transaction ขาย'!E:E,'💰 Transaction ขาย'!B:B,A677,'💰 Transaction ขาย'!A:A,"&gt;"&amp;'⚙️ Config'!$H$1-'⚙️ Config'!$H$2)),)</f>
        <v/>
      </c>
      <c r="L677" s="28" t="str">
        <f>IF(E677="InActive","-",IF(A677&lt;&gt;"",K677/'⚙️ Config'!$H$2,))</f>
        <v/>
      </c>
      <c r="M677" s="28" t="str">
        <f t="shared" si="2"/>
        <v/>
      </c>
      <c r="N677" s="28" t="str">
        <f>IF(A677&lt;&gt;"", SUMIFS('💰 Transaction ขาย'!F:F,'💰 Transaction ขาย'!B:B,A677,'💰 Transaction ขาย'!A:A,"&gt;="&amp;DATE(YEAR('⚙️ Config'!$H$1),1,1),'💰 Transaction ขาย'!A:A,"&lt;="&amp;DATE(YEAR('⚙️ Config'!$H$1),12,31)),)</f>
        <v/>
      </c>
    </row>
    <row r="678">
      <c r="A678" s="22"/>
      <c r="B678" s="22" t="str">
        <f>IF(A678&lt;&gt;"",SUMIFS('💸 Transaction ซื้อ'!E:E,'💸 Transaction ซื้อ'!B:B,A678)-SUMIFS('💰 Transaction ขาย'!E:E,'💰 Transaction ขาย'!B:B,A678),"")</f>
        <v/>
      </c>
      <c r="C678" s="23" t="str">
        <f>IF(A678&lt;&gt;"",vlookup(A678,'📦 ชื่อสินค้า'!A:E,5,false),"")</f>
        <v/>
      </c>
      <c r="D678" s="23" t="str">
        <f>IF(A678&lt;&gt;"",VLOOKUP(A678,'📦 ชื่อสินค้า'!A:F,6,false),"")</f>
        <v/>
      </c>
      <c r="E678" s="16" t="str">
        <f>IFERROR(IF(VLOOKUP(A678,'📦 ชื่อสินค้า'!A:G,7,false)="InActive","InActive",IF(A678&lt;&gt;"",IF(B678&lt;=0,"สินค้าหมด",IF(B678&lt;=C678,"ควรเติมทันที","OK")),"")),)</f>
        <v/>
      </c>
      <c r="F678" s="24" t="str">
        <f>IFERROR(IF(A678&lt;&gt;"", SUMIF('💸 Transaction ซื้อ'!B:B,A678,'💸 Transaction ซื้อ'!G:G)/SUMIF('💸 Transaction ซื้อ'!B:B,A678,'💸 Transaction ซื้อ'!E:E),""),"-")</f>
        <v/>
      </c>
      <c r="G678" s="24" t="str">
        <f t="shared" si="1"/>
        <v/>
      </c>
      <c r="H678" s="25"/>
      <c r="I678" s="26"/>
      <c r="J678" s="26"/>
      <c r="K678" s="27" t="str">
        <f>IF(A678&lt;&gt;"",IF(E678="InActive","-",SUMIFS('💰 Transaction ขาย'!E:E,'💰 Transaction ขาย'!B:B,A678,'💰 Transaction ขาย'!A:A,"&gt;"&amp;'⚙️ Config'!$H$1-'⚙️ Config'!$H$2)),)</f>
        <v/>
      </c>
      <c r="L678" s="28" t="str">
        <f>IF(E678="InActive","-",IF(A678&lt;&gt;"",K678/'⚙️ Config'!$H$2,))</f>
        <v/>
      </c>
      <c r="M678" s="28" t="str">
        <f t="shared" si="2"/>
        <v/>
      </c>
      <c r="N678" s="28" t="str">
        <f>IF(A678&lt;&gt;"", SUMIFS('💰 Transaction ขาย'!F:F,'💰 Transaction ขาย'!B:B,A678,'💰 Transaction ขาย'!A:A,"&gt;="&amp;DATE(YEAR('⚙️ Config'!$H$1),1,1),'💰 Transaction ขาย'!A:A,"&lt;="&amp;DATE(YEAR('⚙️ Config'!$H$1),12,31)),)</f>
        <v/>
      </c>
    </row>
    <row r="679">
      <c r="A679" s="22"/>
      <c r="B679" s="22" t="str">
        <f>IF(A679&lt;&gt;"",SUMIFS('💸 Transaction ซื้อ'!E:E,'💸 Transaction ซื้อ'!B:B,A679)-SUMIFS('💰 Transaction ขาย'!E:E,'💰 Transaction ขาย'!B:B,A679),"")</f>
        <v/>
      </c>
      <c r="C679" s="23" t="str">
        <f>IF(A679&lt;&gt;"",vlookup(A679,'📦 ชื่อสินค้า'!A:E,5,false),"")</f>
        <v/>
      </c>
      <c r="D679" s="23" t="str">
        <f>IF(A679&lt;&gt;"",VLOOKUP(A679,'📦 ชื่อสินค้า'!A:F,6,false),"")</f>
        <v/>
      </c>
      <c r="E679" s="16" t="str">
        <f>IFERROR(IF(VLOOKUP(A679,'📦 ชื่อสินค้า'!A:G,7,false)="InActive","InActive",IF(A679&lt;&gt;"",IF(B679&lt;=0,"สินค้าหมด",IF(B679&lt;=C679,"ควรเติมทันที","OK")),"")),)</f>
        <v/>
      </c>
      <c r="F679" s="24" t="str">
        <f>IFERROR(IF(A679&lt;&gt;"", SUMIF('💸 Transaction ซื้อ'!B:B,A679,'💸 Transaction ซื้อ'!G:G)/SUMIF('💸 Transaction ซื้อ'!B:B,A679,'💸 Transaction ซื้อ'!E:E),""),"-")</f>
        <v/>
      </c>
      <c r="G679" s="24" t="str">
        <f t="shared" si="1"/>
        <v/>
      </c>
      <c r="H679" s="25"/>
      <c r="I679" s="26"/>
      <c r="J679" s="26"/>
      <c r="K679" s="27" t="str">
        <f>IF(A679&lt;&gt;"",IF(E679="InActive","-",SUMIFS('💰 Transaction ขาย'!E:E,'💰 Transaction ขาย'!B:B,A679,'💰 Transaction ขาย'!A:A,"&gt;"&amp;'⚙️ Config'!$H$1-'⚙️ Config'!$H$2)),)</f>
        <v/>
      </c>
      <c r="L679" s="28" t="str">
        <f>IF(E679="InActive","-",IF(A679&lt;&gt;"",K679/'⚙️ Config'!$H$2,))</f>
        <v/>
      </c>
      <c r="M679" s="28" t="str">
        <f t="shared" si="2"/>
        <v/>
      </c>
      <c r="N679" s="28" t="str">
        <f>IF(A679&lt;&gt;"", SUMIFS('💰 Transaction ขาย'!F:F,'💰 Transaction ขาย'!B:B,A679,'💰 Transaction ขาย'!A:A,"&gt;="&amp;DATE(YEAR('⚙️ Config'!$H$1),1,1),'💰 Transaction ขาย'!A:A,"&lt;="&amp;DATE(YEAR('⚙️ Config'!$H$1),12,31)),)</f>
        <v/>
      </c>
    </row>
    <row r="680">
      <c r="A680" s="22"/>
      <c r="B680" s="22" t="str">
        <f>IF(A680&lt;&gt;"",SUMIFS('💸 Transaction ซื้อ'!E:E,'💸 Transaction ซื้อ'!B:B,A680)-SUMIFS('💰 Transaction ขาย'!E:E,'💰 Transaction ขาย'!B:B,A680),"")</f>
        <v/>
      </c>
      <c r="C680" s="23" t="str">
        <f>IF(A680&lt;&gt;"",vlookup(A680,'📦 ชื่อสินค้า'!A:E,5,false),"")</f>
        <v/>
      </c>
      <c r="D680" s="23" t="str">
        <f>IF(A680&lt;&gt;"",VLOOKUP(A680,'📦 ชื่อสินค้า'!A:F,6,false),"")</f>
        <v/>
      </c>
      <c r="E680" s="16" t="str">
        <f>IFERROR(IF(VLOOKUP(A680,'📦 ชื่อสินค้า'!A:G,7,false)="InActive","InActive",IF(A680&lt;&gt;"",IF(B680&lt;=0,"สินค้าหมด",IF(B680&lt;=C680,"ควรเติมทันที","OK")),"")),)</f>
        <v/>
      </c>
      <c r="F680" s="24" t="str">
        <f>IFERROR(IF(A680&lt;&gt;"", SUMIF('💸 Transaction ซื้อ'!B:B,A680,'💸 Transaction ซื้อ'!G:G)/SUMIF('💸 Transaction ซื้อ'!B:B,A680,'💸 Transaction ซื้อ'!E:E),""),"-")</f>
        <v/>
      </c>
      <c r="G680" s="24" t="str">
        <f t="shared" si="1"/>
        <v/>
      </c>
      <c r="H680" s="25"/>
      <c r="I680" s="26"/>
      <c r="J680" s="26"/>
      <c r="K680" s="27" t="str">
        <f>IF(A680&lt;&gt;"",IF(E680="InActive","-",SUMIFS('💰 Transaction ขาย'!E:E,'💰 Transaction ขาย'!B:B,A680,'💰 Transaction ขาย'!A:A,"&gt;"&amp;'⚙️ Config'!$H$1-'⚙️ Config'!$H$2)),)</f>
        <v/>
      </c>
      <c r="L680" s="28" t="str">
        <f>IF(E680="InActive","-",IF(A680&lt;&gt;"",K680/'⚙️ Config'!$H$2,))</f>
        <v/>
      </c>
      <c r="M680" s="28" t="str">
        <f t="shared" si="2"/>
        <v/>
      </c>
      <c r="N680" s="28" t="str">
        <f>IF(A680&lt;&gt;"", SUMIFS('💰 Transaction ขาย'!F:F,'💰 Transaction ขาย'!B:B,A680,'💰 Transaction ขาย'!A:A,"&gt;="&amp;DATE(YEAR('⚙️ Config'!$H$1),1,1),'💰 Transaction ขาย'!A:A,"&lt;="&amp;DATE(YEAR('⚙️ Config'!$H$1),12,31)),)</f>
        <v/>
      </c>
    </row>
    <row r="681">
      <c r="A681" s="22"/>
      <c r="B681" s="22" t="str">
        <f>IF(A681&lt;&gt;"",SUMIFS('💸 Transaction ซื้อ'!E:E,'💸 Transaction ซื้อ'!B:B,A681)-SUMIFS('💰 Transaction ขาย'!E:E,'💰 Transaction ขาย'!B:B,A681),"")</f>
        <v/>
      </c>
      <c r="C681" s="23" t="str">
        <f>IF(A681&lt;&gt;"",vlookup(A681,'📦 ชื่อสินค้า'!A:E,5,false),"")</f>
        <v/>
      </c>
      <c r="D681" s="23" t="str">
        <f>IF(A681&lt;&gt;"",VLOOKUP(A681,'📦 ชื่อสินค้า'!A:F,6,false),"")</f>
        <v/>
      </c>
      <c r="E681" s="16" t="str">
        <f>IFERROR(IF(VLOOKUP(A681,'📦 ชื่อสินค้า'!A:G,7,false)="InActive","InActive",IF(A681&lt;&gt;"",IF(B681&lt;=0,"สินค้าหมด",IF(B681&lt;=C681,"ควรเติมทันที","OK")),"")),)</f>
        <v/>
      </c>
      <c r="F681" s="24" t="str">
        <f>IFERROR(IF(A681&lt;&gt;"", SUMIF('💸 Transaction ซื้อ'!B:B,A681,'💸 Transaction ซื้อ'!G:G)/SUMIF('💸 Transaction ซื้อ'!B:B,A681,'💸 Transaction ซื้อ'!E:E),""),"-")</f>
        <v/>
      </c>
      <c r="G681" s="24" t="str">
        <f t="shared" si="1"/>
        <v/>
      </c>
      <c r="H681" s="25"/>
      <c r="I681" s="26"/>
      <c r="J681" s="26"/>
      <c r="K681" s="27" t="str">
        <f>IF(A681&lt;&gt;"",IF(E681="InActive","-",SUMIFS('💰 Transaction ขาย'!E:E,'💰 Transaction ขาย'!B:B,A681,'💰 Transaction ขาย'!A:A,"&gt;"&amp;'⚙️ Config'!$H$1-'⚙️ Config'!$H$2)),)</f>
        <v/>
      </c>
      <c r="L681" s="28" t="str">
        <f>IF(E681="InActive","-",IF(A681&lt;&gt;"",K681/'⚙️ Config'!$H$2,))</f>
        <v/>
      </c>
      <c r="M681" s="28" t="str">
        <f t="shared" si="2"/>
        <v/>
      </c>
      <c r="N681" s="28" t="str">
        <f>IF(A681&lt;&gt;"", SUMIFS('💰 Transaction ขาย'!F:F,'💰 Transaction ขาย'!B:B,A681,'💰 Transaction ขาย'!A:A,"&gt;="&amp;DATE(YEAR('⚙️ Config'!$H$1),1,1),'💰 Transaction ขาย'!A:A,"&lt;="&amp;DATE(YEAR('⚙️ Config'!$H$1),12,31)),)</f>
        <v/>
      </c>
    </row>
    <row r="682">
      <c r="A682" s="22"/>
      <c r="B682" s="22" t="str">
        <f>IF(A682&lt;&gt;"",SUMIFS('💸 Transaction ซื้อ'!E:E,'💸 Transaction ซื้อ'!B:B,A682)-SUMIFS('💰 Transaction ขาย'!E:E,'💰 Transaction ขาย'!B:B,A682),"")</f>
        <v/>
      </c>
      <c r="C682" s="23" t="str">
        <f>IF(A682&lt;&gt;"",vlookup(A682,'📦 ชื่อสินค้า'!A:E,5,false),"")</f>
        <v/>
      </c>
      <c r="D682" s="23" t="str">
        <f>IF(A682&lt;&gt;"",VLOOKUP(A682,'📦 ชื่อสินค้า'!A:F,6,false),"")</f>
        <v/>
      </c>
      <c r="E682" s="16" t="str">
        <f>IFERROR(IF(VLOOKUP(A682,'📦 ชื่อสินค้า'!A:G,7,false)="InActive","InActive",IF(A682&lt;&gt;"",IF(B682&lt;=0,"สินค้าหมด",IF(B682&lt;=C682,"ควรเติมทันที","OK")),"")),)</f>
        <v/>
      </c>
      <c r="F682" s="24" t="str">
        <f>IFERROR(IF(A682&lt;&gt;"", SUMIF('💸 Transaction ซื้อ'!B:B,A682,'💸 Transaction ซื้อ'!G:G)/SUMIF('💸 Transaction ซื้อ'!B:B,A682,'💸 Transaction ซื้อ'!E:E),""),"-")</f>
        <v/>
      </c>
      <c r="G682" s="24" t="str">
        <f t="shared" si="1"/>
        <v/>
      </c>
      <c r="H682" s="25"/>
      <c r="I682" s="26"/>
      <c r="J682" s="26"/>
      <c r="K682" s="27" t="str">
        <f>IF(A682&lt;&gt;"",IF(E682="InActive","-",SUMIFS('💰 Transaction ขาย'!E:E,'💰 Transaction ขาย'!B:B,A682,'💰 Transaction ขาย'!A:A,"&gt;"&amp;'⚙️ Config'!$H$1-'⚙️ Config'!$H$2)),)</f>
        <v/>
      </c>
      <c r="L682" s="28" t="str">
        <f>IF(E682="InActive","-",IF(A682&lt;&gt;"",K682/'⚙️ Config'!$H$2,))</f>
        <v/>
      </c>
      <c r="M682" s="28" t="str">
        <f t="shared" si="2"/>
        <v/>
      </c>
      <c r="N682" s="28" t="str">
        <f>IF(A682&lt;&gt;"", SUMIFS('💰 Transaction ขาย'!F:F,'💰 Transaction ขาย'!B:B,A682,'💰 Transaction ขาย'!A:A,"&gt;="&amp;DATE(YEAR('⚙️ Config'!$H$1),1,1),'💰 Transaction ขาย'!A:A,"&lt;="&amp;DATE(YEAR('⚙️ Config'!$H$1),12,31)),)</f>
        <v/>
      </c>
    </row>
    <row r="683">
      <c r="A683" s="22"/>
      <c r="B683" s="22" t="str">
        <f>IF(A683&lt;&gt;"",SUMIFS('💸 Transaction ซื้อ'!E:E,'💸 Transaction ซื้อ'!B:B,A683)-SUMIFS('💰 Transaction ขาย'!E:E,'💰 Transaction ขาย'!B:B,A683),"")</f>
        <v/>
      </c>
      <c r="C683" s="23" t="str">
        <f>IF(A683&lt;&gt;"",vlookup(A683,'📦 ชื่อสินค้า'!A:E,5,false),"")</f>
        <v/>
      </c>
      <c r="D683" s="23" t="str">
        <f>IF(A683&lt;&gt;"",VLOOKUP(A683,'📦 ชื่อสินค้า'!A:F,6,false),"")</f>
        <v/>
      </c>
      <c r="E683" s="16" t="str">
        <f>IFERROR(IF(VLOOKUP(A683,'📦 ชื่อสินค้า'!A:G,7,false)="InActive","InActive",IF(A683&lt;&gt;"",IF(B683&lt;=0,"สินค้าหมด",IF(B683&lt;=C683,"ควรเติมทันที","OK")),"")),)</f>
        <v/>
      </c>
      <c r="F683" s="24" t="str">
        <f>IFERROR(IF(A683&lt;&gt;"", SUMIF('💸 Transaction ซื้อ'!B:B,A683,'💸 Transaction ซื้อ'!G:G)/SUMIF('💸 Transaction ซื้อ'!B:B,A683,'💸 Transaction ซื้อ'!E:E),""),"-")</f>
        <v/>
      </c>
      <c r="G683" s="24" t="str">
        <f t="shared" si="1"/>
        <v/>
      </c>
      <c r="H683" s="25"/>
      <c r="I683" s="26"/>
      <c r="J683" s="26"/>
      <c r="K683" s="27" t="str">
        <f>IF(A683&lt;&gt;"",IF(E683="InActive","-",SUMIFS('💰 Transaction ขาย'!E:E,'💰 Transaction ขาย'!B:B,A683,'💰 Transaction ขาย'!A:A,"&gt;"&amp;'⚙️ Config'!$H$1-'⚙️ Config'!$H$2)),)</f>
        <v/>
      </c>
      <c r="L683" s="28" t="str">
        <f>IF(E683="InActive","-",IF(A683&lt;&gt;"",K683/'⚙️ Config'!$H$2,))</f>
        <v/>
      </c>
      <c r="M683" s="28" t="str">
        <f t="shared" si="2"/>
        <v/>
      </c>
      <c r="N683" s="28" t="str">
        <f>IF(A683&lt;&gt;"", SUMIFS('💰 Transaction ขาย'!F:F,'💰 Transaction ขาย'!B:B,A683,'💰 Transaction ขาย'!A:A,"&gt;="&amp;DATE(YEAR('⚙️ Config'!$H$1),1,1),'💰 Transaction ขาย'!A:A,"&lt;="&amp;DATE(YEAR('⚙️ Config'!$H$1),12,31)),)</f>
        <v/>
      </c>
    </row>
    <row r="684">
      <c r="A684" s="22"/>
      <c r="B684" s="22" t="str">
        <f>IF(A684&lt;&gt;"",SUMIFS('💸 Transaction ซื้อ'!E:E,'💸 Transaction ซื้อ'!B:B,A684)-SUMIFS('💰 Transaction ขาย'!E:E,'💰 Transaction ขาย'!B:B,A684),"")</f>
        <v/>
      </c>
      <c r="C684" s="23" t="str">
        <f>IF(A684&lt;&gt;"",vlookup(A684,'📦 ชื่อสินค้า'!A:E,5,false),"")</f>
        <v/>
      </c>
      <c r="D684" s="23" t="str">
        <f>IF(A684&lt;&gt;"",VLOOKUP(A684,'📦 ชื่อสินค้า'!A:F,6,false),"")</f>
        <v/>
      </c>
      <c r="E684" s="16" t="str">
        <f>IFERROR(IF(VLOOKUP(A684,'📦 ชื่อสินค้า'!A:G,7,false)="InActive","InActive",IF(A684&lt;&gt;"",IF(B684&lt;=0,"สินค้าหมด",IF(B684&lt;=C684,"ควรเติมทันที","OK")),"")),)</f>
        <v/>
      </c>
      <c r="F684" s="24" t="str">
        <f>IFERROR(IF(A684&lt;&gt;"", SUMIF('💸 Transaction ซื้อ'!B:B,A684,'💸 Transaction ซื้อ'!G:G)/SUMIF('💸 Transaction ซื้อ'!B:B,A684,'💸 Transaction ซื้อ'!E:E),""),"-")</f>
        <v/>
      </c>
      <c r="G684" s="24" t="str">
        <f t="shared" si="1"/>
        <v/>
      </c>
      <c r="H684" s="25"/>
      <c r="I684" s="26"/>
      <c r="J684" s="26"/>
      <c r="K684" s="27" t="str">
        <f>IF(A684&lt;&gt;"",IF(E684="InActive","-",SUMIFS('💰 Transaction ขาย'!E:E,'💰 Transaction ขาย'!B:B,A684,'💰 Transaction ขาย'!A:A,"&gt;"&amp;'⚙️ Config'!$H$1-'⚙️ Config'!$H$2)),)</f>
        <v/>
      </c>
      <c r="L684" s="28" t="str">
        <f>IF(E684="InActive","-",IF(A684&lt;&gt;"",K684/'⚙️ Config'!$H$2,))</f>
        <v/>
      </c>
      <c r="M684" s="28" t="str">
        <f t="shared" si="2"/>
        <v/>
      </c>
      <c r="N684" s="28" t="str">
        <f>IF(A684&lt;&gt;"", SUMIFS('💰 Transaction ขาย'!F:F,'💰 Transaction ขาย'!B:B,A684,'💰 Transaction ขาย'!A:A,"&gt;="&amp;DATE(YEAR('⚙️ Config'!$H$1),1,1),'💰 Transaction ขาย'!A:A,"&lt;="&amp;DATE(YEAR('⚙️ Config'!$H$1),12,31)),)</f>
        <v/>
      </c>
    </row>
    <row r="685">
      <c r="A685" s="22"/>
      <c r="B685" s="22" t="str">
        <f>IF(A685&lt;&gt;"",SUMIFS('💸 Transaction ซื้อ'!E:E,'💸 Transaction ซื้อ'!B:B,A685)-SUMIFS('💰 Transaction ขาย'!E:E,'💰 Transaction ขาย'!B:B,A685),"")</f>
        <v/>
      </c>
      <c r="C685" s="23" t="str">
        <f>IF(A685&lt;&gt;"",vlookup(A685,'📦 ชื่อสินค้า'!A:E,5,false),"")</f>
        <v/>
      </c>
      <c r="D685" s="23" t="str">
        <f>IF(A685&lt;&gt;"",VLOOKUP(A685,'📦 ชื่อสินค้า'!A:F,6,false),"")</f>
        <v/>
      </c>
      <c r="E685" s="16" t="str">
        <f>IFERROR(IF(VLOOKUP(A685,'📦 ชื่อสินค้า'!A:G,7,false)="InActive","InActive",IF(A685&lt;&gt;"",IF(B685&lt;=0,"สินค้าหมด",IF(B685&lt;=C685,"ควรเติมทันที","OK")),"")),)</f>
        <v/>
      </c>
      <c r="F685" s="24" t="str">
        <f>IFERROR(IF(A685&lt;&gt;"", SUMIF('💸 Transaction ซื้อ'!B:B,A685,'💸 Transaction ซื้อ'!G:G)/SUMIF('💸 Transaction ซื้อ'!B:B,A685,'💸 Transaction ซื้อ'!E:E),""),"-")</f>
        <v/>
      </c>
      <c r="G685" s="24" t="str">
        <f t="shared" si="1"/>
        <v/>
      </c>
      <c r="H685" s="25"/>
      <c r="I685" s="26"/>
      <c r="J685" s="26"/>
      <c r="K685" s="27" t="str">
        <f>IF(A685&lt;&gt;"",IF(E685="InActive","-",SUMIFS('💰 Transaction ขาย'!E:E,'💰 Transaction ขาย'!B:B,A685,'💰 Transaction ขาย'!A:A,"&gt;"&amp;'⚙️ Config'!$H$1-'⚙️ Config'!$H$2)),)</f>
        <v/>
      </c>
      <c r="L685" s="28" t="str">
        <f>IF(E685="InActive","-",IF(A685&lt;&gt;"",K685/'⚙️ Config'!$H$2,))</f>
        <v/>
      </c>
      <c r="M685" s="28" t="str">
        <f t="shared" si="2"/>
        <v/>
      </c>
      <c r="N685" s="28" t="str">
        <f>IF(A685&lt;&gt;"", SUMIFS('💰 Transaction ขาย'!F:F,'💰 Transaction ขาย'!B:B,A685,'💰 Transaction ขาย'!A:A,"&gt;="&amp;DATE(YEAR('⚙️ Config'!$H$1),1,1),'💰 Transaction ขาย'!A:A,"&lt;="&amp;DATE(YEAR('⚙️ Config'!$H$1),12,31)),)</f>
        <v/>
      </c>
    </row>
    <row r="686">
      <c r="A686" s="22"/>
      <c r="B686" s="22" t="str">
        <f>IF(A686&lt;&gt;"",SUMIFS('💸 Transaction ซื้อ'!E:E,'💸 Transaction ซื้อ'!B:B,A686)-SUMIFS('💰 Transaction ขาย'!E:E,'💰 Transaction ขาย'!B:B,A686),"")</f>
        <v/>
      </c>
      <c r="C686" s="23" t="str">
        <f>IF(A686&lt;&gt;"",vlookup(A686,'📦 ชื่อสินค้า'!A:E,5,false),"")</f>
        <v/>
      </c>
      <c r="D686" s="23" t="str">
        <f>IF(A686&lt;&gt;"",VLOOKUP(A686,'📦 ชื่อสินค้า'!A:F,6,false),"")</f>
        <v/>
      </c>
      <c r="E686" s="16" t="str">
        <f>IFERROR(IF(VLOOKUP(A686,'📦 ชื่อสินค้า'!A:G,7,false)="InActive","InActive",IF(A686&lt;&gt;"",IF(B686&lt;=0,"สินค้าหมด",IF(B686&lt;=C686,"ควรเติมทันที","OK")),"")),)</f>
        <v/>
      </c>
      <c r="F686" s="24" t="str">
        <f>IFERROR(IF(A686&lt;&gt;"", SUMIF('💸 Transaction ซื้อ'!B:B,A686,'💸 Transaction ซื้อ'!G:G)/SUMIF('💸 Transaction ซื้อ'!B:B,A686,'💸 Transaction ซื้อ'!E:E),""),"-")</f>
        <v/>
      </c>
      <c r="G686" s="24" t="str">
        <f t="shared" si="1"/>
        <v/>
      </c>
      <c r="H686" s="25"/>
      <c r="I686" s="26"/>
      <c r="J686" s="26"/>
      <c r="K686" s="27" t="str">
        <f>IF(A686&lt;&gt;"",IF(E686="InActive","-",SUMIFS('💰 Transaction ขาย'!E:E,'💰 Transaction ขาย'!B:B,A686,'💰 Transaction ขาย'!A:A,"&gt;"&amp;'⚙️ Config'!$H$1-'⚙️ Config'!$H$2)),)</f>
        <v/>
      </c>
      <c r="L686" s="28" t="str">
        <f>IF(E686="InActive","-",IF(A686&lt;&gt;"",K686/'⚙️ Config'!$H$2,))</f>
        <v/>
      </c>
      <c r="M686" s="28" t="str">
        <f t="shared" si="2"/>
        <v/>
      </c>
      <c r="N686" s="28" t="str">
        <f>IF(A686&lt;&gt;"", SUMIFS('💰 Transaction ขาย'!F:F,'💰 Transaction ขาย'!B:B,A686,'💰 Transaction ขาย'!A:A,"&gt;="&amp;DATE(YEAR('⚙️ Config'!$H$1),1,1),'💰 Transaction ขาย'!A:A,"&lt;="&amp;DATE(YEAR('⚙️ Config'!$H$1),12,31)),)</f>
        <v/>
      </c>
    </row>
    <row r="687">
      <c r="A687" s="22"/>
      <c r="B687" s="22" t="str">
        <f>IF(A687&lt;&gt;"",SUMIFS('💸 Transaction ซื้อ'!E:E,'💸 Transaction ซื้อ'!B:B,A687)-SUMIFS('💰 Transaction ขาย'!E:E,'💰 Transaction ขาย'!B:B,A687),"")</f>
        <v/>
      </c>
      <c r="C687" s="23" t="str">
        <f>IF(A687&lt;&gt;"",vlookup(A687,'📦 ชื่อสินค้า'!A:E,5,false),"")</f>
        <v/>
      </c>
      <c r="D687" s="23" t="str">
        <f>IF(A687&lt;&gt;"",VLOOKUP(A687,'📦 ชื่อสินค้า'!A:F,6,false),"")</f>
        <v/>
      </c>
      <c r="E687" s="16" t="str">
        <f>IFERROR(IF(VLOOKUP(A687,'📦 ชื่อสินค้า'!A:G,7,false)="InActive","InActive",IF(A687&lt;&gt;"",IF(B687&lt;=0,"สินค้าหมด",IF(B687&lt;=C687,"ควรเติมทันที","OK")),"")),)</f>
        <v/>
      </c>
      <c r="F687" s="24" t="str">
        <f>IFERROR(IF(A687&lt;&gt;"", SUMIF('💸 Transaction ซื้อ'!B:B,A687,'💸 Transaction ซื้อ'!G:G)/SUMIF('💸 Transaction ซื้อ'!B:B,A687,'💸 Transaction ซื้อ'!E:E),""),"-")</f>
        <v/>
      </c>
      <c r="G687" s="24" t="str">
        <f t="shared" si="1"/>
        <v/>
      </c>
      <c r="H687" s="25"/>
      <c r="I687" s="26"/>
      <c r="J687" s="26"/>
      <c r="K687" s="27" t="str">
        <f>IF(A687&lt;&gt;"",IF(E687="InActive","-",SUMIFS('💰 Transaction ขาย'!E:E,'💰 Transaction ขาย'!B:B,A687,'💰 Transaction ขาย'!A:A,"&gt;"&amp;'⚙️ Config'!$H$1-'⚙️ Config'!$H$2)),)</f>
        <v/>
      </c>
      <c r="L687" s="28" t="str">
        <f>IF(E687="InActive","-",IF(A687&lt;&gt;"",K687/'⚙️ Config'!$H$2,))</f>
        <v/>
      </c>
      <c r="M687" s="28" t="str">
        <f t="shared" si="2"/>
        <v/>
      </c>
      <c r="N687" s="28" t="str">
        <f>IF(A687&lt;&gt;"", SUMIFS('💰 Transaction ขาย'!F:F,'💰 Transaction ขาย'!B:B,A687,'💰 Transaction ขาย'!A:A,"&gt;="&amp;DATE(YEAR('⚙️ Config'!$H$1),1,1),'💰 Transaction ขาย'!A:A,"&lt;="&amp;DATE(YEAR('⚙️ Config'!$H$1),12,31)),)</f>
        <v/>
      </c>
    </row>
    <row r="688">
      <c r="A688" s="22"/>
      <c r="B688" s="22" t="str">
        <f>IF(A688&lt;&gt;"",SUMIFS('💸 Transaction ซื้อ'!E:E,'💸 Transaction ซื้อ'!B:B,A688)-SUMIFS('💰 Transaction ขาย'!E:E,'💰 Transaction ขาย'!B:B,A688),"")</f>
        <v/>
      </c>
      <c r="C688" s="23" t="str">
        <f>IF(A688&lt;&gt;"",vlookup(A688,'📦 ชื่อสินค้า'!A:E,5,false),"")</f>
        <v/>
      </c>
      <c r="D688" s="23" t="str">
        <f>IF(A688&lt;&gt;"",VLOOKUP(A688,'📦 ชื่อสินค้า'!A:F,6,false),"")</f>
        <v/>
      </c>
      <c r="E688" s="16" t="str">
        <f>IFERROR(IF(VLOOKUP(A688,'📦 ชื่อสินค้า'!A:G,7,false)="InActive","InActive",IF(A688&lt;&gt;"",IF(B688&lt;=0,"สินค้าหมด",IF(B688&lt;=C688,"ควรเติมทันที","OK")),"")),)</f>
        <v/>
      </c>
      <c r="F688" s="24" t="str">
        <f>IFERROR(IF(A688&lt;&gt;"", SUMIF('💸 Transaction ซื้อ'!B:B,A688,'💸 Transaction ซื้อ'!G:G)/SUMIF('💸 Transaction ซื้อ'!B:B,A688,'💸 Transaction ซื้อ'!E:E),""),"-")</f>
        <v/>
      </c>
      <c r="G688" s="24" t="str">
        <f t="shared" si="1"/>
        <v/>
      </c>
      <c r="H688" s="25"/>
      <c r="I688" s="26"/>
      <c r="J688" s="26"/>
      <c r="K688" s="27" t="str">
        <f>IF(A688&lt;&gt;"",IF(E688="InActive","-",SUMIFS('💰 Transaction ขาย'!E:E,'💰 Transaction ขาย'!B:B,A688,'💰 Transaction ขาย'!A:A,"&gt;"&amp;'⚙️ Config'!$H$1-'⚙️ Config'!$H$2)),)</f>
        <v/>
      </c>
      <c r="L688" s="28" t="str">
        <f>IF(E688="InActive","-",IF(A688&lt;&gt;"",K688/'⚙️ Config'!$H$2,))</f>
        <v/>
      </c>
      <c r="M688" s="28" t="str">
        <f t="shared" si="2"/>
        <v/>
      </c>
      <c r="N688" s="28" t="str">
        <f>IF(A688&lt;&gt;"", SUMIFS('💰 Transaction ขาย'!F:F,'💰 Transaction ขาย'!B:B,A688,'💰 Transaction ขาย'!A:A,"&gt;="&amp;DATE(YEAR('⚙️ Config'!$H$1),1,1),'💰 Transaction ขาย'!A:A,"&lt;="&amp;DATE(YEAR('⚙️ Config'!$H$1),12,31)),)</f>
        <v/>
      </c>
    </row>
    <row r="689">
      <c r="A689" s="22"/>
      <c r="B689" s="22" t="str">
        <f>IF(A689&lt;&gt;"",SUMIFS('💸 Transaction ซื้อ'!E:E,'💸 Transaction ซื้อ'!B:B,A689)-SUMIFS('💰 Transaction ขาย'!E:E,'💰 Transaction ขาย'!B:B,A689),"")</f>
        <v/>
      </c>
      <c r="C689" s="23" t="str">
        <f>IF(A689&lt;&gt;"",vlookup(A689,'📦 ชื่อสินค้า'!A:E,5,false),"")</f>
        <v/>
      </c>
      <c r="D689" s="23" t="str">
        <f>IF(A689&lt;&gt;"",VLOOKUP(A689,'📦 ชื่อสินค้า'!A:F,6,false),"")</f>
        <v/>
      </c>
      <c r="E689" s="16" t="str">
        <f>IFERROR(IF(VLOOKUP(A689,'📦 ชื่อสินค้า'!A:G,7,false)="InActive","InActive",IF(A689&lt;&gt;"",IF(B689&lt;=0,"สินค้าหมด",IF(B689&lt;=C689,"ควรเติมทันที","OK")),"")),)</f>
        <v/>
      </c>
      <c r="F689" s="24" t="str">
        <f>IFERROR(IF(A689&lt;&gt;"", SUMIF('💸 Transaction ซื้อ'!B:B,A689,'💸 Transaction ซื้อ'!G:G)/SUMIF('💸 Transaction ซื้อ'!B:B,A689,'💸 Transaction ซื้อ'!E:E),""),"-")</f>
        <v/>
      </c>
      <c r="G689" s="24" t="str">
        <f t="shared" si="1"/>
        <v/>
      </c>
      <c r="H689" s="25"/>
      <c r="I689" s="26"/>
      <c r="J689" s="26"/>
      <c r="K689" s="27" t="str">
        <f>IF(A689&lt;&gt;"",IF(E689="InActive","-",SUMIFS('💰 Transaction ขาย'!E:E,'💰 Transaction ขาย'!B:B,A689,'💰 Transaction ขาย'!A:A,"&gt;"&amp;'⚙️ Config'!$H$1-'⚙️ Config'!$H$2)),)</f>
        <v/>
      </c>
      <c r="L689" s="28" t="str">
        <f>IF(E689="InActive","-",IF(A689&lt;&gt;"",K689/'⚙️ Config'!$H$2,))</f>
        <v/>
      </c>
      <c r="M689" s="28" t="str">
        <f t="shared" si="2"/>
        <v/>
      </c>
      <c r="N689" s="28" t="str">
        <f>IF(A689&lt;&gt;"", SUMIFS('💰 Transaction ขาย'!F:F,'💰 Transaction ขาย'!B:B,A689,'💰 Transaction ขาย'!A:A,"&gt;="&amp;DATE(YEAR('⚙️ Config'!$H$1),1,1),'💰 Transaction ขาย'!A:A,"&lt;="&amp;DATE(YEAR('⚙️ Config'!$H$1),12,31)),)</f>
        <v/>
      </c>
    </row>
    <row r="690">
      <c r="A690" s="22"/>
      <c r="B690" s="22" t="str">
        <f>IF(A690&lt;&gt;"",SUMIFS('💸 Transaction ซื้อ'!E:E,'💸 Transaction ซื้อ'!B:B,A690)-SUMIFS('💰 Transaction ขาย'!E:E,'💰 Transaction ขาย'!B:B,A690),"")</f>
        <v/>
      </c>
      <c r="C690" s="23" t="str">
        <f>IF(A690&lt;&gt;"",vlookup(A690,'📦 ชื่อสินค้า'!A:E,5,false),"")</f>
        <v/>
      </c>
      <c r="D690" s="23" t="str">
        <f>IF(A690&lt;&gt;"",VLOOKUP(A690,'📦 ชื่อสินค้า'!A:F,6,false),"")</f>
        <v/>
      </c>
      <c r="E690" s="16" t="str">
        <f>IFERROR(IF(VLOOKUP(A690,'📦 ชื่อสินค้า'!A:G,7,false)="InActive","InActive",IF(A690&lt;&gt;"",IF(B690&lt;=0,"สินค้าหมด",IF(B690&lt;=C690,"ควรเติมทันที","OK")),"")),)</f>
        <v/>
      </c>
      <c r="F690" s="24" t="str">
        <f>IFERROR(IF(A690&lt;&gt;"", SUMIF('💸 Transaction ซื้อ'!B:B,A690,'💸 Transaction ซื้อ'!G:G)/SUMIF('💸 Transaction ซื้อ'!B:B,A690,'💸 Transaction ซื้อ'!E:E),""),"-")</f>
        <v/>
      </c>
      <c r="G690" s="24" t="str">
        <f t="shared" si="1"/>
        <v/>
      </c>
      <c r="H690" s="25"/>
      <c r="I690" s="26"/>
      <c r="J690" s="26"/>
      <c r="K690" s="27" t="str">
        <f>IF(A690&lt;&gt;"",IF(E690="InActive","-",SUMIFS('💰 Transaction ขาย'!E:E,'💰 Transaction ขาย'!B:B,A690,'💰 Transaction ขาย'!A:A,"&gt;"&amp;'⚙️ Config'!$H$1-'⚙️ Config'!$H$2)),)</f>
        <v/>
      </c>
      <c r="L690" s="28" t="str">
        <f>IF(E690="InActive","-",IF(A690&lt;&gt;"",K690/'⚙️ Config'!$H$2,))</f>
        <v/>
      </c>
      <c r="M690" s="28" t="str">
        <f t="shared" si="2"/>
        <v/>
      </c>
      <c r="N690" s="28" t="str">
        <f>IF(A690&lt;&gt;"", SUMIFS('💰 Transaction ขาย'!F:F,'💰 Transaction ขาย'!B:B,A690,'💰 Transaction ขาย'!A:A,"&gt;="&amp;DATE(YEAR('⚙️ Config'!$H$1),1,1),'💰 Transaction ขาย'!A:A,"&lt;="&amp;DATE(YEAR('⚙️ Config'!$H$1),12,31)),)</f>
        <v/>
      </c>
    </row>
    <row r="691">
      <c r="A691" s="22"/>
      <c r="B691" s="22" t="str">
        <f>IF(A691&lt;&gt;"",SUMIFS('💸 Transaction ซื้อ'!E:E,'💸 Transaction ซื้อ'!B:B,A691)-SUMIFS('💰 Transaction ขาย'!E:E,'💰 Transaction ขาย'!B:B,A691),"")</f>
        <v/>
      </c>
      <c r="C691" s="23" t="str">
        <f>IF(A691&lt;&gt;"",vlookup(A691,'📦 ชื่อสินค้า'!A:E,5,false),"")</f>
        <v/>
      </c>
      <c r="D691" s="23" t="str">
        <f>IF(A691&lt;&gt;"",VLOOKUP(A691,'📦 ชื่อสินค้า'!A:F,6,false),"")</f>
        <v/>
      </c>
      <c r="E691" s="16" t="str">
        <f>IFERROR(IF(VLOOKUP(A691,'📦 ชื่อสินค้า'!A:G,7,false)="InActive","InActive",IF(A691&lt;&gt;"",IF(B691&lt;=0,"สินค้าหมด",IF(B691&lt;=C691,"ควรเติมทันที","OK")),"")),)</f>
        <v/>
      </c>
      <c r="F691" s="24" t="str">
        <f>IFERROR(IF(A691&lt;&gt;"", SUMIF('💸 Transaction ซื้อ'!B:B,A691,'💸 Transaction ซื้อ'!G:G)/SUMIF('💸 Transaction ซื้อ'!B:B,A691,'💸 Transaction ซื้อ'!E:E),""),"-")</f>
        <v/>
      </c>
      <c r="G691" s="24" t="str">
        <f t="shared" si="1"/>
        <v/>
      </c>
      <c r="H691" s="25"/>
      <c r="I691" s="26"/>
      <c r="J691" s="26"/>
      <c r="K691" s="27" t="str">
        <f>IF(A691&lt;&gt;"",IF(E691="InActive","-",SUMIFS('💰 Transaction ขาย'!E:E,'💰 Transaction ขาย'!B:B,A691,'💰 Transaction ขาย'!A:A,"&gt;"&amp;'⚙️ Config'!$H$1-'⚙️ Config'!$H$2)),)</f>
        <v/>
      </c>
      <c r="L691" s="28" t="str">
        <f>IF(E691="InActive","-",IF(A691&lt;&gt;"",K691/'⚙️ Config'!$H$2,))</f>
        <v/>
      </c>
      <c r="M691" s="28" t="str">
        <f t="shared" si="2"/>
        <v/>
      </c>
      <c r="N691" s="28" t="str">
        <f>IF(A691&lt;&gt;"", SUMIFS('💰 Transaction ขาย'!F:F,'💰 Transaction ขาย'!B:B,A691,'💰 Transaction ขาย'!A:A,"&gt;="&amp;DATE(YEAR('⚙️ Config'!$H$1),1,1),'💰 Transaction ขาย'!A:A,"&lt;="&amp;DATE(YEAR('⚙️ Config'!$H$1),12,31)),)</f>
        <v/>
      </c>
    </row>
    <row r="692">
      <c r="A692" s="22"/>
      <c r="B692" s="22" t="str">
        <f>IF(A692&lt;&gt;"",SUMIFS('💸 Transaction ซื้อ'!E:E,'💸 Transaction ซื้อ'!B:B,A692)-SUMIFS('💰 Transaction ขาย'!E:E,'💰 Transaction ขาย'!B:B,A692),"")</f>
        <v/>
      </c>
      <c r="C692" s="23" t="str">
        <f>IF(A692&lt;&gt;"",vlookup(A692,'📦 ชื่อสินค้า'!A:E,5,false),"")</f>
        <v/>
      </c>
      <c r="D692" s="23" t="str">
        <f>IF(A692&lt;&gt;"",VLOOKUP(A692,'📦 ชื่อสินค้า'!A:F,6,false),"")</f>
        <v/>
      </c>
      <c r="E692" s="16" t="str">
        <f>IFERROR(IF(VLOOKUP(A692,'📦 ชื่อสินค้า'!A:G,7,false)="InActive","InActive",IF(A692&lt;&gt;"",IF(B692&lt;=0,"สินค้าหมด",IF(B692&lt;=C692,"ควรเติมทันที","OK")),"")),)</f>
        <v/>
      </c>
      <c r="F692" s="24" t="str">
        <f>IFERROR(IF(A692&lt;&gt;"", SUMIF('💸 Transaction ซื้อ'!B:B,A692,'💸 Transaction ซื้อ'!G:G)/SUMIF('💸 Transaction ซื้อ'!B:B,A692,'💸 Transaction ซื้อ'!E:E),""),"-")</f>
        <v/>
      </c>
      <c r="G692" s="24" t="str">
        <f t="shared" si="1"/>
        <v/>
      </c>
      <c r="H692" s="25"/>
      <c r="I692" s="26"/>
      <c r="J692" s="26"/>
      <c r="K692" s="27" t="str">
        <f>IF(A692&lt;&gt;"",IF(E692="InActive","-",SUMIFS('💰 Transaction ขาย'!E:E,'💰 Transaction ขาย'!B:B,A692,'💰 Transaction ขาย'!A:A,"&gt;"&amp;'⚙️ Config'!$H$1-'⚙️ Config'!$H$2)),)</f>
        <v/>
      </c>
      <c r="L692" s="28" t="str">
        <f>IF(E692="InActive","-",IF(A692&lt;&gt;"",K692/'⚙️ Config'!$H$2,))</f>
        <v/>
      </c>
      <c r="M692" s="28" t="str">
        <f t="shared" si="2"/>
        <v/>
      </c>
      <c r="N692" s="28" t="str">
        <f>IF(A692&lt;&gt;"", SUMIFS('💰 Transaction ขาย'!F:F,'💰 Transaction ขาย'!B:B,A692,'💰 Transaction ขาย'!A:A,"&gt;="&amp;DATE(YEAR('⚙️ Config'!$H$1),1,1),'💰 Transaction ขาย'!A:A,"&lt;="&amp;DATE(YEAR('⚙️ Config'!$H$1),12,31)),)</f>
        <v/>
      </c>
    </row>
    <row r="693">
      <c r="A693" s="22"/>
      <c r="B693" s="22" t="str">
        <f>IF(A693&lt;&gt;"",SUMIFS('💸 Transaction ซื้อ'!E:E,'💸 Transaction ซื้อ'!B:B,A693)-SUMIFS('💰 Transaction ขาย'!E:E,'💰 Transaction ขาย'!B:B,A693),"")</f>
        <v/>
      </c>
      <c r="C693" s="23" t="str">
        <f>IF(A693&lt;&gt;"",vlookup(A693,'📦 ชื่อสินค้า'!A:E,5,false),"")</f>
        <v/>
      </c>
      <c r="D693" s="23" t="str">
        <f>IF(A693&lt;&gt;"",VLOOKUP(A693,'📦 ชื่อสินค้า'!A:F,6,false),"")</f>
        <v/>
      </c>
      <c r="E693" s="16" t="str">
        <f>IFERROR(IF(VLOOKUP(A693,'📦 ชื่อสินค้า'!A:G,7,false)="InActive","InActive",IF(A693&lt;&gt;"",IF(B693&lt;=0,"สินค้าหมด",IF(B693&lt;=C693,"ควรเติมทันที","OK")),"")),)</f>
        <v/>
      </c>
      <c r="F693" s="24" t="str">
        <f>IFERROR(IF(A693&lt;&gt;"", SUMIF('💸 Transaction ซื้อ'!B:B,A693,'💸 Transaction ซื้อ'!G:G)/SUMIF('💸 Transaction ซื้อ'!B:B,A693,'💸 Transaction ซื้อ'!E:E),""),"-")</f>
        <v/>
      </c>
      <c r="G693" s="24" t="str">
        <f t="shared" si="1"/>
        <v/>
      </c>
      <c r="H693" s="25"/>
      <c r="I693" s="26"/>
      <c r="J693" s="26"/>
      <c r="K693" s="27" t="str">
        <f>IF(A693&lt;&gt;"",IF(E693="InActive","-",SUMIFS('💰 Transaction ขาย'!E:E,'💰 Transaction ขาย'!B:B,A693,'💰 Transaction ขาย'!A:A,"&gt;"&amp;'⚙️ Config'!$H$1-'⚙️ Config'!$H$2)),)</f>
        <v/>
      </c>
      <c r="L693" s="28" t="str">
        <f>IF(E693="InActive","-",IF(A693&lt;&gt;"",K693/'⚙️ Config'!$H$2,))</f>
        <v/>
      </c>
      <c r="M693" s="28" t="str">
        <f t="shared" si="2"/>
        <v/>
      </c>
      <c r="N693" s="28" t="str">
        <f>IF(A693&lt;&gt;"", SUMIFS('💰 Transaction ขาย'!F:F,'💰 Transaction ขาย'!B:B,A693,'💰 Transaction ขาย'!A:A,"&gt;="&amp;DATE(YEAR('⚙️ Config'!$H$1),1,1),'💰 Transaction ขาย'!A:A,"&lt;="&amp;DATE(YEAR('⚙️ Config'!$H$1),12,31)),)</f>
        <v/>
      </c>
    </row>
    <row r="694">
      <c r="A694" s="22"/>
      <c r="B694" s="22" t="str">
        <f>IF(A694&lt;&gt;"",SUMIFS('💸 Transaction ซื้อ'!E:E,'💸 Transaction ซื้อ'!B:B,A694)-SUMIFS('💰 Transaction ขาย'!E:E,'💰 Transaction ขาย'!B:B,A694),"")</f>
        <v/>
      </c>
      <c r="C694" s="23" t="str">
        <f>IF(A694&lt;&gt;"",vlookup(A694,'📦 ชื่อสินค้า'!A:E,5,false),"")</f>
        <v/>
      </c>
      <c r="D694" s="23" t="str">
        <f>IF(A694&lt;&gt;"",VLOOKUP(A694,'📦 ชื่อสินค้า'!A:F,6,false),"")</f>
        <v/>
      </c>
      <c r="E694" s="16" t="str">
        <f>IFERROR(IF(VLOOKUP(A694,'📦 ชื่อสินค้า'!A:G,7,false)="InActive","InActive",IF(A694&lt;&gt;"",IF(B694&lt;=0,"สินค้าหมด",IF(B694&lt;=C694,"ควรเติมทันที","OK")),"")),)</f>
        <v/>
      </c>
      <c r="F694" s="24" t="str">
        <f>IFERROR(IF(A694&lt;&gt;"", SUMIF('💸 Transaction ซื้อ'!B:B,A694,'💸 Transaction ซื้อ'!G:G)/SUMIF('💸 Transaction ซื้อ'!B:B,A694,'💸 Transaction ซื้อ'!E:E),""),"-")</f>
        <v/>
      </c>
      <c r="G694" s="24" t="str">
        <f t="shared" si="1"/>
        <v/>
      </c>
      <c r="H694" s="25"/>
      <c r="I694" s="26"/>
      <c r="J694" s="26"/>
      <c r="K694" s="27" t="str">
        <f>IF(A694&lt;&gt;"",IF(E694="InActive","-",SUMIFS('💰 Transaction ขาย'!E:E,'💰 Transaction ขาย'!B:B,A694,'💰 Transaction ขาย'!A:A,"&gt;"&amp;'⚙️ Config'!$H$1-'⚙️ Config'!$H$2)),)</f>
        <v/>
      </c>
      <c r="L694" s="28" t="str">
        <f>IF(E694="InActive","-",IF(A694&lt;&gt;"",K694/'⚙️ Config'!$H$2,))</f>
        <v/>
      </c>
      <c r="M694" s="28" t="str">
        <f t="shared" si="2"/>
        <v/>
      </c>
      <c r="N694" s="28" t="str">
        <f>IF(A694&lt;&gt;"", SUMIFS('💰 Transaction ขาย'!F:F,'💰 Transaction ขาย'!B:B,A694,'💰 Transaction ขาย'!A:A,"&gt;="&amp;DATE(YEAR('⚙️ Config'!$H$1),1,1),'💰 Transaction ขาย'!A:A,"&lt;="&amp;DATE(YEAR('⚙️ Config'!$H$1),12,31)),)</f>
        <v/>
      </c>
    </row>
    <row r="695">
      <c r="A695" s="22"/>
      <c r="B695" s="22" t="str">
        <f>IF(A695&lt;&gt;"",SUMIFS('💸 Transaction ซื้อ'!E:E,'💸 Transaction ซื้อ'!B:B,A695)-SUMIFS('💰 Transaction ขาย'!E:E,'💰 Transaction ขาย'!B:B,A695),"")</f>
        <v/>
      </c>
      <c r="C695" s="23" t="str">
        <f>IF(A695&lt;&gt;"",vlookup(A695,'📦 ชื่อสินค้า'!A:E,5,false),"")</f>
        <v/>
      </c>
      <c r="D695" s="23" t="str">
        <f>IF(A695&lt;&gt;"",VLOOKUP(A695,'📦 ชื่อสินค้า'!A:F,6,false),"")</f>
        <v/>
      </c>
      <c r="E695" s="16" t="str">
        <f>IFERROR(IF(VLOOKUP(A695,'📦 ชื่อสินค้า'!A:G,7,false)="InActive","InActive",IF(A695&lt;&gt;"",IF(B695&lt;=0,"สินค้าหมด",IF(B695&lt;=C695,"ควรเติมทันที","OK")),"")),)</f>
        <v/>
      </c>
      <c r="F695" s="24" t="str">
        <f>IFERROR(IF(A695&lt;&gt;"", SUMIF('💸 Transaction ซื้อ'!B:B,A695,'💸 Transaction ซื้อ'!G:G)/SUMIF('💸 Transaction ซื้อ'!B:B,A695,'💸 Transaction ซื้อ'!E:E),""),"-")</f>
        <v/>
      </c>
      <c r="G695" s="24" t="str">
        <f t="shared" si="1"/>
        <v/>
      </c>
      <c r="H695" s="25"/>
      <c r="I695" s="26"/>
      <c r="J695" s="26"/>
      <c r="K695" s="27" t="str">
        <f>IF(A695&lt;&gt;"",IF(E695="InActive","-",SUMIFS('💰 Transaction ขาย'!E:E,'💰 Transaction ขาย'!B:B,A695,'💰 Transaction ขาย'!A:A,"&gt;"&amp;'⚙️ Config'!$H$1-'⚙️ Config'!$H$2)),)</f>
        <v/>
      </c>
      <c r="L695" s="28" t="str">
        <f>IF(E695="InActive","-",IF(A695&lt;&gt;"",K695/'⚙️ Config'!$H$2,))</f>
        <v/>
      </c>
      <c r="M695" s="28" t="str">
        <f t="shared" si="2"/>
        <v/>
      </c>
      <c r="N695" s="28" t="str">
        <f>IF(A695&lt;&gt;"", SUMIFS('💰 Transaction ขาย'!F:F,'💰 Transaction ขาย'!B:B,A695,'💰 Transaction ขาย'!A:A,"&gt;="&amp;DATE(YEAR('⚙️ Config'!$H$1),1,1),'💰 Transaction ขาย'!A:A,"&lt;="&amp;DATE(YEAR('⚙️ Config'!$H$1),12,31)),)</f>
        <v/>
      </c>
    </row>
    <row r="696">
      <c r="A696" s="22"/>
      <c r="B696" s="22" t="str">
        <f>IF(A696&lt;&gt;"",SUMIFS('💸 Transaction ซื้อ'!E:E,'💸 Transaction ซื้อ'!B:B,A696)-SUMIFS('💰 Transaction ขาย'!E:E,'💰 Transaction ขาย'!B:B,A696),"")</f>
        <v/>
      </c>
      <c r="C696" s="23" t="str">
        <f>IF(A696&lt;&gt;"",vlookup(A696,'📦 ชื่อสินค้า'!A:E,5,false),"")</f>
        <v/>
      </c>
      <c r="D696" s="23" t="str">
        <f>IF(A696&lt;&gt;"",VLOOKUP(A696,'📦 ชื่อสินค้า'!A:F,6,false),"")</f>
        <v/>
      </c>
      <c r="E696" s="16" t="str">
        <f>IFERROR(IF(VLOOKUP(A696,'📦 ชื่อสินค้า'!A:G,7,false)="InActive","InActive",IF(A696&lt;&gt;"",IF(B696&lt;=0,"สินค้าหมด",IF(B696&lt;=C696,"ควรเติมทันที","OK")),"")),)</f>
        <v/>
      </c>
      <c r="F696" s="24" t="str">
        <f>IFERROR(IF(A696&lt;&gt;"", SUMIF('💸 Transaction ซื้อ'!B:B,A696,'💸 Transaction ซื้อ'!G:G)/SUMIF('💸 Transaction ซื้อ'!B:B,A696,'💸 Transaction ซื้อ'!E:E),""),"-")</f>
        <v/>
      </c>
      <c r="G696" s="24" t="str">
        <f t="shared" si="1"/>
        <v/>
      </c>
      <c r="H696" s="25"/>
      <c r="I696" s="26"/>
      <c r="J696" s="26"/>
      <c r="K696" s="27" t="str">
        <f>IF(A696&lt;&gt;"",IF(E696="InActive","-",SUMIFS('💰 Transaction ขาย'!E:E,'💰 Transaction ขาย'!B:B,A696,'💰 Transaction ขาย'!A:A,"&gt;"&amp;'⚙️ Config'!$H$1-'⚙️ Config'!$H$2)),)</f>
        <v/>
      </c>
      <c r="L696" s="28" t="str">
        <f>IF(E696="InActive","-",IF(A696&lt;&gt;"",K696/'⚙️ Config'!$H$2,))</f>
        <v/>
      </c>
      <c r="M696" s="28" t="str">
        <f t="shared" si="2"/>
        <v/>
      </c>
      <c r="N696" s="28" t="str">
        <f>IF(A696&lt;&gt;"", SUMIFS('💰 Transaction ขาย'!F:F,'💰 Transaction ขาย'!B:B,A696,'💰 Transaction ขาย'!A:A,"&gt;="&amp;DATE(YEAR('⚙️ Config'!$H$1),1,1),'💰 Transaction ขาย'!A:A,"&lt;="&amp;DATE(YEAR('⚙️ Config'!$H$1),12,31)),)</f>
        <v/>
      </c>
    </row>
    <row r="697">
      <c r="A697" s="22"/>
      <c r="B697" s="22" t="str">
        <f>IF(A697&lt;&gt;"",SUMIFS('💸 Transaction ซื้อ'!E:E,'💸 Transaction ซื้อ'!B:B,A697)-SUMIFS('💰 Transaction ขาย'!E:E,'💰 Transaction ขาย'!B:B,A697),"")</f>
        <v/>
      </c>
      <c r="C697" s="23" t="str">
        <f>IF(A697&lt;&gt;"",vlookup(A697,'📦 ชื่อสินค้า'!A:E,5,false),"")</f>
        <v/>
      </c>
      <c r="D697" s="23" t="str">
        <f>IF(A697&lt;&gt;"",VLOOKUP(A697,'📦 ชื่อสินค้า'!A:F,6,false),"")</f>
        <v/>
      </c>
      <c r="E697" s="16" t="str">
        <f>IFERROR(IF(VLOOKUP(A697,'📦 ชื่อสินค้า'!A:G,7,false)="InActive","InActive",IF(A697&lt;&gt;"",IF(B697&lt;=0,"สินค้าหมด",IF(B697&lt;=C697,"ควรเติมทันที","OK")),"")),)</f>
        <v/>
      </c>
      <c r="F697" s="24" t="str">
        <f>IFERROR(IF(A697&lt;&gt;"", SUMIF('💸 Transaction ซื้อ'!B:B,A697,'💸 Transaction ซื้อ'!G:G)/SUMIF('💸 Transaction ซื้อ'!B:B,A697,'💸 Transaction ซื้อ'!E:E),""),"-")</f>
        <v/>
      </c>
      <c r="G697" s="24" t="str">
        <f t="shared" si="1"/>
        <v/>
      </c>
      <c r="H697" s="25"/>
      <c r="I697" s="26"/>
      <c r="J697" s="26"/>
      <c r="K697" s="27" t="str">
        <f>IF(A697&lt;&gt;"",IF(E697="InActive","-",SUMIFS('💰 Transaction ขาย'!E:E,'💰 Transaction ขาย'!B:B,A697,'💰 Transaction ขาย'!A:A,"&gt;"&amp;'⚙️ Config'!$H$1-'⚙️ Config'!$H$2)),)</f>
        <v/>
      </c>
      <c r="L697" s="28" t="str">
        <f>IF(E697="InActive","-",IF(A697&lt;&gt;"",K697/'⚙️ Config'!$H$2,))</f>
        <v/>
      </c>
      <c r="M697" s="28" t="str">
        <f t="shared" si="2"/>
        <v/>
      </c>
      <c r="N697" s="28" t="str">
        <f>IF(A697&lt;&gt;"", SUMIFS('💰 Transaction ขาย'!F:F,'💰 Transaction ขาย'!B:B,A697,'💰 Transaction ขาย'!A:A,"&gt;="&amp;DATE(YEAR('⚙️ Config'!$H$1),1,1),'💰 Transaction ขาย'!A:A,"&lt;="&amp;DATE(YEAR('⚙️ Config'!$H$1),12,31)),)</f>
        <v/>
      </c>
    </row>
    <row r="698">
      <c r="A698" s="22"/>
      <c r="B698" s="22" t="str">
        <f>IF(A698&lt;&gt;"",SUMIFS('💸 Transaction ซื้อ'!E:E,'💸 Transaction ซื้อ'!B:B,A698)-SUMIFS('💰 Transaction ขาย'!E:E,'💰 Transaction ขาย'!B:B,A698),"")</f>
        <v/>
      </c>
      <c r="C698" s="23" t="str">
        <f>IF(A698&lt;&gt;"",vlookup(A698,'📦 ชื่อสินค้า'!A:E,5,false),"")</f>
        <v/>
      </c>
      <c r="D698" s="23" t="str">
        <f>IF(A698&lt;&gt;"",VLOOKUP(A698,'📦 ชื่อสินค้า'!A:F,6,false),"")</f>
        <v/>
      </c>
      <c r="E698" s="16" t="str">
        <f>IFERROR(IF(VLOOKUP(A698,'📦 ชื่อสินค้า'!A:G,7,false)="InActive","InActive",IF(A698&lt;&gt;"",IF(B698&lt;=0,"สินค้าหมด",IF(B698&lt;=C698,"ควรเติมทันที","OK")),"")),)</f>
        <v/>
      </c>
      <c r="F698" s="24" t="str">
        <f>IFERROR(IF(A698&lt;&gt;"", SUMIF('💸 Transaction ซื้อ'!B:B,A698,'💸 Transaction ซื้อ'!G:G)/SUMIF('💸 Transaction ซื้อ'!B:B,A698,'💸 Transaction ซื้อ'!E:E),""),"-")</f>
        <v/>
      </c>
      <c r="G698" s="24" t="str">
        <f t="shared" si="1"/>
        <v/>
      </c>
      <c r="H698" s="25"/>
      <c r="I698" s="26"/>
      <c r="J698" s="26"/>
      <c r="K698" s="27" t="str">
        <f>IF(A698&lt;&gt;"",IF(E698="InActive","-",SUMIFS('💰 Transaction ขาย'!E:E,'💰 Transaction ขาย'!B:B,A698,'💰 Transaction ขาย'!A:A,"&gt;"&amp;'⚙️ Config'!$H$1-'⚙️ Config'!$H$2)),)</f>
        <v/>
      </c>
      <c r="L698" s="28" t="str">
        <f>IF(E698="InActive","-",IF(A698&lt;&gt;"",K698/'⚙️ Config'!$H$2,))</f>
        <v/>
      </c>
      <c r="M698" s="28" t="str">
        <f t="shared" si="2"/>
        <v/>
      </c>
      <c r="N698" s="28" t="str">
        <f>IF(A698&lt;&gt;"", SUMIFS('💰 Transaction ขาย'!F:F,'💰 Transaction ขาย'!B:B,A698,'💰 Transaction ขาย'!A:A,"&gt;="&amp;DATE(YEAR('⚙️ Config'!$H$1),1,1),'💰 Transaction ขาย'!A:A,"&lt;="&amp;DATE(YEAR('⚙️ Config'!$H$1),12,31)),)</f>
        <v/>
      </c>
    </row>
    <row r="699">
      <c r="A699" s="22"/>
      <c r="B699" s="22" t="str">
        <f>IF(A699&lt;&gt;"",SUMIFS('💸 Transaction ซื้อ'!E:E,'💸 Transaction ซื้อ'!B:B,A699)-SUMIFS('💰 Transaction ขาย'!E:E,'💰 Transaction ขาย'!B:B,A699),"")</f>
        <v/>
      </c>
      <c r="C699" s="23" t="str">
        <f>IF(A699&lt;&gt;"",vlookup(A699,'📦 ชื่อสินค้า'!A:E,5,false),"")</f>
        <v/>
      </c>
      <c r="D699" s="23" t="str">
        <f>IF(A699&lt;&gt;"",VLOOKUP(A699,'📦 ชื่อสินค้า'!A:F,6,false),"")</f>
        <v/>
      </c>
      <c r="E699" s="16" t="str">
        <f>IFERROR(IF(VLOOKUP(A699,'📦 ชื่อสินค้า'!A:G,7,false)="InActive","InActive",IF(A699&lt;&gt;"",IF(B699&lt;=0,"สินค้าหมด",IF(B699&lt;=C699,"ควรเติมทันที","OK")),"")),)</f>
        <v/>
      </c>
      <c r="F699" s="24" t="str">
        <f>IFERROR(IF(A699&lt;&gt;"", SUMIF('💸 Transaction ซื้อ'!B:B,A699,'💸 Transaction ซื้อ'!G:G)/SUMIF('💸 Transaction ซื้อ'!B:B,A699,'💸 Transaction ซื้อ'!E:E),""),"-")</f>
        <v/>
      </c>
      <c r="G699" s="24" t="str">
        <f t="shared" si="1"/>
        <v/>
      </c>
      <c r="H699" s="25"/>
      <c r="I699" s="26"/>
      <c r="J699" s="26"/>
      <c r="K699" s="27" t="str">
        <f>IF(A699&lt;&gt;"",IF(E699="InActive","-",SUMIFS('💰 Transaction ขาย'!E:E,'💰 Transaction ขาย'!B:B,A699,'💰 Transaction ขาย'!A:A,"&gt;"&amp;'⚙️ Config'!$H$1-'⚙️ Config'!$H$2)),)</f>
        <v/>
      </c>
      <c r="L699" s="28" t="str">
        <f>IF(E699="InActive","-",IF(A699&lt;&gt;"",K699/'⚙️ Config'!$H$2,))</f>
        <v/>
      </c>
      <c r="M699" s="28" t="str">
        <f t="shared" si="2"/>
        <v/>
      </c>
      <c r="N699" s="28" t="str">
        <f>IF(A699&lt;&gt;"", SUMIFS('💰 Transaction ขาย'!F:F,'💰 Transaction ขาย'!B:B,A699,'💰 Transaction ขาย'!A:A,"&gt;="&amp;DATE(YEAR('⚙️ Config'!$H$1),1,1),'💰 Transaction ขาย'!A:A,"&lt;="&amp;DATE(YEAR('⚙️ Config'!$H$1),12,31)),)</f>
        <v/>
      </c>
    </row>
    <row r="700">
      <c r="A700" s="22"/>
      <c r="B700" s="22" t="str">
        <f>IF(A700&lt;&gt;"",SUMIFS('💸 Transaction ซื้อ'!E:E,'💸 Transaction ซื้อ'!B:B,A700)-SUMIFS('💰 Transaction ขาย'!E:E,'💰 Transaction ขาย'!B:B,A700),"")</f>
        <v/>
      </c>
      <c r="C700" s="23" t="str">
        <f>IF(A700&lt;&gt;"",vlookup(A700,'📦 ชื่อสินค้า'!A:E,5,false),"")</f>
        <v/>
      </c>
      <c r="D700" s="23" t="str">
        <f>IF(A700&lt;&gt;"",VLOOKUP(A700,'📦 ชื่อสินค้า'!A:F,6,false),"")</f>
        <v/>
      </c>
      <c r="E700" s="16" t="str">
        <f>IFERROR(IF(VLOOKUP(A700,'📦 ชื่อสินค้า'!A:G,7,false)="InActive","InActive",IF(A700&lt;&gt;"",IF(B700&lt;=0,"สินค้าหมด",IF(B700&lt;=C700,"ควรเติมทันที","OK")),"")),)</f>
        <v/>
      </c>
      <c r="F700" s="24" t="str">
        <f>IFERROR(IF(A700&lt;&gt;"", SUMIF('💸 Transaction ซื้อ'!B:B,A700,'💸 Transaction ซื้อ'!G:G)/SUMIF('💸 Transaction ซื้อ'!B:B,A700,'💸 Transaction ซื้อ'!E:E),""),"-")</f>
        <v/>
      </c>
      <c r="G700" s="24" t="str">
        <f t="shared" si="1"/>
        <v/>
      </c>
      <c r="H700" s="25"/>
      <c r="I700" s="26"/>
      <c r="J700" s="26"/>
      <c r="K700" s="27" t="str">
        <f>IF(A700&lt;&gt;"",IF(E700="InActive","-",SUMIFS('💰 Transaction ขาย'!E:E,'💰 Transaction ขาย'!B:B,A700,'💰 Transaction ขาย'!A:A,"&gt;"&amp;'⚙️ Config'!$H$1-'⚙️ Config'!$H$2)),)</f>
        <v/>
      </c>
      <c r="L700" s="28" t="str">
        <f>IF(E700="InActive","-",IF(A700&lt;&gt;"",K700/'⚙️ Config'!$H$2,))</f>
        <v/>
      </c>
      <c r="M700" s="28" t="str">
        <f t="shared" si="2"/>
        <v/>
      </c>
      <c r="N700" s="28" t="str">
        <f>IF(A700&lt;&gt;"", SUMIFS('💰 Transaction ขาย'!F:F,'💰 Transaction ขาย'!B:B,A700,'💰 Transaction ขาย'!A:A,"&gt;="&amp;DATE(YEAR('⚙️ Config'!$H$1),1,1),'💰 Transaction ขาย'!A:A,"&lt;="&amp;DATE(YEAR('⚙️ Config'!$H$1),12,31)),)</f>
        <v/>
      </c>
    </row>
    <row r="701">
      <c r="A701" s="22"/>
      <c r="B701" s="22" t="str">
        <f>IF(A701&lt;&gt;"",SUMIFS('💸 Transaction ซื้อ'!E:E,'💸 Transaction ซื้อ'!B:B,A701)-SUMIFS('💰 Transaction ขาย'!E:E,'💰 Transaction ขาย'!B:B,A701),"")</f>
        <v/>
      </c>
      <c r="C701" s="23" t="str">
        <f>IF(A701&lt;&gt;"",vlookup(A701,'📦 ชื่อสินค้า'!A:E,5,false),"")</f>
        <v/>
      </c>
      <c r="D701" s="23" t="str">
        <f>IF(A701&lt;&gt;"",VLOOKUP(A701,'📦 ชื่อสินค้า'!A:F,6,false),"")</f>
        <v/>
      </c>
      <c r="E701" s="16" t="str">
        <f>IFERROR(IF(VLOOKUP(A701,'📦 ชื่อสินค้า'!A:G,7,false)="InActive","InActive",IF(A701&lt;&gt;"",IF(B701&lt;=0,"สินค้าหมด",IF(B701&lt;=C701,"ควรเติมทันที","OK")),"")),)</f>
        <v/>
      </c>
      <c r="F701" s="24" t="str">
        <f>IFERROR(IF(A701&lt;&gt;"", SUMIF('💸 Transaction ซื้อ'!B:B,A701,'💸 Transaction ซื้อ'!G:G)/SUMIF('💸 Transaction ซื้อ'!B:B,A701,'💸 Transaction ซื้อ'!E:E),""),"-")</f>
        <v/>
      </c>
      <c r="G701" s="24" t="str">
        <f t="shared" si="1"/>
        <v/>
      </c>
      <c r="H701" s="25"/>
      <c r="I701" s="26"/>
      <c r="J701" s="26"/>
      <c r="K701" s="27" t="str">
        <f>IF(A701&lt;&gt;"",IF(E701="InActive","-",SUMIFS('💰 Transaction ขาย'!E:E,'💰 Transaction ขาย'!B:B,A701,'💰 Transaction ขาย'!A:A,"&gt;"&amp;'⚙️ Config'!$H$1-'⚙️ Config'!$H$2)),)</f>
        <v/>
      </c>
      <c r="L701" s="28" t="str">
        <f>IF(E701="InActive","-",IF(A701&lt;&gt;"",K701/'⚙️ Config'!$H$2,))</f>
        <v/>
      </c>
      <c r="M701" s="28" t="str">
        <f t="shared" si="2"/>
        <v/>
      </c>
      <c r="N701" s="28" t="str">
        <f>IF(A701&lt;&gt;"", SUMIFS('💰 Transaction ขาย'!F:F,'💰 Transaction ขาย'!B:B,A701,'💰 Transaction ขาย'!A:A,"&gt;="&amp;DATE(YEAR('⚙️ Config'!$H$1),1,1),'💰 Transaction ขาย'!A:A,"&lt;="&amp;DATE(YEAR('⚙️ Config'!$H$1),12,31)),)</f>
        <v/>
      </c>
    </row>
    <row r="702">
      <c r="A702" s="22"/>
      <c r="B702" s="22" t="str">
        <f>IF(A702&lt;&gt;"",SUMIFS('💸 Transaction ซื้อ'!E:E,'💸 Transaction ซื้อ'!B:B,A702)-SUMIFS('💰 Transaction ขาย'!E:E,'💰 Transaction ขาย'!B:B,A702),"")</f>
        <v/>
      </c>
      <c r="C702" s="23" t="str">
        <f>IF(A702&lt;&gt;"",vlookup(A702,'📦 ชื่อสินค้า'!A:E,5,false),"")</f>
        <v/>
      </c>
      <c r="D702" s="23" t="str">
        <f>IF(A702&lt;&gt;"",VLOOKUP(A702,'📦 ชื่อสินค้า'!A:F,6,false),"")</f>
        <v/>
      </c>
      <c r="E702" s="16" t="str">
        <f>IFERROR(IF(VLOOKUP(A702,'📦 ชื่อสินค้า'!A:G,7,false)="InActive","InActive",IF(A702&lt;&gt;"",IF(B702&lt;=0,"สินค้าหมด",IF(B702&lt;=C702,"ควรเติมทันที","OK")),"")),)</f>
        <v/>
      </c>
      <c r="F702" s="24" t="str">
        <f>IFERROR(IF(A702&lt;&gt;"", SUMIF('💸 Transaction ซื้อ'!B:B,A702,'💸 Transaction ซื้อ'!G:G)/SUMIF('💸 Transaction ซื้อ'!B:B,A702,'💸 Transaction ซื้อ'!E:E),""),"-")</f>
        <v/>
      </c>
      <c r="G702" s="24" t="str">
        <f t="shared" si="1"/>
        <v/>
      </c>
      <c r="H702" s="25"/>
      <c r="I702" s="26"/>
      <c r="J702" s="26"/>
      <c r="K702" s="27" t="str">
        <f>IF(A702&lt;&gt;"",IF(E702="InActive","-",SUMIFS('💰 Transaction ขาย'!E:E,'💰 Transaction ขาย'!B:B,A702,'💰 Transaction ขาย'!A:A,"&gt;"&amp;'⚙️ Config'!$H$1-'⚙️ Config'!$H$2)),)</f>
        <v/>
      </c>
      <c r="L702" s="28" t="str">
        <f>IF(E702="InActive","-",IF(A702&lt;&gt;"",K702/'⚙️ Config'!$H$2,))</f>
        <v/>
      </c>
      <c r="M702" s="28" t="str">
        <f t="shared" si="2"/>
        <v/>
      </c>
      <c r="N702" s="28" t="str">
        <f>IF(A702&lt;&gt;"", SUMIFS('💰 Transaction ขาย'!F:F,'💰 Transaction ขาย'!B:B,A702,'💰 Transaction ขาย'!A:A,"&gt;="&amp;DATE(YEAR('⚙️ Config'!$H$1),1,1),'💰 Transaction ขาย'!A:A,"&lt;="&amp;DATE(YEAR('⚙️ Config'!$H$1),12,31)),)</f>
        <v/>
      </c>
    </row>
    <row r="703">
      <c r="A703" s="22"/>
      <c r="B703" s="22" t="str">
        <f>IF(A703&lt;&gt;"",SUMIFS('💸 Transaction ซื้อ'!E:E,'💸 Transaction ซื้อ'!B:B,A703)-SUMIFS('💰 Transaction ขาย'!E:E,'💰 Transaction ขาย'!B:B,A703),"")</f>
        <v/>
      </c>
      <c r="C703" s="23" t="str">
        <f>IF(A703&lt;&gt;"",vlookup(A703,'📦 ชื่อสินค้า'!A:E,5,false),"")</f>
        <v/>
      </c>
      <c r="D703" s="23" t="str">
        <f>IF(A703&lt;&gt;"",VLOOKUP(A703,'📦 ชื่อสินค้า'!A:F,6,false),"")</f>
        <v/>
      </c>
      <c r="E703" s="16" t="str">
        <f>IFERROR(IF(VLOOKUP(A703,'📦 ชื่อสินค้า'!A:G,7,false)="InActive","InActive",IF(A703&lt;&gt;"",IF(B703&lt;=0,"สินค้าหมด",IF(B703&lt;=C703,"ควรเติมทันที","OK")),"")),)</f>
        <v/>
      </c>
      <c r="F703" s="24" t="str">
        <f>IFERROR(IF(A703&lt;&gt;"", SUMIF('💸 Transaction ซื้อ'!B:B,A703,'💸 Transaction ซื้อ'!G:G)/SUMIF('💸 Transaction ซื้อ'!B:B,A703,'💸 Transaction ซื้อ'!E:E),""),"-")</f>
        <v/>
      </c>
      <c r="G703" s="24" t="str">
        <f t="shared" si="1"/>
        <v/>
      </c>
      <c r="H703" s="25"/>
      <c r="I703" s="26"/>
      <c r="J703" s="26"/>
      <c r="K703" s="27" t="str">
        <f>IF(A703&lt;&gt;"",IF(E703="InActive","-",SUMIFS('💰 Transaction ขาย'!E:E,'💰 Transaction ขาย'!B:B,A703,'💰 Transaction ขาย'!A:A,"&gt;"&amp;'⚙️ Config'!$H$1-'⚙️ Config'!$H$2)),)</f>
        <v/>
      </c>
      <c r="L703" s="28" t="str">
        <f>IF(E703="InActive","-",IF(A703&lt;&gt;"",K703/'⚙️ Config'!$H$2,))</f>
        <v/>
      </c>
      <c r="M703" s="28" t="str">
        <f t="shared" si="2"/>
        <v/>
      </c>
      <c r="N703" s="28" t="str">
        <f>IF(A703&lt;&gt;"", SUMIFS('💰 Transaction ขาย'!F:F,'💰 Transaction ขาย'!B:B,A703,'💰 Transaction ขาย'!A:A,"&gt;="&amp;DATE(YEAR('⚙️ Config'!$H$1),1,1),'💰 Transaction ขาย'!A:A,"&lt;="&amp;DATE(YEAR('⚙️ Config'!$H$1),12,31)),)</f>
        <v/>
      </c>
    </row>
    <row r="704">
      <c r="A704" s="22"/>
      <c r="B704" s="22" t="str">
        <f>IF(A704&lt;&gt;"",SUMIFS('💸 Transaction ซื้อ'!E:E,'💸 Transaction ซื้อ'!B:B,A704)-SUMIFS('💰 Transaction ขาย'!E:E,'💰 Transaction ขาย'!B:B,A704),"")</f>
        <v/>
      </c>
      <c r="C704" s="23" t="str">
        <f>IF(A704&lt;&gt;"",vlookup(A704,'📦 ชื่อสินค้า'!A:E,5,false),"")</f>
        <v/>
      </c>
      <c r="D704" s="23" t="str">
        <f>IF(A704&lt;&gt;"",VLOOKUP(A704,'📦 ชื่อสินค้า'!A:F,6,false),"")</f>
        <v/>
      </c>
      <c r="E704" s="16" t="str">
        <f>IFERROR(IF(VLOOKUP(A704,'📦 ชื่อสินค้า'!A:G,7,false)="InActive","InActive",IF(A704&lt;&gt;"",IF(B704&lt;=0,"สินค้าหมด",IF(B704&lt;=C704,"ควรเติมทันที","OK")),"")),)</f>
        <v/>
      </c>
      <c r="F704" s="24" t="str">
        <f>IFERROR(IF(A704&lt;&gt;"", SUMIF('💸 Transaction ซื้อ'!B:B,A704,'💸 Transaction ซื้อ'!G:G)/SUMIF('💸 Transaction ซื้อ'!B:B,A704,'💸 Transaction ซื้อ'!E:E),""),"-")</f>
        <v/>
      </c>
      <c r="G704" s="24" t="str">
        <f t="shared" si="1"/>
        <v/>
      </c>
      <c r="H704" s="25"/>
      <c r="I704" s="26"/>
      <c r="J704" s="26"/>
      <c r="K704" s="27" t="str">
        <f>IF(A704&lt;&gt;"",IF(E704="InActive","-",SUMIFS('💰 Transaction ขาย'!E:E,'💰 Transaction ขาย'!B:B,A704,'💰 Transaction ขาย'!A:A,"&gt;"&amp;'⚙️ Config'!$H$1-'⚙️ Config'!$H$2)),)</f>
        <v/>
      </c>
      <c r="L704" s="28" t="str">
        <f>IF(E704="InActive","-",IF(A704&lt;&gt;"",K704/'⚙️ Config'!$H$2,))</f>
        <v/>
      </c>
      <c r="M704" s="28" t="str">
        <f t="shared" si="2"/>
        <v/>
      </c>
      <c r="N704" s="28" t="str">
        <f>IF(A704&lt;&gt;"", SUMIFS('💰 Transaction ขาย'!F:F,'💰 Transaction ขาย'!B:B,A704,'💰 Transaction ขาย'!A:A,"&gt;="&amp;DATE(YEAR('⚙️ Config'!$H$1),1,1),'💰 Transaction ขาย'!A:A,"&lt;="&amp;DATE(YEAR('⚙️ Config'!$H$1),12,31)),)</f>
        <v/>
      </c>
    </row>
    <row r="705">
      <c r="A705" s="22"/>
      <c r="B705" s="22" t="str">
        <f>IF(A705&lt;&gt;"",SUMIFS('💸 Transaction ซื้อ'!E:E,'💸 Transaction ซื้อ'!B:B,A705)-SUMIFS('💰 Transaction ขาย'!E:E,'💰 Transaction ขาย'!B:B,A705),"")</f>
        <v/>
      </c>
      <c r="C705" s="23" t="str">
        <f>IF(A705&lt;&gt;"",vlookup(A705,'📦 ชื่อสินค้า'!A:E,5,false),"")</f>
        <v/>
      </c>
      <c r="D705" s="23" t="str">
        <f>IF(A705&lt;&gt;"",VLOOKUP(A705,'📦 ชื่อสินค้า'!A:F,6,false),"")</f>
        <v/>
      </c>
      <c r="E705" s="16" t="str">
        <f>IFERROR(IF(VLOOKUP(A705,'📦 ชื่อสินค้า'!A:G,7,false)="InActive","InActive",IF(A705&lt;&gt;"",IF(B705&lt;=0,"สินค้าหมด",IF(B705&lt;=C705,"ควรเติมทันที","OK")),"")),)</f>
        <v/>
      </c>
      <c r="F705" s="24" t="str">
        <f>IFERROR(IF(A705&lt;&gt;"", SUMIF('💸 Transaction ซื้อ'!B:B,A705,'💸 Transaction ซื้อ'!G:G)/SUMIF('💸 Transaction ซื้อ'!B:B,A705,'💸 Transaction ซื้อ'!E:E),""),"-")</f>
        <v/>
      </c>
      <c r="G705" s="24" t="str">
        <f t="shared" si="1"/>
        <v/>
      </c>
      <c r="H705" s="25"/>
      <c r="I705" s="26"/>
      <c r="J705" s="26"/>
      <c r="K705" s="27" t="str">
        <f>IF(A705&lt;&gt;"",IF(E705="InActive","-",SUMIFS('💰 Transaction ขาย'!E:E,'💰 Transaction ขาย'!B:B,A705,'💰 Transaction ขาย'!A:A,"&gt;"&amp;'⚙️ Config'!$H$1-'⚙️ Config'!$H$2)),)</f>
        <v/>
      </c>
      <c r="L705" s="28" t="str">
        <f>IF(E705="InActive","-",IF(A705&lt;&gt;"",K705/'⚙️ Config'!$H$2,))</f>
        <v/>
      </c>
      <c r="M705" s="28" t="str">
        <f t="shared" si="2"/>
        <v/>
      </c>
      <c r="N705" s="28" t="str">
        <f>IF(A705&lt;&gt;"", SUMIFS('💰 Transaction ขาย'!F:F,'💰 Transaction ขาย'!B:B,A705,'💰 Transaction ขาย'!A:A,"&gt;="&amp;DATE(YEAR('⚙️ Config'!$H$1),1,1),'💰 Transaction ขาย'!A:A,"&lt;="&amp;DATE(YEAR('⚙️ Config'!$H$1),12,31)),)</f>
        <v/>
      </c>
    </row>
    <row r="706">
      <c r="A706" s="22"/>
      <c r="B706" s="22" t="str">
        <f>IF(A706&lt;&gt;"",SUMIFS('💸 Transaction ซื้อ'!E:E,'💸 Transaction ซื้อ'!B:B,A706)-SUMIFS('💰 Transaction ขาย'!E:E,'💰 Transaction ขาย'!B:B,A706),"")</f>
        <v/>
      </c>
      <c r="C706" s="23" t="str">
        <f>IF(A706&lt;&gt;"",vlookup(A706,'📦 ชื่อสินค้า'!A:E,5,false),"")</f>
        <v/>
      </c>
      <c r="D706" s="23" t="str">
        <f>IF(A706&lt;&gt;"",VLOOKUP(A706,'📦 ชื่อสินค้า'!A:F,6,false),"")</f>
        <v/>
      </c>
      <c r="E706" s="16" t="str">
        <f>IFERROR(IF(VLOOKUP(A706,'📦 ชื่อสินค้า'!A:G,7,false)="InActive","InActive",IF(A706&lt;&gt;"",IF(B706&lt;=0,"สินค้าหมด",IF(B706&lt;=C706,"ควรเติมทันที","OK")),"")),)</f>
        <v/>
      </c>
      <c r="F706" s="24" t="str">
        <f>IFERROR(IF(A706&lt;&gt;"", SUMIF('💸 Transaction ซื้อ'!B:B,A706,'💸 Transaction ซื้อ'!G:G)/SUMIF('💸 Transaction ซื้อ'!B:B,A706,'💸 Transaction ซื้อ'!E:E),""),"-")</f>
        <v/>
      </c>
      <c r="G706" s="24" t="str">
        <f t="shared" si="1"/>
        <v/>
      </c>
      <c r="H706" s="25"/>
      <c r="I706" s="26"/>
      <c r="J706" s="26"/>
      <c r="K706" s="27" t="str">
        <f>IF(A706&lt;&gt;"",IF(E706="InActive","-",SUMIFS('💰 Transaction ขาย'!E:E,'💰 Transaction ขาย'!B:B,A706,'💰 Transaction ขาย'!A:A,"&gt;"&amp;'⚙️ Config'!$H$1-'⚙️ Config'!$H$2)),)</f>
        <v/>
      </c>
      <c r="L706" s="28" t="str">
        <f>IF(E706="InActive","-",IF(A706&lt;&gt;"",K706/'⚙️ Config'!$H$2,))</f>
        <v/>
      </c>
      <c r="M706" s="28" t="str">
        <f t="shared" si="2"/>
        <v/>
      </c>
      <c r="N706" s="28" t="str">
        <f>IF(A706&lt;&gt;"", SUMIFS('💰 Transaction ขาย'!F:F,'💰 Transaction ขาย'!B:B,A706,'💰 Transaction ขาย'!A:A,"&gt;="&amp;DATE(YEAR('⚙️ Config'!$H$1),1,1),'💰 Transaction ขาย'!A:A,"&lt;="&amp;DATE(YEAR('⚙️ Config'!$H$1),12,31)),)</f>
        <v/>
      </c>
    </row>
    <row r="707">
      <c r="A707" s="22"/>
      <c r="B707" s="22" t="str">
        <f>IF(A707&lt;&gt;"",SUMIFS('💸 Transaction ซื้อ'!E:E,'💸 Transaction ซื้อ'!B:B,A707)-SUMIFS('💰 Transaction ขาย'!E:E,'💰 Transaction ขาย'!B:B,A707),"")</f>
        <v/>
      </c>
      <c r="C707" s="23" t="str">
        <f>IF(A707&lt;&gt;"",vlookup(A707,'📦 ชื่อสินค้า'!A:E,5,false),"")</f>
        <v/>
      </c>
      <c r="D707" s="23" t="str">
        <f>IF(A707&lt;&gt;"",VLOOKUP(A707,'📦 ชื่อสินค้า'!A:F,6,false),"")</f>
        <v/>
      </c>
      <c r="E707" s="16" t="str">
        <f>IFERROR(IF(VLOOKUP(A707,'📦 ชื่อสินค้า'!A:G,7,false)="InActive","InActive",IF(A707&lt;&gt;"",IF(B707&lt;=0,"สินค้าหมด",IF(B707&lt;=C707,"ควรเติมทันที","OK")),"")),)</f>
        <v/>
      </c>
      <c r="F707" s="24" t="str">
        <f>IFERROR(IF(A707&lt;&gt;"", SUMIF('💸 Transaction ซื้อ'!B:B,A707,'💸 Transaction ซื้อ'!G:G)/SUMIF('💸 Transaction ซื้อ'!B:B,A707,'💸 Transaction ซื้อ'!E:E),""),"-")</f>
        <v/>
      </c>
      <c r="G707" s="24" t="str">
        <f t="shared" si="1"/>
        <v/>
      </c>
      <c r="H707" s="25"/>
      <c r="I707" s="26"/>
      <c r="J707" s="26"/>
      <c r="K707" s="27" t="str">
        <f>IF(A707&lt;&gt;"",IF(E707="InActive","-",SUMIFS('💰 Transaction ขาย'!E:E,'💰 Transaction ขาย'!B:B,A707,'💰 Transaction ขาย'!A:A,"&gt;"&amp;'⚙️ Config'!$H$1-'⚙️ Config'!$H$2)),)</f>
        <v/>
      </c>
      <c r="L707" s="28" t="str">
        <f>IF(E707="InActive","-",IF(A707&lt;&gt;"",K707/'⚙️ Config'!$H$2,))</f>
        <v/>
      </c>
      <c r="M707" s="28" t="str">
        <f t="shared" si="2"/>
        <v/>
      </c>
      <c r="N707" s="28" t="str">
        <f>IF(A707&lt;&gt;"", SUMIFS('💰 Transaction ขาย'!F:F,'💰 Transaction ขาย'!B:B,A707,'💰 Transaction ขาย'!A:A,"&gt;="&amp;DATE(YEAR('⚙️ Config'!$H$1),1,1),'💰 Transaction ขาย'!A:A,"&lt;="&amp;DATE(YEAR('⚙️ Config'!$H$1),12,31)),)</f>
        <v/>
      </c>
    </row>
    <row r="708">
      <c r="A708" s="22"/>
      <c r="B708" s="22" t="str">
        <f>IF(A708&lt;&gt;"",SUMIFS('💸 Transaction ซื้อ'!E:E,'💸 Transaction ซื้อ'!B:B,A708)-SUMIFS('💰 Transaction ขาย'!E:E,'💰 Transaction ขาย'!B:B,A708),"")</f>
        <v/>
      </c>
      <c r="C708" s="23" t="str">
        <f>IF(A708&lt;&gt;"",vlookup(A708,'📦 ชื่อสินค้า'!A:E,5,false),"")</f>
        <v/>
      </c>
      <c r="D708" s="23" t="str">
        <f>IF(A708&lt;&gt;"",VLOOKUP(A708,'📦 ชื่อสินค้า'!A:F,6,false),"")</f>
        <v/>
      </c>
      <c r="E708" s="16" t="str">
        <f>IFERROR(IF(VLOOKUP(A708,'📦 ชื่อสินค้า'!A:G,7,false)="InActive","InActive",IF(A708&lt;&gt;"",IF(B708&lt;=0,"สินค้าหมด",IF(B708&lt;=C708,"ควรเติมทันที","OK")),"")),)</f>
        <v/>
      </c>
      <c r="F708" s="24" t="str">
        <f>IFERROR(IF(A708&lt;&gt;"", SUMIF('💸 Transaction ซื้อ'!B:B,A708,'💸 Transaction ซื้อ'!G:G)/SUMIF('💸 Transaction ซื้อ'!B:B,A708,'💸 Transaction ซื้อ'!E:E),""),"-")</f>
        <v/>
      </c>
      <c r="G708" s="24" t="str">
        <f t="shared" si="1"/>
        <v/>
      </c>
      <c r="H708" s="25"/>
      <c r="I708" s="26"/>
      <c r="J708" s="26"/>
      <c r="K708" s="27" t="str">
        <f>IF(A708&lt;&gt;"",IF(E708="InActive","-",SUMIFS('💰 Transaction ขาย'!E:E,'💰 Transaction ขาย'!B:B,A708,'💰 Transaction ขาย'!A:A,"&gt;"&amp;'⚙️ Config'!$H$1-'⚙️ Config'!$H$2)),)</f>
        <v/>
      </c>
      <c r="L708" s="28" t="str">
        <f>IF(E708="InActive","-",IF(A708&lt;&gt;"",K708/'⚙️ Config'!$H$2,))</f>
        <v/>
      </c>
      <c r="M708" s="28" t="str">
        <f t="shared" si="2"/>
        <v/>
      </c>
      <c r="N708" s="28" t="str">
        <f>IF(A708&lt;&gt;"", SUMIFS('💰 Transaction ขาย'!F:F,'💰 Transaction ขาย'!B:B,A708,'💰 Transaction ขาย'!A:A,"&gt;="&amp;DATE(YEAR('⚙️ Config'!$H$1),1,1),'💰 Transaction ขาย'!A:A,"&lt;="&amp;DATE(YEAR('⚙️ Config'!$H$1),12,31)),)</f>
        <v/>
      </c>
    </row>
    <row r="709">
      <c r="A709" s="22"/>
      <c r="B709" s="22" t="str">
        <f>IF(A709&lt;&gt;"",SUMIFS('💸 Transaction ซื้อ'!E:E,'💸 Transaction ซื้อ'!B:B,A709)-SUMIFS('💰 Transaction ขาย'!E:E,'💰 Transaction ขาย'!B:B,A709),"")</f>
        <v/>
      </c>
      <c r="C709" s="23" t="str">
        <f>IF(A709&lt;&gt;"",vlookup(A709,'📦 ชื่อสินค้า'!A:E,5,false),"")</f>
        <v/>
      </c>
      <c r="D709" s="23" t="str">
        <f>IF(A709&lt;&gt;"",VLOOKUP(A709,'📦 ชื่อสินค้า'!A:F,6,false),"")</f>
        <v/>
      </c>
      <c r="E709" s="16" t="str">
        <f>IFERROR(IF(VLOOKUP(A709,'📦 ชื่อสินค้า'!A:G,7,false)="InActive","InActive",IF(A709&lt;&gt;"",IF(B709&lt;=0,"สินค้าหมด",IF(B709&lt;=C709,"ควรเติมทันที","OK")),"")),)</f>
        <v/>
      </c>
      <c r="F709" s="24" t="str">
        <f>IFERROR(IF(A709&lt;&gt;"", SUMIF('💸 Transaction ซื้อ'!B:B,A709,'💸 Transaction ซื้อ'!G:G)/SUMIF('💸 Transaction ซื้อ'!B:B,A709,'💸 Transaction ซื้อ'!E:E),""),"-")</f>
        <v/>
      </c>
      <c r="G709" s="24" t="str">
        <f t="shared" si="1"/>
        <v/>
      </c>
      <c r="H709" s="25"/>
      <c r="I709" s="26"/>
      <c r="J709" s="26"/>
      <c r="K709" s="27" t="str">
        <f>IF(A709&lt;&gt;"",IF(E709="InActive","-",SUMIFS('💰 Transaction ขาย'!E:E,'💰 Transaction ขาย'!B:B,A709,'💰 Transaction ขาย'!A:A,"&gt;"&amp;'⚙️ Config'!$H$1-'⚙️ Config'!$H$2)),)</f>
        <v/>
      </c>
      <c r="L709" s="28" t="str">
        <f>IF(E709="InActive","-",IF(A709&lt;&gt;"",K709/'⚙️ Config'!$H$2,))</f>
        <v/>
      </c>
      <c r="M709" s="28" t="str">
        <f t="shared" si="2"/>
        <v/>
      </c>
      <c r="N709" s="28" t="str">
        <f>IF(A709&lt;&gt;"", SUMIFS('💰 Transaction ขาย'!F:F,'💰 Transaction ขาย'!B:B,A709,'💰 Transaction ขาย'!A:A,"&gt;="&amp;DATE(YEAR('⚙️ Config'!$H$1),1,1),'💰 Transaction ขาย'!A:A,"&lt;="&amp;DATE(YEAR('⚙️ Config'!$H$1),12,31)),)</f>
        <v/>
      </c>
    </row>
    <row r="710">
      <c r="A710" s="22"/>
      <c r="B710" s="22" t="str">
        <f>IF(A710&lt;&gt;"",SUMIFS('💸 Transaction ซื้อ'!E:E,'💸 Transaction ซื้อ'!B:B,A710)-SUMIFS('💰 Transaction ขาย'!E:E,'💰 Transaction ขาย'!B:B,A710),"")</f>
        <v/>
      </c>
      <c r="C710" s="23" t="str">
        <f>IF(A710&lt;&gt;"",vlookup(A710,'📦 ชื่อสินค้า'!A:E,5,false),"")</f>
        <v/>
      </c>
      <c r="D710" s="23" t="str">
        <f>IF(A710&lt;&gt;"",VLOOKUP(A710,'📦 ชื่อสินค้า'!A:F,6,false),"")</f>
        <v/>
      </c>
      <c r="E710" s="16" t="str">
        <f>IFERROR(IF(VLOOKUP(A710,'📦 ชื่อสินค้า'!A:G,7,false)="InActive","InActive",IF(A710&lt;&gt;"",IF(B710&lt;=0,"สินค้าหมด",IF(B710&lt;=C710,"ควรเติมทันที","OK")),"")),)</f>
        <v/>
      </c>
      <c r="F710" s="24" t="str">
        <f>IFERROR(IF(A710&lt;&gt;"", SUMIF('💸 Transaction ซื้อ'!B:B,A710,'💸 Transaction ซื้อ'!G:G)/SUMIF('💸 Transaction ซื้อ'!B:B,A710,'💸 Transaction ซื้อ'!E:E),""),"-")</f>
        <v/>
      </c>
      <c r="G710" s="24" t="str">
        <f t="shared" si="1"/>
        <v/>
      </c>
      <c r="H710" s="25"/>
      <c r="I710" s="26"/>
      <c r="J710" s="26"/>
      <c r="K710" s="27" t="str">
        <f>IF(A710&lt;&gt;"",IF(E710="InActive","-",SUMIFS('💰 Transaction ขาย'!E:E,'💰 Transaction ขาย'!B:B,A710,'💰 Transaction ขาย'!A:A,"&gt;"&amp;'⚙️ Config'!$H$1-'⚙️ Config'!$H$2)),)</f>
        <v/>
      </c>
      <c r="L710" s="28" t="str">
        <f>IF(E710="InActive","-",IF(A710&lt;&gt;"",K710/'⚙️ Config'!$H$2,))</f>
        <v/>
      </c>
      <c r="M710" s="28" t="str">
        <f t="shared" si="2"/>
        <v/>
      </c>
      <c r="N710" s="28" t="str">
        <f>IF(A710&lt;&gt;"", SUMIFS('💰 Transaction ขาย'!F:F,'💰 Transaction ขาย'!B:B,A710,'💰 Transaction ขาย'!A:A,"&gt;="&amp;DATE(YEAR('⚙️ Config'!$H$1),1,1),'💰 Transaction ขาย'!A:A,"&lt;="&amp;DATE(YEAR('⚙️ Config'!$H$1),12,31)),)</f>
        <v/>
      </c>
    </row>
    <row r="711">
      <c r="A711" s="22"/>
      <c r="B711" s="22" t="str">
        <f>IF(A711&lt;&gt;"",SUMIFS('💸 Transaction ซื้อ'!E:E,'💸 Transaction ซื้อ'!B:B,A711)-SUMIFS('💰 Transaction ขาย'!E:E,'💰 Transaction ขาย'!B:B,A711),"")</f>
        <v/>
      </c>
      <c r="C711" s="23" t="str">
        <f>IF(A711&lt;&gt;"",vlookup(A711,'📦 ชื่อสินค้า'!A:E,5,false),"")</f>
        <v/>
      </c>
      <c r="D711" s="23" t="str">
        <f>IF(A711&lt;&gt;"",VLOOKUP(A711,'📦 ชื่อสินค้า'!A:F,6,false),"")</f>
        <v/>
      </c>
      <c r="E711" s="16" t="str">
        <f>IFERROR(IF(VLOOKUP(A711,'📦 ชื่อสินค้า'!A:G,7,false)="InActive","InActive",IF(A711&lt;&gt;"",IF(B711&lt;=0,"สินค้าหมด",IF(B711&lt;=C711,"ควรเติมทันที","OK")),"")),)</f>
        <v/>
      </c>
      <c r="F711" s="24" t="str">
        <f>IFERROR(IF(A711&lt;&gt;"", SUMIF('💸 Transaction ซื้อ'!B:B,A711,'💸 Transaction ซื้อ'!G:G)/SUMIF('💸 Transaction ซื้อ'!B:B,A711,'💸 Transaction ซื้อ'!E:E),""),"-")</f>
        <v/>
      </c>
      <c r="G711" s="24" t="str">
        <f t="shared" si="1"/>
        <v/>
      </c>
      <c r="H711" s="25"/>
      <c r="I711" s="26"/>
      <c r="J711" s="26"/>
      <c r="K711" s="27" t="str">
        <f>IF(A711&lt;&gt;"",IF(E711="InActive","-",SUMIFS('💰 Transaction ขาย'!E:E,'💰 Transaction ขาย'!B:B,A711,'💰 Transaction ขาย'!A:A,"&gt;"&amp;'⚙️ Config'!$H$1-'⚙️ Config'!$H$2)),)</f>
        <v/>
      </c>
      <c r="L711" s="28" t="str">
        <f>IF(E711="InActive","-",IF(A711&lt;&gt;"",K711/'⚙️ Config'!$H$2,))</f>
        <v/>
      </c>
      <c r="M711" s="28" t="str">
        <f t="shared" si="2"/>
        <v/>
      </c>
      <c r="N711" s="28" t="str">
        <f>IF(A711&lt;&gt;"", SUMIFS('💰 Transaction ขาย'!F:F,'💰 Transaction ขาย'!B:B,A711,'💰 Transaction ขาย'!A:A,"&gt;="&amp;DATE(YEAR('⚙️ Config'!$H$1),1,1),'💰 Transaction ขาย'!A:A,"&lt;="&amp;DATE(YEAR('⚙️ Config'!$H$1),12,31)),)</f>
        <v/>
      </c>
    </row>
    <row r="712">
      <c r="A712" s="22"/>
      <c r="B712" s="22" t="str">
        <f>IF(A712&lt;&gt;"",SUMIFS('💸 Transaction ซื้อ'!E:E,'💸 Transaction ซื้อ'!B:B,A712)-SUMIFS('💰 Transaction ขาย'!E:E,'💰 Transaction ขาย'!B:B,A712),"")</f>
        <v/>
      </c>
      <c r="C712" s="23" t="str">
        <f>IF(A712&lt;&gt;"",vlookup(A712,'📦 ชื่อสินค้า'!A:E,5,false),"")</f>
        <v/>
      </c>
      <c r="D712" s="23" t="str">
        <f>IF(A712&lt;&gt;"",VLOOKUP(A712,'📦 ชื่อสินค้า'!A:F,6,false),"")</f>
        <v/>
      </c>
      <c r="E712" s="16" t="str">
        <f>IFERROR(IF(VLOOKUP(A712,'📦 ชื่อสินค้า'!A:G,7,false)="InActive","InActive",IF(A712&lt;&gt;"",IF(B712&lt;=0,"สินค้าหมด",IF(B712&lt;=C712,"ควรเติมทันที","OK")),"")),)</f>
        <v/>
      </c>
      <c r="F712" s="24" t="str">
        <f>IFERROR(IF(A712&lt;&gt;"", SUMIF('💸 Transaction ซื้อ'!B:B,A712,'💸 Transaction ซื้อ'!G:G)/SUMIF('💸 Transaction ซื้อ'!B:B,A712,'💸 Transaction ซื้อ'!E:E),""),"-")</f>
        <v/>
      </c>
      <c r="G712" s="24" t="str">
        <f t="shared" si="1"/>
        <v/>
      </c>
      <c r="H712" s="25"/>
      <c r="I712" s="26"/>
      <c r="J712" s="26"/>
      <c r="K712" s="27" t="str">
        <f>IF(A712&lt;&gt;"",IF(E712="InActive","-",SUMIFS('💰 Transaction ขาย'!E:E,'💰 Transaction ขาย'!B:B,A712,'💰 Transaction ขาย'!A:A,"&gt;"&amp;'⚙️ Config'!$H$1-'⚙️ Config'!$H$2)),)</f>
        <v/>
      </c>
      <c r="L712" s="28" t="str">
        <f>IF(E712="InActive","-",IF(A712&lt;&gt;"",K712/'⚙️ Config'!$H$2,))</f>
        <v/>
      </c>
      <c r="M712" s="28" t="str">
        <f t="shared" si="2"/>
        <v/>
      </c>
      <c r="N712" s="28" t="str">
        <f>IF(A712&lt;&gt;"", SUMIFS('💰 Transaction ขาย'!F:F,'💰 Transaction ขาย'!B:B,A712,'💰 Transaction ขาย'!A:A,"&gt;="&amp;DATE(YEAR('⚙️ Config'!$H$1),1,1),'💰 Transaction ขาย'!A:A,"&lt;="&amp;DATE(YEAR('⚙️ Config'!$H$1),12,31)),)</f>
        <v/>
      </c>
    </row>
    <row r="713">
      <c r="A713" s="22"/>
      <c r="B713" s="22" t="str">
        <f>IF(A713&lt;&gt;"",SUMIFS('💸 Transaction ซื้อ'!E:E,'💸 Transaction ซื้อ'!B:B,A713)-SUMIFS('💰 Transaction ขาย'!E:E,'💰 Transaction ขาย'!B:B,A713),"")</f>
        <v/>
      </c>
      <c r="C713" s="23" t="str">
        <f>IF(A713&lt;&gt;"",vlookup(A713,'📦 ชื่อสินค้า'!A:E,5,false),"")</f>
        <v/>
      </c>
      <c r="D713" s="23" t="str">
        <f>IF(A713&lt;&gt;"",VLOOKUP(A713,'📦 ชื่อสินค้า'!A:F,6,false),"")</f>
        <v/>
      </c>
      <c r="E713" s="16" t="str">
        <f>IFERROR(IF(VLOOKUP(A713,'📦 ชื่อสินค้า'!A:G,7,false)="InActive","InActive",IF(A713&lt;&gt;"",IF(B713&lt;=0,"สินค้าหมด",IF(B713&lt;=C713,"ควรเติมทันที","OK")),"")),)</f>
        <v/>
      </c>
      <c r="F713" s="24" t="str">
        <f>IFERROR(IF(A713&lt;&gt;"", SUMIF('💸 Transaction ซื้อ'!B:B,A713,'💸 Transaction ซื้อ'!G:G)/SUMIF('💸 Transaction ซื้อ'!B:B,A713,'💸 Transaction ซื้อ'!E:E),""),"-")</f>
        <v/>
      </c>
      <c r="G713" s="24" t="str">
        <f t="shared" si="1"/>
        <v/>
      </c>
      <c r="H713" s="25"/>
      <c r="I713" s="26"/>
      <c r="J713" s="26"/>
      <c r="K713" s="27" t="str">
        <f>IF(A713&lt;&gt;"",IF(E713="InActive","-",SUMIFS('💰 Transaction ขาย'!E:E,'💰 Transaction ขาย'!B:B,A713,'💰 Transaction ขาย'!A:A,"&gt;"&amp;'⚙️ Config'!$H$1-'⚙️ Config'!$H$2)),)</f>
        <v/>
      </c>
      <c r="L713" s="28" t="str">
        <f>IF(E713="InActive","-",IF(A713&lt;&gt;"",K713/'⚙️ Config'!$H$2,))</f>
        <v/>
      </c>
      <c r="M713" s="28" t="str">
        <f t="shared" si="2"/>
        <v/>
      </c>
      <c r="N713" s="28" t="str">
        <f>IF(A713&lt;&gt;"", SUMIFS('💰 Transaction ขาย'!F:F,'💰 Transaction ขาย'!B:B,A713,'💰 Transaction ขาย'!A:A,"&gt;="&amp;DATE(YEAR('⚙️ Config'!$H$1),1,1),'💰 Transaction ขาย'!A:A,"&lt;="&amp;DATE(YEAR('⚙️ Config'!$H$1),12,31)),)</f>
        <v/>
      </c>
    </row>
    <row r="714">
      <c r="A714" s="22"/>
      <c r="B714" s="22" t="str">
        <f>IF(A714&lt;&gt;"",SUMIFS('💸 Transaction ซื้อ'!E:E,'💸 Transaction ซื้อ'!B:B,A714)-SUMIFS('💰 Transaction ขาย'!E:E,'💰 Transaction ขาย'!B:B,A714),"")</f>
        <v/>
      </c>
      <c r="C714" s="23" t="str">
        <f>IF(A714&lt;&gt;"",vlookup(A714,'📦 ชื่อสินค้า'!A:E,5,false),"")</f>
        <v/>
      </c>
      <c r="D714" s="23" t="str">
        <f>IF(A714&lt;&gt;"",VLOOKUP(A714,'📦 ชื่อสินค้า'!A:F,6,false),"")</f>
        <v/>
      </c>
      <c r="E714" s="16" t="str">
        <f>IFERROR(IF(VLOOKUP(A714,'📦 ชื่อสินค้า'!A:G,7,false)="InActive","InActive",IF(A714&lt;&gt;"",IF(B714&lt;=0,"สินค้าหมด",IF(B714&lt;=C714,"ควรเติมทันที","OK")),"")),)</f>
        <v/>
      </c>
      <c r="F714" s="24" t="str">
        <f>IFERROR(IF(A714&lt;&gt;"", SUMIF('💸 Transaction ซื้อ'!B:B,A714,'💸 Transaction ซื้อ'!G:G)/SUMIF('💸 Transaction ซื้อ'!B:B,A714,'💸 Transaction ซื้อ'!E:E),""),"-")</f>
        <v/>
      </c>
      <c r="G714" s="24" t="str">
        <f t="shared" si="1"/>
        <v/>
      </c>
      <c r="H714" s="25"/>
      <c r="I714" s="26"/>
      <c r="J714" s="26"/>
      <c r="K714" s="27" t="str">
        <f>IF(A714&lt;&gt;"",IF(E714="InActive","-",SUMIFS('💰 Transaction ขาย'!E:E,'💰 Transaction ขาย'!B:B,A714,'💰 Transaction ขาย'!A:A,"&gt;"&amp;'⚙️ Config'!$H$1-'⚙️ Config'!$H$2)),)</f>
        <v/>
      </c>
      <c r="L714" s="28" t="str">
        <f>IF(E714="InActive","-",IF(A714&lt;&gt;"",K714/'⚙️ Config'!$H$2,))</f>
        <v/>
      </c>
      <c r="M714" s="28" t="str">
        <f t="shared" si="2"/>
        <v/>
      </c>
      <c r="N714" s="28" t="str">
        <f>IF(A714&lt;&gt;"", SUMIFS('💰 Transaction ขาย'!F:F,'💰 Transaction ขาย'!B:B,A714,'💰 Transaction ขาย'!A:A,"&gt;="&amp;DATE(YEAR('⚙️ Config'!$H$1),1,1),'💰 Transaction ขาย'!A:A,"&lt;="&amp;DATE(YEAR('⚙️ Config'!$H$1),12,31)),)</f>
        <v/>
      </c>
    </row>
    <row r="715">
      <c r="A715" s="22"/>
      <c r="B715" s="22" t="str">
        <f>IF(A715&lt;&gt;"",SUMIFS('💸 Transaction ซื้อ'!E:E,'💸 Transaction ซื้อ'!B:B,A715)-SUMIFS('💰 Transaction ขาย'!E:E,'💰 Transaction ขาย'!B:B,A715),"")</f>
        <v/>
      </c>
      <c r="C715" s="23" t="str">
        <f>IF(A715&lt;&gt;"",vlookup(A715,'📦 ชื่อสินค้า'!A:E,5,false),"")</f>
        <v/>
      </c>
      <c r="D715" s="23" t="str">
        <f>IF(A715&lt;&gt;"",VLOOKUP(A715,'📦 ชื่อสินค้า'!A:F,6,false),"")</f>
        <v/>
      </c>
      <c r="E715" s="16" t="str">
        <f>IFERROR(IF(VLOOKUP(A715,'📦 ชื่อสินค้า'!A:G,7,false)="InActive","InActive",IF(A715&lt;&gt;"",IF(B715&lt;=0,"สินค้าหมด",IF(B715&lt;=C715,"ควรเติมทันที","OK")),"")),)</f>
        <v/>
      </c>
      <c r="F715" s="24" t="str">
        <f>IFERROR(IF(A715&lt;&gt;"", SUMIF('💸 Transaction ซื้อ'!B:B,A715,'💸 Transaction ซื้อ'!G:G)/SUMIF('💸 Transaction ซื้อ'!B:B,A715,'💸 Transaction ซื้อ'!E:E),""),"-")</f>
        <v/>
      </c>
      <c r="G715" s="24" t="str">
        <f t="shared" si="1"/>
        <v/>
      </c>
      <c r="H715" s="25"/>
      <c r="I715" s="26"/>
      <c r="J715" s="26"/>
      <c r="K715" s="27" t="str">
        <f>IF(A715&lt;&gt;"",IF(E715="InActive","-",SUMIFS('💰 Transaction ขาย'!E:E,'💰 Transaction ขาย'!B:B,A715,'💰 Transaction ขาย'!A:A,"&gt;"&amp;'⚙️ Config'!$H$1-'⚙️ Config'!$H$2)),)</f>
        <v/>
      </c>
      <c r="L715" s="28" t="str">
        <f>IF(E715="InActive","-",IF(A715&lt;&gt;"",K715/'⚙️ Config'!$H$2,))</f>
        <v/>
      </c>
      <c r="M715" s="28" t="str">
        <f t="shared" si="2"/>
        <v/>
      </c>
      <c r="N715" s="28" t="str">
        <f>IF(A715&lt;&gt;"", SUMIFS('💰 Transaction ขาย'!F:F,'💰 Transaction ขาย'!B:B,A715,'💰 Transaction ขาย'!A:A,"&gt;="&amp;DATE(YEAR('⚙️ Config'!$H$1),1,1),'💰 Transaction ขาย'!A:A,"&lt;="&amp;DATE(YEAR('⚙️ Config'!$H$1),12,31)),)</f>
        <v/>
      </c>
    </row>
    <row r="716">
      <c r="A716" s="22"/>
      <c r="B716" s="22" t="str">
        <f>IF(A716&lt;&gt;"",SUMIFS('💸 Transaction ซื้อ'!E:E,'💸 Transaction ซื้อ'!B:B,A716)-SUMIFS('💰 Transaction ขาย'!E:E,'💰 Transaction ขาย'!B:B,A716),"")</f>
        <v/>
      </c>
      <c r="C716" s="23" t="str">
        <f>IF(A716&lt;&gt;"",vlookup(A716,'📦 ชื่อสินค้า'!A:E,5,false),"")</f>
        <v/>
      </c>
      <c r="D716" s="23" t="str">
        <f>IF(A716&lt;&gt;"",VLOOKUP(A716,'📦 ชื่อสินค้า'!A:F,6,false),"")</f>
        <v/>
      </c>
      <c r="E716" s="16" t="str">
        <f>IFERROR(IF(VLOOKUP(A716,'📦 ชื่อสินค้า'!A:G,7,false)="InActive","InActive",IF(A716&lt;&gt;"",IF(B716&lt;=0,"สินค้าหมด",IF(B716&lt;=C716,"ควรเติมทันที","OK")),"")),)</f>
        <v/>
      </c>
      <c r="F716" s="24" t="str">
        <f>IFERROR(IF(A716&lt;&gt;"", SUMIF('💸 Transaction ซื้อ'!B:B,A716,'💸 Transaction ซื้อ'!G:G)/SUMIF('💸 Transaction ซื้อ'!B:B,A716,'💸 Transaction ซื้อ'!E:E),""),"-")</f>
        <v/>
      </c>
      <c r="G716" s="24" t="str">
        <f t="shared" si="1"/>
        <v/>
      </c>
      <c r="H716" s="25"/>
      <c r="I716" s="26"/>
      <c r="J716" s="26"/>
      <c r="K716" s="27" t="str">
        <f>IF(A716&lt;&gt;"",IF(E716="InActive","-",SUMIFS('💰 Transaction ขาย'!E:E,'💰 Transaction ขาย'!B:B,A716,'💰 Transaction ขาย'!A:A,"&gt;"&amp;'⚙️ Config'!$H$1-'⚙️ Config'!$H$2)),)</f>
        <v/>
      </c>
      <c r="L716" s="28" t="str">
        <f>IF(E716="InActive","-",IF(A716&lt;&gt;"",K716/'⚙️ Config'!$H$2,))</f>
        <v/>
      </c>
      <c r="M716" s="28" t="str">
        <f t="shared" si="2"/>
        <v/>
      </c>
      <c r="N716" s="28" t="str">
        <f>IF(A716&lt;&gt;"", SUMIFS('💰 Transaction ขาย'!F:F,'💰 Transaction ขาย'!B:B,A716,'💰 Transaction ขาย'!A:A,"&gt;="&amp;DATE(YEAR('⚙️ Config'!$H$1),1,1),'💰 Transaction ขาย'!A:A,"&lt;="&amp;DATE(YEAR('⚙️ Config'!$H$1),12,31)),)</f>
        <v/>
      </c>
    </row>
    <row r="717">
      <c r="A717" s="22"/>
      <c r="B717" s="22" t="str">
        <f>IF(A717&lt;&gt;"",SUMIFS('💸 Transaction ซื้อ'!E:E,'💸 Transaction ซื้อ'!B:B,A717)-SUMIFS('💰 Transaction ขาย'!E:E,'💰 Transaction ขาย'!B:B,A717),"")</f>
        <v/>
      </c>
      <c r="C717" s="23" t="str">
        <f>IF(A717&lt;&gt;"",vlookup(A717,'📦 ชื่อสินค้า'!A:E,5,false),"")</f>
        <v/>
      </c>
      <c r="D717" s="23" t="str">
        <f>IF(A717&lt;&gt;"",VLOOKUP(A717,'📦 ชื่อสินค้า'!A:F,6,false),"")</f>
        <v/>
      </c>
      <c r="E717" s="16" t="str">
        <f>IFERROR(IF(VLOOKUP(A717,'📦 ชื่อสินค้า'!A:G,7,false)="InActive","InActive",IF(A717&lt;&gt;"",IF(B717&lt;=0,"สินค้าหมด",IF(B717&lt;=C717,"ควรเติมทันที","OK")),"")),)</f>
        <v/>
      </c>
      <c r="F717" s="24" t="str">
        <f>IFERROR(IF(A717&lt;&gt;"", SUMIF('💸 Transaction ซื้อ'!B:B,A717,'💸 Transaction ซื้อ'!G:G)/SUMIF('💸 Transaction ซื้อ'!B:B,A717,'💸 Transaction ซื้อ'!E:E),""),"-")</f>
        <v/>
      </c>
      <c r="G717" s="24" t="str">
        <f t="shared" si="1"/>
        <v/>
      </c>
      <c r="H717" s="25"/>
      <c r="I717" s="26"/>
      <c r="J717" s="26"/>
      <c r="K717" s="27" t="str">
        <f>IF(A717&lt;&gt;"",IF(E717="InActive","-",SUMIFS('💰 Transaction ขาย'!E:E,'💰 Transaction ขาย'!B:B,A717,'💰 Transaction ขาย'!A:A,"&gt;"&amp;'⚙️ Config'!$H$1-'⚙️ Config'!$H$2)),)</f>
        <v/>
      </c>
      <c r="L717" s="28" t="str">
        <f>IF(E717="InActive","-",IF(A717&lt;&gt;"",K717/'⚙️ Config'!$H$2,))</f>
        <v/>
      </c>
      <c r="M717" s="28" t="str">
        <f t="shared" si="2"/>
        <v/>
      </c>
      <c r="N717" s="28" t="str">
        <f>IF(A717&lt;&gt;"", SUMIFS('💰 Transaction ขาย'!F:F,'💰 Transaction ขาย'!B:B,A717,'💰 Transaction ขาย'!A:A,"&gt;="&amp;DATE(YEAR('⚙️ Config'!$H$1),1,1),'💰 Transaction ขาย'!A:A,"&lt;="&amp;DATE(YEAR('⚙️ Config'!$H$1),12,31)),)</f>
        <v/>
      </c>
    </row>
    <row r="718">
      <c r="A718" s="22"/>
      <c r="B718" s="22" t="str">
        <f>IF(A718&lt;&gt;"",SUMIFS('💸 Transaction ซื้อ'!E:E,'💸 Transaction ซื้อ'!B:B,A718)-SUMIFS('💰 Transaction ขาย'!E:E,'💰 Transaction ขาย'!B:B,A718),"")</f>
        <v/>
      </c>
      <c r="C718" s="23" t="str">
        <f>IF(A718&lt;&gt;"",vlookup(A718,'📦 ชื่อสินค้า'!A:E,5,false),"")</f>
        <v/>
      </c>
      <c r="D718" s="23" t="str">
        <f>IF(A718&lt;&gt;"",VLOOKUP(A718,'📦 ชื่อสินค้า'!A:F,6,false),"")</f>
        <v/>
      </c>
      <c r="E718" s="16" t="str">
        <f>IFERROR(IF(VLOOKUP(A718,'📦 ชื่อสินค้า'!A:G,7,false)="InActive","InActive",IF(A718&lt;&gt;"",IF(B718&lt;=0,"สินค้าหมด",IF(B718&lt;=C718,"ควรเติมทันที","OK")),"")),)</f>
        <v/>
      </c>
      <c r="F718" s="24" t="str">
        <f>IFERROR(IF(A718&lt;&gt;"", SUMIF('💸 Transaction ซื้อ'!B:B,A718,'💸 Transaction ซื้อ'!G:G)/SUMIF('💸 Transaction ซื้อ'!B:B,A718,'💸 Transaction ซื้อ'!E:E),""),"-")</f>
        <v/>
      </c>
      <c r="G718" s="24" t="str">
        <f t="shared" si="1"/>
        <v/>
      </c>
      <c r="H718" s="25"/>
      <c r="I718" s="26"/>
      <c r="J718" s="26"/>
      <c r="K718" s="27" t="str">
        <f>IF(A718&lt;&gt;"",IF(E718="InActive","-",SUMIFS('💰 Transaction ขาย'!E:E,'💰 Transaction ขาย'!B:B,A718,'💰 Transaction ขาย'!A:A,"&gt;"&amp;'⚙️ Config'!$H$1-'⚙️ Config'!$H$2)),)</f>
        <v/>
      </c>
      <c r="L718" s="28" t="str">
        <f>IF(E718="InActive","-",IF(A718&lt;&gt;"",K718/'⚙️ Config'!$H$2,))</f>
        <v/>
      </c>
      <c r="M718" s="28" t="str">
        <f t="shared" si="2"/>
        <v/>
      </c>
      <c r="N718" s="28" t="str">
        <f>IF(A718&lt;&gt;"", SUMIFS('💰 Transaction ขาย'!F:F,'💰 Transaction ขาย'!B:B,A718,'💰 Transaction ขาย'!A:A,"&gt;="&amp;DATE(YEAR('⚙️ Config'!$H$1),1,1),'💰 Transaction ขาย'!A:A,"&lt;="&amp;DATE(YEAR('⚙️ Config'!$H$1),12,31)),)</f>
        <v/>
      </c>
    </row>
    <row r="719">
      <c r="A719" s="22"/>
      <c r="B719" s="22" t="str">
        <f>IF(A719&lt;&gt;"",SUMIFS('💸 Transaction ซื้อ'!E:E,'💸 Transaction ซื้อ'!B:B,A719)-SUMIFS('💰 Transaction ขาย'!E:E,'💰 Transaction ขาย'!B:B,A719),"")</f>
        <v/>
      </c>
      <c r="C719" s="23" t="str">
        <f>IF(A719&lt;&gt;"",vlookup(A719,'📦 ชื่อสินค้า'!A:E,5,false),"")</f>
        <v/>
      </c>
      <c r="D719" s="23" t="str">
        <f>IF(A719&lt;&gt;"",VLOOKUP(A719,'📦 ชื่อสินค้า'!A:F,6,false),"")</f>
        <v/>
      </c>
      <c r="E719" s="16" t="str">
        <f>IFERROR(IF(VLOOKUP(A719,'📦 ชื่อสินค้า'!A:G,7,false)="InActive","InActive",IF(A719&lt;&gt;"",IF(B719&lt;=0,"สินค้าหมด",IF(B719&lt;=C719,"ควรเติมทันที","OK")),"")),)</f>
        <v/>
      </c>
      <c r="F719" s="24" t="str">
        <f>IFERROR(IF(A719&lt;&gt;"", SUMIF('💸 Transaction ซื้อ'!B:B,A719,'💸 Transaction ซื้อ'!G:G)/SUMIF('💸 Transaction ซื้อ'!B:B,A719,'💸 Transaction ซื้อ'!E:E),""),"-")</f>
        <v/>
      </c>
      <c r="G719" s="24" t="str">
        <f t="shared" si="1"/>
        <v/>
      </c>
      <c r="H719" s="25"/>
      <c r="I719" s="26"/>
      <c r="J719" s="26"/>
      <c r="K719" s="27" t="str">
        <f>IF(A719&lt;&gt;"",IF(E719="InActive","-",SUMIFS('💰 Transaction ขาย'!E:E,'💰 Transaction ขาย'!B:B,A719,'💰 Transaction ขาย'!A:A,"&gt;"&amp;'⚙️ Config'!$H$1-'⚙️ Config'!$H$2)),)</f>
        <v/>
      </c>
      <c r="L719" s="28" t="str">
        <f>IF(E719="InActive","-",IF(A719&lt;&gt;"",K719/'⚙️ Config'!$H$2,))</f>
        <v/>
      </c>
      <c r="M719" s="28" t="str">
        <f t="shared" si="2"/>
        <v/>
      </c>
      <c r="N719" s="28" t="str">
        <f>IF(A719&lt;&gt;"", SUMIFS('💰 Transaction ขาย'!F:F,'💰 Transaction ขาย'!B:B,A719,'💰 Transaction ขาย'!A:A,"&gt;="&amp;DATE(YEAR('⚙️ Config'!$H$1),1,1),'💰 Transaction ขาย'!A:A,"&lt;="&amp;DATE(YEAR('⚙️ Config'!$H$1),12,31)),)</f>
        <v/>
      </c>
    </row>
    <row r="720">
      <c r="A720" s="22"/>
      <c r="B720" s="22" t="str">
        <f>IF(A720&lt;&gt;"",SUMIFS('💸 Transaction ซื้อ'!E:E,'💸 Transaction ซื้อ'!B:B,A720)-SUMIFS('💰 Transaction ขาย'!E:E,'💰 Transaction ขาย'!B:B,A720),"")</f>
        <v/>
      </c>
      <c r="C720" s="23" t="str">
        <f>IF(A720&lt;&gt;"",vlookup(A720,'📦 ชื่อสินค้า'!A:E,5,false),"")</f>
        <v/>
      </c>
      <c r="D720" s="23" t="str">
        <f>IF(A720&lt;&gt;"",VLOOKUP(A720,'📦 ชื่อสินค้า'!A:F,6,false),"")</f>
        <v/>
      </c>
      <c r="E720" s="16" t="str">
        <f>IFERROR(IF(VLOOKUP(A720,'📦 ชื่อสินค้า'!A:G,7,false)="InActive","InActive",IF(A720&lt;&gt;"",IF(B720&lt;=0,"สินค้าหมด",IF(B720&lt;=C720,"ควรเติมทันที","OK")),"")),)</f>
        <v/>
      </c>
      <c r="F720" s="24" t="str">
        <f>IFERROR(IF(A720&lt;&gt;"", SUMIF('💸 Transaction ซื้อ'!B:B,A720,'💸 Transaction ซื้อ'!G:G)/SUMIF('💸 Transaction ซื้อ'!B:B,A720,'💸 Transaction ซื้อ'!E:E),""),"-")</f>
        <v/>
      </c>
      <c r="G720" s="24" t="str">
        <f t="shared" si="1"/>
        <v/>
      </c>
      <c r="H720" s="25"/>
      <c r="I720" s="26"/>
      <c r="J720" s="26"/>
      <c r="K720" s="27" t="str">
        <f>IF(A720&lt;&gt;"",IF(E720="InActive","-",SUMIFS('💰 Transaction ขาย'!E:E,'💰 Transaction ขาย'!B:B,A720,'💰 Transaction ขาย'!A:A,"&gt;"&amp;'⚙️ Config'!$H$1-'⚙️ Config'!$H$2)),)</f>
        <v/>
      </c>
      <c r="L720" s="28" t="str">
        <f>IF(E720="InActive","-",IF(A720&lt;&gt;"",K720/'⚙️ Config'!$H$2,))</f>
        <v/>
      </c>
      <c r="M720" s="28" t="str">
        <f t="shared" si="2"/>
        <v/>
      </c>
      <c r="N720" s="28" t="str">
        <f>IF(A720&lt;&gt;"", SUMIFS('💰 Transaction ขาย'!F:F,'💰 Transaction ขาย'!B:B,A720,'💰 Transaction ขาย'!A:A,"&gt;="&amp;DATE(YEAR('⚙️ Config'!$H$1),1,1),'💰 Transaction ขาย'!A:A,"&lt;="&amp;DATE(YEAR('⚙️ Config'!$H$1),12,31)),)</f>
        <v/>
      </c>
    </row>
    <row r="721">
      <c r="A721" s="22"/>
      <c r="B721" s="22" t="str">
        <f>IF(A721&lt;&gt;"",SUMIFS('💸 Transaction ซื้อ'!E:E,'💸 Transaction ซื้อ'!B:B,A721)-SUMIFS('💰 Transaction ขาย'!E:E,'💰 Transaction ขาย'!B:B,A721),"")</f>
        <v/>
      </c>
      <c r="C721" s="23" t="str">
        <f>IF(A721&lt;&gt;"",vlookup(A721,'📦 ชื่อสินค้า'!A:E,5,false),"")</f>
        <v/>
      </c>
      <c r="D721" s="23" t="str">
        <f>IF(A721&lt;&gt;"",VLOOKUP(A721,'📦 ชื่อสินค้า'!A:F,6,false),"")</f>
        <v/>
      </c>
      <c r="E721" s="16" t="str">
        <f>IFERROR(IF(VLOOKUP(A721,'📦 ชื่อสินค้า'!A:G,7,false)="InActive","InActive",IF(A721&lt;&gt;"",IF(B721&lt;=0,"สินค้าหมด",IF(B721&lt;=C721,"ควรเติมทันที","OK")),"")),)</f>
        <v/>
      </c>
      <c r="F721" s="24" t="str">
        <f>IFERROR(IF(A721&lt;&gt;"", SUMIF('💸 Transaction ซื้อ'!B:B,A721,'💸 Transaction ซื้อ'!G:G)/SUMIF('💸 Transaction ซื้อ'!B:B,A721,'💸 Transaction ซื้อ'!E:E),""),"-")</f>
        <v/>
      </c>
      <c r="G721" s="24" t="str">
        <f t="shared" si="1"/>
        <v/>
      </c>
      <c r="H721" s="25"/>
      <c r="I721" s="26"/>
      <c r="J721" s="26"/>
      <c r="K721" s="27" t="str">
        <f>IF(A721&lt;&gt;"",IF(E721="InActive","-",SUMIFS('💰 Transaction ขาย'!E:E,'💰 Transaction ขาย'!B:B,A721,'💰 Transaction ขาย'!A:A,"&gt;"&amp;'⚙️ Config'!$H$1-'⚙️ Config'!$H$2)),)</f>
        <v/>
      </c>
      <c r="L721" s="28" t="str">
        <f>IF(E721="InActive","-",IF(A721&lt;&gt;"",K721/'⚙️ Config'!$H$2,))</f>
        <v/>
      </c>
      <c r="M721" s="28" t="str">
        <f t="shared" si="2"/>
        <v/>
      </c>
      <c r="N721" s="28" t="str">
        <f>IF(A721&lt;&gt;"", SUMIFS('💰 Transaction ขาย'!F:F,'💰 Transaction ขาย'!B:B,A721,'💰 Transaction ขาย'!A:A,"&gt;="&amp;DATE(YEAR('⚙️ Config'!$H$1),1,1),'💰 Transaction ขาย'!A:A,"&lt;="&amp;DATE(YEAR('⚙️ Config'!$H$1),12,31)),)</f>
        <v/>
      </c>
    </row>
    <row r="722">
      <c r="A722" s="22"/>
      <c r="B722" s="22" t="str">
        <f>IF(A722&lt;&gt;"",SUMIFS('💸 Transaction ซื้อ'!E:E,'💸 Transaction ซื้อ'!B:B,A722)-SUMIFS('💰 Transaction ขาย'!E:E,'💰 Transaction ขาย'!B:B,A722),"")</f>
        <v/>
      </c>
      <c r="C722" s="23" t="str">
        <f>IF(A722&lt;&gt;"",vlookup(A722,'📦 ชื่อสินค้า'!A:E,5,false),"")</f>
        <v/>
      </c>
      <c r="D722" s="23" t="str">
        <f>IF(A722&lt;&gt;"",VLOOKUP(A722,'📦 ชื่อสินค้า'!A:F,6,false),"")</f>
        <v/>
      </c>
      <c r="E722" s="16" t="str">
        <f>IFERROR(IF(VLOOKUP(A722,'📦 ชื่อสินค้า'!A:G,7,false)="InActive","InActive",IF(A722&lt;&gt;"",IF(B722&lt;=0,"สินค้าหมด",IF(B722&lt;=C722,"ควรเติมทันที","OK")),"")),)</f>
        <v/>
      </c>
      <c r="F722" s="24" t="str">
        <f>IFERROR(IF(A722&lt;&gt;"", SUMIF('💸 Transaction ซื้อ'!B:B,A722,'💸 Transaction ซื้อ'!G:G)/SUMIF('💸 Transaction ซื้อ'!B:B,A722,'💸 Transaction ซื้อ'!E:E),""),"-")</f>
        <v/>
      </c>
      <c r="G722" s="24" t="str">
        <f t="shared" si="1"/>
        <v/>
      </c>
      <c r="H722" s="25"/>
      <c r="I722" s="26"/>
      <c r="J722" s="26"/>
      <c r="K722" s="27" t="str">
        <f>IF(A722&lt;&gt;"",IF(E722="InActive","-",SUMIFS('💰 Transaction ขาย'!E:E,'💰 Transaction ขาย'!B:B,A722,'💰 Transaction ขาย'!A:A,"&gt;"&amp;'⚙️ Config'!$H$1-'⚙️ Config'!$H$2)),)</f>
        <v/>
      </c>
      <c r="L722" s="28" t="str">
        <f>IF(E722="InActive","-",IF(A722&lt;&gt;"",K722/'⚙️ Config'!$H$2,))</f>
        <v/>
      </c>
      <c r="M722" s="28" t="str">
        <f t="shared" si="2"/>
        <v/>
      </c>
      <c r="N722" s="28" t="str">
        <f>IF(A722&lt;&gt;"", SUMIFS('💰 Transaction ขาย'!F:F,'💰 Transaction ขาย'!B:B,A722,'💰 Transaction ขาย'!A:A,"&gt;="&amp;DATE(YEAR('⚙️ Config'!$H$1),1,1),'💰 Transaction ขาย'!A:A,"&lt;="&amp;DATE(YEAR('⚙️ Config'!$H$1),12,31)),)</f>
        <v/>
      </c>
    </row>
    <row r="723">
      <c r="A723" s="22"/>
      <c r="B723" s="22" t="str">
        <f>IF(A723&lt;&gt;"",SUMIFS('💸 Transaction ซื้อ'!E:E,'💸 Transaction ซื้อ'!B:B,A723)-SUMIFS('💰 Transaction ขาย'!E:E,'💰 Transaction ขาย'!B:B,A723),"")</f>
        <v/>
      </c>
      <c r="C723" s="23" t="str">
        <f>IF(A723&lt;&gt;"",vlookup(A723,'📦 ชื่อสินค้า'!A:E,5,false),"")</f>
        <v/>
      </c>
      <c r="D723" s="23" t="str">
        <f>IF(A723&lt;&gt;"",VLOOKUP(A723,'📦 ชื่อสินค้า'!A:F,6,false),"")</f>
        <v/>
      </c>
      <c r="E723" s="16" t="str">
        <f>IFERROR(IF(VLOOKUP(A723,'📦 ชื่อสินค้า'!A:G,7,false)="InActive","InActive",IF(A723&lt;&gt;"",IF(B723&lt;=0,"สินค้าหมด",IF(B723&lt;=C723,"ควรเติมทันที","OK")),"")),)</f>
        <v/>
      </c>
      <c r="F723" s="24" t="str">
        <f>IFERROR(IF(A723&lt;&gt;"", SUMIF('💸 Transaction ซื้อ'!B:B,A723,'💸 Transaction ซื้อ'!G:G)/SUMIF('💸 Transaction ซื้อ'!B:B,A723,'💸 Transaction ซื้อ'!E:E),""),"-")</f>
        <v/>
      </c>
      <c r="G723" s="24" t="str">
        <f t="shared" si="1"/>
        <v/>
      </c>
      <c r="H723" s="25"/>
      <c r="I723" s="26"/>
      <c r="J723" s="26"/>
      <c r="K723" s="27" t="str">
        <f>IF(A723&lt;&gt;"",IF(E723="InActive","-",SUMIFS('💰 Transaction ขาย'!E:E,'💰 Transaction ขาย'!B:B,A723,'💰 Transaction ขาย'!A:A,"&gt;"&amp;'⚙️ Config'!$H$1-'⚙️ Config'!$H$2)),)</f>
        <v/>
      </c>
      <c r="L723" s="28" t="str">
        <f>IF(E723="InActive","-",IF(A723&lt;&gt;"",K723/'⚙️ Config'!$H$2,))</f>
        <v/>
      </c>
      <c r="M723" s="28" t="str">
        <f t="shared" si="2"/>
        <v/>
      </c>
      <c r="N723" s="28" t="str">
        <f>IF(A723&lt;&gt;"", SUMIFS('💰 Transaction ขาย'!F:F,'💰 Transaction ขาย'!B:B,A723,'💰 Transaction ขาย'!A:A,"&gt;="&amp;DATE(YEAR('⚙️ Config'!$H$1),1,1),'💰 Transaction ขาย'!A:A,"&lt;="&amp;DATE(YEAR('⚙️ Config'!$H$1),12,31)),)</f>
        <v/>
      </c>
    </row>
    <row r="724">
      <c r="A724" s="22"/>
      <c r="B724" s="22" t="str">
        <f>IF(A724&lt;&gt;"",SUMIFS('💸 Transaction ซื้อ'!E:E,'💸 Transaction ซื้อ'!B:B,A724)-SUMIFS('💰 Transaction ขาย'!E:E,'💰 Transaction ขาย'!B:B,A724),"")</f>
        <v/>
      </c>
      <c r="C724" s="23" t="str">
        <f>IF(A724&lt;&gt;"",vlookup(A724,'📦 ชื่อสินค้า'!A:E,5,false),"")</f>
        <v/>
      </c>
      <c r="D724" s="23" t="str">
        <f>IF(A724&lt;&gt;"",VLOOKUP(A724,'📦 ชื่อสินค้า'!A:F,6,false),"")</f>
        <v/>
      </c>
      <c r="E724" s="16" t="str">
        <f>IFERROR(IF(VLOOKUP(A724,'📦 ชื่อสินค้า'!A:G,7,false)="InActive","InActive",IF(A724&lt;&gt;"",IF(B724&lt;=0,"สินค้าหมด",IF(B724&lt;=C724,"ควรเติมทันที","OK")),"")),)</f>
        <v/>
      </c>
      <c r="F724" s="24" t="str">
        <f>IFERROR(IF(A724&lt;&gt;"", SUMIF('💸 Transaction ซื้อ'!B:B,A724,'💸 Transaction ซื้อ'!G:G)/SUMIF('💸 Transaction ซื้อ'!B:B,A724,'💸 Transaction ซื้อ'!E:E),""),"-")</f>
        <v/>
      </c>
      <c r="G724" s="24" t="str">
        <f t="shared" si="1"/>
        <v/>
      </c>
      <c r="H724" s="25"/>
      <c r="I724" s="26"/>
      <c r="J724" s="26"/>
      <c r="K724" s="27" t="str">
        <f>IF(A724&lt;&gt;"",IF(E724="InActive","-",SUMIFS('💰 Transaction ขาย'!E:E,'💰 Transaction ขาย'!B:B,A724,'💰 Transaction ขาย'!A:A,"&gt;"&amp;'⚙️ Config'!$H$1-'⚙️ Config'!$H$2)),)</f>
        <v/>
      </c>
      <c r="L724" s="28" t="str">
        <f>IF(E724="InActive","-",IF(A724&lt;&gt;"",K724/'⚙️ Config'!$H$2,))</f>
        <v/>
      </c>
      <c r="M724" s="28" t="str">
        <f t="shared" si="2"/>
        <v/>
      </c>
      <c r="N724" s="28" t="str">
        <f>IF(A724&lt;&gt;"", SUMIFS('💰 Transaction ขาย'!F:F,'💰 Transaction ขาย'!B:B,A724,'💰 Transaction ขาย'!A:A,"&gt;="&amp;DATE(YEAR('⚙️ Config'!$H$1),1,1),'💰 Transaction ขาย'!A:A,"&lt;="&amp;DATE(YEAR('⚙️ Config'!$H$1),12,31)),)</f>
        <v/>
      </c>
    </row>
    <row r="725">
      <c r="A725" s="22"/>
      <c r="B725" s="22" t="str">
        <f>IF(A725&lt;&gt;"",SUMIFS('💸 Transaction ซื้อ'!E:E,'💸 Transaction ซื้อ'!B:B,A725)-SUMIFS('💰 Transaction ขาย'!E:E,'💰 Transaction ขาย'!B:B,A725),"")</f>
        <v/>
      </c>
      <c r="C725" s="23" t="str">
        <f>IF(A725&lt;&gt;"",vlookup(A725,'📦 ชื่อสินค้า'!A:E,5,false),"")</f>
        <v/>
      </c>
      <c r="D725" s="23" t="str">
        <f>IF(A725&lt;&gt;"",VLOOKUP(A725,'📦 ชื่อสินค้า'!A:F,6,false),"")</f>
        <v/>
      </c>
      <c r="E725" s="16" t="str">
        <f>IFERROR(IF(VLOOKUP(A725,'📦 ชื่อสินค้า'!A:G,7,false)="InActive","InActive",IF(A725&lt;&gt;"",IF(B725&lt;=0,"สินค้าหมด",IF(B725&lt;=C725,"ควรเติมทันที","OK")),"")),)</f>
        <v/>
      </c>
      <c r="F725" s="24" t="str">
        <f>IFERROR(IF(A725&lt;&gt;"", SUMIF('💸 Transaction ซื้อ'!B:B,A725,'💸 Transaction ซื้อ'!G:G)/SUMIF('💸 Transaction ซื้อ'!B:B,A725,'💸 Transaction ซื้อ'!E:E),""),"-")</f>
        <v/>
      </c>
      <c r="G725" s="24" t="str">
        <f t="shared" si="1"/>
        <v/>
      </c>
      <c r="H725" s="25"/>
      <c r="I725" s="26"/>
      <c r="J725" s="26"/>
      <c r="K725" s="27" t="str">
        <f>IF(A725&lt;&gt;"",IF(E725="InActive","-",SUMIFS('💰 Transaction ขาย'!E:E,'💰 Transaction ขาย'!B:B,A725,'💰 Transaction ขาย'!A:A,"&gt;"&amp;'⚙️ Config'!$H$1-'⚙️ Config'!$H$2)),)</f>
        <v/>
      </c>
      <c r="L725" s="28" t="str">
        <f>IF(E725="InActive","-",IF(A725&lt;&gt;"",K725/'⚙️ Config'!$H$2,))</f>
        <v/>
      </c>
      <c r="M725" s="28" t="str">
        <f t="shared" si="2"/>
        <v/>
      </c>
      <c r="N725" s="28" t="str">
        <f>IF(A725&lt;&gt;"", SUMIFS('💰 Transaction ขาย'!F:F,'💰 Transaction ขาย'!B:B,A725,'💰 Transaction ขาย'!A:A,"&gt;="&amp;DATE(YEAR('⚙️ Config'!$H$1),1,1),'💰 Transaction ขาย'!A:A,"&lt;="&amp;DATE(YEAR('⚙️ Config'!$H$1),12,31)),)</f>
        <v/>
      </c>
    </row>
    <row r="726">
      <c r="A726" s="22"/>
      <c r="B726" s="22" t="str">
        <f>IF(A726&lt;&gt;"",SUMIFS('💸 Transaction ซื้อ'!E:E,'💸 Transaction ซื้อ'!B:B,A726)-SUMIFS('💰 Transaction ขาย'!E:E,'💰 Transaction ขาย'!B:B,A726),"")</f>
        <v/>
      </c>
      <c r="C726" s="23" t="str">
        <f>IF(A726&lt;&gt;"",vlookup(A726,'📦 ชื่อสินค้า'!A:E,5,false),"")</f>
        <v/>
      </c>
      <c r="D726" s="23" t="str">
        <f>IF(A726&lt;&gt;"",VLOOKUP(A726,'📦 ชื่อสินค้า'!A:F,6,false),"")</f>
        <v/>
      </c>
      <c r="E726" s="16" t="str">
        <f>IFERROR(IF(VLOOKUP(A726,'📦 ชื่อสินค้า'!A:G,7,false)="InActive","InActive",IF(A726&lt;&gt;"",IF(B726&lt;=0,"สินค้าหมด",IF(B726&lt;=C726,"ควรเติมทันที","OK")),"")),)</f>
        <v/>
      </c>
      <c r="F726" s="24" t="str">
        <f>IFERROR(IF(A726&lt;&gt;"", SUMIF('💸 Transaction ซื้อ'!B:B,A726,'💸 Transaction ซื้อ'!G:G)/SUMIF('💸 Transaction ซื้อ'!B:B,A726,'💸 Transaction ซื้อ'!E:E),""),"-")</f>
        <v/>
      </c>
      <c r="G726" s="24" t="str">
        <f t="shared" si="1"/>
        <v/>
      </c>
      <c r="H726" s="25"/>
      <c r="I726" s="26"/>
      <c r="J726" s="26"/>
      <c r="K726" s="27" t="str">
        <f>IF(A726&lt;&gt;"",IF(E726="InActive","-",SUMIFS('💰 Transaction ขาย'!E:E,'💰 Transaction ขาย'!B:B,A726,'💰 Transaction ขาย'!A:A,"&gt;"&amp;'⚙️ Config'!$H$1-'⚙️ Config'!$H$2)),)</f>
        <v/>
      </c>
      <c r="L726" s="28" t="str">
        <f>IF(E726="InActive","-",IF(A726&lt;&gt;"",K726/'⚙️ Config'!$H$2,))</f>
        <v/>
      </c>
      <c r="M726" s="28" t="str">
        <f t="shared" si="2"/>
        <v/>
      </c>
      <c r="N726" s="28" t="str">
        <f>IF(A726&lt;&gt;"", SUMIFS('💰 Transaction ขาย'!F:F,'💰 Transaction ขาย'!B:B,A726,'💰 Transaction ขาย'!A:A,"&gt;="&amp;DATE(YEAR('⚙️ Config'!$H$1),1,1),'💰 Transaction ขาย'!A:A,"&lt;="&amp;DATE(YEAR('⚙️ Config'!$H$1),12,31)),)</f>
        <v/>
      </c>
    </row>
    <row r="727">
      <c r="A727" s="22"/>
      <c r="B727" s="22" t="str">
        <f>IF(A727&lt;&gt;"",SUMIFS('💸 Transaction ซื้อ'!E:E,'💸 Transaction ซื้อ'!B:B,A727)-SUMIFS('💰 Transaction ขาย'!E:E,'💰 Transaction ขาย'!B:B,A727),"")</f>
        <v/>
      </c>
      <c r="C727" s="23" t="str">
        <f>IF(A727&lt;&gt;"",vlookup(A727,'📦 ชื่อสินค้า'!A:E,5,false),"")</f>
        <v/>
      </c>
      <c r="D727" s="23" t="str">
        <f>IF(A727&lt;&gt;"",VLOOKUP(A727,'📦 ชื่อสินค้า'!A:F,6,false),"")</f>
        <v/>
      </c>
      <c r="E727" s="16" t="str">
        <f>IFERROR(IF(VLOOKUP(A727,'📦 ชื่อสินค้า'!A:G,7,false)="InActive","InActive",IF(A727&lt;&gt;"",IF(B727&lt;=0,"สินค้าหมด",IF(B727&lt;=C727,"ควรเติมทันที","OK")),"")),)</f>
        <v/>
      </c>
      <c r="F727" s="24" t="str">
        <f>IFERROR(IF(A727&lt;&gt;"", SUMIF('💸 Transaction ซื้อ'!B:B,A727,'💸 Transaction ซื้อ'!G:G)/SUMIF('💸 Transaction ซื้อ'!B:B,A727,'💸 Transaction ซื้อ'!E:E),""),"-")</f>
        <v/>
      </c>
      <c r="G727" s="24" t="str">
        <f t="shared" si="1"/>
        <v/>
      </c>
      <c r="H727" s="25"/>
      <c r="I727" s="26"/>
      <c r="J727" s="26"/>
      <c r="K727" s="27" t="str">
        <f>IF(A727&lt;&gt;"",IF(E727="InActive","-",SUMIFS('💰 Transaction ขาย'!E:E,'💰 Transaction ขาย'!B:B,A727,'💰 Transaction ขาย'!A:A,"&gt;"&amp;'⚙️ Config'!$H$1-'⚙️ Config'!$H$2)),)</f>
        <v/>
      </c>
      <c r="L727" s="28" t="str">
        <f>IF(E727="InActive","-",IF(A727&lt;&gt;"",K727/'⚙️ Config'!$H$2,))</f>
        <v/>
      </c>
      <c r="M727" s="28" t="str">
        <f t="shared" si="2"/>
        <v/>
      </c>
      <c r="N727" s="28" t="str">
        <f>IF(A727&lt;&gt;"", SUMIFS('💰 Transaction ขาย'!F:F,'💰 Transaction ขาย'!B:B,A727,'💰 Transaction ขาย'!A:A,"&gt;="&amp;DATE(YEAR('⚙️ Config'!$H$1),1,1),'💰 Transaction ขาย'!A:A,"&lt;="&amp;DATE(YEAR('⚙️ Config'!$H$1),12,31)),)</f>
        <v/>
      </c>
    </row>
    <row r="728">
      <c r="A728" s="22"/>
      <c r="B728" s="22" t="str">
        <f>IF(A728&lt;&gt;"",SUMIFS('💸 Transaction ซื้อ'!E:E,'💸 Transaction ซื้อ'!B:B,A728)-SUMIFS('💰 Transaction ขาย'!E:E,'💰 Transaction ขาย'!B:B,A728),"")</f>
        <v/>
      </c>
      <c r="C728" s="23" t="str">
        <f>IF(A728&lt;&gt;"",vlookup(A728,'📦 ชื่อสินค้า'!A:E,5,false),"")</f>
        <v/>
      </c>
      <c r="D728" s="23" t="str">
        <f>IF(A728&lt;&gt;"",VLOOKUP(A728,'📦 ชื่อสินค้า'!A:F,6,false),"")</f>
        <v/>
      </c>
      <c r="E728" s="16" t="str">
        <f>IFERROR(IF(VLOOKUP(A728,'📦 ชื่อสินค้า'!A:G,7,false)="InActive","InActive",IF(A728&lt;&gt;"",IF(B728&lt;=0,"สินค้าหมด",IF(B728&lt;=C728,"ควรเติมทันที","OK")),"")),)</f>
        <v/>
      </c>
      <c r="F728" s="24" t="str">
        <f>IFERROR(IF(A728&lt;&gt;"", SUMIF('💸 Transaction ซื้อ'!B:B,A728,'💸 Transaction ซื้อ'!G:G)/SUMIF('💸 Transaction ซื้อ'!B:B,A728,'💸 Transaction ซื้อ'!E:E),""),"-")</f>
        <v/>
      </c>
      <c r="G728" s="24" t="str">
        <f t="shared" si="1"/>
        <v/>
      </c>
      <c r="H728" s="25"/>
      <c r="I728" s="26"/>
      <c r="J728" s="26"/>
      <c r="K728" s="27" t="str">
        <f>IF(A728&lt;&gt;"",IF(E728="InActive","-",SUMIFS('💰 Transaction ขาย'!E:E,'💰 Transaction ขาย'!B:B,A728,'💰 Transaction ขาย'!A:A,"&gt;"&amp;'⚙️ Config'!$H$1-'⚙️ Config'!$H$2)),)</f>
        <v/>
      </c>
      <c r="L728" s="28" t="str">
        <f>IF(E728="InActive","-",IF(A728&lt;&gt;"",K728/'⚙️ Config'!$H$2,))</f>
        <v/>
      </c>
      <c r="M728" s="28" t="str">
        <f t="shared" si="2"/>
        <v/>
      </c>
      <c r="N728" s="28" t="str">
        <f>IF(A728&lt;&gt;"", SUMIFS('💰 Transaction ขาย'!F:F,'💰 Transaction ขาย'!B:B,A728,'💰 Transaction ขาย'!A:A,"&gt;="&amp;DATE(YEAR('⚙️ Config'!$H$1),1,1),'💰 Transaction ขาย'!A:A,"&lt;="&amp;DATE(YEAR('⚙️ Config'!$H$1),12,31)),)</f>
        <v/>
      </c>
    </row>
    <row r="729">
      <c r="A729" s="22"/>
      <c r="B729" s="22" t="str">
        <f>IF(A729&lt;&gt;"",SUMIFS('💸 Transaction ซื้อ'!E:E,'💸 Transaction ซื้อ'!B:B,A729)-SUMIFS('💰 Transaction ขาย'!E:E,'💰 Transaction ขาย'!B:B,A729),"")</f>
        <v/>
      </c>
      <c r="C729" s="23" t="str">
        <f>IF(A729&lt;&gt;"",vlookup(A729,'📦 ชื่อสินค้า'!A:E,5,false),"")</f>
        <v/>
      </c>
      <c r="D729" s="23" t="str">
        <f>IF(A729&lt;&gt;"",VLOOKUP(A729,'📦 ชื่อสินค้า'!A:F,6,false),"")</f>
        <v/>
      </c>
      <c r="E729" s="16" t="str">
        <f>IFERROR(IF(VLOOKUP(A729,'📦 ชื่อสินค้า'!A:G,7,false)="InActive","InActive",IF(A729&lt;&gt;"",IF(B729&lt;=0,"สินค้าหมด",IF(B729&lt;=C729,"ควรเติมทันที","OK")),"")),)</f>
        <v/>
      </c>
      <c r="F729" s="24" t="str">
        <f>IFERROR(IF(A729&lt;&gt;"", SUMIF('💸 Transaction ซื้อ'!B:B,A729,'💸 Transaction ซื้อ'!G:G)/SUMIF('💸 Transaction ซื้อ'!B:B,A729,'💸 Transaction ซื้อ'!E:E),""),"-")</f>
        <v/>
      </c>
      <c r="G729" s="24" t="str">
        <f t="shared" si="1"/>
        <v/>
      </c>
      <c r="H729" s="25"/>
      <c r="I729" s="26"/>
      <c r="J729" s="26"/>
      <c r="K729" s="27" t="str">
        <f>IF(A729&lt;&gt;"",IF(E729="InActive","-",SUMIFS('💰 Transaction ขาย'!E:E,'💰 Transaction ขาย'!B:B,A729,'💰 Transaction ขาย'!A:A,"&gt;"&amp;'⚙️ Config'!$H$1-'⚙️ Config'!$H$2)),)</f>
        <v/>
      </c>
      <c r="L729" s="28" t="str">
        <f>IF(E729="InActive","-",IF(A729&lt;&gt;"",K729/'⚙️ Config'!$H$2,))</f>
        <v/>
      </c>
      <c r="M729" s="28" t="str">
        <f t="shared" si="2"/>
        <v/>
      </c>
      <c r="N729" s="28" t="str">
        <f>IF(A729&lt;&gt;"", SUMIFS('💰 Transaction ขาย'!F:F,'💰 Transaction ขาย'!B:B,A729,'💰 Transaction ขาย'!A:A,"&gt;="&amp;DATE(YEAR('⚙️ Config'!$H$1),1,1),'💰 Transaction ขาย'!A:A,"&lt;="&amp;DATE(YEAR('⚙️ Config'!$H$1),12,31)),)</f>
        <v/>
      </c>
    </row>
    <row r="730">
      <c r="A730" s="22"/>
      <c r="B730" s="22" t="str">
        <f>IF(A730&lt;&gt;"",SUMIFS('💸 Transaction ซื้อ'!E:E,'💸 Transaction ซื้อ'!B:B,A730)-SUMIFS('💰 Transaction ขาย'!E:E,'💰 Transaction ขาย'!B:B,A730),"")</f>
        <v/>
      </c>
      <c r="C730" s="23" t="str">
        <f>IF(A730&lt;&gt;"",vlookup(A730,'📦 ชื่อสินค้า'!A:E,5,false),"")</f>
        <v/>
      </c>
      <c r="D730" s="23" t="str">
        <f>IF(A730&lt;&gt;"",VLOOKUP(A730,'📦 ชื่อสินค้า'!A:F,6,false),"")</f>
        <v/>
      </c>
      <c r="E730" s="16" t="str">
        <f>IFERROR(IF(VLOOKUP(A730,'📦 ชื่อสินค้า'!A:G,7,false)="InActive","InActive",IF(A730&lt;&gt;"",IF(B730&lt;=0,"สินค้าหมด",IF(B730&lt;=C730,"ควรเติมทันที","OK")),"")),)</f>
        <v/>
      </c>
      <c r="F730" s="24" t="str">
        <f>IFERROR(IF(A730&lt;&gt;"", SUMIF('💸 Transaction ซื้อ'!B:B,A730,'💸 Transaction ซื้อ'!G:G)/SUMIF('💸 Transaction ซื้อ'!B:B,A730,'💸 Transaction ซื้อ'!E:E),""),"-")</f>
        <v/>
      </c>
      <c r="G730" s="24" t="str">
        <f t="shared" si="1"/>
        <v/>
      </c>
      <c r="H730" s="25"/>
      <c r="I730" s="26"/>
      <c r="J730" s="26"/>
      <c r="K730" s="27" t="str">
        <f>IF(A730&lt;&gt;"",IF(E730="InActive","-",SUMIFS('💰 Transaction ขาย'!E:E,'💰 Transaction ขาย'!B:B,A730,'💰 Transaction ขาย'!A:A,"&gt;"&amp;'⚙️ Config'!$H$1-'⚙️ Config'!$H$2)),)</f>
        <v/>
      </c>
      <c r="L730" s="28" t="str">
        <f>IF(E730="InActive","-",IF(A730&lt;&gt;"",K730/'⚙️ Config'!$H$2,))</f>
        <v/>
      </c>
      <c r="M730" s="28" t="str">
        <f t="shared" si="2"/>
        <v/>
      </c>
      <c r="N730" s="28" t="str">
        <f>IF(A730&lt;&gt;"", SUMIFS('💰 Transaction ขาย'!F:F,'💰 Transaction ขาย'!B:B,A730,'💰 Transaction ขาย'!A:A,"&gt;="&amp;DATE(YEAR('⚙️ Config'!$H$1),1,1),'💰 Transaction ขาย'!A:A,"&lt;="&amp;DATE(YEAR('⚙️ Config'!$H$1),12,31)),)</f>
        <v/>
      </c>
    </row>
    <row r="731">
      <c r="A731" s="22"/>
      <c r="B731" s="22" t="str">
        <f>IF(A731&lt;&gt;"",SUMIFS('💸 Transaction ซื้อ'!E:E,'💸 Transaction ซื้อ'!B:B,A731)-SUMIFS('💰 Transaction ขาย'!E:E,'💰 Transaction ขาย'!B:B,A731),"")</f>
        <v/>
      </c>
      <c r="C731" s="23" t="str">
        <f>IF(A731&lt;&gt;"",vlookup(A731,'📦 ชื่อสินค้า'!A:E,5,false),"")</f>
        <v/>
      </c>
      <c r="D731" s="23" t="str">
        <f>IF(A731&lt;&gt;"",VLOOKUP(A731,'📦 ชื่อสินค้า'!A:F,6,false),"")</f>
        <v/>
      </c>
      <c r="E731" s="16" t="str">
        <f>IFERROR(IF(VLOOKUP(A731,'📦 ชื่อสินค้า'!A:G,7,false)="InActive","InActive",IF(A731&lt;&gt;"",IF(B731&lt;=0,"สินค้าหมด",IF(B731&lt;=C731,"ควรเติมทันที","OK")),"")),)</f>
        <v/>
      </c>
      <c r="F731" s="24" t="str">
        <f>IFERROR(IF(A731&lt;&gt;"", SUMIF('💸 Transaction ซื้อ'!B:B,A731,'💸 Transaction ซื้อ'!G:G)/SUMIF('💸 Transaction ซื้อ'!B:B,A731,'💸 Transaction ซื้อ'!E:E),""),"-")</f>
        <v/>
      </c>
      <c r="G731" s="24" t="str">
        <f t="shared" si="1"/>
        <v/>
      </c>
      <c r="H731" s="25"/>
      <c r="I731" s="26"/>
      <c r="J731" s="26"/>
      <c r="K731" s="27" t="str">
        <f>IF(A731&lt;&gt;"",IF(E731="InActive","-",SUMIFS('💰 Transaction ขาย'!E:E,'💰 Transaction ขาย'!B:B,A731,'💰 Transaction ขาย'!A:A,"&gt;"&amp;'⚙️ Config'!$H$1-'⚙️ Config'!$H$2)),)</f>
        <v/>
      </c>
      <c r="L731" s="28" t="str">
        <f>IF(E731="InActive","-",IF(A731&lt;&gt;"",K731/'⚙️ Config'!$H$2,))</f>
        <v/>
      </c>
      <c r="M731" s="28" t="str">
        <f t="shared" si="2"/>
        <v/>
      </c>
      <c r="N731" s="28" t="str">
        <f>IF(A731&lt;&gt;"", SUMIFS('💰 Transaction ขาย'!F:F,'💰 Transaction ขาย'!B:B,A731,'💰 Transaction ขาย'!A:A,"&gt;="&amp;DATE(YEAR('⚙️ Config'!$H$1),1,1),'💰 Transaction ขาย'!A:A,"&lt;="&amp;DATE(YEAR('⚙️ Config'!$H$1),12,31)),)</f>
        <v/>
      </c>
    </row>
    <row r="732">
      <c r="A732" s="22"/>
      <c r="B732" s="22" t="str">
        <f>IF(A732&lt;&gt;"",SUMIFS('💸 Transaction ซื้อ'!E:E,'💸 Transaction ซื้อ'!B:B,A732)-SUMIFS('💰 Transaction ขาย'!E:E,'💰 Transaction ขาย'!B:B,A732),"")</f>
        <v/>
      </c>
      <c r="C732" s="23" t="str">
        <f>IF(A732&lt;&gt;"",vlookup(A732,'📦 ชื่อสินค้า'!A:E,5,false),"")</f>
        <v/>
      </c>
      <c r="D732" s="23" t="str">
        <f>IF(A732&lt;&gt;"",VLOOKUP(A732,'📦 ชื่อสินค้า'!A:F,6,false),"")</f>
        <v/>
      </c>
      <c r="E732" s="16" t="str">
        <f>IFERROR(IF(VLOOKUP(A732,'📦 ชื่อสินค้า'!A:G,7,false)="InActive","InActive",IF(A732&lt;&gt;"",IF(B732&lt;=0,"สินค้าหมด",IF(B732&lt;=C732,"ควรเติมทันที","OK")),"")),)</f>
        <v/>
      </c>
      <c r="F732" s="24" t="str">
        <f>IFERROR(IF(A732&lt;&gt;"", SUMIF('💸 Transaction ซื้อ'!B:B,A732,'💸 Transaction ซื้อ'!G:G)/SUMIF('💸 Transaction ซื้อ'!B:B,A732,'💸 Transaction ซื้อ'!E:E),""),"-")</f>
        <v/>
      </c>
      <c r="G732" s="24" t="str">
        <f t="shared" si="1"/>
        <v/>
      </c>
      <c r="H732" s="25"/>
      <c r="I732" s="26"/>
      <c r="J732" s="26"/>
      <c r="K732" s="27" t="str">
        <f>IF(A732&lt;&gt;"",IF(E732="InActive","-",SUMIFS('💰 Transaction ขาย'!E:E,'💰 Transaction ขาย'!B:B,A732,'💰 Transaction ขาย'!A:A,"&gt;"&amp;'⚙️ Config'!$H$1-'⚙️ Config'!$H$2)),)</f>
        <v/>
      </c>
      <c r="L732" s="28" t="str">
        <f>IF(E732="InActive","-",IF(A732&lt;&gt;"",K732/'⚙️ Config'!$H$2,))</f>
        <v/>
      </c>
      <c r="M732" s="28" t="str">
        <f t="shared" si="2"/>
        <v/>
      </c>
      <c r="N732" s="28" t="str">
        <f>IF(A732&lt;&gt;"", SUMIFS('💰 Transaction ขาย'!F:F,'💰 Transaction ขาย'!B:B,A732,'💰 Transaction ขาย'!A:A,"&gt;="&amp;DATE(YEAR('⚙️ Config'!$H$1),1,1),'💰 Transaction ขาย'!A:A,"&lt;="&amp;DATE(YEAR('⚙️ Config'!$H$1),12,31)),)</f>
        <v/>
      </c>
    </row>
    <row r="733">
      <c r="A733" s="22"/>
      <c r="B733" s="22" t="str">
        <f>IF(A733&lt;&gt;"",SUMIFS('💸 Transaction ซื้อ'!E:E,'💸 Transaction ซื้อ'!B:B,A733)-SUMIFS('💰 Transaction ขาย'!E:E,'💰 Transaction ขาย'!B:B,A733),"")</f>
        <v/>
      </c>
      <c r="C733" s="23" t="str">
        <f>IF(A733&lt;&gt;"",vlookup(A733,'📦 ชื่อสินค้า'!A:E,5,false),"")</f>
        <v/>
      </c>
      <c r="D733" s="23" t="str">
        <f>IF(A733&lt;&gt;"",VLOOKUP(A733,'📦 ชื่อสินค้า'!A:F,6,false),"")</f>
        <v/>
      </c>
      <c r="E733" s="16" t="str">
        <f>IFERROR(IF(VLOOKUP(A733,'📦 ชื่อสินค้า'!A:G,7,false)="InActive","InActive",IF(A733&lt;&gt;"",IF(B733&lt;=0,"สินค้าหมด",IF(B733&lt;=C733,"ควรเติมทันที","OK")),"")),)</f>
        <v/>
      </c>
      <c r="F733" s="24" t="str">
        <f>IFERROR(IF(A733&lt;&gt;"", SUMIF('💸 Transaction ซื้อ'!B:B,A733,'💸 Transaction ซื้อ'!G:G)/SUMIF('💸 Transaction ซื้อ'!B:B,A733,'💸 Transaction ซื้อ'!E:E),""),"-")</f>
        <v/>
      </c>
      <c r="G733" s="24" t="str">
        <f t="shared" si="1"/>
        <v/>
      </c>
      <c r="H733" s="25"/>
      <c r="I733" s="26"/>
      <c r="J733" s="26"/>
      <c r="K733" s="27" t="str">
        <f>IF(A733&lt;&gt;"",IF(E733="InActive","-",SUMIFS('💰 Transaction ขาย'!E:E,'💰 Transaction ขาย'!B:B,A733,'💰 Transaction ขาย'!A:A,"&gt;"&amp;'⚙️ Config'!$H$1-'⚙️ Config'!$H$2)),)</f>
        <v/>
      </c>
      <c r="L733" s="28" t="str">
        <f>IF(E733="InActive","-",IF(A733&lt;&gt;"",K733/'⚙️ Config'!$H$2,))</f>
        <v/>
      </c>
      <c r="M733" s="28" t="str">
        <f t="shared" si="2"/>
        <v/>
      </c>
      <c r="N733" s="28" t="str">
        <f>IF(A733&lt;&gt;"", SUMIFS('💰 Transaction ขาย'!F:F,'💰 Transaction ขาย'!B:B,A733,'💰 Transaction ขาย'!A:A,"&gt;="&amp;DATE(YEAR('⚙️ Config'!$H$1),1,1),'💰 Transaction ขาย'!A:A,"&lt;="&amp;DATE(YEAR('⚙️ Config'!$H$1),12,31)),)</f>
        <v/>
      </c>
    </row>
    <row r="734">
      <c r="A734" s="22"/>
      <c r="B734" s="22" t="str">
        <f>IF(A734&lt;&gt;"",SUMIFS('💸 Transaction ซื้อ'!E:E,'💸 Transaction ซื้อ'!B:B,A734)-SUMIFS('💰 Transaction ขาย'!E:E,'💰 Transaction ขาย'!B:B,A734),"")</f>
        <v/>
      </c>
      <c r="C734" s="23" t="str">
        <f>IF(A734&lt;&gt;"",vlookup(A734,'📦 ชื่อสินค้า'!A:E,5,false),"")</f>
        <v/>
      </c>
      <c r="D734" s="23" t="str">
        <f>IF(A734&lt;&gt;"",VLOOKUP(A734,'📦 ชื่อสินค้า'!A:F,6,false),"")</f>
        <v/>
      </c>
      <c r="E734" s="16" t="str">
        <f>IFERROR(IF(VLOOKUP(A734,'📦 ชื่อสินค้า'!A:G,7,false)="InActive","InActive",IF(A734&lt;&gt;"",IF(B734&lt;=0,"สินค้าหมด",IF(B734&lt;=C734,"ควรเติมทันที","OK")),"")),)</f>
        <v/>
      </c>
      <c r="F734" s="24" t="str">
        <f>IFERROR(IF(A734&lt;&gt;"", SUMIF('💸 Transaction ซื้อ'!B:B,A734,'💸 Transaction ซื้อ'!G:G)/SUMIF('💸 Transaction ซื้อ'!B:B,A734,'💸 Transaction ซื้อ'!E:E),""),"-")</f>
        <v/>
      </c>
      <c r="G734" s="24" t="str">
        <f t="shared" si="1"/>
        <v/>
      </c>
      <c r="H734" s="25"/>
      <c r="I734" s="26"/>
      <c r="J734" s="26"/>
      <c r="K734" s="27" t="str">
        <f>IF(A734&lt;&gt;"",IF(E734="InActive","-",SUMIFS('💰 Transaction ขาย'!E:E,'💰 Transaction ขาย'!B:B,A734,'💰 Transaction ขาย'!A:A,"&gt;"&amp;'⚙️ Config'!$H$1-'⚙️ Config'!$H$2)),)</f>
        <v/>
      </c>
      <c r="L734" s="28" t="str">
        <f>IF(E734="InActive","-",IF(A734&lt;&gt;"",K734/'⚙️ Config'!$H$2,))</f>
        <v/>
      </c>
      <c r="M734" s="28" t="str">
        <f t="shared" si="2"/>
        <v/>
      </c>
      <c r="N734" s="28" t="str">
        <f>IF(A734&lt;&gt;"", SUMIFS('💰 Transaction ขาย'!F:F,'💰 Transaction ขาย'!B:B,A734,'💰 Transaction ขาย'!A:A,"&gt;="&amp;DATE(YEAR('⚙️ Config'!$H$1),1,1),'💰 Transaction ขาย'!A:A,"&lt;="&amp;DATE(YEAR('⚙️ Config'!$H$1),12,31)),)</f>
        <v/>
      </c>
    </row>
    <row r="735">
      <c r="A735" s="22"/>
      <c r="B735" s="22" t="str">
        <f>IF(A735&lt;&gt;"",SUMIFS('💸 Transaction ซื้อ'!E:E,'💸 Transaction ซื้อ'!B:B,A735)-SUMIFS('💰 Transaction ขาย'!E:E,'💰 Transaction ขาย'!B:B,A735),"")</f>
        <v/>
      </c>
      <c r="C735" s="23" t="str">
        <f>IF(A735&lt;&gt;"",vlookup(A735,'📦 ชื่อสินค้า'!A:E,5,false),"")</f>
        <v/>
      </c>
      <c r="D735" s="23" t="str">
        <f>IF(A735&lt;&gt;"",VLOOKUP(A735,'📦 ชื่อสินค้า'!A:F,6,false),"")</f>
        <v/>
      </c>
      <c r="E735" s="16" t="str">
        <f>IFERROR(IF(VLOOKUP(A735,'📦 ชื่อสินค้า'!A:G,7,false)="InActive","InActive",IF(A735&lt;&gt;"",IF(B735&lt;=0,"สินค้าหมด",IF(B735&lt;=C735,"ควรเติมทันที","OK")),"")),)</f>
        <v/>
      </c>
      <c r="F735" s="24" t="str">
        <f>IFERROR(IF(A735&lt;&gt;"", SUMIF('💸 Transaction ซื้อ'!B:B,A735,'💸 Transaction ซื้อ'!G:G)/SUMIF('💸 Transaction ซื้อ'!B:B,A735,'💸 Transaction ซื้อ'!E:E),""),"-")</f>
        <v/>
      </c>
      <c r="G735" s="24" t="str">
        <f t="shared" si="1"/>
        <v/>
      </c>
      <c r="H735" s="25"/>
      <c r="I735" s="26"/>
      <c r="J735" s="26"/>
      <c r="K735" s="27" t="str">
        <f>IF(A735&lt;&gt;"",IF(E735="InActive","-",SUMIFS('💰 Transaction ขาย'!E:E,'💰 Transaction ขาย'!B:B,A735,'💰 Transaction ขาย'!A:A,"&gt;"&amp;'⚙️ Config'!$H$1-'⚙️ Config'!$H$2)),)</f>
        <v/>
      </c>
      <c r="L735" s="28" t="str">
        <f>IF(E735="InActive","-",IF(A735&lt;&gt;"",K735/'⚙️ Config'!$H$2,))</f>
        <v/>
      </c>
      <c r="M735" s="28" t="str">
        <f t="shared" si="2"/>
        <v/>
      </c>
      <c r="N735" s="28" t="str">
        <f>IF(A735&lt;&gt;"", SUMIFS('💰 Transaction ขาย'!F:F,'💰 Transaction ขาย'!B:B,A735,'💰 Transaction ขาย'!A:A,"&gt;="&amp;DATE(YEAR('⚙️ Config'!$H$1),1,1),'💰 Transaction ขาย'!A:A,"&lt;="&amp;DATE(YEAR('⚙️ Config'!$H$1),12,31)),)</f>
        <v/>
      </c>
    </row>
    <row r="736">
      <c r="A736" s="22"/>
      <c r="B736" s="22" t="str">
        <f>IF(A736&lt;&gt;"",SUMIFS('💸 Transaction ซื้อ'!E:E,'💸 Transaction ซื้อ'!B:B,A736)-SUMIFS('💰 Transaction ขาย'!E:E,'💰 Transaction ขาย'!B:B,A736),"")</f>
        <v/>
      </c>
      <c r="C736" s="23" t="str">
        <f>IF(A736&lt;&gt;"",vlookup(A736,'📦 ชื่อสินค้า'!A:E,5,false),"")</f>
        <v/>
      </c>
      <c r="D736" s="23" t="str">
        <f>IF(A736&lt;&gt;"",VLOOKUP(A736,'📦 ชื่อสินค้า'!A:F,6,false),"")</f>
        <v/>
      </c>
      <c r="E736" s="16" t="str">
        <f>IFERROR(IF(VLOOKUP(A736,'📦 ชื่อสินค้า'!A:G,7,false)="InActive","InActive",IF(A736&lt;&gt;"",IF(B736&lt;=0,"สินค้าหมด",IF(B736&lt;=C736,"ควรเติมทันที","OK")),"")),)</f>
        <v/>
      </c>
      <c r="F736" s="24" t="str">
        <f>IFERROR(IF(A736&lt;&gt;"", SUMIF('💸 Transaction ซื้อ'!B:B,A736,'💸 Transaction ซื้อ'!G:G)/SUMIF('💸 Transaction ซื้อ'!B:B,A736,'💸 Transaction ซื้อ'!E:E),""),"-")</f>
        <v/>
      </c>
      <c r="G736" s="24" t="str">
        <f t="shared" si="1"/>
        <v/>
      </c>
      <c r="H736" s="25"/>
      <c r="I736" s="26"/>
      <c r="J736" s="26"/>
      <c r="K736" s="27" t="str">
        <f>IF(A736&lt;&gt;"",IF(E736="InActive","-",SUMIFS('💰 Transaction ขาย'!E:E,'💰 Transaction ขาย'!B:B,A736,'💰 Transaction ขาย'!A:A,"&gt;"&amp;'⚙️ Config'!$H$1-'⚙️ Config'!$H$2)),)</f>
        <v/>
      </c>
      <c r="L736" s="28" t="str">
        <f>IF(E736="InActive","-",IF(A736&lt;&gt;"",K736/'⚙️ Config'!$H$2,))</f>
        <v/>
      </c>
      <c r="M736" s="28" t="str">
        <f t="shared" si="2"/>
        <v/>
      </c>
      <c r="N736" s="28" t="str">
        <f>IF(A736&lt;&gt;"", SUMIFS('💰 Transaction ขาย'!F:F,'💰 Transaction ขาย'!B:B,A736,'💰 Transaction ขาย'!A:A,"&gt;="&amp;DATE(YEAR('⚙️ Config'!$H$1),1,1),'💰 Transaction ขาย'!A:A,"&lt;="&amp;DATE(YEAR('⚙️ Config'!$H$1),12,31)),)</f>
        <v/>
      </c>
    </row>
    <row r="737">
      <c r="A737" s="22"/>
      <c r="B737" s="22" t="str">
        <f>IF(A737&lt;&gt;"",SUMIFS('💸 Transaction ซื้อ'!E:E,'💸 Transaction ซื้อ'!B:B,A737)-SUMIFS('💰 Transaction ขาย'!E:E,'💰 Transaction ขาย'!B:B,A737),"")</f>
        <v/>
      </c>
      <c r="C737" s="23" t="str">
        <f>IF(A737&lt;&gt;"",vlookup(A737,'📦 ชื่อสินค้า'!A:E,5,false),"")</f>
        <v/>
      </c>
      <c r="D737" s="23" t="str">
        <f>IF(A737&lt;&gt;"",VLOOKUP(A737,'📦 ชื่อสินค้า'!A:F,6,false),"")</f>
        <v/>
      </c>
      <c r="E737" s="16" t="str">
        <f>IFERROR(IF(VLOOKUP(A737,'📦 ชื่อสินค้า'!A:G,7,false)="InActive","InActive",IF(A737&lt;&gt;"",IF(B737&lt;=0,"สินค้าหมด",IF(B737&lt;=C737,"ควรเติมทันที","OK")),"")),)</f>
        <v/>
      </c>
      <c r="F737" s="24" t="str">
        <f>IFERROR(IF(A737&lt;&gt;"", SUMIF('💸 Transaction ซื้อ'!B:B,A737,'💸 Transaction ซื้อ'!G:G)/SUMIF('💸 Transaction ซื้อ'!B:B,A737,'💸 Transaction ซื้อ'!E:E),""),"-")</f>
        <v/>
      </c>
      <c r="G737" s="24" t="str">
        <f t="shared" si="1"/>
        <v/>
      </c>
      <c r="H737" s="25"/>
      <c r="I737" s="26"/>
      <c r="J737" s="26"/>
      <c r="K737" s="27" t="str">
        <f>IF(A737&lt;&gt;"",IF(E737="InActive","-",SUMIFS('💰 Transaction ขาย'!E:E,'💰 Transaction ขาย'!B:B,A737,'💰 Transaction ขาย'!A:A,"&gt;"&amp;'⚙️ Config'!$H$1-'⚙️ Config'!$H$2)),)</f>
        <v/>
      </c>
      <c r="L737" s="28" t="str">
        <f>IF(E737="InActive","-",IF(A737&lt;&gt;"",K737/'⚙️ Config'!$H$2,))</f>
        <v/>
      </c>
      <c r="M737" s="28" t="str">
        <f t="shared" si="2"/>
        <v/>
      </c>
      <c r="N737" s="28" t="str">
        <f>IF(A737&lt;&gt;"", SUMIFS('💰 Transaction ขาย'!F:F,'💰 Transaction ขาย'!B:B,A737,'💰 Transaction ขาย'!A:A,"&gt;="&amp;DATE(YEAR('⚙️ Config'!$H$1),1,1),'💰 Transaction ขาย'!A:A,"&lt;="&amp;DATE(YEAR('⚙️ Config'!$H$1),12,31)),)</f>
        <v/>
      </c>
    </row>
    <row r="738">
      <c r="A738" s="22"/>
      <c r="B738" s="22" t="str">
        <f>IF(A738&lt;&gt;"",SUMIFS('💸 Transaction ซื้อ'!E:E,'💸 Transaction ซื้อ'!B:B,A738)-SUMIFS('💰 Transaction ขาย'!E:E,'💰 Transaction ขาย'!B:B,A738),"")</f>
        <v/>
      </c>
      <c r="C738" s="23" t="str">
        <f>IF(A738&lt;&gt;"",vlookup(A738,'📦 ชื่อสินค้า'!A:E,5,false),"")</f>
        <v/>
      </c>
      <c r="D738" s="23" t="str">
        <f>IF(A738&lt;&gt;"",VLOOKUP(A738,'📦 ชื่อสินค้า'!A:F,6,false),"")</f>
        <v/>
      </c>
      <c r="E738" s="16" t="str">
        <f>IFERROR(IF(VLOOKUP(A738,'📦 ชื่อสินค้า'!A:G,7,false)="InActive","InActive",IF(A738&lt;&gt;"",IF(B738&lt;=0,"สินค้าหมด",IF(B738&lt;=C738,"ควรเติมทันที","OK")),"")),)</f>
        <v/>
      </c>
      <c r="F738" s="24" t="str">
        <f>IFERROR(IF(A738&lt;&gt;"", SUMIF('💸 Transaction ซื้อ'!B:B,A738,'💸 Transaction ซื้อ'!G:G)/SUMIF('💸 Transaction ซื้อ'!B:B,A738,'💸 Transaction ซื้อ'!E:E),""),"-")</f>
        <v/>
      </c>
      <c r="G738" s="24" t="str">
        <f t="shared" si="1"/>
        <v/>
      </c>
      <c r="H738" s="25"/>
      <c r="I738" s="26"/>
      <c r="J738" s="26"/>
      <c r="K738" s="27" t="str">
        <f>IF(A738&lt;&gt;"",IF(E738="InActive","-",SUMIFS('💰 Transaction ขาย'!E:E,'💰 Transaction ขาย'!B:B,A738,'💰 Transaction ขาย'!A:A,"&gt;"&amp;'⚙️ Config'!$H$1-'⚙️ Config'!$H$2)),)</f>
        <v/>
      </c>
      <c r="L738" s="28" t="str">
        <f>IF(E738="InActive","-",IF(A738&lt;&gt;"",K738/'⚙️ Config'!$H$2,))</f>
        <v/>
      </c>
      <c r="M738" s="28" t="str">
        <f t="shared" si="2"/>
        <v/>
      </c>
      <c r="N738" s="28" t="str">
        <f>IF(A738&lt;&gt;"", SUMIFS('💰 Transaction ขาย'!F:F,'💰 Transaction ขาย'!B:B,A738,'💰 Transaction ขาย'!A:A,"&gt;="&amp;DATE(YEAR('⚙️ Config'!$H$1),1,1),'💰 Transaction ขาย'!A:A,"&lt;="&amp;DATE(YEAR('⚙️ Config'!$H$1),12,31)),)</f>
        <v/>
      </c>
    </row>
    <row r="739">
      <c r="A739" s="22"/>
      <c r="B739" s="22" t="str">
        <f>IF(A739&lt;&gt;"",SUMIFS('💸 Transaction ซื้อ'!E:E,'💸 Transaction ซื้อ'!B:B,A739)-SUMIFS('💰 Transaction ขาย'!E:E,'💰 Transaction ขาย'!B:B,A739),"")</f>
        <v/>
      </c>
      <c r="C739" s="23" t="str">
        <f>IF(A739&lt;&gt;"",vlookup(A739,'📦 ชื่อสินค้า'!A:E,5,false),"")</f>
        <v/>
      </c>
      <c r="D739" s="23" t="str">
        <f>IF(A739&lt;&gt;"",VLOOKUP(A739,'📦 ชื่อสินค้า'!A:F,6,false),"")</f>
        <v/>
      </c>
      <c r="E739" s="16" t="str">
        <f>IFERROR(IF(VLOOKUP(A739,'📦 ชื่อสินค้า'!A:G,7,false)="InActive","InActive",IF(A739&lt;&gt;"",IF(B739&lt;=0,"สินค้าหมด",IF(B739&lt;=C739,"ควรเติมทันที","OK")),"")),)</f>
        <v/>
      </c>
      <c r="F739" s="24" t="str">
        <f>IFERROR(IF(A739&lt;&gt;"", SUMIF('💸 Transaction ซื้อ'!B:B,A739,'💸 Transaction ซื้อ'!G:G)/SUMIF('💸 Transaction ซื้อ'!B:B,A739,'💸 Transaction ซื้อ'!E:E),""),"-")</f>
        <v/>
      </c>
      <c r="G739" s="24" t="str">
        <f t="shared" si="1"/>
        <v/>
      </c>
      <c r="H739" s="25"/>
      <c r="I739" s="26"/>
      <c r="J739" s="26"/>
      <c r="K739" s="27" t="str">
        <f>IF(A739&lt;&gt;"",IF(E739="InActive","-",SUMIFS('💰 Transaction ขาย'!E:E,'💰 Transaction ขาย'!B:B,A739,'💰 Transaction ขาย'!A:A,"&gt;"&amp;'⚙️ Config'!$H$1-'⚙️ Config'!$H$2)),)</f>
        <v/>
      </c>
      <c r="L739" s="28" t="str">
        <f>IF(E739="InActive","-",IF(A739&lt;&gt;"",K739/'⚙️ Config'!$H$2,))</f>
        <v/>
      </c>
      <c r="M739" s="28" t="str">
        <f t="shared" si="2"/>
        <v/>
      </c>
      <c r="N739" s="28" t="str">
        <f>IF(A739&lt;&gt;"", SUMIFS('💰 Transaction ขาย'!F:F,'💰 Transaction ขาย'!B:B,A739,'💰 Transaction ขาย'!A:A,"&gt;="&amp;DATE(YEAR('⚙️ Config'!$H$1),1,1),'💰 Transaction ขาย'!A:A,"&lt;="&amp;DATE(YEAR('⚙️ Config'!$H$1),12,31)),)</f>
        <v/>
      </c>
    </row>
    <row r="740">
      <c r="A740" s="22"/>
      <c r="B740" s="22" t="str">
        <f>IF(A740&lt;&gt;"",SUMIFS('💸 Transaction ซื้อ'!E:E,'💸 Transaction ซื้อ'!B:B,A740)-SUMIFS('💰 Transaction ขาย'!E:E,'💰 Transaction ขาย'!B:B,A740),"")</f>
        <v/>
      </c>
      <c r="C740" s="23" t="str">
        <f>IF(A740&lt;&gt;"",vlookup(A740,'📦 ชื่อสินค้า'!A:E,5,false),"")</f>
        <v/>
      </c>
      <c r="D740" s="23" t="str">
        <f>IF(A740&lt;&gt;"",VLOOKUP(A740,'📦 ชื่อสินค้า'!A:F,6,false),"")</f>
        <v/>
      </c>
      <c r="E740" s="16" t="str">
        <f>IFERROR(IF(VLOOKUP(A740,'📦 ชื่อสินค้า'!A:G,7,false)="InActive","InActive",IF(A740&lt;&gt;"",IF(B740&lt;=0,"สินค้าหมด",IF(B740&lt;=C740,"ควรเติมทันที","OK")),"")),)</f>
        <v/>
      </c>
      <c r="F740" s="24" t="str">
        <f>IFERROR(IF(A740&lt;&gt;"", SUMIF('💸 Transaction ซื้อ'!B:B,A740,'💸 Transaction ซื้อ'!G:G)/SUMIF('💸 Transaction ซื้อ'!B:B,A740,'💸 Transaction ซื้อ'!E:E),""),"-")</f>
        <v/>
      </c>
      <c r="G740" s="24" t="str">
        <f t="shared" si="1"/>
        <v/>
      </c>
      <c r="H740" s="25"/>
      <c r="I740" s="26"/>
      <c r="J740" s="26"/>
      <c r="K740" s="27" t="str">
        <f>IF(A740&lt;&gt;"",IF(E740="InActive","-",SUMIFS('💰 Transaction ขาย'!E:E,'💰 Transaction ขาย'!B:B,A740,'💰 Transaction ขาย'!A:A,"&gt;"&amp;'⚙️ Config'!$H$1-'⚙️ Config'!$H$2)),)</f>
        <v/>
      </c>
      <c r="L740" s="28" t="str">
        <f>IF(E740="InActive","-",IF(A740&lt;&gt;"",K740/'⚙️ Config'!$H$2,))</f>
        <v/>
      </c>
      <c r="M740" s="28" t="str">
        <f t="shared" si="2"/>
        <v/>
      </c>
      <c r="N740" s="28" t="str">
        <f>IF(A740&lt;&gt;"", SUMIFS('💰 Transaction ขาย'!F:F,'💰 Transaction ขาย'!B:B,A740,'💰 Transaction ขาย'!A:A,"&gt;="&amp;DATE(YEAR('⚙️ Config'!$H$1),1,1),'💰 Transaction ขาย'!A:A,"&lt;="&amp;DATE(YEAR('⚙️ Config'!$H$1),12,31)),)</f>
        <v/>
      </c>
    </row>
    <row r="741">
      <c r="A741" s="22"/>
      <c r="B741" s="22" t="str">
        <f>IF(A741&lt;&gt;"",SUMIFS('💸 Transaction ซื้อ'!E:E,'💸 Transaction ซื้อ'!B:B,A741)-SUMIFS('💰 Transaction ขาย'!E:E,'💰 Transaction ขาย'!B:B,A741),"")</f>
        <v/>
      </c>
      <c r="C741" s="23" t="str">
        <f>IF(A741&lt;&gt;"",vlookup(A741,'📦 ชื่อสินค้า'!A:E,5,false),"")</f>
        <v/>
      </c>
      <c r="D741" s="23" t="str">
        <f>IF(A741&lt;&gt;"",VLOOKUP(A741,'📦 ชื่อสินค้า'!A:F,6,false),"")</f>
        <v/>
      </c>
      <c r="E741" s="16" t="str">
        <f>IFERROR(IF(VLOOKUP(A741,'📦 ชื่อสินค้า'!A:G,7,false)="InActive","InActive",IF(A741&lt;&gt;"",IF(B741&lt;=0,"สินค้าหมด",IF(B741&lt;=C741,"ควรเติมทันที","OK")),"")),)</f>
        <v/>
      </c>
      <c r="F741" s="24" t="str">
        <f>IFERROR(IF(A741&lt;&gt;"", SUMIF('💸 Transaction ซื้อ'!B:B,A741,'💸 Transaction ซื้อ'!G:G)/SUMIF('💸 Transaction ซื้อ'!B:B,A741,'💸 Transaction ซื้อ'!E:E),""),"-")</f>
        <v/>
      </c>
      <c r="G741" s="24" t="str">
        <f t="shared" si="1"/>
        <v/>
      </c>
      <c r="H741" s="25"/>
      <c r="I741" s="26"/>
      <c r="J741" s="26"/>
      <c r="K741" s="27" t="str">
        <f>IF(A741&lt;&gt;"",IF(E741="InActive","-",SUMIFS('💰 Transaction ขาย'!E:E,'💰 Transaction ขาย'!B:B,A741,'💰 Transaction ขาย'!A:A,"&gt;"&amp;'⚙️ Config'!$H$1-'⚙️ Config'!$H$2)),)</f>
        <v/>
      </c>
      <c r="L741" s="28" t="str">
        <f>IF(E741="InActive","-",IF(A741&lt;&gt;"",K741/'⚙️ Config'!$H$2,))</f>
        <v/>
      </c>
      <c r="M741" s="28" t="str">
        <f t="shared" si="2"/>
        <v/>
      </c>
      <c r="N741" s="28" t="str">
        <f>IF(A741&lt;&gt;"", SUMIFS('💰 Transaction ขาย'!F:F,'💰 Transaction ขาย'!B:B,A741,'💰 Transaction ขาย'!A:A,"&gt;="&amp;DATE(YEAR('⚙️ Config'!$H$1),1,1),'💰 Transaction ขาย'!A:A,"&lt;="&amp;DATE(YEAR('⚙️ Config'!$H$1),12,31)),)</f>
        <v/>
      </c>
    </row>
    <row r="742">
      <c r="A742" s="22"/>
      <c r="B742" s="22" t="str">
        <f>IF(A742&lt;&gt;"",SUMIFS('💸 Transaction ซื้อ'!E:E,'💸 Transaction ซื้อ'!B:B,A742)-SUMIFS('💰 Transaction ขาย'!E:E,'💰 Transaction ขาย'!B:B,A742),"")</f>
        <v/>
      </c>
      <c r="C742" s="23" t="str">
        <f>IF(A742&lt;&gt;"",vlookup(A742,'📦 ชื่อสินค้า'!A:E,5,false),"")</f>
        <v/>
      </c>
      <c r="D742" s="23" t="str">
        <f>IF(A742&lt;&gt;"",VLOOKUP(A742,'📦 ชื่อสินค้า'!A:F,6,false),"")</f>
        <v/>
      </c>
      <c r="E742" s="16" t="str">
        <f>IFERROR(IF(VLOOKUP(A742,'📦 ชื่อสินค้า'!A:G,7,false)="InActive","InActive",IF(A742&lt;&gt;"",IF(B742&lt;=0,"สินค้าหมด",IF(B742&lt;=C742,"ควรเติมทันที","OK")),"")),)</f>
        <v/>
      </c>
      <c r="F742" s="24" t="str">
        <f>IFERROR(IF(A742&lt;&gt;"", SUMIF('💸 Transaction ซื้อ'!B:B,A742,'💸 Transaction ซื้อ'!G:G)/SUMIF('💸 Transaction ซื้อ'!B:B,A742,'💸 Transaction ซื้อ'!E:E),""),"-")</f>
        <v/>
      </c>
      <c r="G742" s="24" t="str">
        <f t="shared" si="1"/>
        <v/>
      </c>
      <c r="H742" s="25"/>
      <c r="I742" s="26"/>
      <c r="J742" s="26"/>
      <c r="K742" s="27" t="str">
        <f>IF(A742&lt;&gt;"",IF(E742="InActive","-",SUMIFS('💰 Transaction ขาย'!E:E,'💰 Transaction ขาย'!B:B,A742,'💰 Transaction ขาย'!A:A,"&gt;"&amp;'⚙️ Config'!$H$1-'⚙️ Config'!$H$2)),)</f>
        <v/>
      </c>
      <c r="L742" s="28" t="str">
        <f>IF(E742="InActive","-",IF(A742&lt;&gt;"",K742/'⚙️ Config'!$H$2,))</f>
        <v/>
      </c>
      <c r="M742" s="28" t="str">
        <f t="shared" si="2"/>
        <v/>
      </c>
      <c r="N742" s="28" t="str">
        <f>IF(A742&lt;&gt;"", SUMIFS('💰 Transaction ขาย'!F:F,'💰 Transaction ขาย'!B:B,A742,'💰 Transaction ขาย'!A:A,"&gt;="&amp;DATE(YEAR('⚙️ Config'!$H$1),1,1),'💰 Transaction ขาย'!A:A,"&lt;="&amp;DATE(YEAR('⚙️ Config'!$H$1),12,31)),)</f>
        <v/>
      </c>
    </row>
    <row r="743">
      <c r="A743" s="22"/>
      <c r="B743" s="22" t="str">
        <f>IF(A743&lt;&gt;"",SUMIFS('💸 Transaction ซื้อ'!E:E,'💸 Transaction ซื้อ'!B:B,A743)-SUMIFS('💰 Transaction ขาย'!E:E,'💰 Transaction ขาย'!B:B,A743),"")</f>
        <v/>
      </c>
      <c r="C743" s="23" t="str">
        <f>IF(A743&lt;&gt;"",vlookup(A743,'📦 ชื่อสินค้า'!A:E,5,false),"")</f>
        <v/>
      </c>
      <c r="D743" s="23" t="str">
        <f>IF(A743&lt;&gt;"",VLOOKUP(A743,'📦 ชื่อสินค้า'!A:F,6,false),"")</f>
        <v/>
      </c>
      <c r="E743" s="16" t="str">
        <f>IFERROR(IF(VLOOKUP(A743,'📦 ชื่อสินค้า'!A:G,7,false)="InActive","InActive",IF(A743&lt;&gt;"",IF(B743&lt;=0,"สินค้าหมด",IF(B743&lt;=C743,"ควรเติมทันที","OK")),"")),)</f>
        <v/>
      </c>
      <c r="F743" s="24" t="str">
        <f>IFERROR(IF(A743&lt;&gt;"", SUMIF('💸 Transaction ซื้อ'!B:B,A743,'💸 Transaction ซื้อ'!G:G)/SUMIF('💸 Transaction ซื้อ'!B:B,A743,'💸 Transaction ซื้อ'!E:E),""),"-")</f>
        <v/>
      </c>
      <c r="G743" s="24" t="str">
        <f t="shared" si="1"/>
        <v/>
      </c>
      <c r="H743" s="25"/>
      <c r="I743" s="26"/>
      <c r="J743" s="26"/>
      <c r="K743" s="27" t="str">
        <f>IF(A743&lt;&gt;"",IF(E743="InActive","-",SUMIFS('💰 Transaction ขาย'!E:E,'💰 Transaction ขาย'!B:B,A743,'💰 Transaction ขาย'!A:A,"&gt;"&amp;'⚙️ Config'!$H$1-'⚙️ Config'!$H$2)),)</f>
        <v/>
      </c>
      <c r="L743" s="28" t="str">
        <f>IF(E743="InActive","-",IF(A743&lt;&gt;"",K743/'⚙️ Config'!$H$2,))</f>
        <v/>
      </c>
      <c r="M743" s="28" t="str">
        <f t="shared" si="2"/>
        <v/>
      </c>
      <c r="N743" s="28" t="str">
        <f>IF(A743&lt;&gt;"", SUMIFS('💰 Transaction ขาย'!F:F,'💰 Transaction ขาย'!B:B,A743,'💰 Transaction ขาย'!A:A,"&gt;="&amp;DATE(YEAR('⚙️ Config'!$H$1),1,1),'💰 Transaction ขาย'!A:A,"&lt;="&amp;DATE(YEAR('⚙️ Config'!$H$1),12,31)),)</f>
        <v/>
      </c>
    </row>
    <row r="744">
      <c r="A744" s="22"/>
      <c r="B744" s="22" t="str">
        <f>IF(A744&lt;&gt;"",SUMIFS('💸 Transaction ซื้อ'!E:E,'💸 Transaction ซื้อ'!B:B,A744)-SUMIFS('💰 Transaction ขาย'!E:E,'💰 Transaction ขาย'!B:B,A744),"")</f>
        <v/>
      </c>
      <c r="C744" s="23" t="str">
        <f>IF(A744&lt;&gt;"",vlookup(A744,'📦 ชื่อสินค้า'!A:E,5,false),"")</f>
        <v/>
      </c>
      <c r="D744" s="23" t="str">
        <f>IF(A744&lt;&gt;"",VLOOKUP(A744,'📦 ชื่อสินค้า'!A:F,6,false),"")</f>
        <v/>
      </c>
      <c r="E744" s="16" t="str">
        <f>IFERROR(IF(VLOOKUP(A744,'📦 ชื่อสินค้า'!A:G,7,false)="InActive","InActive",IF(A744&lt;&gt;"",IF(B744&lt;=0,"สินค้าหมด",IF(B744&lt;=C744,"ควรเติมทันที","OK")),"")),)</f>
        <v/>
      </c>
      <c r="F744" s="24" t="str">
        <f>IFERROR(IF(A744&lt;&gt;"", SUMIF('💸 Transaction ซื้อ'!B:B,A744,'💸 Transaction ซื้อ'!G:G)/SUMIF('💸 Transaction ซื้อ'!B:B,A744,'💸 Transaction ซื้อ'!E:E),""),"-")</f>
        <v/>
      </c>
      <c r="G744" s="24" t="str">
        <f t="shared" si="1"/>
        <v/>
      </c>
      <c r="H744" s="25"/>
      <c r="I744" s="26"/>
      <c r="J744" s="26"/>
      <c r="K744" s="27" t="str">
        <f>IF(A744&lt;&gt;"",IF(E744="InActive","-",SUMIFS('💰 Transaction ขาย'!E:E,'💰 Transaction ขาย'!B:B,A744,'💰 Transaction ขาย'!A:A,"&gt;"&amp;'⚙️ Config'!$H$1-'⚙️ Config'!$H$2)),)</f>
        <v/>
      </c>
      <c r="L744" s="28" t="str">
        <f>IF(E744="InActive","-",IF(A744&lt;&gt;"",K744/'⚙️ Config'!$H$2,))</f>
        <v/>
      </c>
      <c r="M744" s="28" t="str">
        <f t="shared" si="2"/>
        <v/>
      </c>
      <c r="N744" s="28" t="str">
        <f>IF(A744&lt;&gt;"", SUMIFS('💰 Transaction ขาย'!F:F,'💰 Transaction ขาย'!B:B,A744,'💰 Transaction ขาย'!A:A,"&gt;="&amp;DATE(YEAR('⚙️ Config'!$H$1),1,1),'💰 Transaction ขาย'!A:A,"&lt;="&amp;DATE(YEAR('⚙️ Config'!$H$1),12,31)),)</f>
        <v/>
      </c>
    </row>
    <row r="745">
      <c r="A745" s="22"/>
      <c r="B745" s="22" t="str">
        <f>IF(A745&lt;&gt;"",SUMIFS('💸 Transaction ซื้อ'!E:E,'💸 Transaction ซื้อ'!B:B,A745)-SUMIFS('💰 Transaction ขาย'!E:E,'💰 Transaction ขาย'!B:B,A745),"")</f>
        <v/>
      </c>
      <c r="C745" s="23" t="str">
        <f>IF(A745&lt;&gt;"",vlookup(A745,'📦 ชื่อสินค้า'!A:E,5,false),"")</f>
        <v/>
      </c>
      <c r="D745" s="23" t="str">
        <f>IF(A745&lt;&gt;"",VLOOKUP(A745,'📦 ชื่อสินค้า'!A:F,6,false),"")</f>
        <v/>
      </c>
      <c r="E745" s="16" t="str">
        <f>IFERROR(IF(VLOOKUP(A745,'📦 ชื่อสินค้า'!A:G,7,false)="InActive","InActive",IF(A745&lt;&gt;"",IF(B745&lt;=0,"สินค้าหมด",IF(B745&lt;=C745,"ควรเติมทันที","OK")),"")),)</f>
        <v/>
      </c>
      <c r="F745" s="24" t="str">
        <f>IFERROR(IF(A745&lt;&gt;"", SUMIF('💸 Transaction ซื้อ'!B:B,A745,'💸 Transaction ซื้อ'!G:G)/SUMIF('💸 Transaction ซื้อ'!B:B,A745,'💸 Transaction ซื้อ'!E:E),""),"-")</f>
        <v/>
      </c>
      <c r="G745" s="24" t="str">
        <f t="shared" si="1"/>
        <v/>
      </c>
      <c r="H745" s="25"/>
      <c r="I745" s="26"/>
      <c r="J745" s="26"/>
      <c r="K745" s="27" t="str">
        <f>IF(A745&lt;&gt;"",IF(E745="InActive","-",SUMIFS('💰 Transaction ขาย'!E:E,'💰 Transaction ขาย'!B:B,A745,'💰 Transaction ขาย'!A:A,"&gt;"&amp;'⚙️ Config'!$H$1-'⚙️ Config'!$H$2)),)</f>
        <v/>
      </c>
      <c r="L745" s="28" t="str">
        <f>IF(E745="InActive","-",IF(A745&lt;&gt;"",K745/'⚙️ Config'!$H$2,))</f>
        <v/>
      </c>
      <c r="M745" s="28" t="str">
        <f t="shared" si="2"/>
        <v/>
      </c>
      <c r="N745" s="28" t="str">
        <f>IF(A745&lt;&gt;"", SUMIFS('💰 Transaction ขาย'!F:F,'💰 Transaction ขาย'!B:B,A745,'💰 Transaction ขาย'!A:A,"&gt;="&amp;DATE(YEAR('⚙️ Config'!$H$1),1,1),'💰 Transaction ขาย'!A:A,"&lt;="&amp;DATE(YEAR('⚙️ Config'!$H$1),12,31)),)</f>
        <v/>
      </c>
    </row>
    <row r="746">
      <c r="A746" s="22"/>
      <c r="B746" s="22" t="str">
        <f>IF(A746&lt;&gt;"",SUMIFS('💸 Transaction ซื้อ'!E:E,'💸 Transaction ซื้อ'!B:B,A746)-SUMIFS('💰 Transaction ขาย'!E:E,'💰 Transaction ขาย'!B:B,A746),"")</f>
        <v/>
      </c>
      <c r="C746" s="23" t="str">
        <f>IF(A746&lt;&gt;"",vlookup(A746,'📦 ชื่อสินค้า'!A:E,5,false),"")</f>
        <v/>
      </c>
      <c r="D746" s="23" t="str">
        <f>IF(A746&lt;&gt;"",VLOOKUP(A746,'📦 ชื่อสินค้า'!A:F,6,false),"")</f>
        <v/>
      </c>
      <c r="E746" s="16" t="str">
        <f>IFERROR(IF(VLOOKUP(A746,'📦 ชื่อสินค้า'!A:G,7,false)="InActive","InActive",IF(A746&lt;&gt;"",IF(B746&lt;=0,"สินค้าหมด",IF(B746&lt;=C746,"ควรเติมทันที","OK")),"")),)</f>
        <v/>
      </c>
      <c r="F746" s="24" t="str">
        <f>IFERROR(IF(A746&lt;&gt;"", SUMIF('💸 Transaction ซื้อ'!B:B,A746,'💸 Transaction ซื้อ'!G:G)/SUMIF('💸 Transaction ซื้อ'!B:B,A746,'💸 Transaction ซื้อ'!E:E),""),"-")</f>
        <v/>
      </c>
      <c r="G746" s="24" t="str">
        <f t="shared" si="1"/>
        <v/>
      </c>
      <c r="H746" s="25"/>
      <c r="I746" s="26"/>
      <c r="J746" s="26"/>
      <c r="K746" s="27" t="str">
        <f>IF(A746&lt;&gt;"",IF(E746="InActive","-",SUMIFS('💰 Transaction ขาย'!E:E,'💰 Transaction ขาย'!B:B,A746,'💰 Transaction ขาย'!A:A,"&gt;"&amp;'⚙️ Config'!$H$1-'⚙️ Config'!$H$2)),)</f>
        <v/>
      </c>
      <c r="L746" s="28" t="str">
        <f>IF(E746="InActive","-",IF(A746&lt;&gt;"",K746/'⚙️ Config'!$H$2,))</f>
        <v/>
      </c>
      <c r="M746" s="28" t="str">
        <f t="shared" si="2"/>
        <v/>
      </c>
      <c r="N746" s="28" t="str">
        <f>IF(A746&lt;&gt;"", SUMIFS('💰 Transaction ขาย'!F:F,'💰 Transaction ขาย'!B:B,A746,'💰 Transaction ขาย'!A:A,"&gt;="&amp;DATE(YEAR('⚙️ Config'!$H$1),1,1),'💰 Transaction ขาย'!A:A,"&lt;="&amp;DATE(YEAR('⚙️ Config'!$H$1),12,31)),)</f>
        <v/>
      </c>
    </row>
    <row r="747">
      <c r="A747" s="22"/>
      <c r="B747" s="22" t="str">
        <f>IF(A747&lt;&gt;"",SUMIFS('💸 Transaction ซื้อ'!E:E,'💸 Transaction ซื้อ'!B:B,A747)-SUMIFS('💰 Transaction ขาย'!E:E,'💰 Transaction ขาย'!B:B,A747),"")</f>
        <v/>
      </c>
      <c r="C747" s="23" t="str">
        <f>IF(A747&lt;&gt;"",vlookup(A747,'📦 ชื่อสินค้า'!A:E,5,false),"")</f>
        <v/>
      </c>
      <c r="D747" s="23" t="str">
        <f>IF(A747&lt;&gt;"",VLOOKUP(A747,'📦 ชื่อสินค้า'!A:F,6,false),"")</f>
        <v/>
      </c>
      <c r="E747" s="16" t="str">
        <f>IFERROR(IF(VLOOKUP(A747,'📦 ชื่อสินค้า'!A:G,7,false)="InActive","InActive",IF(A747&lt;&gt;"",IF(B747&lt;=0,"สินค้าหมด",IF(B747&lt;=C747,"ควรเติมทันที","OK")),"")),)</f>
        <v/>
      </c>
      <c r="F747" s="24" t="str">
        <f>IFERROR(IF(A747&lt;&gt;"", SUMIF('💸 Transaction ซื้อ'!B:B,A747,'💸 Transaction ซื้อ'!G:G)/SUMIF('💸 Transaction ซื้อ'!B:B,A747,'💸 Transaction ซื้อ'!E:E),""),"-")</f>
        <v/>
      </c>
      <c r="G747" s="24" t="str">
        <f t="shared" si="1"/>
        <v/>
      </c>
      <c r="H747" s="25"/>
      <c r="I747" s="26"/>
      <c r="J747" s="26"/>
      <c r="K747" s="27" t="str">
        <f>IF(A747&lt;&gt;"",IF(E747="InActive","-",SUMIFS('💰 Transaction ขาย'!E:E,'💰 Transaction ขาย'!B:B,A747,'💰 Transaction ขาย'!A:A,"&gt;"&amp;'⚙️ Config'!$H$1-'⚙️ Config'!$H$2)),)</f>
        <v/>
      </c>
      <c r="L747" s="28" t="str">
        <f>IF(E747="InActive","-",IF(A747&lt;&gt;"",K747/'⚙️ Config'!$H$2,))</f>
        <v/>
      </c>
      <c r="M747" s="28" t="str">
        <f t="shared" si="2"/>
        <v/>
      </c>
      <c r="N747" s="28" t="str">
        <f>IF(A747&lt;&gt;"", SUMIFS('💰 Transaction ขาย'!F:F,'💰 Transaction ขาย'!B:B,A747,'💰 Transaction ขาย'!A:A,"&gt;="&amp;DATE(YEAR('⚙️ Config'!$H$1),1,1),'💰 Transaction ขาย'!A:A,"&lt;="&amp;DATE(YEAR('⚙️ Config'!$H$1),12,31)),)</f>
        <v/>
      </c>
    </row>
    <row r="748">
      <c r="A748" s="22"/>
      <c r="B748" s="22" t="str">
        <f>IF(A748&lt;&gt;"",SUMIFS('💸 Transaction ซื้อ'!E:E,'💸 Transaction ซื้อ'!B:B,A748)-SUMIFS('💰 Transaction ขาย'!E:E,'💰 Transaction ขาย'!B:B,A748),"")</f>
        <v/>
      </c>
      <c r="C748" s="23" t="str">
        <f>IF(A748&lt;&gt;"",vlookup(A748,'📦 ชื่อสินค้า'!A:E,5,false),"")</f>
        <v/>
      </c>
      <c r="D748" s="23" t="str">
        <f>IF(A748&lt;&gt;"",VLOOKUP(A748,'📦 ชื่อสินค้า'!A:F,6,false),"")</f>
        <v/>
      </c>
      <c r="E748" s="16" t="str">
        <f>IFERROR(IF(VLOOKUP(A748,'📦 ชื่อสินค้า'!A:G,7,false)="InActive","InActive",IF(A748&lt;&gt;"",IF(B748&lt;=0,"สินค้าหมด",IF(B748&lt;=C748,"ควรเติมทันที","OK")),"")),)</f>
        <v/>
      </c>
      <c r="F748" s="24" t="str">
        <f>IFERROR(IF(A748&lt;&gt;"", SUMIF('💸 Transaction ซื้อ'!B:B,A748,'💸 Transaction ซื้อ'!G:G)/SUMIF('💸 Transaction ซื้อ'!B:B,A748,'💸 Transaction ซื้อ'!E:E),""),"-")</f>
        <v/>
      </c>
      <c r="G748" s="24" t="str">
        <f t="shared" si="1"/>
        <v/>
      </c>
      <c r="H748" s="25"/>
      <c r="I748" s="26"/>
      <c r="J748" s="26"/>
      <c r="K748" s="27" t="str">
        <f>IF(A748&lt;&gt;"",IF(E748="InActive","-",SUMIFS('💰 Transaction ขาย'!E:E,'💰 Transaction ขาย'!B:B,A748,'💰 Transaction ขาย'!A:A,"&gt;"&amp;'⚙️ Config'!$H$1-'⚙️ Config'!$H$2)),)</f>
        <v/>
      </c>
      <c r="L748" s="28" t="str">
        <f>IF(E748="InActive","-",IF(A748&lt;&gt;"",K748/'⚙️ Config'!$H$2,))</f>
        <v/>
      </c>
      <c r="M748" s="28" t="str">
        <f t="shared" si="2"/>
        <v/>
      </c>
      <c r="N748" s="28" t="str">
        <f>IF(A748&lt;&gt;"", SUMIFS('💰 Transaction ขาย'!F:F,'💰 Transaction ขาย'!B:B,A748,'💰 Transaction ขาย'!A:A,"&gt;="&amp;DATE(YEAR('⚙️ Config'!$H$1),1,1),'💰 Transaction ขาย'!A:A,"&lt;="&amp;DATE(YEAR('⚙️ Config'!$H$1),12,31)),)</f>
        <v/>
      </c>
    </row>
    <row r="749">
      <c r="A749" s="22"/>
      <c r="B749" s="22" t="str">
        <f>IF(A749&lt;&gt;"",SUMIFS('💸 Transaction ซื้อ'!E:E,'💸 Transaction ซื้อ'!B:B,A749)-SUMIFS('💰 Transaction ขาย'!E:E,'💰 Transaction ขาย'!B:B,A749),"")</f>
        <v/>
      </c>
      <c r="C749" s="23" t="str">
        <f>IF(A749&lt;&gt;"",vlookup(A749,'📦 ชื่อสินค้า'!A:E,5,false),"")</f>
        <v/>
      </c>
      <c r="D749" s="23" t="str">
        <f>IF(A749&lt;&gt;"",VLOOKUP(A749,'📦 ชื่อสินค้า'!A:F,6,false),"")</f>
        <v/>
      </c>
      <c r="E749" s="16" t="str">
        <f>IFERROR(IF(VLOOKUP(A749,'📦 ชื่อสินค้า'!A:G,7,false)="InActive","InActive",IF(A749&lt;&gt;"",IF(B749&lt;=0,"สินค้าหมด",IF(B749&lt;=C749,"ควรเติมทันที","OK")),"")),)</f>
        <v/>
      </c>
      <c r="F749" s="24" t="str">
        <f>IFERROR(IF(A749&lt;&gt;"", SUMIF('💸 Transaction ซื้อ'!B:B,A749,'💸 Transaction ซื้อ'!G:G)/SUMIF('💸 Transaction ซื้อ'!B:B,A749,'💸 Transaction ซื้อ'!E:E),""),"-")</f>
        <v/>
      </c>
      <c r="G749" s="24" t="str">
        <f t="shared" si="1"/>
        <v/>
      </c>
      <c r="H749" s="25"/>
      <c r="I749" s="26"/>
      <c r="J749" s="26"/>
      <c r="K749" s="27" t="str">
        <f>IF(A749&lt;&gt;"",IF(E749="InActive","-",SUMIFS('💰 Transaction ขาย'!E:E,'💰 Transaction ขาย'!B:B,A749,'💰 Transaction ขาย'!A:A,"&gt;"&amp;'⚙️ Config'!$H$1-'⚙️ Config'!$H$2)),)</f>
        <v/>
      </c>
      <c r="L749" s="28" t="str">
        <f>IF(E749="InActive","-",IF(A749&lt;&gt;"",K749/'⚙️ Config'!$H$2,))</f>
        <v/>
      </c>
      <c r="M749" s="28" t="str">
        <f t="shared" si="2"/>
        <v/>
      </c>
      <c r="N749" s="28" t="str">
        <f>IF(A749&lt;&gt;"", SUMIFS('💰 Transaction ขาย'!F:F,'💰 Transaction ขาย'!B:B,A749,'💰 Transaction ขาย'!A:A,"&gt;="&amp;DATE(YEAR('⚙️ Config'!$H$1),1,1),'💰 Transaction ขาย'!A:A,"&lt;="&amp;DATE(YEAR('⚙️ Config'!$H$1),12,31)),)</f>
        <v/>
      </c>
    </row>
    <row r="750">
      <c r="A750" s="22"/>
      <c r="B750" s="22" t="str">
        <f>IF(A750&lt;&gt;"",SUMIFS('💸 Transaction ซื้อ'!E:E,'💸 Transaction ซื้อ'!B:B,A750)-SUMIFS('💰 Transaction ขาย'!E:E,'💰 Transaction ขาย'!B:B,A750),"")</f>
        <v/>
      </c>
      <c r="C750" s="23" t="str">
        <f>IF(A750&lt;&gt;"",vlookup(A750,'📦 ชื่อสินค้า'!A:E,5,false),"")</f>
        <v/>
      </c>
      <c r="D750" s="23" t="str">
        <f>IF(A750&lt;&gt;"",VLOOKUP(A750,'📦 ชื่อสินค้า'!A:F,6,false),"")</f>
        <v/>
      </c>
      <c r="E750" s="16" t="str">
        <f>IFERROR(IF(VLOOKUP(A750,'📦 ชื่อสินค้า'!A:G,7,false)="InActive","InActive",IF(A750&lt;&gt;"",IF(B750&lt;=0,"สินค้าหมด",IF(B750&lt;=C750,"ควรเติมทันที","OK")),"")),)</f>
        <v/>
      </c>
      <c r="F750" s="24" t="str">
        <f>IFERROR(IF(A750&lt;&gt;"", SUMIF('💸 Transaction ซื้อ'!B:B,A750,'💸 Transaction ซื้อ'!G:G)/SUMIF('💸 Transaction ซื้อ'!B:B,A750,'💸 Transaction ซื้อ'!E:E),""),"-")</f>
        <v/>
      </c>
      <c r="G750" s="24" t="str">
        <f t="shared" si="1"/>
        <v/>
      </c>
      <c r="H750" s="25"/>
      <c r="I750" s="26"/>
      <c r="J750" s="26"/>
      <c r="K750" s="27" t="str">
        <f>IF(A750&lt;&gt;"",IF(E750="InActive","-",SUMIFS('💰 Transaction ขาย'!E:E,'💰 Transaction ขาย'!B:B,A750,'💰 Transaction ขาย'!A:A,"&gt;"&amp;'⚙️ Config'!$H$1-'⚙️ Config'!$H$2)),)</f>
        <v/>
      </c>
      <c r="L750" s="28" t="str">
        <f>IF(E750="InActive","-",IF(A750&lt;&gt;"",K750/'⚙️ Config'!$H$2,))</f>
        <v/>
      </c>
      <c r="M750" s="28" t="str">
        <f t="shared" si="2"/>
        <v/>
      </c>
      <c r="N750" s="28" t="str">
        <f>IF(A750&lt;&gt;"", SUMIFS('💰 Transaction ขาย'!F:F,'💰 Transaction ขาย'!B:B,A750,'💰 Transaction ขาย'!A:A,"&gt;="&amp;DATE(YEAR('⚙️ Config'!$H$1),1,1),'💰 Transaction ขาย'!A:A,"&lt;="&amp;DATE(YEAR('⚙️ Config'!$H$1),12,31)),)</f>
        <v/>
      </c>
    </row>
    <row r="751">
      <c r="A751" s="22"/>
      <c r="B751" s="22" t="str">
        <f>IF(A751&lt;&gt;"",SUMIFS('💸 Transaction ซื้อ'!E:E,'💸 Transaction ซื้อ'!B:B,A751)-SUMIFS('💰 Transaction ขาย'!E:E,'💰 Transaction ขาย'!B:B,A751),"")</f>
        <v/>
      </c>
      <c r="C751" s="23" t="str">
        <f>IF(A751&lt;&gt;"",vlookup(A751,'📦 ชื่อสินค้า'!A:E,5,false),"")</f>
        <v/>
      </c>
      <c r="D751" s="23" t="str">
        <f>IF(A751&lt;&gt;"",VLOOKUP(A751,'📦 ชื่อสินค้า'!A:F,6,false),"")</f>
        <v/>
      </c>
      <c r="E751" s="16" t="str">
        <f>IFERROR(IF(VLOOKUP(A751,'📦 ชื่อสินค้า'!A:G,7,false)="InActive","InActive",IF(A751&lt;&gt;"",IF(B751&lt;=0,"สินค้าหมด",IF(B751&lt;=C751,"ควรเติมทันที","OK")),"")),)</f>
        <v/>
      </c>
      <c r="F751" s="24" t="str">
        <f>IFERROR(IF(A751&lt;&gt;"", SUMIF('💸 Transaction ซื้อ'!B:B,A751,'💸 Transaction ซื้อ'!G:G)/SUMIF('💸 Transaction ซื้อ'!B:B,A751,'💸 Transaction ซื้อ'!E:E),""),"-")</f>
        <v/>
      </c>
      <c r="G751" s="24" t="str">
        <f t="shared" si="1"/>
        <v/>
      </c>
      <c r="H751" s="25"/>
      <c r="I751" s="26"/>
      <c r="J751" s="26"/>
      <c r="K751" s="27" t="str">
        <f>IF(A751&lt;&gt;"",IF(E751="InActive","-",SUMIFS('💰 Transaction ขาย'!E:E,'💰 Transaction ขาย'!B:B,A751,'💰 Transaction ขาย'!A:A,"&gt;"&amp;'⚙️ Config'!$H$1-'⚙️ Config'!$H$2)),)</f>
        <v/>
      </c>
      <c r="L751" s="28" t="str">
        <f>IF(E751="InActive","-",IF(A751&lt;&gt;"",K751/'⚙️ Config'!$H$2,))</f>
        <v/>
      </c>
      <c r="M751" s="28" t="str">
        <f t="shared" si="2"/>
        <v/>
      </c>
      <c r="N751" s="28" t="str">
        <f>IF(A751&lt;&gt;"", SUMIFS('💰 Transaction ขาย'!F:F,'💰 Transaction ขาย'!B:B,A751,'💰 Transaction ขาย'!A:A,"&gt;="&amp;DATE(YEAR('⚙️ Config'!$H$1),1,1),'💰 Transaction ขาย'!A:A,"&lt;="&amp;DATE(YEAR('⚙️ Config'!$H$1),12,31)),)</f>
        <v/>
      </c>
    </row>
    <row r="752">
      <c r="A752" s="22"/>
      <c r="B752" s="22" t="str">
        <f>IF(A752&lt;&gt;"",SUMIFS('💸 Transaction ซื้อ'!E:E,'💸 Transaction ซื้อ'!B:B,A752)-SUMIFS('💰 Transaction ขาย'!E:E,'💰 Transaction ขาย'!B:B,A752),"")</f>
        <v/>
      </c>
      <c r="C752" s="23" t="str">
        <f>IF(A752&lt;&gt;"",vlookup(A752,'📦 ชื่อสินค้า'!A:E,5,false),"")</f>
        <v/>
      </c>
      <c r="D752" s="23" t="str">
        <f>IF(A752&lt;&gt;"",VLOOKUP(A752,'📦 ชื่อสินค้า'!A:F,6,false),"")</f>
        <v/>
      </c>
      <c r="E752" s="16" t="str">
        <f>IFERROR(IF(VLOOKUP(A752,'📦 ชื่อสินค้า'!A:G,7,false)="InActive","InActive",IF(A752&lt;&gt;"",IF(B752&lt;=0,"สินค้าหมด",IF(B752&lt;=C752,"ควรเติมทันที","OK")),"")),)</f>
        <v/>
      </c>
      <c r="F752" s="24" t="str">
        <f>IFERROR(IF(A752&lt;&gt;"", SUMIF('💸 Transaction ซื้อ'!B:B,A752,'💸 Transaction ซื้อ'!G:G)/SUMIF('💸 Transaction ซื้อ'!B:B,A752,'💸 Transaction ซื้อ'!E:E),""),"-")</f>
        <v/>
      </c>
      <c r="G752" s="24" t="str">
        <f t="shared" si="1"/>
        <v/>
      </c>
      <c r="H752" s="25"/>
      <c r="I752" s="26"/>
      <c r="J752" s="26"/>
      <c r="K752" s="27" t="str">
        <f>IF(A752&lt;&gt;"",IF(E752="InActive","-",SUMIFS('💰 Transaction ขาย'!E:E,'💰 Transaction ขาย'!B:B,A752,'💰 Transaction ขาย'!A:A,"&gt;"&amp;'⚙️ Config'!$H$1-'⚙️ Config'!$H$2)),)</f>
        <v/>
      </c>
      <c r="L752" s="28" t="str">
        <f>IF(E752="InActive","-",IF(A752&lt;&gt;"",K752/'⚙️ Config'!$H$2,))</f>
        <v/>
      </c>
      <c r="M752" s="28" t="str">
        <f t="shared" si="2"/>
        <v/>
      </c>
      <c r="N752" s="28" t="str">
        <f>IF(A752&lt;&gt;"", SUMIFS('💰 Transaction ขาย'!F:F,'💰 Transaction ขาย'!B:B,A752,'💰 Transaction ขาย'!A:A,"&gt;="&amp;DATE(YEAR('⚙️ Config'!$H$1),1,1),'💰 Transaction ขาย'!A:A,"&lt;="&amp;DATE(YEAR('⚙️ Config'!$H$1),12,31)),)</f>
        <v/>
      </c>
    </row>
    <row r="753">
      <c r="A753" s="22"/>
      <c r="B753" s="22" t="str">
        <f>IF(A753&lt;&gt;"",SUMIFS('💸 Transaction ซื้อ'!E:E,'💸 Transaction ซื้อ'!B:B,A753)-SUMIFS('💰 Transaction ขาย'!E:E,'💰 Transaction ขาย'!B:B,A753),"")</f>
        <v/>
      </c>
      <c r="C753" s="23" t="str">
        <f>IF(A753&lt;&gt;"",vlookup(A753,'📦 ชื่อสินค้า'!A:E,5,false),"")</f>
        <v/>
      </c>
      <c r="D753" s="23" t="str">
        <f>IF(A753&lt;&gt;"",VLOOKUP(A753,'📦 ชื่อสินค้า'!A:F,6,false),"")</f>
        <v/>
      </c>
      <c r="E753" s="16" t="str">
        <f>IFERROR(IF(VLOOKUP(A753,'📦 ชื่อสินค้า'!A:G,7,false)="InActive","InActive",IF(A753&lt;&gt;"",IF(B753&lt;=0,"สินค้าหมด",IF(B753&lt;=C753,"ควรเติมทันที","OK")),"")),)</f>
        <v/>
      </c>
      <c r="F753" s="24" t="str">
        <f>IFERROR(IF(A753&lt;&gt;"", SUMIF('💸 Transaction ซื้อ'!B:B,A753,'💸 Transaction ซื้อ'!G:G)/SUMIF('💸 Transaction ซื้อ'!B:B,A753,'💸 Transaction ซื้อ'!E:E),""),"-")</f>
        <v/>
      </c>
      <c r="G753" s="24" t="str">
        <f t="shared" si="1"/>
        <v/>
      </c>
      <c r="H753" s="25"/>
      <c r="I753" s="26"/>
      <c r="J753" s="26"/>
      <c r="K753" s="27" t="str">
        <f>IF(A753&lt;&gt;"",IF(E753="InActive","-",SUMIFS('💰 Transaction ขาย'!E:E,'💰 Transaction ขาย'!B:B,A753,'💰 Transaction ขาย'!A:A,"&gt;"&amp;'⚙️ Config'!$H$1-'⚙️ Config'!$H$2)),)</f>
        <v/>
      </c>
      <c r="L753" s="28" t="str">
        <f>IF(E753="InActive","-",IF(A753&lt;&gt;"",K753/'⚙️ Config'!$H$2,))</f>
        <v/>
      </c>
      <c r="M753" s="28" t="str">
        <f t="shared" si="2"/>
        <v/>
      </c>
      <c r="N753" s="28" t="str">
        <f>IF(A753&lt;&gt;"", SUMIFS('💰 Transaction ขาย'!F:F,'💰 Transaction ขาย'!B:B,A753,'💰 Transaction ขาย'!A:A,"&gt;="&amp;DATE(YEAR('⚙️ Config'!$H$1),1,1),'💰 Transaction ขาย'!A:A,"&lt;="&amp;DATE(YEAR('⚙️ Config'!$H$1),12,31)),)</f>
        <v/>
      </c>
    </row>
    <row r="754">
      <c r="A754" s="22"/>
      <c r="B754" s="22" t="str">
        <f>IF(A754&lt;&gt;"",SUMIFS('💸 Transaction ซื้อ'!E:E,'💸 Transaction ซื้อ'!B:B,A754)-SUMIFS('💰 Transaction ขาย'!E:E,'💰 Transaction ขาย'!B:B,A754),"")</f>
        <v/>
      </c>
      <c r="C754" s="23" t="str">
        <f>IF(A754&lt;&gt;"",vlookup(A754,'📦 ชื่อสินค้า'!A:E,5,false),"")</f>
        <v/>
      </c>
      <c r="D754" s="23" t="str">
        <f>IF(A754&lt;&gt;"",VLOOKUP(A754,'📦 ชื่อสินค้า'!A:F,6,false),"")</f>
        <v/>
      </c>
      <c r="E754" s="16" t="str">
        <f>IFERROR(IF(VLOOKUP(A754,'📦 ชื่อสินค้า'!A:G,7,false)="InActive","InActive",IF(A754&lt;&gt;"",IF(B754&lt;=0,"สินค้าหมด",IF(B754&lt;=C754,"ควรเติมทันที","OK")),"")),)</f>
        <v/>
      </c>
      <c r="F754" s="24" t="str">
        <f>IFERROR(IF(A754&lt;&gt;"", SUMIF('💸 Transaction ซื้อ'!B:B,A754,'💸 Transaction ซื้อ'!G:G)/SUMIF('💸 Transaction ซื้อ'!B:B,A754,'💸 Transaction ซื้อ'!E:E),""),"-")</f>
        <v/>
      </c>
      <c r="G754" s="24" t="str">
        <f t="shared" si="1"/>
        <v/>
      </c>
      <c r="H754" s="25"/>
      <c r="I754" s="26"/>
      <c r="J754" s="26"/>
      <c r="K754" s="27" t="str">
        <f>IF(A754&lt;&gt;"",IF(E754="InActive","-",SUMIFS('💰 Transaction ขาย'!E:E,'💰 Transaction ขาย'!B:B,A754,'💰 Transaction ขาย'!A:A,"&gt;"&amp;'⚙️ Config'!$H$1-'⚙️ Config'!$H$2)),)</f>
        <v/>
      </c>
      <c r="L754" s="28" t="str">
        <f>IF(E754="InActive","-",IF(A754&lt;&gt;"",K754/'⚙️ Config'!$H$2,))</f>
        <v/>
      </c>
      <c r="M754" s="28" t="str">
        <f t="shared" si="2"/>
        <v/>
      </c>
      <c r="N754" s="28" t="str">
        <f>IF(A754&lt;&gt;"", SUMIFS('💰 Transaction ขาย'!F:F,'💰 Transaction ขาย'!B:B,A754,'💰 Transaction ขาย'!A:A,"&gt;="&amp;DATE(YEAR('⚙️ Config'!$H$1),1,1),'💰 Transaction ขาย'!A:A,"&lt;="&amp;DATE(YEAR('⚙️ Config'!$H$1),12,31)),)</f>
        <v/>
      </c>
    </row>
    <row r="755">
      <c r="A755" s="22"/>
      <c r="B755" s="22" t="str">
        <f>IF(A755&lt;&gt;"",SUMIFS('💸 Transaction ซื้อ'!E:E,'💸 Transaction ซื้อ'!B:B,A755)-SUMIFS('💰 Transaction ขาย'!E:E,'💰 Transaction ขาย'!B:B,A755),"")</f>
        <v/>
      </c>
      <c r="C755" s="23" t="str">
        <f>IF(A755&lt;&gt;"",vlookup(A755,'📦 ชื่อสินค้า'!A:E,5,false),"")</f>
        <v/>
      </c>
      <c r="D755" s="23" t="str">
        <f>IF(A755&lt;&gt;"",VLOOKUP(A755,'📦 ชื่อสินค้า'!A:F,6,false),"")</f>
        <v/>
      </c>
      <c r="E755" s="16" t="str">
        <f>IFERROR(IF(VLOOKUP(A755,'📦 ชื่อสินค้า'!A:G,7,false)="InActive","InActive",IF(A755&lt;&gt;"",IF(B755&lt;=0,"สินค้าหมด",IF(B755&lt;=C755,"ควรเติมทันที","OK")),"")),)</f>
        <v/>
      </c>
      <c r="F755" s="24" t="str">
        <f>IFERROR(IF(A755&lt;&gt;"", SUMIF('💸 Transaction ซื้อ'!B:B,A755,'💸 Transaction ซื้อ'!G:G)/SUMIF('💸 Transaction ซื้อ'!B:B,A755,'💸 Transaction ซื้อ'!E:E),""),"-")</f>
        <v/>
      </c>
      <c r="G755" s="24" t="str">
        <f t="shared" si="1"/>
        <v/>
      </c>
      <c r="H755" s="25"/>
      <c r="I755" s="26"/>
      <c r="J755" s="26"/>
      <c r="K755" s="27" t="str">
        <f>IF(A755&lt;&gt;"",IF(E755="InActive","-",SUMIFS('💰 Transaction ขาย'!E:E,'💰 Transaction ขาย'!B:B,A755,'💰 Transaction ขาย'!A:A,"&gt;"&amp;'⚙️ Config'!$H$1-'⚙️ Config'!$H$2)),)</f>
        <v/>
      </c>
      <c r="L755" s="28" t="str">
        <f>IF(E755="InActive","-",IF(A755&lt;&gt;"",K755/'⚙️ Config'!$H$2,))</f>
        <v/>
      </c>
      <c r="M755" s="28" t="str">
        <f t="shared" si="2"/>
        <v/>
      </c>
      <c r="N755" s="28" t="str">
        <f>IF(A755&lt;&gt;"", SUMIFS('💰 Transaction ขาย'!F:F,'💰 Transaction ขาย'!B:B,A755,'💰 Transaction ขาย'!A:A,"&gt;="&amp;DATE(YEAR('⚙️ Config'!$H$1),1,1),'💰 Transaction ขาย'!A:A,"&lt;="&amp;DATE(YEAR('⚙️ Config'!$H$1),12,31)),)</f>
        <v/>
      </c>
    </row>
    <row r="756">
      <c r="A756" s="22"/>
      <c r="B756" s="22" t="str">
        <f>IF(A756&lt;&gt;"",SUMIFS('💸 Transaction ซื้อ'!E:E,'💸 Transaction ซื้อ'!B:B,A756)-SUMIFS('💰 Transaction ขาย'!E:E,'💰 Transaction ขาย'!B:B,A756),"")</f>
        <v/>
      </c>
      <c r="C756" s="23" t="str">
        <f>IF(A756&lt;&gt;"",vlookup(A756,'📦 ชื่อสินค้า'!A:E,5,false),"")</f>
        <v/>
      </c>
      <c r="D756" s="23" t="str">
        <f>IF(A756&lt;&gt;"",VLOOKUP(A756,'📦 ชื่อสินค้า'!A:F,6,false),"")</f>
        <v/>
      </c>
      <c r="E756" s="16" t="str">
        <f>IFERROR(IF(VLOOKUP(A756,'📦 ชื่อสินค้า'!A:G,7,false)="InActive","InActive",IF(A756&lt;&gt;"",IF(B756&lt;=0,"สินค้าหมด",IF(B756&lt;=C756,"ควรเติมทันที","OK")),"")),)</f>
        <v/>
      </c>
      <c r="F756" s="24" t="str">
        <f>IFERROR(IF(A756&lt;&gt;"", SUMIF('💸 Transaction ซื้อ'!B:B,A756,'💸 Transaction ซื้อ'!G:G)/SUMIF('💸 Transaction ซื้อ'!B:B,A756,'💸 Transaction ซื้อ'!E:E),""),"-")</f>
        <v/>
      </c>
      <c r="G756" s="24" t="str">
        <f t="shared" si="1"/>
        <v/>
      </c>
      <c r="H756" s="25"/>
      <c r="I756" s="26"/>
      <c r="J756" s="26"/>
      <c r="K756" s="27" t="str">
        <f>IF(A756&lt;&gt;"",IF(E756="InActive","-",SUMIFS('💰 Transaction ขาย'!E:E,'💰 Transaction ขาย'!B:B,A756,'💰 Transaction ขาย'!A:A,"&gt;"&amp;'⚙️ Config'!$H$1-'⚙️ Config'!$H$2)),)</f>
        <v/>
      </c>
      <c r="L756" s="28" t="str">
        <f>IF(E756="InActive","-",IF(A756&lt;&gt;"",K756/'⚙️ Config'!$H$2,))</f>
        <v/>
      </c>
      <c r="M756" s="28" t="str">
        <f t="shared" si="2"/>
        <v/>
      </c>
      <c r="N756" s="28" t="str">
        <f>IF(A756&lt;&gt;"", SUMIFS('💰 Transaction ขาย'!F:F,'💰 Transaction ขาย'!B:B,A756,'💰 Transaction ขาย'!A:A,"&gt;="&amp;DATE(YEAR('⚙️ Config'!$H$1),1,1),'💰 Transaction ขาย'!A:A,"&lt;="&amp;DATE(YEAR('⚙️ Config'!$H$1),12,31)),)</f>
        <v/>
      </c>
    </row>
    <row r="757">
      <c r="A757" s="22"/>
      <c r="B757" s="22" t="str">
        <f>IF(A757&lt;&gt;"",SUMIFS('💸 Transaction ซื้อ'!E:E,'💸 Transaction ซื้อ'!B:B,A757)-SUMIFS('💰 Transaction ขาย'!E:E,'💰 Transaction ขาย'!B:B,A757),"")</f>
        <v/>
      </c>
      <c r="C757" s="23" t="str">
        <f>IF(A757&lt;&gt;"",vlookup(A757,'📦 ชื่อสินค้า'!A:E,5,false),"")</f>
        <v/>
      </c>
      <c r="D757" s="23" t="str">
        <f>IF(A757&lt;&gt;"",VLOOKUP(A757,'📦 ชื่อสินค้า'!A:F,6,false),"")</f>
        <v/>
      </c>
      <c r="E757" s="16" t="str">
        <f>IFERROR(IF(VLOOKUP(A757,'📦 ชื่อสินค้า'!A:G,7,false)="InActive","InActive",IF(A757&lt;&gt;"",IF(B757&lt;=0,"สินค้าหมด",IF(B757&lt;=C757,"ควรเติมทันที","OK")),"")),)</f>
        <v/>
      </c>
      <c r="F757" s="24" t="str">
        <f>IFERROR(IF(A757&lt;&gt;"", SUMIF('💸 Transaction ซื้อ'!B:B,A757,'💸 Transaction ซื้อ'!G:G)/SUMIF('💸 Transaction ซื้อ'!B:B,A757,'💸 Transaction ซื้อ'!E:E),""),"-")</f>
        <v/>
      </c>
      <c r="G757" s="24" t="str">
        <f t="shared" si="1"/>
        <v/>
      </c>
      <c r="H757" s="25"/>
      <c r="I757" s="26"/>
      <c r="J757" s="26"/>
      <c r="K757" s="27" t="str">
        <f>IF(A757&lt;&gt;"",IF(E757="InActive","-",SUMIFS('💰 Transaction ขาย'!E:E,'💰 Transaction ขาย'!B:B,A757,'💰 Transaction ขาย'!A:A,"&gt;"&amp;'⚙️ Config'!$H$1-'⚙️ Config'!$H$2)),)</f>
        <v/>
      </c>
      <c r="L757" s="28" t="str">
        <f>IF(E757="InActive","-",IF(A757&lt;&gt;"",K757/'⚙️ Config'!$H$2,))</f>
        <v/>
      </c>
      <c r="M757" s="28" t="str">
        <f t="shared" si="2"/>
        <v/>
      </c>
      <c r="N757" s="28" t="str">
        <f>IF(A757&lt;&gt;"", SUMIFS('💰 Transaction ขาย'!F:F,'💰 Transaction ขาย'!B:B,A757,'💰 Transaction ขาย'!A:A,"&gt;="&amp;DATE(YEAR('⚙️ Config'!$H$1),1,1),'💰 Transaction ขาย'!A:A,"&lt;="&amp;DATE(YEAR('⚙️ Config'!$H$1),12,31)),)</f>
        <v/>
      </c>
    </row>
    <row r="758">
      <c r="A758" s="22"/>
      <c r="B758" s="22" t="str">
        <f>IF(A758&lt;&gt;"",SUMIFS('💸 Transaction ซื้อ'!E:E,'💸 Transaction ซื้อ'!B:B,A758)-SUMIFS('💰 Transaction ขาย'!E:E,'💰 Transaction ขาย'!B:B,A758),"")</f>
        <v/>
      </c>
      <c r="C758" s="23" t="str">
        <f>IF(A758&lt;&gt;"",vlookup(A758,'📦 ชื่อสินค้า'!A:E,5,false),"")</f>
        <v/>
      </c>
      <c r="D758" s="23" t="str">
        <f>IF(A758&lt;&gt;"",VLOOKUP(A758,'📦 ชื่อสินค้า'!A:F,6,false),"")</f>
        <v/>
      </c>
      <c r="E758" s="16" t="str">
        <f>IFERROR(IF(VLOOKUP(A758,'📦 ชื่อสินค้า'!A:G,7,false)="InActive","InActive",IF(A758&lt;&gt;"",IF(B758&lt;=0,"สินค้าหมด",IF(B758&lt;=C758,"ควรเติมทันที","OK")),"")),)</f>
        <v/>
      </c>
      <c r="F758" s="24" t="str">
        <f>IFERROR(IF(A758&lt;&gt;"", SUMIF('💸 Transaction ซื้อ'!B:B,A758,'💸 Transaction ซื้อ'!G:G)/SUMIF('💸 Transaction ซื้อ'!B:B,A758,'💸 Transaction ซื้อ'!E:E),""),"-")</f>
        <v/>
      </c>
      <c r="G758" s="24" t="str">
        <f t="shared" si="1"/>
        <v/>
      </c>
      <c r="H758" s="25"/>
      <c r="I758" s="26"/>
      <c r="J758" s="26"/>
      <c r="K758" s="27" t="str">
        <f>IF(A758&lt;&gt;"",IF(E758="InActive","-",SUMIFS('💰 Transaction ขาย'!E:E,'💰 Transaction ขาย'!B:B,A758,'💰 Transaction ขาย'!A:A,"&gt;"&amp;'⚙️ Config'!$H$1-'⚙️ Config'!$H$2)),)</f>
        <v/>
      </c>
      <c r="L758" s="28" t="str">
        <f>IF(E758="InActive","-",IF(A758&lt;&gt;"",K758/'⚙️ Config'!$H$2,))</f>
        <v/>
      </c>
      <c r="M758" s="28" t="str">
        <f t="shared" si="2"/>
        <v/>
      </c>
      <c r="N758" s="28" t="str">
        <f>IF(A758&lt;&gt;"", SUMIFS('💰 Transaction ขาย'!F:F,'💰 Transaction ขาย'!B:B,A758,'💰 Transaction ขาย'!A:A,"&gt;="&amp;DATE(YEAR('⚙️ Config'!$H$1),1,1),'💰 Transaction ขาย'!A:A,"&lt;="&amp;DATE(YEAR('⚙️ Config'!$H$1),12,31)),)</f>
        <v/>
      </c>
    </row>
    <row r="759">
      <c r="A759" s="22"/>
      <c r="B759" s="22" t="str">
        <f>IF(A759&lt;&gt;"",SUMIFS('💸 Transaction ซื้อ'!E:E,'💸 Transaction ซื้อ'!B:B,A759)-SUMIFS('💰 Transaction ขาย'!E:E,'💰 Transaction ขาย'!B:B,A759),"")</f>
        <v/>
      </c>
      <c r="C759" s="23" t="str">
        <f>IF(A759&lt;&gt;"",vlookup(A759,'📦 ชื่อสินค้า'!A:E,5,false),"")</f>
        <v/>
      </c>
      <c r="D759" s="23" t="str">
        <f>IF(A759&lt;&gt;"",VLOOKUP(A759,'📦 ชื่อสินค้า'!A:F,6,false),"")</f>
        <v/>
      </c>
      <c r="E759" s="16" t="str">
        <f>IFERROR(IF(VLOOKUP(A759,'📦 ชื่อสินค้า'!A:G,7,false)="InActive","InActive",IF(A759&lt;&gt;"",IF(B759&lt;=0,"สินค้าหมด",IF(B759&lt;=C759,"ควรเติมทันที","OK")),"")),)</f>
        <v/>
      </c>
      <c r="F759" s="24" t="str">
        <f>IFERROR(IF(A759&lt;&gt;"", SUMIF('💸 Transaction ซื้อ'!B:B,A759,'💸 Transaction ซื้อ'!G:G)/SUMIF('💸 Transaction ซื้อ'!B:B,A759,'💸 Transaction ซื้อ'!E:E),""),"-")</f>
        <v/>
      </c>
      <c r="G759" s="24" t="str">
        <f t="shared" si="1"/>
        <v/>
      </c>
      <c r="H759" s="25"/>
      <c r="I759" s="26"/>
      <c r="J759" s="26"/>
      <c r="K759" s="27" t="str">
        <f>IF(A759&lt;&gt;"",IF(E759="InActive","-",SUMIFS('💰 Transaction ขาย'!E:E,'💰 Transaction ขาย'!B:B,A759,'💰 Transaction ขาย'!A:A,"&gt;"&amp;'⚙️ Config'!$H$1-'⚙️ Config'!$H$2)),)</f>
        <v/>
      </c>
      <c r="L759" s="28" t="str">
        <f>IF(E759="InActive","-",IF(A759&lt;&gt;"",K759/'⚙️ Config'!$H$2,))</f>
        <v/>
      </c>
      <c r="M759" s="28" t="str">
        <f t="shared" si="2"/>
        <v/>
      </c>
      <c r="N759" s="28" t="str">
        <f>IF(A759&lt;&gt;"", SUMIFS('💰 Transaction ขาย'!F:F,'💰 Transaction ขาย'!B:B,A759,'💰 Transaction ขาย'!A:A,"&gt;="&amp;DATE(YEAR('⚙️ Config'!$H$1),1,1),'💰 Transaction ขาย'!A:A,"&lt;="&amp;DATE(YEAR('⚙️ Config'!$H$1),12,31)),)</f>
        <v/>
      </c>
    </row>
    <row r="760">
      <c r="A760" s="22"/>
      <c r="B760" s="22" t="str">
        <f>IF(A760&lt;&gt;"",SUMIFS('💸 Transaction ซื้อ'!E:E,'💸 Transaction ซื้อ'!B:B,A760)-SUMIFS('💰 Transaction ขาย'!E:E,'💰 Transaction ขาย'!B:B,A760),"")</f>
        <v/>
      </c>
      <c r="C760" s="23" t="str">
        <f>IF(A760&lt;&gt;"",vlookup(A760,'📦 ชื่อสินค้า'!A:E,5,false),"")</f>
        <v/>
      </c>
      <c r="D760" s="23" t="str">
        <f>IF(A760&lt;&gt;"",VLOOKUP(A760,'📦 ชื่อสินค้า'!A:F,6,false),"")</f>
        <v/>
      </c>
      <c r="E760" s="16" t="str">
        <f>IFERROR(IF(VLOOKUP(A760,'📦 ชื่อสินค้า'!A:G,7,false)="InActive","InActive",IF(A760&lt;&gt;"",IF(B760&lt;=0,"สินค้าหมด",IF(B760&lt;=C760,"ควรเติมทันที","OK")),"")),)</f>
        <v/>
      </c>
      <c r="F760" s="24" t="str">
        <f>IFERROR(IF(A760&lt;&gt;"", SUMIF('💸 Transaction ซื้อ'!B:B,A760,'💸 Transaction ซื้อ'!G:G)/SUMIF('💸 Transaction ซื้อ'!B:B,A760,'💸 Transaction ซื้อ'!E:E),""),"-")</f>
        <v/>
      </c>
      <c r="G760" s="24" t="str">
        <f t="shared" si="1"/>
        <v/>
      </c>
      <c r="H760" s="25"/>
      <c r="I760" s="26"/>
      <c r="J760" s="26"/>
      <c r="K760" s="27" t="str">
        <f>IF(A760&lt;&gt;"",IF(E760="InActive","-",SUMIFS('💰 Transaction ขาย'!E:E,'💰 Transaction ขาย'!B:B,A760,'💰 Transaction ขาย'!A:A,"&gt;"&amp;'⚙️ Config'!$H$1-'⚙️ Config'!$H$2)),)</f>
        <v/>
      </c>
      <c r="L760" s="28" t="str">
        <f>IF(E760="InActive","-",IF(A760&lt;&gt;"",K760/'⚙️ Config'!$H$2,))</f>
        <v/>
      </c>
      <c r="M760" s="28" t="str">
        <f t="shared" si="2"/>
        <v/>
      </c>
      <c r="N760" s="28" t="str">
        <f>IF(A760&lt;&gt;"", SUMIFS('💰 Transaction ขาย'!F:F,'💰 Transaction ขาย'!B:B,A760,'💰 Transaction ขาย'!A:A,"&gt;="&amp;DATE(YEAR('⚙️ Config'!$H$1),1,1),'💰 Transaction ขาย'!A:A,"&lt;="&amp;DATE(YEAR('⚙️ Config'!$H$1),12,31)),)</f>
        <v/>
      </c>
    </row>
    <row r="761">
      <c r="A761" s="22"/>
      <c r="B761" s="22" t="str">
        <f>IF(A761&lt;&gt;"",SUMIFS('💸 Transaction ซื้อ'!E:E,'💸 Transaction ซื้อ'!B:B,A761)-SUMIFS('💰 Transaction ขาย'!E:E,'💰 Transaction ขาย'!B:B,A761),"")</f>
        <v/>
      </c>
      <c r="C761" s="23" t="str">
        <f>IF(A761&lt;&gt;"",vlookup(A761,'📦 ชื่อสินค้า'!A:E,5,false),"")</f>
        <v/>
      </c>
      <c r="D761" s="23" t="str">
        <f>IF(A761&lt;&gt;"",VLOOKUP(A761,'📦 ชื่อสินค้า'!A:F,6,false),"")</f>
        <v/>
      </c>
      <c r="E761" s="16" t="str">
        <f>IFERROR(IF(VLOOKUP(A761,'📦 ชื่อสินค้า'!A:G,7,false)="InActive","InActive",IF(A761&lt;&gt;"",IF(B761&lt;=0,"สินค้าหมด",IF(B761&lt;=C761,"ควรเติมทันที","OK")),"")),)</f>
        <v/>
      </c>
      <c r="F761" s="24" t="str">
        <f>IFERROR(IF(A761&lt;&gt;"", SUMIF('💸 Transaction ซื้อ'!B:B,A761,'💸 Transaction ซื้อ'!G:G)/SUMIF('💸 Transaction ซื้อ'!B:B,A761,'💸 Transaction ซื้อ'!E:E),""),"-")</f>
        <v/>
      </c>
      <c r="G761" s="24" t="str">
        <f t="shared" si="1"/>
        <v/>
      </c>
      <c r="H761" s="25"/>
      <c r="I761" s="26"/>
      <c r="J761" s="26"/>
      <c r="K761" s="27" t="str">
        <f>IF(A761&lt;&gt;"",IF(E761="InActive","-",SUMIFS('💰 Transaction ขาย'!E:E,'💰 Transaction ขาย'!B:B,A761,'💰 Transaction ขาย'!A:A,"&gt;"&amp;'⚙️ Config'!$H$1-'⚙️ Config'!$H$2)),)</f>
        <v/>
      </c>
      <c r="L761" s="28" t="str">
        <f>IF(E761="InActive","-",IF(A761&lt;&gt;"",K761/'⚙️ Config'!$H$2,))</f>
        <v/>
      </c>
      <c r="M761" s="28" t="str">
        <f t="shared" si="2"/>
        <v/>
      </c>
      <c r="N761" s="28" t="str">
        <f>IF(A761&lt;&gt;"", SUMIFS('💰 Transaction ขาย'!F:F,'💰 Transaction ขาย'!B:B,A761,'💰 Transaction ขาย'!A:A,"&gt;="&amp;DATE(YEAR('⚙️ Config'!$H$1),1,1),'💰 Transaction ขาย'!A:A,"&lt;="&amp;DATE(YEAR('⚙️ Config'!$H$1),12,31)),)</f>
        <v/>
      </c>
    </row>
    <row r="762">
      <c r="A762" s="22"/>
      <c r="B762" s="22" t="str">
        <f>IF(A762&lt;&gt;"",SUMIFS('💸 Transaction ซื้อ'!E:E,'💸 Transaction ซื้อ'!B:B,A762)-SUMIFS('💰 Transaction ขาย'!E:E,'💰 Transaction ขาย'!B:B,A762),"")</f>
        <v/>
      </c>
      <c r="C762" s="23" t="str">
        <f>IF(A762&lt;&gt;"",vlookup(A762,'📦 ชื่อสินค้า'!A:E,5,false),"")</f>
        <v/>
      </c>
      <c r="D762" s="23" t="str">
        <f>IF(A762&lt;&gt;"",VLOOKUP(A762,'📦 ชื่อสินค้า'!A:F,6,false),"")</f>
        <v/>
      </c>
      <c r="E762" s="16" t="str">
        <f>IFERROR(IF(VLOOKUP(A762,'📦 ชื่อสินค้า'!A:G,7,false)="InActive","InActive",IF(A762&lt;&gt;"",IF(B762&lt;=0,"สินค้าหมด",IF(B762&lt;=C762,"ควรเติมทันที","OK")),"")),)</f>
        <v/>
      </c>
      <c r="F762" s="24" t="str">
        <f>IFERROR(IF(A762&lt;&gt;"", SUMIF('💸 Transaction ซื้อ'!B:B,A762,'💸 Transaction ซื้อ'!G:G)/SUMIF('💸 Transaction ซื้อ'!B:B,A762,'💸 Transaction ซื้อ'!E:E),""),"-")</f>
        <v/>
      </c>
      <c r="G762" s="24" t="str">
        <f t="shared" si="1"/>
        <v/>
      </c>
      <c r="H762" s="25"/>
      <c r="I762" s="26"/>
      <c r="J762" s="26"/>
      <c r="K762" s="27" t="str">
        <f>IF(A762&lt;&gt;"",IF(E762="InActive","-",SUMIFS('💰 Transaction ขาย'!E:E,'💰 Transaction ขาย'!B:B,A762,'💰 Transaction ขาย'!A:A,"&gt;"&amp;'⚙️ Config'!$H$1-'⚙️ Config'!$H$2)),)</f>
        <v/>
      </c>
      <c r="L762" s="28" t="str">
        <f>IF(E762="InActive","-",IF(A762&lt;&gt;"",K762/'⚙️ Config'!$H$2,))</f>
        <v/>
      </c>
      <c r="M762" s="28" t="str">
        <f t="shared" si="2"/>
        <v/>
      </c>
      <c r="N762" s="28" t="str">
        <f>IF(A762&lt;&gt;"", SUMIFS('💰 Transaction ขาย'!F:F,'💰 Transaction ขาย'!B:B,A762,'💰 Transaction ขาย'!A:A,"&gt;="&amp;DATE(YEAR('⚙️ Config'!$H$1),1,1),'💰 Transaction ขาย'!A:A,"&lt;="&amp;DATE(YEAR('⚙️ Config'!$H$1),12,31)),)</f>
        <v/>
      </c>
    </row>
    <row r="763">
      <c r="A763" s="22"/>
      <c r="B763" s="22" t="str">
        <f>IF(A763&lt;&gt;"",SUMIFS('💸 Transaction ซื้อ'!E:E,'💸 Transaction ซื้อ'!B:B,A763)-SUMIFS('💰 Transaction ขาย'!E:E,'💰 Transaction ขาย'!B:B,A763),"")</f>
        <v/>
      </c>
      <c r="C763" s="23" t="str">
        <f>IF(A763&lt;&gt;"",vlookup(A763,'📦 ชื่อสินค้า'!A:E,5,false),"")</f>
        <v/>
      </c>
      <c r="D763" s="23" t="str">
        <f>IF(A763&lt;&gt;"",VLOOKUP(A763,'📦 ชื่อสินค้า'!A:F,6,false),"")</f>
        <v/>
      </c>
      <c r="E763" s="16" t="str">
        <f>IFERROR(IF(VLOOKUP(A763,'📦 ชื่อสินค้า'!A:G,7,false)="InActive","InActive",IF(A763&lt;&gt;"",IF(B763&lt;=0,"สินค้าหมด",IF(B763&lt;=C763,"ควรเติมทันที","OK")),"")),)</f>
        <v/>
      </c>
      <c r="F763" s="24" t="str">
        <f>IFERROR(IF(A763&lt;&gt;"", SUMIF('💸 Transaction ซื้อ'!B:B,A763,'💸 Transaction ซื้อ'!G:G)/SUMIF('💸 Transaction ซื้อ'!B:B,A763,'💸 Transaction ซื้อ'!E:E),""),"-")</f>
        <v/>
      </c>
      <c r="G763" s="24" t="str">
        <f t="shared" si="1"/>
        <v/>
      </c>
      <c r="H763" s="25"/>
      <c r="I763" s="26"/>
      <c r="J763" s="26"/>
      <c r="K763" s="27" t="str">
        <f>IF(A763&lt;&gt;"",IF(E763="InActive","-",SUMIFS('💰 Transaction ขาย'!E:E,'💰 Transaction ขาย'!B:B,A763,'💰 Transaction ขาย'!A:A,"&gt;"&amp;'⚙️ Config'!$H$1-'⚙️ Config'!$H$2)),)</f>
        <v/>
      </c>
      <c r="L763" s="28" t="str">
        <f>IF(E763="InActive","-",IF(A763&lt;&gt;"",K763/'⚙️ Config'!$H$2,))</f>
        <v/>
      </c>
      <c r="M763" s="28" t="str">
        <f t="shared" si="2"/>
        <v/>
      </c>
      <c r="N763" s="28" t="str">
        <f>IF(A763&lt;&gt;"", SUMIFS('💰 Transaction ขาย'!F:F,'💰 Transaction ขาย'!B:B,A763,'💰 Transaction ขาย'!A:A,"&gt;="&amp;DATE(YEAR('⚙️ Config'!$H$1),1,1),'💰 Transaction ขาย'!A:A,"&lt;="&amp;DATE(YEAR('⚙️ Config'!$H$1),12,31)),)</f>
        <v/>
      </c>
    </row>
    <row r="764">
      <c r="A764" s="22"/>
      <c r="B764" s="22" t="str">
        <f>IF(A764&lt;&gt;"",SUMIFS('💸 Transaction ซื้อ'!E:E,'💸 Transaction ซื้อ'!B:B,A764)-SUMIFS('💰 Transaction ขาย'!E:E,'💰 Transaction ขาย'!B:B,A764),"")</f>
        <v/>
      </c>
      <c r="C764" s="23" t="str">
        <f>IF(A764&lt;&gt;"",vlookup(A764,'📦 ชื่อสินค้า'!A:E,5,false),"")</f>
        <v/>
      </c>
      <c r="D764" s="23" t="str">
        <f>IF(A764&lt;&gt;"",VLOOKUP(A764,'📦 ชื่อสินค้า'!A:F,6,false),"")</f>
        <v/>
      </c>
      <c r="E764" s="16" t="str">
        <f>IFERROR(IF(VLOOKUP(A764,'📦 ชื่อสินค้า'!A:G,7,false)="InActive","InActive",IF(A764&lt;&gt;"",IF(B764&lt;=0,"สินค้าหมด",IF(B764&lt;=C764,"ควรเติมทันที","OK")),"")),)</f>
        <v/>
      </c>
      <c r="F764" s="24" t="str">
        <f>IFERROR(IF(A764&lt;&gt;"", SUMIF('💸 Transaction ซื้อ'!B:B,A764,'💸 Transaction ซื้อ'!G:G)/SUMIF('💸 Transaction ซื้อ'!B:B,A764,'💸 Transaction ซื้อ'!E:E),""),"-")</f>
        <v/>
      </c>
      <c r="G764" s="24" t="str">
        <f t="shared" si="1"/>
        <v/>
      </c>
      <c r="H764" s="25"/>
      <c r="I764" s="26"/>
      <c r="J764" s="26"/>
      <c r="K764" s="27" t="str">
        <f>IF(A764&lt;&gt;"",IF(E764="InActive","-",SUMIFS('💰 Transaction ขาย'!E:E,'💰 Transaction ขาย'!B:B,A764,'💰 Transaction ขาย'!A:A,"&gt;"&amp;'⚙️ Config'!$H$1-'⚙️ Config'!$H$2)),)</f>
        <v/>
      </c>
      <c r="L764" s="28" t="str">
        <f>IF(E764="InActive","-",IF(A764&lt;&gt;"",K764/'⚙️ Config'!$H$2,))</f>
        <v/>
      </c>
      <c r="M764" s="28" t="str">
        <f t="shared" si="2"/>
        <v/>
      </c>
      <c r="N764" s="28" t="str">
        <f>IF(A764&lt;&gt;"", SUMIFS('💰 Transaction ขาย'!F:F,'💰 Transaction ขาย'!B:B,A764,'💰 Transaction ขาย'!A:A,"&gt;="&amp;DATE(YEAR('⚙️ Config'!$H$1),1,1),'💰 Transaction ขาย'!A:A,"&lt;="&amp;DATE(YEAR('⚙️ Config'!$H$1),12,31)),)</f>
        <v/>
      </c>
    </row>
    <row r="765">
      <c r="A765" s="22"/>
      <c r="B765" s="22" t="str">
        <f>IF(A765&lt;&gt;"",SUMIFS('💸 Transaction ซื้อ'!E:E,'💸 Transaction ซื้อ'!B:B,A765)-SUMIFS('💰 Transaction ขาย'!E:E,'💰 Transaction ขาย'!B:B,A765),"")</f>
        <v/>
      </c>
      <c r="C765" s="23" t="str">
        <f>IF(A765&lt;&gt;"",vlookup(A765,'📦 ชื่อสินค้า'!A:E,5,false),"")</f>
        <v/>
      </c>
      <c r="D765" s="23" t="str">
        <f>IF(A765&lt;&gt;"",VLOOKUP(A765,'📦 ชื่อสินค้า'!A:F,6,false),"")</f>
        <v/>
      </c>
      <c r="E765" s="16" t="str">
        <f>IFERROR(IF(VLOOKUP(A765,'📦 ชื่อสินค้า'!A:G,7,false)="InActive","InActive",IF(A765&lt;&gt;"",IF(B765&lt;=0,"สินค้าหมด",IF(B765&lt;=C765,"ควรเติมทันที","OK")),"")),)</f>
        <v/>
      </c>
      <c r="F765" s="24" t="str">
        <f>IFERROR(IF(A765&lt;&gt;"", SUMIF('💸 Transaction ซื้อ'!B:B,A765,'💸 Transaction ซื้อ'!G:G)/SUMIF('💸 Transaction ซื้อ'!B:B,A765,'💸 Transaction ซื้อ'!E:E),""),"-")</f>
        <v/>
      </c>
      <c r="G765" s="24" t="str">
        <f t="shared" si="1"/>
        <v/>
      </c>
      <c r="H765" s="25"/>
      <c r="I765" s="26"/>
      <c r="J765" s="26"/>
      <c r="K765" s="27" t="str">
        <f>IF(A765&lt;&gt;"",IF(E765="InActive","-",SUMIFS('💰 Transaction ขาย'!E:E,'💰 Transaction ขาย'!B:B,A765,'💰 Transaction ขาย'!A:A,"&gt;"&amp;'⚙️ Config'!$H$1-'⚙️ Config'!$H$2)),)</f>
        <v/>
      </c>
      <c r="L765" s="28" t="str">
        <f>IF(E765="InActive","-",IF(A765&lt;&gt;"",K765/'⚙️ Config'!$H$2,))</f>
        <v/>
      </c>
      <c r="M765" s="28" t="str">
        <f t="shared" si="2"/>
        <v/>
      </c>
      <c r="N765" s="28" t="str">
        <f>IF(A765&lt;&gt;"", SUMIFS('💰 Transaction ขาย'!F:F,'💰 Transaction ขาย'!B:B,A765,'💰 Transaction ขาย'!A:A,"&gt;="&amp;DATE(YEAR('⚙️ Config'!$H$1),1,1),'💰 Transaction ขาย'!A:A,"&lt;="&amp;DATE(YEAR('⚙️ Config'!$H$1),12,31)),)</f>
        <v/>
      </c>
    </row>
    <row r="766">
      <c r="A766" s="22"/>
      <c r="B766" s="22" t="str">
        <f>IF(A766&lt;&gt;"",SUMIFS('💸 Transaction ซื้อ'!E:E,'💸 Transaction ซื้อ'!B:B,A766)-SUMIFS('💰 Transaction ขาย'!E:E,'💰 Transaction ขาย'!B:B,A766),"")</f>
        <v/>
      </c>
      <c r="C766" s="23" t="str">
        <f>IF(A766&lt;&gt;"",vlookup(A766,'📦 ชื่อสินค้า'!A:E,5,false),"")</f>
        <v/>
      </c>
      <c r="D766" s="23" t="str">
        <f>IF(A766&lt;&gt;"",VLOOKUP(A766,'📦 ชื่อสินค้า'!A:F,6,false),"")</f>
        <v/>
      </c>
      <c r="E766" s="16" t="str">
        <f>IFERROR(IF(VLOOKUP(A766,'📦 ชื่อสินค้า'!A:G,7,false)="InActive","InActive",IF(A766&lt;&gt;"",IF(B766&lt;=0,"สินค้าหมด",IF(B766&lt;=C766,"ควรเติมทันที","OK")),"")),)</f>
        <v/>
      </c>
      <c r="F766" s="24" t="str">
        <f>IFERROR(IF(A766&lt;&gt;"", SUMIF('💸 Transaction ซื้อ'!B:B,A766,'💸 Transaction ซื้อ'!G:G)/SUMIF('💸 Transaction ซื้อ'!B:B,A766,'💸 Transaction ซื้อ'!E:E),""),"-")</f>
        <v/>
      </c>
      <c r="G766" s="24" t="str">
        <f t="shared" si="1"/>
        <v/>
      </c>
      <c r="H766" s="25"/>
      <c r="I766" s="26"/>
      <c r="J766" s="26"/>
      <c r="K766" s="27" t="str">
        <f>IF(A766&lt;&gt;"",IF(E766="InActive","-",SUMIFS('💰 Transaction ขาย'!E:E,'💰 Transaction ขาย'!B:B,A766,'💰 Transaction ขาย'!A:A,"&gt;"&amp;'⚙️ Config'!$H$1-'⚙️ Config'!$H$2)),)</f>
        <v/>
      </c>
      <c r="L766" s="28" t="str">
        <f>IF(E766="InActive","-",IF(A766&lt;&gt;"",K766/'⚙️ Config'!$H$2,))</f>
        <v/>
      </c>
      <c r="M766" s="28" t="str">
        <f t="shared" si="2"/>
        <v/>
      </c>
      <c r="N766" s="28" t="str">
        <f>IF(A766&lt;&gt;"", SUMIFS('💰 Transaction ขาย'!F:F,'💰 Transaction ขาย'!B:B,A766,'💰 Transaction ขาย'!A:A,"&gt;="&amp;DATE(YEAR('⚙️ Config'!$H$1),1,1),'💰 Transaction ขาย'!A:A,"&lt;="&amp;DATE(YEAR('⚙️ Config'!$H$1),12,31)),)</f>
        <v/>
      </c>
    </row>
    <row r="767">
      <c r="A767" s="22"/>
      <c r="B767" s="22" t="str">
        <f>IF(A767&lt;&gt;"",SUMIFS('💸 Transaction ซื้อ'!E:E,'💸 Transaction ซื้อ'!B:B,A767)-SUMIFS('💰 Transaction ขาย'!E:E,'💰 Transaction ขาย'!B:B,A767),"")</f>
        <v/>
      </c>
      <c r="C767" s="23" t="str">
        <f>IF(A767&lt;&gt;"",vlookup(A767,'📦 ชื่อสินค้า'!A:E,5,false),"")</f>
        <v/>
      </c>
      <c r="D767" s="23" t="str">
        <f>IF(A767&lt;&gt;"",VLOOKUP(A767,'📦 ชื่อสินค้า'!A:F,6,false),"")</f>
        <v/>
      </c>
      <c r="E767" s="16" t="str">
        <f>IFERROR(IF(VLOOKUP(A767,'📦 ชื่อสินค้า'!A:G,7,false)="InActive","InActive",IF(A767&lt;&gt;"",IF(B767&lt;=0,"สินค้าหมด",IF(B767&lt;=C767,"ควรเติมทันที","OK")),"")),)</f>
        <v/>
      </c>
      <c r="F767" s="24" t="str">
        <f>IFERROR(IF(A767&lt;&gt;"", SUMIF('💸 Transaction ซื้อ'!B:B,A767,'💸 Transaction ซื้อ'!G:G)/SUMIF('💸 Transaction ซื้อ'!B:B,A767,'💸 Transaction ซื้อ'!E:E),""),"-")</f>
        <v/>
      </c>
      <c r="G767" s="24" t="str">
        <f t="shared" si="1"/>
        <v/>
      </c>
      <c r="H767" s="25"/>
      <c r="I767" s="26"/>
      <c r="J767" s="26"/>
      <c r="K767" s="27" t="str">
        <f>IF(A767&lt;&gt;"",IF(E767="InActive","-",SUMIFS('💰 Transaction ขาย'!E:E,'💰 Transaction ขาย'!B:B,A767,'💰 Transaction ขาย'!A:A,"&gt;"&amp;'⚙️ Config'!$H$1-'⚙️ Config'!$H$2)),)</f>
        <v/>
      </c>
      <c r="L767" s="28" t="str">
        <f>IF(E767="InActive","-",IF(A767&lt;&gt;"",K767/'⚙️ Config'!$H$2,))</f>
        <v/>
      </c>
      <c r="M767" s="28" t="str">
        <f t="shared" si="2"/>
        <v/>
      </c>
      <c r="N767" s="28" t="str">
        <f>IF(A767&lt;&gt;"", SUMIFS('💰 Transaction ขาย'!F:F,'💰 Transaction ขาย'!B:B,A767,'💰 Transaction ขาย'!A:A,"&gt;="&amp;DATE(YEAR('⚙️ Config'!$H$1),1,1),'💰 Transaction ขาย'!A:A,"&lt;="&amp;DATE(YEAR('⚙️ Config'!$H$1),12,31)),)</f>
        <v/>
      </c>
    </row>
    <row r="768">
      <c r="A768" s="22"/>
      <c r="B768" s="22" t="str">
        <f>IF(A768&lt;&gt;"",SUMIFS('💸 Transaction ซื้อ'!E:E,'💸 Transaction ซื้อ'!B:B,A768)-SUMIFS('💰 Transaction ขาย'!E:E,'💰 Transaction ขาย'!B:B,A768),"")</f>
        <v/>
      </c>
      <c r="C768" s="23" t="str">
        <f>IF(A768&lt;&gt;"",vlookup(A768,'📦 ชื่อสินค้า'!A:E,5,false),"")</f>
        <v/>
      </c>
      <c r="D768" s="23" t="str">
        <f>IF(A768&lt;&gt;"",VLOOKUP(A768,'📦 ชื่อสินค้า'!A:F,6,false),"")</f>
        <v/>
      </c>
      <c r="E768" s="16" t="str">
        <f>IFERROR(IF(VLOOKUP(A768,'📦 ชื่อสินค้า'!A:G,7,false)="InActive","InActive",IF(A768&lt;&gt;"",IF(B768&lt;=0,"สินค้าหมด",IF(B768&lt;=C768,"ควรเติมทันที","OK")),"")),)</f>
        <v/>
      </c>
      <c r="F768" s="24" t="str">
        <f>IFERROR(IF(A768&lt;&gt;"", SUMIF('💸 Transaction ซื้อ'!B:B,A768,'💸 Transaction ซื้อ'!G:G)/SUMIF('💸 Transaction ซื้อ'!B:B,A768,'💸 Transaction ซื้อ'!E:E),""),"-")</f>
        <v/>
      </c>
      <c r="G768" s="24" t="str">
        <f t="shared" si="1"/>
        <v/>
      </c>
      <c r="H768" s="25"/>
      <c r="I768" s="26"/>
      <c r="J768" s="26"/>
      <c r="K768" s="27" t="str">
        <f>IF(A768&lt;&gt;"",IF(E768="InActive","-",SUMIFS('💰 Transaction ขาย'!E:E,'💰 Transaction ขาย'!B:B,A768,'💰 Transaction ขาย'!A:A,"&gt;"&amp;'⚙️ Config'!$H$1-'⚙️ Config'!$H$2)),)</f>
        <v/>
      </c>
      <c r="L768" s="28" t="str">
        <f>IF(E768="InActive","-",IF(A768&lt;&gt;"",K768/'⚙️ Config'!$H$2,))</f>
        <v/>
      </c>
      <c r="M768" s="28" t="str">
        <f t="shared" si="2"/>
        <v/>
      </c>
      <c r="N768" s="28" t="str">
        <f>IF(A768&lt;&gt;"", SUMIFS('💰 Transaction ขาย'!F:F,'💰 Transaction ขาย'!B:B,A768,'💰 Transaction ขาย'!A:A,"&gt;="&amp;DATE(YEAR('⚙️ Config'!$H$1),1,1),'💰 Transaction ขาย'!A:A,"&lt;="&amp;DATE(YEAR('⚙️ Config'!$H$1),12,31)),)</f>
        <v/>
      </c>
    </row>
    <row r="769">
      <c r="A769" s="22"/>
      <c r="B769" s="22" t="str">
        <f>IF(A769&lt;&gt;"",SUMIFS('💸 Transaction ซื้อ'!E:E,'💸 Transaction ซื้อ'!B:B,A769)-SUMIFS('💰 Transaction ขาย'!E:E,'💰 Transaction ขาย'!B:B,A769),"")</f>
        <v/>
      </c>
      <c r="C769" s="23" t="str">
        <f>IF(A769&lt;&gt;"",vlookup(A769,'📦 ชื่อสินค้า'!A:E,5,false),"")</f>
        <v/>
      </c>
      <c r="D769" s="23" t="str">
        <f>IF(A769&lt;&gt;"",VLOOKUP(A769,'📦 ชื่อสินค้า'!A:F,6,false),"")</f>
        <v/>
      </c>
      <c r="E769" s="16" t="str">
        <f>IFERROR(IF(VLOOKUP(A769,'📦 ชื่อสินค้า'!A:G,7,false)="InActive","InActive",IF(A769&lt;&gt;"",IF(B769&lt;=0,"สินค้าหมด",IF(B769&lt;=C769,"ควรเติมทันที","OK")),"")),)</f>
        <v/>
      </c>
      <c r="F769" s="24" t="str">
        <f>IFERROR(IF(A769&lt;&gt;"", SUMIF('💸 Transaction ซื้อ'!B:B,A769,'💸 Transaction ซื้อ'!G:G)/SUMIF('💸 Transaction ซื้อ'!B:B,A769,'💸 Transaction ซื้อ'!E:E),""),"-")</f>
        <v/>
      </c>
      <c r="G769" s="24" t="str">
        <f t="shared" si="1"/>
        <v/>
      </c>
      <c r="H769" s="25"/>
      <c r="I769" s="26"/>
      <c r="J769" s="26"/>
      <c r="K769" s="27" t="str">
        <f>IF(A769&lt;&gt;"",IF(E769="InActive","-",SUMIFS('💰 Transaction ขาย'!E:E,'💰 Transaction ขาย'!B:B,A769,'💰 Transaction ขาย'!A:A,"&gt;"&amp;'⚙️ Config'!$H$1-'⚙️ Config'!$H$2)),)</f>
        <v/>
      </c>
      <c r="L769" s="28" t="str">
        <f>IF(E769="InActive","-",IF(A769&lt;&gt;"",K769/'⚙️ Config'!$H$2,))</f>
        <v/>
      </c>
      <c r="M769" s="28" t="str">
        <f t="shared" si="2"/>
        <v/>
      </c>
      <c r="N769" s="28" t="str">
        <f>IF(A769&lt;&gt;"", SUMIFS('💰 Transaction ขาย'!F:F,'💰 Transaction ขาย'!B:B,A769,'💰 Transaction ขาย'!A:A,"&gt;="&amp;DATE(YEAR('⚙️ Config'!$H$1),1,1),'💰 Transaction ขาย'!A:A,"&lt;="&amp;DATE(YEAR('⚙️ Config'!$H$1),12,31)),)</f>
        <v/>
      </c>
    </row>
    <row r="770">
      <c r="A770" s="22"/>
      <c r="B770" s="22" t="str">
        <f>IF(A770&lt;&gt;"",SUMIFS('💸 Transaction ซื้อ'!E:E,'💸 Transaction ซื้อ'!B:B,A770)-SUMIFS('💰 Transaction ขาย'!E:E,'💰 Transaction ขาย'!B:B,A770),"")</f>
        <v/>
      </c>
      <c r="C770" s="23" t="str">
        <f>IF(A770&lt;&gt;"",vlookup(A770,'📦 ชื่อสินค้า'!A:E,5,false),"")</f>
        <v/>
      </c>
      <c r="D770" s="23" t="str">
        <f>IF(A770&lt;&gt;"",VLOOKUP(A770,'📦 ชื่อสินค้า'!A:F,6,false),"")</f>
        <v/>
      </c>
      <c r="E770" s="16" t="str">
        <f>IFERROR(IF(VLOOKUP(A770,'📦 ชื่อสินค้า'!A:G,7,false)="InActive","InActive",IF(A770&lt;&gt;"",IF(B770&lt;=0,"สินค้าหมด",IF(B770&lt;=C770,"ควรเติมทันที","OK")),"")),)</f>
        <v/>
      </c>
      <c r="F770" s="24" t="str">
        <f>IFERROR(IF(A770&lt;&gt;"", SUMIF('💸 Transaction ซื้อ'!B:B,A770,'💸 Transaction ซื้อ'!G:G)/SUMIF('💸 Transaction ซื้อ'!B:B,A770,'💸 Transaction ซื้อ'!E:E),""),"-")</f>
        <v/>
      </c>
      <c r="G770" s="24" t="str">
        <f t="shared" si="1"/>
        <v/>
      </c>
      <c r="H770" s="25"/>
      <c r="I770" s="26"/>
      <c r="J770" s="26"/>
      <c r="K770" s="27" t="str">
        <f>IF(A770&lt;&gt;"",IF(E770="InActive","-",SUMIFS('💰 Transaction ขาย'!E:E,'💰 Transaction ขาย'!B:B,A770,'💰 Transaction ขาย'!A:A,"&gt;"&amp;'⚙️ Config'!$H$1-'⚙️ Config'!$H$2)),)</f>
        <v/>
      </c>
      <c r="L770" s="28" t="str">
        <f>IF(E770="InActive","-",IF(A770&lt;&gt;"",K770/'⚙️ Config'!$H$2,))</f>
        <v/>
      </c>
      <c r="M770" s="28" t="str">
        <f t="shared" si="2"/>
        <v/>
      </c>
      <c r="N770" s="28" t="str">
        <f>IF(A770&lt;&gt;"", SUMIFS('💰 Transaction ขาย'!F:F,'💰 Transaction ขาย'!B:B,A770,'💰 Transaction ขาย'!A:A,"&gt;="&amp;DATE(YEAR('⚙️ Config'!$H$1),1,1),'💰 Transaction ขาย'!A:A,"&lt;="&amp;DATE(YEAR('⚙️ Config'!$H$1),12,31)),)</f>
        <v/>
      </c>
    </row>
    <row r="771">
      <c r="A771" s="22"/>
      <c r="B771" s="22" t="str">
        <f>IF(A771&lt;&gt;"",SUMIFS('💸 Transaction ซื้อ'!E:E,'💸 Transaction ซื้อ'!B:B,A771)-SUMIFS('💰 Transaction ขาย'!E:E,'💰 Transaction ขาย'!B:B,A771),"")</f>
        <v/>
      </c>
      <c r="C771" s="23" t="str">
        <f>IF(A771&lt;&gt;"",vlookup(A771,'📦 ชื่อสินค้า'!A:E,5,false),"")</f>
        <v/>
      </c>
      <c r="D771" s="23" t="str">
        <f>IF(A771&lt;&gt;"",VLOOKUP(A771,'📦 ชื่อสินค้า'!A:F,6,false),"")</f>
        <v/>
      </c>
      <c r="E771" s="16" t="str">
        <f>IFERROR(IF(VLOOKUP(A771,'📦 ชื่อสินค้า'!A:G,7,false)="InActive","InActive",IF(A771&lt;&gt;"",IF(B771&lt;=0,"สินค้าหมด",IF(B771&lt;=C771,"ควรเติมทันที","OK")),"")),)</f>
        <v/>
      </c>
      <c r="F771" s="24" t="str">
        <f>IFERROR(IF(A771&lt;&gt;"", SUMIF('💸 Transaction ซื้อ'!B:B,A771,'💸 Transaction ซื้อ'!G:G)/SUMIF('💸 Transaction ซื้อ'!B:B,A771,'💸 Transaction ซื้อ'!E:E),""),"-")</f>
        <v/>
      </c>
      <c r="G771" s="24" t="str">
        <f t="shared" si="1"/>
        <v/>
      </c>
      <c r="H771" s="25"/>
      <c r="I771" s="26"/>
      <c r="J771" s="26"/>
      <c r="K771" s="27" t="str">
        <f>IF(A771&lt;&gt;"",IF(E771="InActive","-",SUMIFS('💰 Transaction ขาย'!E:E,'💰 Transaction ขาย'!B:B,A771,'💰 Transaction ขาย'!A:A,"&gt;"&amp;'⚙️ Config'!$H$1-'⚙️ Config'!$H$2)),)</f>
        <v/>
      </c>
      <c r="L771" s="28" t="str">
        <f>IF(E771="InActive","-",IF(A771&lt;&gt;"",K771/'⚙️ Config'!$H$2,))</f>
        <v/>
      </c>
      <c r="M771" s="28" t="str">
        <f t="shared" si="2"/>
        <v/>
      </c>
      <c r="N771" s="28" t="str">
        <f>IF(A771&lt;&gt;"", SUMIFS('💰 Transaction ขาย'!F:F,'💰 Transaction ขาย'!B:B,A771,'💰 Transaction ขาย'!A:A,"&gt;="&amp;DATE(YEAR('⚙️ Config'!$H$1),1,1),'💰 Transaction ขาย'!A:A,"&lt;="&amp;DATE(YEAR('⚙️ Config'!$H$1),12,31)),)</f>
        <v/>
      </c>
    </row>
    <row r="772">
      <c r="A772" s="22"/>
      <c r="B772" s="22" t="str">
        <f>IF(A772&lt;&gt;"",SUMIFS('💸 Transaction ซื้อ'!E:E,'💸 Transaction ซื้อ'!B:B,A772)-SUMIFS('💰 Transaction ขาย'!E:E,'💰 Transaction ขาย'!B:B,A772),"")</f>
        <v/>
      </c>
      <c r="C772" s="23" t="str">
        <f>IF(A772&lt;&gt;"",vlookup(A772,'📦 ชื่อสินค้า'!A:E,5,false),"")</f>
        <v/>
      </c>
      <c r="D772" s="23" t="str">
        <f>IF(A772&lt;&gt;"",VLOOKUP(A772,'📦 ชื่อสินค้า'!A:F,6,false),"")</f>
        <v/>
      </c>
      <c r="E772" s="16" t="str">
        <f>IFERROR(IF(VLOOKUP(A772,'📦 ชื่อสินค้า'!A:G,7,false)="InActive","InActive",IF(A772&lt;&gt;"",IF(B772&lt;=0,"สินค้าหมด",IF(B772&lt;=C772,"ควรเติมทันที","OK")),"")),)</f>
        <v/>
      </c>
      <c r="F772" s="24" t="str">
        <f>IFERROR(IF(A772&lt;&gt;"", SUMIF('💸 Transaction ซื้อ'!B:B,A772,'💸 Transaction ซื้อ'!G:G)/SUMIF('💸 Transaction ซื้อ'!B:B,A772,'💸 Transaction ซื้อ'!E:E),""),"-")</f>
        <v/>
      </c>
      <c r="G772" s="24" t="str">
        <f t="shared" si="1"/>
        <v/>
      </c>
      <c r="H772" s="25"/>
      <c r="I772" s="26"/>
      <c r="J772" s="26"/>
      <c r="K772" s="27" t="str">
        <f>IF(A772&lt;&gt;"",IF(E772="InActive","-",SUMIFS('💰 Transaction ขาย'!E:E,'💰 Transaction ขาย'!B:B,A772,'💰 Transaction ขาย'!A:A,"&gt;"&amp;'⚙️ Config'!$H$1-'⚙️ Config'!$H$2)),)</f>
        <v/>
      </c>
      <c r="L772" s="28" t="str">
        <f>IF(E772="InActive","-",IF(A772&lt;&gt;"",K772/'⚙️ Config'!$H$2,))</f>
        <v/>
      </c>
      <c r="M772" s="28" t="str">
        <f t="shared" si="2"/>
        <v/>
      </c>
      <c r="N772" s="28" t="str">
        <f>IF(A772&lt;&gt;"", SUMIFS('💰 Transaction ขาย'!F:F,'💰 Transaction ขาย'!B:B,A772,'💰 Transaction ขาย'!A:A,"&gt;="&amp;DATE(YEAR('⚙️ Config'!$H$1),1,1),'💰 Transaction ขาย'!A:A,"&lt;="&amp;DATE(YEAR('⚙️ Config'!$H$1),12,31)),)</f>
        <v/>
      </c>
    </row>
    <row r="773">
      <c r="A773" s="22"/>
      <c r="B773" s="22" t="str">
        <f>IF(A773&lt;&gt;"",SUMIFS('💸 Transaction ซื้อ'!E:E,'💸 Transaction ซื้อ'!B:B,A773)-SUMIFS('💰 Transaction ขาย'!E:E,'💰 Transaction ขาย'!B:B,A773),"")</f>
        <v/>
      </c>
      <c r="C773" s="23" t="str">
        <f>IF(A773&lt;&gt;"",vlookup(A773,'📦 ชื่อสินค้า'!A:E,5,false),"")</f>
        <v/>
      </c>
      <c r="D773" s="23" t="str">
        <f>IF(A773&lt;&gt;"",VLOOKUP(A773,'📦 ชื่อสินค้า'!A:F,6,false),"")</f>
        <v/>
      </c>
      <c r="E773" s="16" t="str">
        <f>IFERROR(IF(VLOOKUP(A773,'📦 ชื่อสินค้า'!A:G,7,false)="InActive","InActive",IF(A773&lt;&gt;"",IF(B773&lt;=0,"สินค้าหมด",IF(B773&lt;=C773,"ควรเติมทันที","OK")),"")),)</f>
        <v/>
      </c>
      <c r="F773" s="24" t="str">
        <f>IFERROR(IF(A773&lt;&gt;"", SUMIF('💸 Transaction ซื้อ'!B:B,A773,'💸 Transaction ซื้อ'!G:G)/SUMIF('💸 Transaction ซื้อ'!B:B,A773,'💸 Transaction ซื้อ'!E:E),""),"-")</f>
        <v/>
      </c>
      <c r="G773" s="24" t="str">
        <f t="shared" si="1"/>
        <v/>
      </c>
      <c r="H773" s="25"/>
      <c r="I773" s="26"/>
      <c r="J773" s="26"/>
      <c r="K773" s="27" t="str">
        <f>IF(A773&lt;&gt;"",IF(E773="InActive","-",SUMIFS('💰 Transaction ขาย'!E:E,'💰 Transaction ขาย'!B:B,A773,'💰 Transaction ขาย'!A:A,"&gt;"&amp;'⚙️ Config'!$H$1-'⚙️ Config'!$H$2)),)</f>
        <v/>
      </c>
      <c r="L773" s="28" t="str">
        <f>IF(E773="InActive","-",IF(A773&lt;&gt;"",K773/'⚙️ Config'!$H$2,))</f>
        <v/>
      </c>
      <c r="M773" s="28" t="str">
        <f t="shared" si="2"/>
        <v/>
      </c>
      <c r="N773" s="28" t="str">
        <f>IF(A773&lt;&gt;"", SUMIFS('💰 Transaction ขาย'!F:F,'💰 Transaction ขาย'!B:B,A773,'💰 Transaction ขาย'!A:A,"&gt;="&amp;DATE(YEAR('⚙️ Config'!$H$1),1,1),'💰 Transaction ขาย'!A:A,"&lt;="&amp;DATE(YEAR('⚙️ Config'!$H$1),12,31)),)</f>
        <v/>
      </c>
    </row>
    <row r="774">
      <c r="A774" s="22"/>
      <c r="B774" s="22" t="str">
        <f>IF(A774&lt;&gt;"",SUMIFS('💸 Transaction ซื้อ'!E:E,'💸 Transaction ซื้อ'!B:B,A774)-SUMIFS('💰 Transaction ขาย'!E:E,'💰 Transaction ขาย'!B:B,A774),"")</f>
        <v/>
      </c>
      <c r="C774" s="23" t="str">
        <f>IF(A774&lt;&gt;"",vlookup(A774,'📦 ชื่อสินค้า'!A:E,5,false),"")</f>
        <v/>
      </c>
      <c r="D774" s="23" t="str">
        <f>IF(A774&lt;&gt;"",VLOOKUP(A774,'📦 ชื่อสินค้า'!A:F,6,false),"")</f>
        <v/>
      </c>
      <c r="E774" s="16" t="str">
        <f>IFERROR(IF(VLOOKUP(A774,'📦 ชื่อสินค้า'!A:G,7,false)="InActive","InActive",IF(A774&lt;&gt;"",IF(B774&lt;=0,"สินค้าหมด",IF(B774&lt;=C774,"ควรเติมทันที","OK")),"")),)</f>
        <v/>
      </c>
      <c r="F774" s="24" t="str">
        <f>IFERROR(IF(A774&lt;&gt;"", SUMIF('💸 Transaction ซื้อ'!B:B,A774,'💸 Transaction ซื้อ'!G:G)/SUMIF('💸 Transaction ซื้อ'!B:B,A774,'💸 Transaction ซื้อ'!E:E),""),"-")</f>
        <v/>
      </c>
      <c r="G774" s="24" t="str">
        <f t="shared" si="1"/>
        <v/>
      </c>
      <c r="H774" s="25"/>
      <c r="I774" s="26"/>
      <c r="J774" s="26"/>
      <c r="K774" s="27" t="str">
        <f>IF(A774&lt;&gt;"",IF(E774="InActive","-",SUMIFS('💰 Transaction ขาย'!E:E,'💰 Transaction ขาย'!B:B,A774,'💰 Transaction ขาย'!A:A,"&gt;"&amp;'⚙️ Config'!$H$1-'⚙️ Config'!$H$2)),)</f>
        <v/>
      </c>
      <c r="L774" s="28" t="str">
        <f>IF(E774="InActive","-",IF(A774&lt;&gt;"",K774/'⚙️ Config'!$H$2,))</f>
        <v/>
      </c>
      <c r="M774" s="28" t="str">
        <f t="shared" si="2"/>
        <v/>
      </c>
      <c r="N774" s="28" t="str">
        <f>IF(A774&lt;&gt;"", SUMIFS('💰 Transaction ขาย'!F:F,'💰 Transaction ขาย'!B:B,A774,'💰 Transaction ขาย'!A:A,"&gt;="&amp;DATE(YEAR('⚙️ Config'!$H$1),1,1),'💰 Transaction ขาย'!A:A,"&lt;="&amp;DATE(YEAR('⚙️ Config'!$H$1),12,31)),)</f>
        <v/>
      </c>
    </row>
    <row r="775">
      <c r="A775" s="22"/>
      <c r="B775" s="22" t="str">
        <f>IF(A775&lt;&gt;"",SUMIFS('💸 Transaction ซื้อ'!E:E,'💸 Transaction ซื้อ'!B:B,A775)-SUMIFS('💰 Transaction ขาย'!E:E,'💰 Transaction ขาย'!B:B,A775),"")</f>
        <v/>
      </c>
      <c r="C775" s="23" t="str">
        <f>IF(A775&lt;&gt;"",vlookup(A775,'📦 ชื่อสินค้า'!A:E,5,false),"")</f>
        <v/>
      </c>
      <c r="D775" s="23" t="str">
        <f>IF(A775&lt;&gt;"",VLOOKUP(A775,'📦 ชื่อสินค้า'!A:F,6,false),"")</f>
        <v/>
      </c>
      <c r="E775" s="16" t="str">
        <f>IFERROR(IF(VLOOKUP(A775,'📦 ชื่อสินค้า'!A:G,7,false)="InActive","InActive",IF(A775&lt;&gt;"",IF(B775&lt;=0,"สินค้าหมด",IF(B775&lt;=C775,"ควรเติมทันที","OK")),"")),)</f>
        <v/>
      </c>
      <c r="F775" s="24" t="str">
        <f>IFERROR(IF(A775&lt;&gt;"", SUMIF('💸 Transaction ซื้อ'!B:B,A775,'💸 Transaction ซื้อ'!G:G)/SUMIF('💸 Transaction ซื้อ'!B:B,A775,'💸 Transaction ซื้อ'!E:E),""),"-")</f>
        <v/>
      </c>
      <c r="G775" s="24" t="str">
        <f t="shared" si="1"/>
        <v/>
      </c>
      <c r="H775" s="25"/>
      <c r="I775" s="26"/>
      <c r="J775" s="26"/>
      <c r="K775" s="27" t="str">
        <f>IF(A775&lt;&gt;"",IF(E775="InActive","-",SUMIFS('💰 Transaction ขาย'!E:E,'💰 Transaction ขาย'!B:B,A775,'💰 Transaction ขาย'!A:A,"&gt;"&amp;'⚙️ Config'!$H$1-'⚙️ Config'!$H$2)),)</f>
        <v/>
      </c>
      <c r="L775" s="28" t="str">
        <f>IF(E775="InActive","-",IF(A775&lt;&gt;"",K775/'⚙️ Config'!$H$2,))</f>
        <v/>
      </c>
      <c r="M775" s="28" t="str">
        <f t="shared" si="2"/>
        <v/>
      </c>
      <c r="N775" s="28" t="str">
        <f>IF(A775&lt;&gt;"", SUMIFS('💰 Transaction ขาย'!F:F,'💰 Transaction ขาย'!B:B,A775,'💰 Transaction ขาย'!A:A,"&gt;="&amp;DATE(YEAR('⚙️ Config'!$H$1),1,1),'💰 Transaction ขาย'!A:A,"&lt;="&amp;DATE(YEAR('⚙️ Config'!$H$1),12,31)),)</f>
        <v/>
      </c>
    </row>
    <row r="776">
      <c r="A776" s="22"/>
      <c r="B776" s="22" t="str">
        <f>IF(A776&lt;&gt;"",SUMIFS('💸 Transaction ซื้อ'!E:E,'💸 Transaction ซื้อ'!B:B,A776)-SUMIFS('💰 Transaction ขาย'!E:E,'💰 Transaction ขาย'!B:B,A776),"")</f>
        <v/>
      </c>
      <c r="C776" s="23" t="str">
        <f>IF(A776&lt;&gt;"",vlookup(A776,'📦 ชื่อสินค้า'!A:E,5,false),"")</f>
        <v/>
      </c>
      <c r="D776" s="23" t="str">
        <f>IF(A776&lt;&gt;"",VLOOKUP(A776,'📦 ชื่อสินค้า'!A:F,6,false),"")</f>
        <v/>
      </c>
      <c r="E776" s="16" t="str">
        <f>IFERROR(IF(VLOOKUP(A776,'📦 ชื่อสินค้า'!A:G,7,false)="InActive","InActive",IF(A776&lt;&gt;"",IF(B776&lt;=0,"สินค้าหมด",IF(B776&lt;=C776,"ควรเติมทันที","OK")),"")),)</f>
        <v/>
      </c>
      <c r="F776" s="24" t="str">
        <f>IFERROR(IF(A776&lt;&gt;"", SUMIF('💸 Transaction ซื้อ'!B:B,A776,'💸 Transaction ซื้อ'!G:G)/SUMIF('💸 Transaction ซื้อ'!B:B,A776,'💸 Transaction ซื้อ'!E:E),""),"-")</f>
        <v/>
      </c>
      <c r="G776" s="24" t="str">
        <f t="shared" si="1"/>
        <v/>
      </c>
      <c r="H776" s="25"/>
      <c r="I776" s="26"/>
      <c r="J776" s="26"/>
      <c r="K776" s="27" t="str">
        <f>IF(A776&lt;&gt;"",IF(E776="InActive","-",SUMIFS('💰 Transaction ขาย'!E:E,'💰 Transaction ขาย'!B:B,A776,'💰 Transaction ขาย'!A:A,"&gt;"&amp;'⚙️ Config'!$H$1-'⚙️ Config'!$H$2)),)</f>
        <v/>
      </c>
      <c r="L776" s="28" t="str">
        <f>IF(E776="InActive","-",IF(A776&lt;&gt;"",K776/'⚙️ Config'!$H$2,))</f>
        <v/>
      </c>
      <c r="M776" s="28" t="str">
        <f t="shared" si="2"/>
        <v/>
      </c>
      <c r="N776" s="28" t="str">
        <f>IF(A776&lt;&gt;"", SUMIFS('💰 Transaction ขาย'!F:F,'💰 Transaction ขาย'!B:B,A776,'💰 Transaction ขาย'!A:A,"&gt;="&amp;DATE(YEAR('⚙️ Config'!$H$1),1,1),'💰 Transaction ขาย'!A:A,"&lt;="&amp;DATE(YEAR('⚙️ Config'!$H$1),12,31)),)</f>
        <v/>
      </c>
    </row>
    <row r="777">
      <c r="A777" s="22"/>
      <c r="B777" s="22" t="str">
        <f>IF(A777&lt;&gt;"",SUMIFS('💸 Transaction ซื้อ'!E:E,'💸 Transaction ซื้อ'!B:B,A777)-SUMIFS('💰 Transaction ขาย'!E:E,'💰 Transaction ขาย'!B:B,A777),"")</f>
        <v/>
      </c>
      <c r="C777" s="23" t="str">
        <f>IF(A777&lt;&gt;"",vlookup(A777,'📦 ชื่อสินค้า'!A:E,5,false),"")</f>
        <v/>
      </c>
      <c r="D777" s="23" t="str">
        <f>IF(A777&lt;&gt;"",VLOOKUP(A777,'📦 ชื่อสินค้า'!A:F,6,false),"")</f>
        <v/>
      </c>
      <c r="E777" s="16" t="str">
        <f>IFERROR(IF(VLOOKUP(A777,'📦 ชื่อสินค้า'!A:G,7,false)="InActive","InActive",IF(A777&lt;&gt;"",IF(B777&lt;=0,"สินค้าหมด",IF(B777&lt;=C777,"ควรเติมทันที","OK")),"")),)</f>
        <v/>
      </c>
      <c r="F777" s="24" t="str">
        <f>IFERROR(IF(A777&lt;&gt;"", SUMIF('💸 Transaction ซื้อ'!B:B,A777,'💸 Transaction ซื้อ'!G:G)/SUMIF('💸 Transaction ซื้อ'!B:B,A777,'💸 Transaction ซื้อ'!E:E),""),"-")</f>
        <v/>
      </c>
      <c r="G777" s="24" t="str">
        <f t="shared" si="1"/>
        <v/>
      </c>
      <c r="H777" s="25"/>
      <c r="I777" s="26"/>
      <c r="J777" s="26"/>
      <c r="K777" s="27" t="str">
        <f>IF(A777&lt;&gt;"",IF(E777="InActive","-",SUMIFS('💰 Transaction ขาย'!E:E,'💰 Transaction ขาย'!B:B,A777,'💰 Transaction ขาย'!A:A,"&gt;"&amp;'⚙️ Config'!$H$1-'⚙️ Config'!$H$2)),)</f>
        <v/>
      </c>
      <c r="L777" s="28" t="str">
        <f>IF(E777="InActive","-",IF(A777&lt;&gt;"",K777/'⚙️ Config'!$H$2,))</f>
        <v/>
      </c>
      <c r="M777" s="28" t="str">
        <f t="shared" si="2"/>
        <v/>
      </c>
      <c r="N777" s="28" t="str">
        <f>IF(A777&lt;&gt;"", SUMIFS('💰 Transaction ขาย'!F:F,'💰 Transaction ขาย'!B:B,A777,'💰 Transaction ขาย'!A:A,"&gt;="&amp;DATE(YEAR('⚙️ Config'!$H$1),1,1),'💰 Transaction ขาย'!A:A,"&lt;="&amp;DATE(YEAR('⚙️ Config'!$H$1),12,31)),)</f>
        <v/>
      </c>
    </row>
    <row r="778">
      <c r="A778" s="22"/>
      <c r="B778" s="22" t="str">
        <f>IF(A778&lt;&gt;"",SUMIFS('💸 Transaction ซื้อ'!E:E,'💸 Transaction ซื้อ'!B:B,A778)-SUMIFS('💰 Transaction ขาย'!E:E,'💰 Transaction ขาย'!B:B,A778),"")</f>
        <v/>
      </c>
      <c r="C778" s="23" t="str">
        <f>IF(A778&lt;&gt;"",vlookup(A778,'📦 ชื่อสินค้า'!A:E,5,false),"")</f>
        <v/>
      </c>
      <c r="D778" s="23" t="str">
        <f>IF(A778&lt;&gt;"",VLOOKUP(A778,'📦 ชื่อสินค้า'!A:F,6,false),"")</f>
        <v/>
      </c>
      <c r="E778" s="16" t="str">
        <f>IFERROR(IF(VLOOKUP(A778,'📦 ชื่อสินค้า'!A:G,7,false)="InActive","InActive",IF(A778&lt;&gt;"",IF(B778&lt;=0,"สินค้าหมด",IF(B778&lt;=C778,"ควรเติมทันที","OK")),"")),)</f>
        <v/>
      </c>
      <c r="F778" s="24" t="str">
        <f>IFERROR(IF(A778&lt;&gt;"", SUMIF('💸 Transaction ซื้อ'!B:B,A778,'💸 Transaction ซื้อ'!G:G)/SUMIF('💸 Transaction ซื้อ'!B:B,A778,'💸 Transaction ซื้อ'!E:E),""),"-")</f>
        <v/>
      </c>
      <c r="G778" s="24" t="str">
        <f t="shared" si="1"/>
        <v/>
      </c>
      <c r="H778" s="25"/>
      <c r="I778" s="26"/>
      <c r="J778" s="26"/>
      <c r="K778" s="27" t="str">
        <f>IF(A778&lt;&gt;"",IF(E778="InActive","-",SUMIFS('💰 Transaction ขาย'!E:E,'💰 Transaction ขาย'!B:B,A778,'💰 Transaction ขาย'!A:A,"&gt;"&amp;'⚙️ Config'!$H$1-'⚙️ Config'!$H$2)),)</f>
        <v/>
      </c>
      <c r="L778" s="28" t="str">
        <f>IF(E778="InActive","-",IF(A778&lt;&gt;"",K778/'⚙️ Config'!$H$2,))</f>
        <v/>
      </c>
      <c r="M778" s="28" t="str">
        <f t="shared" si="2"/>
        <v/>
      </c>
      <c r="N778" s="28" t="str">
        <f>IF(A778&lt;&gt;"", SUMIFS('💰 Transaction ขาย'!F:F,'💰 Transaction ขาย'!B:B,A778,'💰 Transaction ขาย'!A:A,"&gt;="&amp;DATE(YEAR('⚙️ Config'!$H$1),1,1),'💰 Transaction ขาย'!A:A,"&lt;="&amp;DATE(YEAR('⚙️ Config'!$H$1),12,31)),)</f>
        <v/>
      </c>
    </row>
    <row r="779">
      <c r="A779" s="22"/>
      <c r="B779" s="22" t="str">
        <f>IF(A779&lt;&gt;"",SUMIFS('💸 Transaction ซื้อ'!E:E,'💸 Transaction ซื้อ'!B:B,A779)-SUMIFS('💰 Transaction ขาย'!E:E,'💰 Transaction ขาย'!B:B,A779),"")</f>
        <v/>
      </c>
      <c r="C779" s="23" t="str">
        <f>IF(A779&lt;&gt;"",vlookup(A779,'📦 ชื่อสินค้า'!A:E,5,false),"")</f>
        <v/>
      </c>
      <c r="D779" s="23" t="str">
        <f>IF(A779&lt;&gt;"",VLOOKUP(A779,'📦 ชื่อสินค้า'!A:F,6,false),"")</f>
        <v/>
      </c>
      <c r="E779" s="16" t="str">
        <f>IFERROR(IF(VLOOKUP(A779,'📦 ชื่อสินค้า'!A:G,7,false)="InActive","InActive",IF(A779&lt;&gt;"",IF(B779&lt;=0,"สินค้าหมด",IF(B779&lt;=C779,"ควรเติมทันที","OK")),"")),)</f>
        <v/>
      </c>
      <c r="F779" s="24" t="str">
        <f>IFERROR(IF(A779&lt;&gt;"", SUMIF('💸 Transaction ซื้อ'!B:B,A779,'💸 Transaction ซื้อ'!G:G)/SUMIF('💸 Transaction ซื้อ'!B:B,A779,'💸 Transaction ซื้อ'!E:E),""),"-")</f>
        <v/>
      </c>
      <c r="G779" s="24" t="str">
        <f t="shared" si="1"/>
        <v/>
      </c>
      <c r="H779" s="25"/>
      <c r="I779" s="26"/>
      <c r="J779" s="26"/>
      <c r="K779" s="27" t="str">
        <f>IF(A779&lt;&gt;"",IF(E779="InActive","-",SUMIFS('💰 Transaction ขาย'!E:E,'💰 Transaction ขาย'!B:B,A779,'💰 Transaction ขาย'!A:A,"&gt;"&amp;'⚙️ Config'!$H$1-'⚙️ Config'!$H$2)),)</f>
        <v/>
      </c>
      <c r="L779" s="28" t="str">
        <f>IF(E779="InActive","-",IF(A779&lt;&gt;"",K779/'⚙️ Config'!$H$2,))</f>
        <v/>
      </c>
      <c r="M779" s="28" t="str">
        <f t="shared" si="2"/>
        <v/>
      </c>
      <c r="N779" s="28" t="str">
        <f>IF(A779&lt;&gt;"", SUMIFS('💰 Transaction ขาย'!F:F,'💰 Transaction ขาย'!B:B,A779,'💰 Transaction ขาย'!A:A,"&gt;="&amp;DATE(YEAR('⚙️ Config'!$H$1),1,1),'💰 Transaction ขาย'!A:A,"&lt;="&amp;DATE(YEAR('⚙️ Config'!$H$1),12,31)),)</f>
        <v/>
      </c>
    </row>
    <row r="780">
      <c r="A780" s="22"/>
      <c r="B780" s="22" t="str">
        <f>IF(A780&lt;&gt;"",SUMIFS('💸 Transaction ซื้อ'!E:E,'💸 Transaction ซื้อ'!B:B,A780)-SUMIFS('💰 Transaction ขาย'!E:E,'💰 Transaction ขาย'!B:B,A780),"")</f>
        <v/>
      </c>
      <c r="C780" s="23" t="str">
        <f>IF(A780&lt;&gt;"",vlookup(A780,'📦 ชื่อสินค้า'!A:E,5,false),"")</f>
        <v/>
      </c>
      <c r="D780" s="23" t="str">
        <f>IF(A780&lt;&gt;"",VLOOKUP(A780,'📦 ชื่อสินค้า'!A:F,6,false),"")</f>
        <v/>
      </c>
      <c r="E780" s="16" t="str">
        <f>IFERROR(IF(VLOOKUP(A780,'📦 ชื่อสินค้า'!A:G,7,false)="InActive","InActive",IF(A780&lt;&gt;"",IF(B780&lt;=0,"สินค้าหมด",IF(B780&lt;=C780,"ควรเติมทันที","OK")),"")),)</f>
        <v/>
      </c>
      <c r="F780" s="24" t="str">
        <f>IFERROR(IF(A780&lt;&gt;"", SUMIF('💸 Transaction ซื้อ'!B:B,A780,'💸 Transaction ซื้อ'!G:G)/SUMIF('💸 Transaction ซื้อ'!B:B,A780,'💸 Transaction ซื้อ'!E:E),""),"-")</f>
        <v/>
      </c>
      <c r="G780" s="24" t="str">
        <f t="shared" si="1"/>
        <v/>
      </c>
      <c r="H780" s="25"/>
      <c r="I780" s="26"/>
      <c r="J780" s="26"/>
      <c r="K780" s="27" t="str">
        <f>IF(A780&lt;&gt;"",IF(E780="InActive","-",SUMIFS('💰 Transaction ขาย'!E:E,'💰 Transaction ขาย'!B:B,A780,'💰 Transaction ขาย'!A:A,"&gt;"&amp;'⚙️ Config'!$H$1-'⚙️ Config'!$H$2)),)</f>
        <v/>
      </c>
      <c r="L780" s="28" t="str">
        <f>IF(E780="InActive","-",IF(A780&lt;&gt;"",K780/'⚙️ Config'!$H$2,))</f>
        <v/>
      </c>
      <c r="M780" s="28" t="str">
        <f t="shared" si="2"/>
        <v/>
      </c>
      <c r="N780" s="28" t="str">
        <f>IF(A780&lt;&gt;"", SUMIFS('💰 Transaction ขาย'!F:F,'💰 Transaction ขาย'!B:B,A780,'💰 Transaction ขาย'!A:A,"&gt;="&amp;DATE(YEAR('⚙️ Config'!$H$1),1,1),'💰 Transaction ขาย'!A:A,"&lt;="&amp;DATE(YEAR('⚙️ Config'!$H$1),12,31)),)</f>
        <v/>
      </c>
    </row>
    <row r="781">
      <c r="A781" s="22"/>
      <c r="B781" s="22" t="str">
        <f>IF(A781&lt;&gt;"",SUMIFS('💸 Transaction ซื้อ'!E:E,'💸 Transaction ซื้อ'!B:B,A781)-SUMIFS('💰 Transaction ขาย'!E:E,'💰 Transaction ขาย'!B:B,A781),"")</f>
        <v/>
      </c>
      <c r="C781" s="23" t="str">
        <f>IF(A781&lt;&gt;"",vlookup(A781,'📦 ชื่อสินค้า'!A:E,5,false),"")</f>
        <v/>
      </c>
      <c r="D781" s="23" t="str">
        <f>IF(A781&lt;&gt;"",VLOOKUP(A781,'📦 ชื่อสินค้า'!A:F,6,false),"")</f>
        <v/>
      </c>
      <c r="E781" s="16" t="str">
        <f>IFERROR(IF(VLOOKUP(A781,'📦 ชื่อสินค้า'!A:G,7,false)="InActive","InActive",IF(A781&lt;&gt;"",IF(B781&lt;=0,"สินค้าหมด",IF(B781&lt;=C781,"ควรเติมทันที","OK")),"")),)</f>
        <v/>
      </c>
      <c r="F781" s="24" t="str">
        <f>IFERROR(IF(A781&lt;&gt;"", SUMIF('💸 Transaction ซื้อ'!B:B,A781,'💸 Transaction ซื้อ'!G:G)/SUMIF('💸 Transaction ซื้อ'!B:B,A781,'💸 Transaction ซื้อ'!E:E),""),"-")</f>
        <v/>
      </c>
      <c r="G781" s="24" t="str">
        <f t="shared" si="1"/>
        <v/>
      </c>
      <c r="H781" s="25"/>
      <c r="I781" s="26"/>
      <c r="J781" s="26"/>
      <c r="K781" s="27" t="str">
        <f>IF(A781&lt;&gt;"",IF(E781="InActive","-",SUMIFS('💰 Transaction ขาย'!E:E,'💰 Transaction ขาย'!B:B,A781,'💰 Transaction ขาย'!A:A,"&gt;"&amp;'⚙️ Config'!$H$1-'⚙️ Config'!$H$2)),)</f>
        <v/>
      </c>
      <c r="L781" s="28" t="str">
        <f>IF(E781="InActive","-",IF(A781&lt;&gt;"",K781/'⚙️ Config'!$H$2,))</f>
        <v/>
      </c>
      <c r="M781" s="28" t="str">
        <f t="shared" si="2"/>
        <v/>
      </c>
      <c r="N781" s="28" t="str">
        <f>IF(A781&lt;&gt;"", SUMIFS('💰 Transaction ขาย'!F:F,'💰 Transaction ขาย'!B:B,A781,'💰 Transaction ขาย'!A:A,"&gt;="&amp;DATE(YEAR('⚙️ Config'!$H$1),1,1),'💰 Transaction ขาย'!A:A,"&lt;="&amp;DATE(YEAR('⚙️ Config'!$H$1),12,31)),)</f>
        <v/>
      </c>
    </row>
    <row r="782">
      <c r="A782" s="22"/>
      <c r="B782" s="22" t="str">
        <f>IF(A782&lt;&gt;"",SUMIFS('💸 Transaction ซื้อ'!E:E,'💸 Transaction ซื้อ'!B:B,A782)-SUMIFS('💰 Transaction ขาย'!E:E,'💰 Transaction ขาย'!B:B,A782),"")</f>
        <v/>
      </c>
      <c r="C782" s="23" t="str">
        <f>IF(A782&lt;&gt;"",vlookup(A782,'📦 ชื่อสินค้า'!A:E,5,false),"")</f>
        <v/>
      </c>
      <c r="D782" s="23" t="str">
        <f>IF(A782&lt;&gt;"",VLOOKUP(A782,'📦 ชื่อสินค้า'!A:F,6,false),"")</f>
        <v/>
      </c>
      <c r="E782" s="16" t="str">
        <f>IFERROR(IF(VLOOKUP(A782,'📦 ชื่อสินค้า'!A:G,7,false)="InActive","InActive",IF(A782&lt;&gt;"",IF(B782&lt;=0,"สินค้าหมด",IF(B782&lt;=C782,"ควรเติมทันที","OK")),"")),)</f>
        <v/>
      </c>
      <c r="F782" s="24" t="str">
        <f>IFERROR(IF(A782&lt;&gt;"", SUMIF('💸 Transaction ซื้อ'!B:B,A782,'💸 Transaction ซื้อ'!G:G)/SUMIF('💸 Transaction ซื้อ'!B:B,A782,'💸 Transaction ซื้อ'!E:E),""),"-")</f>
        <v/>
      </c>
      <c r="G782" s="24" t="str">
        <f t="shared" si="1"/>
        <v/>
      </c>
      <c r="H782" s="25"/>
      <c r="I782" s="26"/>
      <c r="J782" s="26"/>
      <c r="K782" s="27" t="str">
        <f>IF(A782&lt;&gt;"",IF(E782="InActive","-",SUMIFS('💰 Transaction ขาย'!E:E,'💰 Transaction ขาย'!B:B,A782,'💰 Transaction ขาย'!A:A,"&gt;"&amp;'⚙️ Config'!$H$1-'⚙️ Config'!$H$2)),)</f>
        <v/>
      </c>
      <c r="L782" s="28" t="str">
        <f>IF(E782="InActive","-",IF(A782&lt;&gt;"",K782/'⚙️ Config'!$H$2,))</f>
        <v/>
      </c>
      <c r="M782" s="28" t="str">
        <f t="shared" si="2"/>
        <v/>
      </c>
      <c r="N782" s="28" t="str">
        <f>IF(A782&lt;&gt;"", SUMIFS('💰 Transaction ขาย'!F:F,'💰 Transaction ขาย'!B:B,A782,'💰 Transaction ขาย'!A:A,"&gt;="&amp;DATE(YEAR('⚙️ Config'!$H$1),1,1),'💰 Transaction ขาย'!A:A,"&lt;="&amp;DATE(YEAR('⚙️ Config'!$H$1),12,31)),)</f>
        <v/>
      </c>
    </row>
    <row r="783">
      <c r="A783" s="22"/>
      <c r="B783" s="22" t="str">
        <f>IF(A783&lt;&gt;"",SUMIFS('💸 Transaction ซื้อ'!E:E,'💸 Transaction ซื้อ'!B:B,A783)-SUMIFS('💰 Transaction ขาย'!E:E,'💰 Transaction ขาย'!B:B,A783),"")</f>
        <v/>
      </c>
      <c r="C783" s="23" t="str">
        <f>IF(A783&lt;&gt;"",vlookup(A783,'📦 ชื่อสินค้า'!A:E,5,false),"")</f>
        <v/>
      </c>
      <c r="D783" s="23" t="str">
        <f>IF(A783&lt;&gt;"",VLOOKUP(A783,'📦 ชื่อสินค้า'!A:F,6,false),"")</f>
        <v/>
      </c>
      <c r="E783" s="16" t="str">
        <f>IFERROR(IF(VLOOKUP(A783,'📦 ชื่อสินค้า'!A:G,7,false)="InActive","InActive",IF(A783&lt;&gt;"",IF(B783&lt;=0,"สินค้าหมด",IF(B783&lt;=C783,"ควรเติมทันที","OK")),"")),)</f>
        <v/>
      </c>
      <c r="F783" s="24" t="str">
        <f>IFERROR(IF(A783&lt;&gt;"", SUMIF('💸 Transaction ซื้อ'!B:B,A783,'💸 Transaction ซื้อ'!G:G)/SUMIF('💸 Transaction ซื้อ'!B:B,A783,'💸 Transaction ซื้อ'!E:E),""),"-")</f>
        <v/>
      </c>
      <c r="G783" s="24" t="str">
        <f t="shared" si="1"/>
        <v/>
      </c>
      <c r="H783" s="25"/>
      <c r="I783" s="26"/>
      <c r="J783" s="26"/>
      <c r="K783" s="27" t="str">
        <f>IF(A783&lt;&gt;"",IF(E783="InActive","-",SUMIFS('💰 Transaction ขาย'!E:E,'💰 Transaction ขาย'!B:B,A783,'💰 Transaction ขาย'!A:A,"&gt;"&amp;'⚙️ Config'!$H$1-'⚙️ Config'!$H$2)),)</f>
        <v/>
      </c>
      <c r="L783" s="28" t="str">
        <f>IF(E783="InActive","-",IF(A783&lt;&gt;"",K783/'⚙️ Config'!$H$2,))</f>
        <v/>
      </c>
      <c r="M783" s="28" t="str">
        <f t="shared" si="2"/>
        <v/>
      </c>
      <c r="N783" s="28" t="str">
        <f>IF(A783&lt;&gt;"", SUMIFS('💰 Transaction ขาย'!F:F,'💰 Transaction ขาย'!B:B,A783,'💰 Transaction ขาย'!A:A,"&gt;="&amp;DATE(YEAR('⚙️ Config'!$H$1),1,1),'💰 Transaction ขาย'!A:A,"&lt;="&amp;DATE(YEAR('⚙️ Config'!$H$1),12,31)),)</f>
        <v/>
      </c>
    </row>
    <row r="784">
      <c r="A784" s="22"/>
      <c r="B784" s="22" t="str">
        <f>IF(A784&lt;&gt;"",SUMIFS('💸 Transaction ซื้อ'!E:E,'💸 Transaction ซื้อ'!B:B,A784)-SUMIFS('💰 Transaction ขาย'!E:E,'💰 Transaction ขาย'!B:B,A784),"")</f>
        <v/>
      </c>
      <c r="C784" s="23" t="str">
        <f>IF(A784&lt;&gt;"",vlookup(A784,'📦 ชื่อสินค้า'!A:E,5,false),"")</f>
        <v/>
      </c>
      <c r="D784" s="23" t="str">
        <f>IF(A784&lt;&gt;"",VLOOKUP(A784,'📦 ชื่อสินค้า'!A:F,6,false),"")</f>
        <v/>
      </c>
      <c r="E784" s="16" t="str">
        <f>IFERROR(IF(VLOOKUP(A784,'📦 ชื่อสินค้า'!A:G,7,false)="InActive","InActive",IF(A784&lt;&gt;"",IF(B784&lt;=0,"สินค้าหมด",IF(B784&lt;=C784,"ควรเติมทันที","OK")),"")),)</f>
        <v/>
      </c>
      <c r="F784" s="24" t="str">
        <f>IFERROR(IF(A784&lt;&gt;"", SUMIF('💸 Transaction ซื้อ'!B:B,A784,'💸 Transaction ซื้อ'!G:G)/SUMIF('💸 Transaction ซื้อ'!B:B,A784,'💸 Transaction ซื้อ'!E:E),""),"-")</f>
        <v/>
      </c>
      <c r="G784" s="24" t="str">
        <f t="shared" si="1"/>
        <v/>
      </c>
      <c r="H784" s="25"/>
      <c r="I784" s="26"/>
      <c r="J784" s="26"/>
      <c r="K784" s="27" t="str">
        <f>IF(A784&lt;&gt;"",IF(E784="InActive","-",SUMIFS('💰 Transaction ขาย'!E:E,'💰 Transaction ขาย'!B:B,A784,'💰 Transaction ขาย'!A:A,"&gt;"&amp;'⚙️ Config'!$H$1-'⚙️ Config'!$H$2)),)</f>
        <v/>
      </c>
      <c r="L784" s="28" t="str">
        <f>IF(E784="InActive","-",IF(A784&lt;&gt;"",K784/'⚙️ Config'!$H$2,))</f>
        <v/>
      </c>
      <c r="M784" s="28" t="str">
        <f t="shared" si="2"/>
        <v/>
      </c>
      <c r="N784" s="28" t="str">
        <f>IF(A784&lt;&gt;"", SUMIFS('💰 Transaction ขาย'!F:F,'💰 Transaction ขาย'!B:B,A784,'💰 Transaction ขาย'!A:A,"&gt;="&amp;DATE(YEAR('⚙️ Config'!$H$1),1,1),'💰 Transaction ขาย'!A:A,"&lt;="&amp;DATE(YEAR('⚙️ Config'!$H$1),12,31)),)</f>
        <v/>
      </c>
    </row>
    <row r="785">
      <c r="A785" s="22"/>
      <c r="B785" s="22" t="str">
        <f>IF(A785&lt;&gt;"",SUMIFS('💸 Transaction ซื้อ'!E:E,'💸 Transaction ซื้อ'!B:B,A785)-SUMIFS('💰 Transaction ขาย'!E:E,'💰 Transaction ขาย'!B:B,A785),"")</f>
        <v/>
      </c>
      <c r="C785" s="23" t="str">
        <f>IF(A785&lt;&gt;"",vlookup(A785,'📦 ชื่อสินค้า'!A:E,5,false),"")</f>
        <v/>
      </c>
      <c r="D785" s="23" t="str">
        <f>IF(A785&lt;&gt;"",VLOOKUP(A785,'📦 ชื่อสินค้า'!A:F,6,false),"")</f>
        <v/>
      </c>
      <c r="E785" s="16" t="str">
        <f>IFERROR(IF(VLOOKUP(A785,'📦 ชื่อสินค้า'!A:G,7,false)="InActive","InActive",IF(A785&lt;&gt;"",IF(B785&lt;=0,"สินค้าหมด",IF(B785&lt;=C785,"ควรเติมทันที","OK")),"")),)</f>
        <v/>
      </c>
      <c r="F785" s="24" t="str">
        <f>IFERROR(IF(A785&lt;&gt;"", SUMIF('💸 Transaction ซื้อ'!B:B,A785,'💸 Transaction ซื้อ'!G:G)/SUMIF('💸 Transaction ซื้อ'!B:B,A785,'💸 Transaction ซื้อ'!E:E),""),"-")</f>
        <v/>
      </c>
      <c r="G785" s="24" t="str">
        <f t="shared" si="1"/>
        <v/>
      </c>
      <c r="H785" s="25"/>
      <c r="I785" s="26"/>
      <c r="J785" s="26"/>
      <c r="K785" s="27" t="str">
        <f>IF(A785&lt;&gt;"",IF(E785="InActive","-",SUMIFS('💰 Transaction ขาย'!E:E,'💰 Transaction ขาย'!B:B,A785,'💰 Transaction ขาย'!A:A,"&gt;"&amp;'⚙️ Config'!$H$1-'⚙️ Config'!$H$2)),)</f>
        <v/>
      </c>
      <c r="L785" s="28" t="str">
        <f>IF(E785="InActive","-",IF(A785&lt;&gt;"",K785/'⚙️ Config'!$H$2,))</f>
        <v/>
      </c>
      <c r="M785" s="28" t="str">
        <f t="shared" si="2"/>
        <v/>
      </c>
      <c r="N785" s="28" t="str">
        <f>IF(A785&lt;&gt;"", SUMIFS('💰 Transaction ขาย'!F:F,'💰 Transaction ขาย'!B:B,A785,'💰 Transaction ขาย'!A:A,"&gt;="&amp;DATE(YEAR('⚙️ Config'!$H$1),1,1),'💰 Transaction ขาย'!A:A,"&lt;="&amp;DATE(YEAR('⚙️ Config'!$H$1),12,31)),)</f>
        <v/>
      </c>
    </row>
    <row r="786">
      <c r="A786" s="22"/>
      <c r="B786" s="22" t="str">
        <f>IF(A786&lt;&gt;"",SUMIFS('💸 Transaction ซื้อ'!E:E,'💸 Transaction ซื้อ'!B:B,A786)-SUMIFS('💰 Transaction ขาย'!E:E,'💰 Transaction ขาย'!B:B,A786),"")</f>
        <v/>
      </c>
      <c r="C786" s="23" t="str">
        <f>IF(A786&lt;&gt;"",vlookup(A786,'📦 ชื่อสินค้า'!A:E,5,false),"")</f>
        <v/>
      </c>
      <c r="D786" s="23" t="str">
        <f>IF(A786&lt;&gt;"",VLOOKUP(A786,'📦 ชื่อสินค้า'!A:F,6,false),"")</f>
        <v/>
      </c>
      <c r="E786" s="16" t="str">
        <f>IFERROR(IF(VLOOKUP(A786,'📦 ชื่อสินค้า'!A:G,7,false)="InActive","InActive",IF(A786&lt;&gt;"",IF(B786&lt;=0,"สินค้าหมด",IF(B786&lt;=C786,"ควรเติมทันที","OK")),"")),)</f>
        <v/>
      </c>
      <c r="F786" s="24" t="str">
        <f>IFERROR(IF(A786&lt;&gt;"", SUMIF('💸 Transaction ซื้อ'!B:B,A786,'💸 Transaction ซื้อ'!G:G)/SUMIF('💸 Transaction ซื้อ'!B:B,A786,'💸 Transaction ซื้อ'!E:E),""),"-")</f>
        <v/>
      </c>
      <c r="G786" s="24" t="str">
        <f t="shared" si="1"/>
        <v/>
      </c>
      <c r="H786" s="25"/>
      <c r="I786" s="26"/>
      <c r="J786" s="26"/>
      <c r="K786" s="27" t="str">
        <f>IF(A786&lt;&gt;"",IF(E786="InActive","-",SUMIFS('💰 Transaction ขาย'!E:E,'💰 Transaction ขาย'!B:B,A786,'💰 Transaction ขาย'!A:A,"&gt;"&amp;'⚙️ Config'!$H$1-'⚙️ Config'!$H$2)),)</f>
        <v/>
      </c>
      <c r="L786" s="28" t="str">
        <f>IF(E786="InActive","-",IF(A786&lt;&gt;"",K786/'⚙️ Config'!$H$2,))</f>
        <v/>
      </c>
      <c r="M786" s="28" t="str">
        <f t="shared" si="2"/>
        <v/>
      </c>
      <c r="N786" s="28" t="str">
        <f>IF(A786&lt;&gt;"", SUMIFS('💰 Transaction ขาย'!F:F,'💰 Transaction ขาย'!B:B,A786,'💰 Transaction ขาย'!A:A,"&gt;="&amp;DATE(YEAR('⚙️ Config'!$H$1),1,1),'💰 Transaction ขาย'!A:A,"&lt;="&amp;DATE(YEAR('⚙️ Config'!$H$1),12,31)),)</f>
        <v/>
      </c>
    </row>
    <row r="787">
      <c r="A787" s="22"/>
      <c r="B787" s="22" t="str">
        <f>IF(A787&lt;&gt;"",SUMIFS('💸 Transaction ซื้อ'!E:E,'💸 Transaction ซื้อ'!B:B,A787)-SUMIFS('💰 Transaction ขาย'!E:E,'💰 Transaction ขาย'!B:B,A787),"")</f>
        <v/>
      </c>
      <c r="C787" s="23" t="str">
        <f>IF(A787&lt;&gt;"",vlookup(A787,'📦 ชื่อสินค้า'!A:E,5,false),"")</f>
        <v/>
      </c>
      <c r="D787" s="23" t="str">
        <f>IF(A787&lt;&gt;"",VLOOKUP(A787,'📦 ชื่อสินค้า'!A:F,6,false),"")</f>
        <v/>
      </c>
      <c r="E787" s="16" t="str">
        <f>IFERROR(IF(VLOOKUP(A787,'📦 ชื่อสินค้า'!A:G,7,false)="InActive","InActive",IF(A787&lt;&gt;"",IF(B787&lt;=0,"สินค้าหมด",IF(B787&lt;=C787,"ควรเติมทันที","OK")),"")),)</f>
        <v/>
      </c>
      <c r="F787" s="24" t="str">
        <f>IFERROR(IF(A787&lt;&gt;"", SUMIF('💸 Transaction ซื้อ'!B:B,A787,'💸 Transaction ซื้อ'!G:G)/SUMIF('💸 Transaction ซื้อ'!B:B,A787,'💸 Transaction ซื้อ'!E:E),""),"-")</f>
        <v/>
      </c>
      <c r="G787" s="24" t="str">
        <f t="shared" si="1"/>
        <v/>
      </c>
      <c r="H787" s="25"/>
      <c r="I787" s="26"/>
      <c r="J787" s="26"/>
      <c r="K787" s="27" t="str">
        <f>IF(A787&lt;&gt;"",IF(E787="InActive","-",SUMIFS('💰 Transaction ขาย'!E:E,'💰 Transaction ขาย'!B:B,A787,'💰 Transaction ขาย'!A:A,"&gt;"&amp;'⚙️ Config'!$H$1-'⚙️ Config'!$H$2)),)</f>
        <v/>
      </c>
      <c r="L787" s="28" t="str">
        <f>IF(E787="InActive","-",IF(A787&lt;&gt;"",K787/'⚙️ Config'!$H$2,))</f>
        <v/>
      </c>
      <c r="M787" s="28" t="str">
        <f t="shared" si="2"/>
        <v/>
      </c>
      <c r="N787" s="28" t="str">
        <f>IF(A787&lt;&gt;"", SUMIFS('💰 Transaction ขาย'!F:F,'💰 Transaction ขาย'!B:B,A787,'💰 Transaction ขาย'!A:A,"&gt;="&amp;DATE(YEAR('⚙️ Config'!$H$1),1,1),'💰 Transaction ขาย'!A:A,"&lt;="&amp;DATE(YEAR('⚙️ Config'!$H$1),12,31)),)</f>
        <v/>
      </c>
    </row>
    <row r="788">
      <c r="A788" s="22"/>
      <c r="B788" s="22" t="str">
        <f>IF(A788&lt;&gt;"",SUMIFS('💸 Transaction ซื้อ'!E:E,'💸 Transaction ซื้อ'!B:B,A788)-SUMIFS('💰 Transaction ขาย'!E:E,'💰 Transaction ขาย'!B:B,A788),"")</f>
        <v/>
      </c>
      <c r="C788" s="23" t="str">
        <f>IF(A788&lt;&gt;"",vlookup(A788,'📦 ชื่อสินค้า'!A:E,5,false),"")</f>
        <v/>
      </c>
      <c r="D788" s="23" t="str">
        <f>IF(A788&lt;&gt;"",VLOOKUP(A788,'📦 ชื่อสินค้า'!A:F,6,false),"")</f>
        <v/>
      </c>
      <c r="E788" s="16" t="str">
        <f>IFERROR(IF(VLOOKUP(A788,'📦 ชื่อสินค้า'!A:G,7,false)="InActive","InActive",IF(A788&lt;&gt;"",IF(B788&lt;=0,"สินค้าหมด",IF(B788&lt;=C788,"ควรเติมทันที","OK")),"")),)</f>
        <v/>
      </c>
      <c r="F788" s="24" t="str">
        <f>IFERROR(IF(A788&lt;&gt;"", SUMIF('💸 Transaction ซื้อ'!B:B,A788,'💸 Transaction ซื้อ'!G:G)/SUMIF('💸 Transaction ซื้อ'!B:B,A788,'💸 Transaction ซื้อ'!E:E),""),"-")</f>
        <v/>
      </c>
      <c r="G788" s="24" t="str">
        <f t="shared" si="1"/>
        <v/>
      </c>
      <c r="H788" s="25"/>
      <c r="I788" s="26"/>
      <c r="J788" s="26"/>
      <c r="K788" s="27" t="str">
        <f>IF(A788&lt;&gt;"",IF(E788="InActive","-",SUMIFS('💰 Transaction ขาย'!E:E,'💰 Transaction ขาย'!B:B,A788,'💰 Transaction ขาย'!A:A,"&gt;"&amp;'⚙️ Config'!$H$1-'⚙️ Config'!$H$2)),)</f>
        <v/>
      </c>
      <c r="L788" s="28" t="str">
        <f>IF(E788="InActive","-",IF(A788&lt;&gt;"",K788/'⚙️ Config'!$H$2,))</f>
        <v/>
      </c>
      <c r="M788" s="28" t="str">
        <f t="shared" si="2"/>
        <v/>
      </c>
      <c r="N788" s="28" t="str">
        <f>IF(A788&lt;&gt;"", SUMIFS('💰 Transaction ขาย'!F:F,'💰 Transaction ขาย'!B:B,A788,'💰 Transaction ขาย'!A:A,"&gt;="&amp;DATE(YEAR('⚙️ Config'!$H$1),1,1),'💰 Transaction ขาย'!A:A,"&lt;="&amp;DATE(YEAR('⚙️ Config'!$H$1),12,31)),)</f>
        <v/>
      </c>
    </row>
    <row r="789">
      <c r="A789" s="22"/>
      <c r="B789" s="22" t="str">
        <f>IF(A789&lt;&gt;"",SUMIFS('💸 Transaction ซื้อ'!E:E,'💸 Transaction ซื้อ'!B:B,A789)-SUMIFS('💰 Transaction ขาย'!E:E,'💰 Transaction ขาย'!B:B,A789),"")</f>
        <v/>
      </c>
      <c r="C789" s="23" t="str">
        <f>IF(A789&lt;&gt;"",vlookup(A789,'📦 ชื่อสินค้า'!A:E,5,false),"")</f>
        <v/>
      </c>
      <c r="D789" s="23" t="str">
        <f>IF(A789&lt;&gt;"",VLOOKUP(A789,'📦 ชื่อสินค้า'!A:F,6,false),"")</f>
        <v/>
      </c>
      <c r="E789" s="16" t="str">
        <f>IFERROR(IF(VLOOKUP(A789,'📦 ชื่อสินค้า'!A:G,7,false)="InActive","InActive",IF(A789&lt;&gt;"",IF(B789&lt;=0,"สินค้าหมด",IF(B789&lt;=C789,"ควรเติมทันที","OK")),"")),)</f>
        <v/>
      </c>
      <c r="F789" s="24" t="str">
        <f>IFERROR(IF(A789&lt;&gt;"", SUMIF('💸 Transaction ซื้อ'!B:B,A789,'💸 Transaction ซื้อ'!G:G)/SUMIF('💸 Transaction ซื้อ'!B:B,A789,'💸 Transaction ซื้อ'!E:E),""),"-")</f>
        <v/>
      </c>
      <c r="G789" s="24" t="str">
        <f t="shared" si="1"/>
        <v/>
      </c>
      <c r="H789" s="25"/>
      <c r="I789" s="26"/>
      <c r="J789" s="26"/>
      <c r="K789" s="27" t="str">
        <f>IF(A789&lt;&gt;"",IF(E789="InActive","-",SUMIFS('💰 Transaction ขาย'!E:E,'💰 Transaction ขาย'!B:B,A789,'💰 Transaction ขาย'!A:A,"&gt;"&amp;'⚙️ Config'!$H$1-'⚙️ Config'!$H$2)),)</f>
        <v/>
      </c>
      <c r="L789" s="28" t="str">
        <f>IF(E789="InActive","-",IF(A789&lt;&gt;"",K789/'⚙️ Config'!$H$2,))</f>
        <v/>
      </c>
      <c r="M789" s="28" t="str">
        <f t="shared" si="2"/>
        <v/>
      </c>
      <c r="N789" s="28" t="str">
        <f>IF(A789&lt;&gt;"", SUMIFS('💰 Transaction ขาย'!F:F,'💰 Transaction ขาย'!B:B,A789,'💰 Transaction ขาย'!A:A,"&gt;="&amp;DATE(YEAR('⚙️ Config'!$H$1),1,1),'💰 Transaction ขาย'!A:A,"&lt;="&amp;DATE(YEAR('⚙️ Config'!$H$1),12,31)),)</f>
        <v/>
      </c>
    </row>
    <row r="790">
      <c r="A790" s="22"/>
      <c r="B790" s="22" t="str">
        <f>IF(A790&lt;&gt;"",SUMIFS('💸 Transaction ซื้อ'!E:E,'💸 Transaction ซื้อ'!B:B,A790)-SUMIFS('💰 Transaction ขาย'!E:E,'💰 Transaction ขาย'!B:B,A790),"")</f>
        <v/>
      </c>
      <c r="C790" s="23" t="str">
        <f>IF(A790&lt;&gt;"",vlookup(A790,'📦 ชื่อสินค้า'!A:E,5,false),"")</f>
        <v/>
      </c>
      <c r="D790" s="23" t="str">
        <f>IF(A790&lt;&gt;"",VLOOKUP(A790,'📦 ชื่อสินค้า'!A:F,6,false),"")</f>
        <v/>
      </c>
      <c r="E790" s="16" t="str">
        <f>IFERROR(IF(VLOOKUP(A790,'📦 ชื่อสินค้า'!A:G,7,false)="InActive","InActive",IF(A790&lt;&gt;"",IF(B790&lt;=0,"สินค้าหมด",IF(B790&lt;=C790,"ควรเติมทันที","OK")),"")),)</f>
        <v/>
      </c>
      <c r="F790" s="24" t="str">
        <f>IFERROR(IF(A790&lt;&gt;"", SUMIF('💸 Transaction ซื้อ'!B:B,A790,'💸 Transaction ซื้อ'!G:G)/SUMIF('💸 Transaction ซื้อ'!B:B,A790,'💸 Transaction ซื้อ'!E:E),""),"-")</f>
        <v/>
      </c>
      <c r="G790" s="24" t="str">
        <f t="shared" si="1"/>
        <v/>
      </c>
      <c r="H790" s="25"/>
      <c r="I790" s="26"/>
      <c r="J790" s="26"/>
      <c r="K790" s="27" t="str">
        <f>IF(A790&lt;&gt;"",IF(E790="InActive","-",SUMIFS('💰 Transaction ขาย'!E:E,'💰 Transaction ขาย'!B:B,A790,'💰 Transaction ขาย'!A:A,"&gt;"&amp;'⚙️ Config'!$H$1-'⚙️ Config'!$H$2)),)</f>
        <v/>
      </c>
      <c r="L790" s="28" t="str">
        <f>IF(E790="InActive","-",IF(A790&lt;&gt;"",K790/'⚙️ Config'!$H$2,))</f>
        <v/>
      </c>
      <c r="M790" s="28" t="str">
        <f t="shared" si="2"/>
        <v/>
      </c>
      <c r="N790" s="28" t="str">
        <f>IF(A790&lt;&gt;"", SUMIFS('💰 Transaction ขาย'!F:F,'💰 Transaction ขาย'!B:B,A790,'💰 Transaction ขาย'!A:A,"&gt;="&amp;DATE(YEAR('⚙️ Config'!$H$1),1,1),'💰 Transaction ขาย'!A:A,"&lt;="&amp;DATE(YEAR('⚙️ Config'!$H$1),12,31)),)</f>
        <v/>
      </c>
    </row>
    <row r="791">
      <c r="A791" s="22"/>
      <c r="B791" s="22" t="str">
        <f>IF(A791&lt;&gt;"",SUMIFS('💸 Transaction ซื้อ'!E:E,'💸 Transaction ซื้อ'!B:B,A791)-SUMIFS('💰 Transaction ขาย'!E:E,'💰 Transaction ขาย'!B:B,A791),"")</f>
        <v/>
      </c>
      <c r="C791" s="23" t="str">
        <f>IF(A791&lt;&gt;"",vlookup(A791,'📦 ชื่อสินค้า'!A:E,5,false),"")</f>
        <v/>
      </c>
      <c r="D791" s="23" t="str">
        <f>IF(A791&lt;&gt;"",VLOOKUP(A791,'📦 ชื่อสินค้า'!A:F,6,false),"")</f>
        <v/>
      </c>
      <c r="E791" s="16" t="str">
        <f>IFERROR(IF(VLOOKUP(A791,'📦 ชื่อสินค้า'!A:G,7,false)="InActive","InActive",IF(A791&lt;&gt;"",IF(B791&lt;=0,"สินค้าหมด",IF(B791&lt;=C791,"ควรเติมทันที","OK")),"")),)</f>
        <v/>
      </c>
      <c r="F791" s="24" t="str">
        <f>IFERROR(IF(A791&lt;&gt;"", SUMIF('💸 Transaction ซื้อ'!B:B,A791,'💸 Transaction ซื้อ'!G:G)/SUMIF('💸 Transaction ซื้อ'!B:B,A791,'💸 Transaction ซื้อ'!E:E),""),"-")</f>
        <v/>
      </c>
      <c r="G791" s="24" t="str">
        <f t="shared" si="1"/>
        <v/>
      </c>
      <c r="H791" s="25"/>
      <c r="I791" s="26"/>
      <c r="J791" s="26"/>
      <c r="K791" s="27" t="str">
        <f>IF(A791&lt;&gt;"",IF(E791="InActive","-",SUMIFS('💰 Transaction ขาย'!E:E,'💰 Transaction ขาย'!B:B,A791,'💰 Transaction ขาย'!A:A,"&gt;"&amp;'⚙️ Config'!$H$1-'⚙️ Config'!$H$2)),)</f>
        <v/>
      </c>
      <c r="L791" s="28" t="str">
        <f>IF(E791="InActive","-",IF(A791&lt;&gt;"",K791/'⚙️ Config'!$H$2,))</f>
        <v/>
      </c>
      <c r="M791" s="28" t="str">
        <f t="shared" si="2"/>
        <v/>
      </c>
      <c r="N791" s="28" t="str">
        <f>IF(A791&lt;&gt;"", SUMIFS('💰 Transaction ขาย'!F:F,'💰 Transaction ขาย'!B:B,A791,'💰 Transaction ขาย'!A:A,"&gt;="&amp;DATE(YEAR('⚙️ Config'!$H$1),1,1),'💰 Transaction ขาย'!A:A,"&lt;="&amp;DATE(YEAR('⚙️ Config'!$H$1),12,31)),)</f>
        <v/>
      </c>
    </row>
    <row r="792">
      <c r="A792" s="22"/>
      <c r="B792" s="22" t="str">
        <f>IF(A792&lt;&gt;"",SUMIFS('💸 Transaction ซื้อ'!E:E,'💸 Transaction ซื้อ'!B:B,A792)-SUMIFS('💰 Transaction ขาย'!E:E,'💰 Transaction ขาย'!B:B,A792),"")</f>
        <v/>
      </c>
      <c r="C792" s="23" t="str">
        <f>IF(A792&lt;&gt;"",vlookup(A792,'📦 ชื่อสินค้า'!A:E,5,false),"")</f>
        <v/>
      </c>
      <c r="D792" s="23" t="str">
        <f>IF(A792&lt;&gt;"",VLOOKUP(A792,'📦 ชื่อสินค้า'!A:F,6,false),"")</f>
        <v/>
      </c>
      <c r="E792" s="16" t="str">
        <f>IFERROR(IF(VLOOKUP(A792,'📦 ชื่อสินค้า'!A:G,7,false)="InActive","InActive",IF(A792&lt;&gt;"",IF(B792&lt;=0,"สินค้าหมด",IF(B792&lt;=C792,"ควรเติมทันที","OK")),"")),)</f>
        <v/>
      </c>
      <c r="F792" s="24" t="str">
        <f>IFERROR(IF(A792&lt;&gt;"", SUMIF('💸 Transaction ซื้อ'!B:B,A792,'💸 Transaction ซื้อ'!G:G)/SUMIF('💸 Transaction ซื้อ'!B:B,A792,'💸 Transaction ซื้อ'!E:E),""),"-")</f>
        <v/>
      </c>
      <c r="G792" s="24" t="str">
        <f t="shared" si="1"/>
        <v/>
      </c>
      <c r="H792" s="25"/>
      <c r="I792" s="26"/>
      <c r="J792" s="26"/>
      <c r="K792" s="27" t="str">
        <f>IF(A792&lt;&gt;"",IF(E792="InActive","-",SUMIFS('💰 Transaction ขาย'!E:E,'💰 Transaction ขาย'!B:B,A792,'💰 Transaction ขาย'!A:A,"&gt;"&amp;'⚙️ Config'!$H$1-'⚙️ Config'!$H$2)),)</f>
        <v/>
      </c>
      <c r="L792" s="28" t="str">
        <f>IF(E792="InActive","-",IF(A792&lt;&gt;"",K792/'⚙️ Config'!$H$2,))</f>
        <v/>
      </c>
      <c r="M792" s="28" t="str">
        <f t="shared" si="2"/>
        <v/>
      </c>
      <c r="N792" s="28" t="str">
        <f>IF(A792&lt;&gt;"", SUMIFS('💰 Transaction ขาย'!F:F,'💰 Transaction ขาย'!B:B,A792,'💰 Transaction ขาย'!A:A,"&gt;="&amp;DATE(YEAR('⚙️ Config'!$H$1),1,1),'💰 Transaction ขาย'!A:A,"&lt;="&amp;DATE(YEAR('⚙️ Config'!$H$1),12,31)),)</f>
        <v/>
      </c>
    </row>
    <row r="793">
      <c r="A793" s="22"/>
      <c r="B793" s="22" t="str">
        <f>IF(A793&lt;&gt;"",SUMIFS('💸 Transaction ซื้อ'!E:E,'💸 Transaction ซื้อ'!B:B,A793)-SUMIFS('💰 Transaction ขาย'!E:E,'💰 Transaction ขาย'!B:B,A793),"")</f>
        <v/>
      </c>
      <c r="C793" s="23" t="str">
        <f>IF(A793&lt;&gt;"",vlookup(A793,'📦 ชื่อสินค้า'!A:E,5,false),"")</f>
        <v/>
      </c>
      <c r="D793" s="23" t="str">
        <f>IF(A793&lt;&gt;"",VLOOKUP(A793,'📦 ชื่อสินค้า'!A:F,6,false),"")</f>
        <v/>
      </c>
      <c r="E793" s="16" t="str">
        <f>IFERROR(IF(VLOOKUP(A793,'📦 ชื่อสินค้า'!A:G,7,false)="InActive","InActive",IF(A793&lt;&gt;"",IF(B793&lt;=0,"สินค้าหมด",IF(B793&lt;=C793,"ควรเติมทันที","OK")),"")),)</f>
        <v/>
      </c>
      <c r="F793" s="24" t="str">
        <f>IFERROR(IF(A793&lt;&gt;"", SUMIF('💸 Transaction ซื้อ'!B:B,A793,'💸 Transaction ซื้อ'!G:G)/SUMIF('💸 Transaction ซื้อ'!B:B,A793,'💸 Transaction ซื้อ'!E:E),""),"-")</f>
        <v/>
      </c>
      <c r="G793" s="24" t="str">
        <f t="shared" si="1"/>
        <v/>
      </c>
      <c r="H793" s="25"/>
      <c r="I793" s="26"/>
      <c r="J793" s="26"/>
      <c r="K793" s="27" t="str">
        <f>IF(A793&lt;&gt;"",IF(E793="InActive","-",SUMIFS('💰 Transaction ขาย'!E:E,'💰 Transaction ขาย'!B:B,A793,'💰 Transaction ขาย'!A:A,"&gt;"&amp;'⚙️ Config'!$H$1-'⚙️ Config'!$H$2)),)</f>
        <v/>
      </c>
      <c r="L793" s="28" t="str">
        <f>IF(E793="InActive","-",IF(A793&lt;&gt;"",K793/'⚙️ Config'!$H$2,))</f>
        <v/>
      </c>
      <c r="M793" s="28" t="str">
        <f t="shared" si="2"/>
        <v/>
      </c>
      <c r="N793" s="28" t="str">
        <f>IF(A793&lt;&gt;"", SUMIFS('💰 Transaction ขาย'!F:F,'💰 Transaction ขาย'!B:B,A793,'💰 Transaction ขาย'!A:A,"&gt;="&amp;DATE(YEAR('⚙️ Config'!$H$1),1,1),'💰 Transaction ขาย'!A:A,"&lt;="&amp;DATE(YEAR('⚙️ Config'!$H$1),12,31)),)</f>
        <v/>
      </c>
    </row>
    <row r="794">
      <c r="A794" s="22"/>
      <c r="B794" s="22" t="str">
        <f>IF(A794&lt;&gt;"",SUMIFS('💸 Transaction ซื้อ'!E:E,'💸 Transaction ซื้อ'!B:B,A794)-SUMIFS('💰 Transaction ขาย'!E:E,'💰 Transaction ขาย'!B:B,A794),"")</f>
        <v/>
      </c>
      <c r="C794" s="23" t="str">
        <f>IF(A794&lt;&gt;"",vlookup(A794,'📦 ชื่อสินค้า'!A:E,5,false),"")</f>
        <v/>
      </c>
      <c r="D794" s="23" t="str">
        <f>IF(A794&lt;&gt;"",VLOOKUP(A794,'📦 ชื่อสินค้า'!A:F,6,false),"")</f>
        <v/>
      </c>
      <c r="E794" s="16" t="str">
        <f>IFERROR(IF(VLOOKUP(A794,'📦 ชื่อสินค้า'!A:G,7,false)="InActive","InActive",IF(A794&lt;&gt;"",IF(B794&lt;=0,"สินค้าหมด",IF(B794&lt;=C794,"ควรเติมทันที","OK")),"")),)</f>
        <v/>
      </c>
      <c r="F794" s="24" t="str">
        <f>IFERROR(IF(A794&lt;&gt;"", SUMIF('💸 Transaction ซื้อ'!B:B,A794,'💸 Transaction ซื้อ'!G:G)/SUMIF('💸 Transaction ซื้อ'!B:B,A794,'💸 Transaction ซื้อ'!E:E),""),"-")</f>
        <v/>
      </c>
      <c r="G794" s="24" t="str">
        <f t="shared" si="1"/>
        <v/>
      </c>
      <c r="H794" s="25"/>
      <c r="I794" s="26"/>
      <c r="J794" s="26"/>
      <c r="K794" s="27" t="str">
        <f>IF(A794&lt;&gt;"",IF(E794="InActive","-",SUMIFS('💰 Transaction ขาย'!E:E,'💰 Transaction ขาย'!B:B,A794,'💰 Transaction ขาย'!A:A,"&gt;"&amp;'⚙️ Config'!$H$1-'⚙️ Config'!$H$2)),)</f>
        <v/>
      </c>
      <c r="L794" s="28" t="str">
        <f>IF(E794="InActive","-",IF(A794&lt;&gt;"",K794/'⚙️ Config'!$H$2,))</f>
        <v/>
      </c>
      <c r="M794" s="28" t="str">
        <f t="shared" si="2"/>
        <v/>
      </c>
      <c r="N794" s="28" t="str">
        <f>IF(A794&lt;&gt;"", SUMIFS('💰 Transaction ขาย'!F:F,'💰 Transaction ขาย'!B:B,A794,'💰 Transaction ขาย'!A:A,"&gt;="&amp;DATE(YEAR('⚙️ Config'!$H$1),1,1),'💰 Transaction ขาย'!A:A,"&lt;="&amp;DATE(YEAR('⚙️ Config'!$H$1),12,31)),)</f>
        <v/>
      </c>
    </row>
    <row r="795">
      <c r="A795" s="22"/>
      <c r="B795" s="22" t="str">
        <f>IF(A795&lt;&gt;"",SUMIFS('💸 Transaction ซื้อ'!E:E,'💸 Transaction ซื้อ'!B:B,A795)-SUMIFS('💰 Transaction ขาย'!E:E,'💰 Transaction ขาย'!B:B,A795),"")</f>
        <v/>
      </c>
      <c r="C795" s="23" t="str">
        <f>IF(A795&lt;&gt;"",vlookup(A795,'📦 ชื่อสินค้า'!A:E,5,false),"")</f>
        <v/>
      </c>
      <c r="D795" s="23" t="str">
        <f>IF(A795&lt;&gt;"",VLOOKUP(A795,'📦 ชื่อสินค้า'!A:F,6,false),"")</f>
        <v/>
      </c>
      <c r="E795" s="16" t="str">
        <f>IFERROR(IF(VLOOKUP(A795,'📦 ชื่อสินค้า'!A:G,7,false)="InActive","InActive",IF(A795&lt;&gt;"",IF(B795&lt;=0,"สินค้าหมด",IF(B795&lt;=C795,"ควรเติมทันที","OK")),"")),)</f>
        <v/>
      </c>
      <c r="F795" s="24" t="str">
        <f>IFERROR(IF(A795&lt;&gt;"", SUMIF('💸 Transaction ซื้อ'!B:B,A795,'💸 Transaction ซื้อ'!G:G)/SUMIF('💸 Transaction ซื้อ'!B:B,A795,'💸 Transaction ซื้อ'!E:E),""),"-")</f>
        <v/>
      </c>
      <c r="G795" s="24" t="str">
        <f t="shared" si="1"/>
        <v/>
      </c>
      <c r="H795" s="25"/>
      <c r="I795" s="26"/>
      <c r="J795" s="26"/>
      <c r="K795" s="27" t="str">
        <f>IF(A795&lt;&gt;"",IF(E795="InActive","-",SUMIFS('💰 Transaction ขาย'!E:E,'💰 Transaction ขาย'!B:B,A795,'💰 Transaction ขาย'!A:A,"&gt;"&amp;'⚙️ Config'!$H$1-'⚙️ Config'!$H$2)),)</f>
        <v/>
      </c>
      <c r="L795" s="28" t="str">
        <f>IF(E795="InActive","-",IF(A795&lt;&gt;"",K795/'⚙️ Config'!$H$2,))</f>
        <v/>
      </c>
      <c r="M795" s="28" t="str">
        <f t="shared" si="2"/>
        <v/>
      </c>
      <c r="N795" s="28" t="str">
        <f>IF(A795&lt;&gt;"", SUMIFS('💰 Transaction ขาย'!F:F,'💰 Transaction ขาย'!B:B,A795,'💰 Transaction ขาย'!A:A,"&gt;="&amp;DATE(YEAR('⚙️ Config'!$H$1),1,1),'💰 Transaction ขาย'!A:A,"&lt;="&amp;DATE(YEAR('⚙️ Config'!$H$1),12,31)),)</f>
        <v/>
      </c>
    </row>
    <row r="796">
      <c r="A796" s="22"/>
      <c r="B796" s="22" t="str">
        <f>IF(A796&lt;&gt;"",SUMIFS('💸 Transaction ซื้อ'!E:E,'💸 Transaction ซื้อ'!B:B,A796)-SUMIFS('💰 Transaction ขาย'!E:E,'💰 Transaction ขาย'!B:B,A796),"")</f>
        <v/>
      </c>
      <c r="C796" s="23" t="str">
        <f>IF(A796&lt;&gt;"",vlookup(A796,'📦 ชื่อสินค้า'!A:E,5,false),"")</f>
        <v/>
      </c>
      <c r="D796" s="23" t="str">
        <f>IF(A796&lt;&gt;"",VLOOKUP(A796,'📦 ชื่อสินค้า'!A:F,6,false),"")</f>
        <v/>
      </c>
      <c r="E796" s="16" t="str">
        <f>IFERROR(IF(VLOOKUP(A796,'📦 ชื่อสินค้า'!A:G,7,false)="InActive","InActive",IF(A796&lt;&gt;"",IF(B796&lt;=0,"สินค้าหมด",IF(B796&lt;=C796,"ควรเติมทันที","OK")),"")),)</f>
        <v/>
      </c>
      <c r="F796" s="24" t="str">
        <f>IFERROR(IF(A796&lt;&gt;"", SUMIF('💸 Transaction ซื้อ'!B:B,A796,'💸 Transaction ซื้อ'!G:G)/SUMIF('💸 Transaction ซื้อ'!B:B,A796,'💸 Transaction ซื้อ'!E:E),""),"-")</f>
        <v/>
      </c>
      <c r="G796" s="24" t="str">
        <f t="shared" si="1"/>
        <v/>
      </c>
      <c r="H796" s="25"/>
      <c r="I796" s="26"/>
      <c r="J796" s="26"/>
      <c r="K796" s="27" t="str">
        <f>IF(A796&lt;&gt;"",IF(E796="InActive","-",SUMIFS('💰 Transaction ขาย'!E:E,'💰 Transaction ขาย'!B:B,A796,'💰 Transaction ขาย'!A:A,"&gt;"&amp;'⚙️ Config'!$H$1-'⚙️ Config'!$H$2)),)</f>
        <v/>
      </c>
      <c r="L796" s="28" t="str">
        <f>IF(E796="InActive","-",IF(A796&lt;&gt;"",K796/'⚙️ Config'!$H$2,))</f>
        <v/>
      </c>
      <c r="M796" s="28" t="str">
        <f t="shared" si="2"/>
        <v/>
      </c>
      <c r="N796" s="28" t="str">
        <f>IF(A796&lt;&gt;"", SUMIFS('💰 Transaction ขาย'!F:F,'💰 Transaction ขาย'!B:B,A796,'💰 Transaction ขาย'!A:A,"&gt;="&amp;DATE(YEAR('⚙️ Config'!$H$1),1,1),'💰 Transaction ขาย'!A:A,"&lt;="&amp;DATE(YEAR('⚙️ Config'!$H$1),12,31)),)</f>
        <v/>
      </c>
    </row>
    <row r="797">
      <c r="A797" s="22"/>
      <c r="B797" s="22" t="str">
        <f>IF(A797&lt;&gt;"",SUMIFS('💸 Transaction ซื้อ'!E:E,'💸 Transaction ซื้อ'!B:B,A797)-SUMIFS('💰 Transaction ขาย'!E:E,'💰 Transaction ขาย'!B:B,A797),"")</f>
        <v/>
      </c>
      <c r="C797" s="23" t="str">
        <f>IF(A797&lt;&gt;"",vlookup(A797,'📦 ชื่อสินค้า'!A:E,5,false),"")</f>
        <v/>
      </c>
      <c r="D797" s="23" t="str">
        <f>IF(A797&lt;&gt;"",VLOOKUP(A797,'📦 ชื่อสินค้า'!A:F,6,false),"")</f>
        <v/>
      </c>
      <c r="E797" s="16" t="str">
        <f>IFERROR(IF(VLOOKUP(A797,'📦 ชื่อสินค้า'!A:G,7,false)="InActive","InActive",IF(A797&lt;&gt;"",IF(B797&lt;=0,"สินค้าหมด",IF(B797&lt;=C797,"ควรเติมทันที","OK")),"")),)</f>
        <v/>
      </c>
      <c r="F797" s="24" t="str">
        <f>IFERROR(IF(A797&lt;&gt;"", SUMIF('💸 Transaction ซื้อ'!B:B,A797,'💸 Transaction ซื้อ'!G:G)/SUMIF('💸 Transaction ซื้อ'!B:B,A797,'💸 Transaction ซื้อ'!E:E),""),"-")</f>
        <v/>
      </c>
      <c r="G797" s="24" t="str">
        <f t="shared" si="1"/>
        <v/>
      </c>
      <c r="H797" s="25"/>
      <c r="I797" s="26"/>
      <c r="J797" s="26"/>
      <c r="K797" s="27" t="str">
        <f>IF(A797&lt;&gt;"",IF(E797="InActive","-",SUMIFS('💰 Transaction ขาย'!E:E,'💰 Transaction ขาย'!B:B,A797,'💰 Transaction ขาย'!A:A,"&gt;"&amp;'⚙️ Config'!$H$1-'⚙️ Config'!$H$2)),)</f>
        <v/>
      </c>
      <c r="L797" s="28" t="str">
        <f>IF(E797="InActive","-",IF(A797&lt;&gt;"",K797/'⚙️ Config'!$H$2,))</f>
        <v/>
      </c>
      <c r="M797" s="28" t="str">
        <f t="shared" si="2"/>
        <v/>
      </c>
      <c r="N797" s="28" t="str">
        <f>IF(A797&lt;&gt;"", SUMIFS('💰 Transaction ขาย'!F:F,'💰 Transaction ขาย'!B:B,A797,'💰 Transaction ขาย'!A:A,"&gt;="&amp;DATE(YEAR('⚙️ Config'!$H$1),1,1),'💰 Transaction ขาย'!A:A,"&lt;="&amp;DATE(YEAR('⚙️ Config'!$H$1),12,31)),)</f>
        <v/>
      </c>
    </row>
    <row r="798">
      <c r="A798" s="22"/>
      <c r="B798" s="22" t="str">
        <f>IF(A798&lt;&gt;"",SUMIFS('💸 Transaction ซื้อ'!E:E,'💸 Transaction ซื้อ'!B:B,A798)-SUMIFS('💰 Transaction ขาย'!E:E,'💰 Transaction ขาย'!B:B,A798),"")</f>
        <v/>
      </c>
      <c r="C798" s="23" t="str">
        <f>IF(A798&lt;&gt;"",vlookup(A798,'📦 ชื่อสินค้า'!A:E,5,false),"")</f>
        <v/>
      </c>
      <c r="D798" s="23" t="str">
        <f>IF(A798&lt;&gt;"",VLOOKUP(A798,'📦 ชื่อสินค้า'!A:F,6,false),"")</f>
        <v/>
      </c>
      <c r="E798" s="16" t="str">
        <f>IFERROR(IF(VLOOKUP(A798,'📦 ชื่อสินค้า'!A:G,7,false)="InActive","InActive",IF(A798&lt;&gt;"",IF(B798&lt;=0,"สินค้าหมด",IF(B798&lt;=C798,"ควรเติมทันที","OK")),"")),)</f>
        <v/>
      </c>
      <c r="F798" s="24" t="str">
        <f>IFERROR(IF(A798&lt;&gt;"", SUMIF('💸 Transaction ซื้อ'!B:B,A798,'💸 Transaction ซื้อ'!G:G)/SUMIF('💸 Transaction ซื้อ'!B:B,A798,'💸 Transaction ซื้อ'!E:E),""),"-")</f>
        <v/>
      </c>
      <c r="G798" s="24" t="str">
        <f t="shared" si="1"/>
        <v/>
      </c>
      <c r="H798" s="25"/>
      <c r="I798" s="26"/>
      <c r="J798" s="26"/>
      <c r="K798" s="27" t="str">
        <f>IF(A798&lt;&gt;"",IF(E798="InActive","-",SUMIFS('💰 Transaction ขาย'!E:E,'💰 Transaction ขาย'!B:B,A798,'💰 Transaction ขาย'!A:A,"&gt;"&amp;'⚙️ Config'!$H$1-'⚙️ Config'!$H$2)),)</f>
        <v/>
      </c>
      <c r="L798" s="28" t="str">
        <f>IF(E798="InActive","-",IF(A798&lt;&gt;"",K798/'⚙️ Config'!$H$2,))</f>
        <v/>
      </c>
      <c r="M798" s="28" t="str">
        <f t="shared" si="2"/>
        <v/>
      </c>
      <c r="N798" s="28" t="str">
        <f>IF(A798&lt;&gt;"", SUMIFS('💰 Transaction ขาย'!F:F,'💰 Transaction ขาย'!B:B,A798,'💰 Transaction ขาย'!A:A,"&gt;="&amp;DATE(YEAR('⚙️ Config'!$H$1),1,1),'💰 Transaction ขาย'!A:A,"&lt;="&amp;DATE(YEAR('⚙️ Config'!$H$1),12,31)),)</f>
        <v/>
      </c>
    </row>
    <row r="799">
      <c r="A799" s="22"/>
      <c r="B799" s="22" t="str">
        <f>IF(A799&lt;&gt;"",SUMIFS('💸 Transaction ซื้อ'!E:E,'💸 Transaction ซื้อ'!B:B,A799)-SUMIFS('💰 Transaction ขาย'!E:E,'💰 Transaction ขาย'!B:B,A799),"")</f>
        <v/>
      </c>
      <c r="C799" s="23" t="str">
        <f>IF(A799&lt;&gt;"",vlookup(A799,'📦 ชื่อสินค้า'!A:E,5,false),"")</f>
        <v/>
      </c>
      <c r="D799" s="23" t="str">
        <f>IF(A799&lt;&gt;"",VLOOKUP(A799,'📦 ชื่อสินค้า'!A:F,6,false),"")</f>
        <v/>
      </c>
      <c r="E799" s="16" t="str">
        <f>IFERROR(IF(VLOOKUP(A799,'📦 ชื่อสินค้า'!A:G,7,false)="InActive","InActive",IF(A799&lt;&gt;"",IF(B799&lt;=0,"สินค้าหมด",IF(B799&lt;=C799,"ควรเติมทันที","OK")),"")),)</f>
        <v/>
      </c>
      <c r="F799" s="24" t="str">
        <f>IFERROR(IF(A799&lt;&gt;"", SUMIF('💸 Transaction ซื้อ'!B:B,A799,'💸 Transaction ซื้อ'!G:G)/SUMIF('💸 Transaction ซื้อ'!B:B,A799,'💸 Transaction ซื้อ'!E:E),""),"-")</f>
        <v/>
      </c>
      <c r="G799" s="24" t="str">
        <f t="shared" si="1"/>
        <v/>
      </c>
      <c r="H799" s="25"/>
      <c r="I799" s="26"/>
      <c r="J799" s="26"/>
      <c r="K799" s="27" t="str">
        <f>IF(A799&lt;&gt;"",IF(E799="InActive","-",SUMIFS('💰 Transaction ขาย'!E:E,'💰 Transaction ขาย'!B:B,A799,'💰 Transaction ขาย'!A:A,"&gt;"&amp;'⚙️ Config'!$H$1-'⚙️ Config'!$H$2)),)</f>
        <v/>
      </c>
      <c r="L799" s="28" t="str">
        <f>IF(E799="InActive","-",IF(A799&lt;&gt;"",K799/'⚙️ Config'!$H$2,))</f>
        <v/>
      </c>
      <c r="M799" s="28" t="str">
        <f t="shared" si="2"/>
        <v/>
      </c>
      <c r="N799" s="28" t="str">
        <f>IF(A799&lt;&gt;"", SUMIFS('💰 Transaction ขาย'!F:F,'💰 Transaction ขาย'!B:B,A799,'💰 Transaction ขาย'!A:A,"&gt;="&amp;DATE(YEAR('⚙️ Config'!$H$1),1,1),'💰 Transaction ขาย'!A:A,"&lt;="&amp;DATE(YEAR('⚙️ Config'!$H$1),12,31)),)</f>
        <v/>
      </c>
    </row>
    <row r="800">
      <c r="A800" s="22"/>
      <c r="B800" s="22" t="str">
        <f>IF(A800&lt;&gt;"",SUMIFS('💸 Transaction ซื้อ'!E:E,'💸 Transaction ซื้อ'!B:B,A800)-SUMIFS('💰 Transaction ขาย'!E:E,'💰 Transaction ขาย'!B:B,A800),"")</f>
        <v/>
      </c>
      <c r="C800" s="23" t="str">
        <f>IF(A800&lt;&gt;"",vlookup(A800,'📦 ชื่อสินค้า'!A:E,5,false),"")</f>
        <v/>
      </c>
      <c r="D800" s="23" t="str">
        <f>IF(A800&lt;&gt;"",VLOOKUP(A800,'📦 ชื่อสินค้า'!A:F,6,false),"")</f>
        <v/>
      </c>
      <c r="E800" s="16" t="str">
        <f>IFERROR(IF(VLOOKUP(A800,'📦 ชื่อสินค้า'!A:G,7,false)="InActive","InActive",IF(A800&lt;&gt;"",IF(B800&lt;=0,"สินค้าหมด",IF(B800&lt;=C800,"ควรเติมทันที","OK")),"")),)</f>
        <v/>
      </c>
      <c r="F800" s="24" t="str">
        <f>IFERROR(IF(A800&lt;&gt;"", SUMIF('💸 Transaction ซื้อ'!B:B,A800,'💸 Transaction ซื้อ'!G:G)/SUMIF('💸 Transaction ซื้อ'!B:B,A800,'💸 Transaction ซื้อ'!E:E),""),"-")</f>
        <v/>
      </c>
      <c r="G800" s="24" t="str">
        <f t="shared" si="1"/>
        <v/>
      </c>
      <c r="H800" s="25"/>
      <c r="I800" s="26"/>
      <c r="J800" s="26"/>
      <c r="K800" s="27" t="str">
        <f>IF(A800&lt;&gt;"",IF(E800="InActive","-",SUMIFS('💰 Transaction ขาย'!E:E,'💰 Transaction ขาย'!B:B,A800,'💰 Transaction ขาย'!A:A,"&gt;"&amp;'⚙️ Config'!$H$1-'⚙️ Config'!$H$2)),)</f>
        <v/>
      </c>
      <c r="L800" s="28" t="str">
        <f>IF(E800="InActive","-",IF(A800&lt;&gt;"",K800/'⚙️ Config'!$H$2,))</f>
        <v/>
      </c>
      <c r="M800" s="28" t="str">
        <f t="shared" si="2"/>
        <v/>
      </c>
      <c r="N800" s="28" t="str">
        <f>IF(A800&lt;&gt;"", SUMIFS('💰 Transaction ขาย'!F:F,'💰 Transaction ขาย'!B:B,A800,'💰 Transaction ขาย'!A:A,"&gt;="&amp;DATE(YEAR('⚙️ Config'!$H$1),1,1),'💰 Transaction ขาย'!A:A,"&lt;="&amp;DATE(YEAR('⚙️ Config'!$H$1),12,31)),)</f>
        <v/>
      </c>
    </row>
    <row r="801">
      <c r="A801" s="22"/>
      <c r="B801" s="22" t="str">
        <f>IF(A801&lt;&gt;"",SUMIFS('💸 Transaction ซื้อ'!E:E,'💸 Transaction ซื้อ'!B:B,A801)-SUMIFS('💰 Transaction ขาย'!E:E,'💰 Transaction ขาย'!B:B,A801),"")</f>
        <v/>
      </c>
      <c r="C801" s="23" t="str">
        <f>IF(A801&lt;&gt;"",vlookup(A801,'📦 ชื่อสินค้า'!A:E,5,false),"")</f>
        <v/>
      </c>
      <c r="D801" s="23" t="str">
        <f>IF(A801&lt;&gt;"",VLOOKUP(A801,'📦 ชื่อสินค้า'!A:F,6,false),"")</f>
        <v/>
      </c>
      <c r="E801" s="16" t="str">
        <f>IFERROR(IF(VLOOKUP(A801,'📦 ชื่อสินค้า'!A:G,7,false)="InActive","InActive",IF(A801&lt;&gt;"",IF(B801&lt;=0,"สินค้าหมด",IF(B801&lt;=C801,"ควรเติมทันที","OK")),"")),)</f>
        <v/>
      </c>
      <c r="F801" s="24" t="str">
        <f>IFERROR(IF(A801&lt;&gt;"", SUMIF('💸 Transaction ซื้อ'!B:B,A801,'💸 Transaction ซื้อ'!G:G)/SUMIF('💸 Transaction ซื้อ'!B:B,A801,'💸 Transaction ซื้อ'!E:E),""),"-")</f>
        <v/>
      </c>
      <c r="G801" s="24" t="str">
        <f t="shared" si="1"/>
        <v/>
      </c>
      <c r="H801" s="25"/>
      <c r="I801" s="26"/>
      <c r="J801" s="26"/>
      <c r="K801" s="27" t="str">
        <f>IF(A801&lt;&gt;"",IF(E801="InActive","-",SUMIFS('💰 Transaction ขาย'!E:E,'💰 Transaction ขาย'!B:B,A801,'💰 Transaction ขาย'!A:A,"&gt;"&amp;'⚙️ Config'!$H$1-'⚙️ Config'!$H$2)),)</f>
        <v/>
      </c>
      <c r="L801" s="28" t="str">
        <f>IF(E801="InActive","-",IF(A801&lt;&gt;"",K801/'⚙️ Config'!$H$2,))</f>
        <v/>
      </c>
      <c r="M801" s="28" t="str">
        <f t="shared" si="2"/>
        <v/>
      </c>
      <c r="N801" s="28" t="str">
        <f>IF(A801&lt;&gt;"", SUMIFS('💰 Transaction ขาย'!F:F,'💰 Transaction ขาย'!B:B,A801,'💰 Transaction ขาย'!A:A,"&gt;="&amp;DATE(YEAR('⚙️ Config'!$H$1),1,1),'💰 Transaction ขาย'!A:A,"&lt;="&amp;DATE(YEAR('⚙️ Config'!$H$1),12,31)),)</f>
        <v/>
      </c>
    </row>
    <row r="802">
      <c r="A802" s="22"/>
      <c r="B802" s="22" t="str">
        <f>IF(A802&lt;&gt;"",SUMIFS('💸 Transaction ซื้อ'!E:E,'💸 Transaction ซื้อ'!B:B,A802)-SUMIFS('💰 Transaction ขาย'!E:E,'💰 Transaction ขาย'!B:B,A802),"")</f>
        <v/>
      </c>
      <c r="C802" s="23" t="str">
        <f>IF(A802&lt;&gt;"",vlookup(A802,'📦 ชื่อสินค้า'!A:E,5,false),"")</f>
        <v/>
      </c>
      <c r="D802" s="23" t="str">
        <f>IF(A802&lt;&gt;"",VLOOKUP(A802,'📦 ชื่อสินค้า'!A:F,6,false),"")</f>
        <v/>
      </c>
      <c r="E802" s="16" t="str">
        <f>IFERROR(IF(VLOOKUP(A802,'📦 ชื่อสินค้า'!A:G,7,false)="InActive","InActive",IF(A802&lt;&gt;"",IF(B802&lt;=0,"สินค้าหมด",IF(B802&lt;=C802,"ควรเติมทันที","OK")),"")),)</f>
        <v/>
      </c>
      <c r="F802" s="24" t="str">
        <f>IFERROR(IF(A802&lt;&gt;"", SUMIF('💸 Transaction ซื้อ'!B:B,A802,'💸 Transaction ซื้อ'!G:G)/SUMIF('💸 Transaction ซื้อ'!B:B,A802,'💸 Transaction ซื้อ'!E:E),""),"-")</f>
        <v/>
      </c>
      <c r="G802" s="24" t="str">
        <f t="shared" si="1"/>
        <v/>
      </c>
      <c r="H802" s="25"/>
      <c r="I802" s="26"/>
      <c r="J802" s="26"/>
      <c r="K802" s="27" t="str">
        <f>IF(A802&lt;&gt;"",IF(E802="InActive","-",SUMIFS('💰 Transaction ขาย'!E:E,'💰 Transaction ขาย'!B:B,A802,'💰 Transaction ขาย'!A:A,"&gt;"&amp;'⚙️ Config'!$H$1-'⚙️ Config'!$H$2)),)</f>
        <v/>
      </c>
      <c r="L802" s="28" t="str">
        <f>IF(E802="InActive","-",IF(A802&lt;&gt;"",K802/'⚙️ Config'!$H$2,))</f>
        <v/>
      </c>
      <c r="M802" s="28" t="str">
        <f t="shared" si="2"/>
        <v/>
      </c>
      <c r="N802" s="28" t="str">
        <f>IF(A802&lt;&gt;"", SUMIFS('💰 Transaction ขาย'!F:F,'💰 Transaction ขาย'!B:B,A802,'💰 Transaction ขาย'!A:A,"&gt;="&amp;DATE(YEAR('⚙️ Config'!$H$1),1,1),'💰 Transaction ขาย'!A:A,"&lt;="&amp;DATE(YEAR('⚙️ Config'!$H$1),12,31)),)</f>
        <v/>
      </c>
    </row>
    <row r="803">
      <c r="A803" s="22"/>
      <c r="B803" s="22" t="str">
        <f>IF(A803&lt;&gt;"",SUMIFS('💸 Transaction ซื้อ'!E:E,'💸 Transaction ซื้อ'!B:B,A803)-SUMIFS('💰 Transaction ขาย'!E:E,'💰 Transaction ขาย'!B:B,A803),"")</f>
        <v/>
      </c>
      <c r="C803" s="23" t="str">
        <f>IF(A803&lt;&gt;"",vlookup(A803,'📦 ชื่อสินค้า'!A:E,5,false),"")</f>
        <v/>
      </c>
      <c r="D803" s="23" t="str">
        <f>IF(A803&lt;&gt;"",VLOOKUP(A803,'📦 ชื่อสินค้า'!A:F,6,false),"")</f>
        <v/>
      </c>
      <c r="E803" s="16" t="str">
        <f>IFERROR(IF(VLOOKUP(A803,'📦 ชื่อสินค้า'!A:G,7,false)="InActive","InActive",IF(A803&lt;&gt;"",IF(B803&lt;=0,"สินค้าหมด",IF(B803&lt;=C803,"ควรเติมทันที","OK")),"")),)</f>
        <v/>
      </c>
      <c r="F803" s="24" t="str">
        <f>IFERROR(IF(A803&lt;&gt;"", SUMIF('💸 Transaction ซื้อ'!B:B,A803,'💸 Transaction ซื้อ'!G:G)/SUMIF('💸 Transaction ซื้อ'!B:B,A803,'💸 Transaction ซื้อ'!E:E),""),"-")</f>
        <v/>
      </c>
      <c r="G803" s="24" t="str">
        <f t="shared" si="1"/>
        <v/>
      </c>
      <c r="H803" s="25"/>
      <c r="I803" s="26"/>
      <c r="J803" s="26"/>
      <c r="K803" s="27" t="str">
        <f>IF(A803&lt;&gt;"",IF(E803="InActive","-",SUMIFS('💰 Transaction ขาย'!E:E,'💰 Transaction ขาย'!B:B,A803,'💰 Transaction ขาย'!A:A,"&gt;"&amp;'⚙️ Config'!$H$1-'⚙️ Config'!$H$2)),)</f>
        <v/>
      </c>
      <c r="L803" s="28" t="str">
        <f>IF(E803="InActive","-",IF(A803&lt;&gt;"",K803/'⚙️ Config'!$H$2,))</f>
        <v/>
      </c>
      <c r="M803" s="28" t="str">
        <f t="shared" si="2"/>
        <v/>
      </c>
      <c r="N803" s="28" t="str">
        <f>IF(A803&lt;&gt;"", SUMIFS('💰 Transaction ขาย'!F:F,'💰 Transaction ขาย'!B:B,A803,'💰 Transaction ขาย'!A:A,"&gt;="&amp;DATE(YEAR('⚙️ Config'!$H$1),1,1),'💰 Transaction ขาย'!A:A,"&lt;="&amp;DATE(YEAR('⚙️ Config'!$H$1),12,31)),)</f>
        <v/>
      </c>
    </row>
    <row r="804">
      <c r="A804" s="22"/>
      <c r="B804" s="22" t="str">
        <f>IF(A804&lt;&gt;"",SUMIFS('💸 Transaction ซื้อ'!E:E,'💸 Transaction ซื้อ'!B:B,A804)-SUMIFS('💰 Transaction ขาย'!E:E,'💰 Transaction ขาย'!B:B,A804),"")</f>
        <v/>
      </c>
      <c r="C804" s="23" t="str">
        <f>IF(A804&lt;&gt;"",vlookup(A804,'📦 ชื่อสินค้า'!A:E,5,false),"")</f>
        <v/>
      </c>
      <c r="D804" s="23" t="str">
        <f>IF(A804&lt;&gt;"",VLOOKUP(A804,'📦 ชื่อสินค้า'!A:F,6,false),"")</f>
        <v/>
      </c>
      <c r="E804" s="16" t="str">
        <f>IFERROR(IF(VLOOKUP(A804,'📦 ชื่อสินค้า'!A:G,7,false)="InActive","InActive",IF(A804&lt;&gt;"",IF(B804&lt;=0,"สินค้าหมด",IF(B804&lt;=C804,"ควรเติมทันที","OK")),"")),)</f>
        <v/>
      </c>
      <c r="F804" s="24" t="str">
        <f>IFERROR(IF(A804&lt;&gt;"", SUMIF('💸 Transaction ซื้อ'!B:B,A804,'💸 Transaction ซื้อ'!G:G)/SUMIF('💸 Transaction ซื้อ'!B:B,A804,'💸 Transaction ซื้อ'!E:E),""),"-")</f>
        <v/>
      </c>
      <c r="G804" s="24" t="str">
        <f t="shared" si="1"/>
        <v/>
      </c>
      <c r="H804" s="25"/>
      <c r="I804" s="26"/>
      <c r="J804" s="26"/>
      <c r="K804" s="27" t="str">
        <f>IF(A804&lt;&gt;"",IF(E804="InActive","-",SUMIFS('💰 Transaction ขาย'!E:E,'💰 Transaction ขาย'!B:B,A804,'💰 Transaction ขาย'!A:A,"&gt;"&amp;'⚙️ Config'!$H$1-'⚙️ Config'!$H$2)),)</f>
        <v/>
      </c>
      <c r="L804" s="28" t="str">
        <f>IF(E804="InActive","-",IF(A804&lt;&gt;"",K804/'⚙️ Config'!$H$2,))</f>
        <v/>
      </c>
      <c r="M804" s="28" t="str">
        <f t="shared" si="2"/>
        <v/>
      </c>
      <c r="N804" s="28" t="str">
        <f>IF(A804&lt;&gt;"", SUMIFS('💰 Transaction ขาย'!F:F,'💰 Transaction ขาย'!B:B,A804,'💰 Transaction ขาย'!A:A,"&gt;="&amp;DATE(YEAR('⚙️ Config'!$H$1),1,1),'💰 Transaction ขาย'!A:A,"&lt;="&amp;DATE(YEAR('⚙️ Config'!$H$1),12,31)),)</f>
        <v/>
      </c>
    </row>
    <row r="805">
      <c r="A805" s="22"/>
      <c r="B805" s="22" t="str">
        <f>IF(A805&lt;&gt;"",SUMIFS('💸 Transaction ซื้อ'!E:E,'💸 Transaction ซื้อ'!B:B,A805)-SUMIFS('💰 Transaction ขาย'!E:E,'💰 Transaction ขาย'!B:B,A805),"")</f>
        <v/>
      </c>
      <c r="C805" s="23" t="str">
        <f>IF(A805&lt;&gt;"",vlookup(A805,'📦 ชื่อสินค้า'!A:E,5,false),"")</f>
        <v/>
      </c>
      <c r="D805" s="23" t="str">
        <f>IF(A805&lt;&gt;"",VLOOKUP(A805,'📦 ชื่อสินค้า'!A:F,6,false),"")</f>
        <v/>
      </c>
      <c r="E805" s="16" t="str">
        <f>IFERROR(IF(VLOOKUP(A805,'📦 ชื่อสินค้า'!A:G,7,false)="InActive","InActive",IF(A805&lt;&gt;"",IF(B805&lt;=0,"สินค้าหมด",IF(B805&lt;=C805,"ควรเติมทันที","OK")),"")),)</f>
        <v/>
      </c>
      <c r="F805" s="24" t="str">
        <f>IFERROR(IF(A805&lt;&gt;"", SUMIF('💸 Transaction ซื้อ'!B:B,A805,'💸 Transaction ซื้อ'!G:G)/SUMIF('💸 Transaction ซื้อ'!B:B,A805,'💸 Transaction ซื้อ'!E:E),""),"-")</f>
        <v/>
      </c>
      <c r="G805" s="24" t="str">
        <f t="shared" si="1"/>
        <v/>
      </c>
      <c r="H805" s="25"/>
      <c r="I805" s="26"/>
      <c r="J805" s="26"/>
      <c r="K805" s="27" t="str">
        <f>IF(A805&lt;&gt;"",IF(E805="InActive","-",SUMIFS('💰 Transaction ขาย'!E:E,'💰 Transaction ขาย'!B:B,A805,'💰 Transaction ขาย'!A:A,"&gt;"&amp;'⚙️ Config'!$H$1-'⚙️ Config'!$H$2)),)</f>
        <v/>
      </c>
      <c r="L805" s="28" t="str">
        <f>IF(E805="InActive","-",IF(A805&lt;&gt;"",K805/'⚙️ Config'!$H$2,))</f>
        <v/>
      </c>
      <c r="M805" s="28" t="str">
        <f t="shared" si="2"/>
        <v/>
      </c>
      <c r="N805" s="28" t="str">
        <f>IF(A805&lt;&gt;"", SUMIFS('💰 Transaction ขาย'!F:F,'💰 Transaction ขาย'!B:B,A805,'💰 Transaction ขาย'!A:A,"&gt;="&amp;DATE(YEAR('⚙️ Config'!$H$1),1,1),'💰 Transaction ขาย'!A:A,"&lt;="&amp;DATE(YEAR('⚙️ Config'!$H$1),12,31)),)</f>
        <v/>
      </c>
    </row>
    <row r="806">
      <c r="A806" s="22"/>
      <c r="B806" s="22" t="str">
        <f>IF(A806&lt;&gt;"",SUMIFS('💸 Transaction ซื้อ'!E:E,'💸 Transaction ซื้อ'!B:B,A806)-SUMIFS('💰 Transaction ขาย'!E:E,'💰 Transaction ขาย'!B:B,A806),"")</f>
        <v/>
      </c>
      <c r="C806" s="23" t="str">
        <f>IF(A806&lt;&gt;"",vlookup(A806,'📦 ชื่อสินค้า'!A:E,5,false),"")</f>
        <v/>
      </c>
      <c r="D806" s="23" t="str">
        <f>IF(A806&lt;&gt;"",VLOOKUP(A806,'📦 ชื่อสินค้า'!A:F,6,false),"")</f>
        <v/>
      </c>
      <c r="E806" s="16" t="str">
        <f>IFERROR(IF(VLOOKUP(A806,'📦 ชื่อสินค้า'!A:G,7,false)="InActive","InActive",IF(A806&lt;&gt;"",IF(B806&lt;=0,"สินค้าหมด",IF(B806&lt;=C806,"ควรเติมทันที","OK")),"")),)</f>
        <v/>
      </c>
      <c r="F806" s="24" t="str">
        <f>IFERROR(IF(A806&lt;&gt;"", SUMIF('💸 Transaction ซื้อ'!B:B,A806,'💸 Transaction ซื้อ'!G:G)/SUMIF('💸 Transaction ซื้อ'!B:B,A806,'💸 Transaction ซื้อ'!E:E),""),"-")</f>
        <v/>
      </c>
      <c r="G806" s="24" t="str">
        <f t="shared" si="1"/>
        <v/>
      </c>
      <c r="H806" s="25"/>
      <c r="I806" s="26"/>
      <c r="J806" s="26"/>
      <c r="K806" s="27" t="str">
        <f>IF(A806&lt;&gt;"",IF(E806="InActive","-",SUMIFS('💰 Transaction ขาย'!E:E,'💰 Transaction ขาย'!B:B,A806,'💰 Transaction ขาย'!A:A,"&gt;"&amp;'⚙️ Config'!$H$1-'⚙️ Config'!$H$2)),)</f>
        <v/>
      </c>
      <c r="L806" s="28" t="str">
        <f>IF(E806="InActive","-",IF(A806&lt;&gt;"",K806/'⚙️ Config'!$H$2,))</f>
        <v/>
      </c>
      <c r="M806" s="28" t="str">
        <f t="shared" si="2"/>
        <v/>
      </c>
      <c r="N806" s="28" t="str">
        <f>IF(A806&lt;&gt;"", SUMIFS('💰 Transaction ขาย'!F:F,'💰 Transaction ขาย'!B:B,A806,'💰 Transaction ขาย'!A:A,"&gt;="&amp;DATE(YEAR('⚙️ Config'!$H$1),1,1),'💰 Transaction ขาย'!A:A,"&lt;="&amp;DATE(YEAR('⚙️ Config'!$H$1),12,31)),)</f>
        <v/>
      </c>
    </row>
    <row r="807">
      <c r="A807" s="22"/>
      <c r="B807" s="22" t="str">
        <f>IF(A807&lt;&gt;"",SUMIFS('💸 Transaction ซื้อ'!E:E,'💸 Transaction ซื้อ'!B:B,A807)-SUMIFS('💰 Transaction ขาย'!E:E,'💰 Transaction ขาย'!B:B,A807),"")</f>
        <v/>
      </c>
      <c r="C807" s="23" t="str">
        <f>IF(A807&lt;&gt;"",vlookup(A807,'📦 ชื่อสินค้า'!A:E,5,false),"")</f>
        <v/>
      </c>
      <c r="D807" s="23" t="str">
        <f>IF(A807&lt;&gt;"",VLOOKUP(A807,'📦 ชื่อสินค้า'!A:F,6,false),"")</f>
        <v/>
      </c>
      <c r="E807" s="16" t="str">
        <f>IFERROR(IF(VLOOKUP(A807,'📦 ชื่อสินค้า'!A:G,7,false)="InActive","InActive",IF(A807&lt;&gt;"",IF(B807&lt;=0,"สินค้าหมด",IF(B807&lt;=C807,"ควรเติมทันที","OK")),"")),)</f>
        <v/>
      </c>
      <c r="F807" s="24" t="str">
        <f>IFERROR(IF(A807&lt;&gt;"", SUMIF('💸 Transaction ซื้อ'!B:B,A807,'💸 Transaction ซื้อ'!G:G)/SUMIF('💸 Transaction ซื้อ'!B:B,A807,'💸 Transaction ซื้อ'!E:E),""),"-")</f>
        <v/>
      </c>
      <c r="G807" s="24" t="str">
        <f t="shared" si="1"/>
        <v/>
      </c>
      <c r="H807" s="25"/>
      <c r="I807" s="26"/>
      <c r="J807" s="26"/>
      <c r="K807" s="27" t="str">
        <f>IF(A807&lt;&gt;"",IF(E807="InActive","-",SUMIFS('💰 Transaction ขาย'!E:E,'💰 Transaction ขาย'!B:B,A807,'💰 Transaction ขาย'!A:A,"&gt;"&amp;'⚙️ Config'!$H$1-'⚙️ Config'!$H$2)),)</f>
        <v/>
      </c>
      <c r="L807" s="28" t="str">
        <f>IF(E807="InActive","-",IF(A807&lt;&gt;"",K807/'⚙️ Config'!$H$2,))</f>
        <v/>
      </c>
      <c r="M807" s="28" t="str">
        <f t="shared" si="2"/>
        <v/>
      </c>
      <c r="N807" s="28" t="str">
        <f>IF(A807&lt;&gt;"", SUMIFS('💰 Transaction ขาย'!F:F,'💰 Transaction ขาย'!B:B,A807,'💰 Transaction ขาย'!A:A,"&gt;="&amp;DATE(YEAR('⚙️ Config'!$H$1),1,1),'💰 Transaction ขาย'!A:A,"&lt;="&amp;DATE(YEAR('⚙️ Config'!$H$1),12,31)),)</f>
        <v/>
      </c>
    </row>
    <row r="808">
      <c r="A808" s="22"/>
      <c r="B808" s="22" t="str">
        <f>IF(A808&lt;&gt;"",SUMIFS('💸 Transaction ซื้อ'!E:E,'💸 Transaction ซื้อ'!B:B,A808)-SUMIFS('💰 Transaction ขาย'!E:E,'💰 Transaction ขาย'!B:B,A808),"")</f>
        <v/>
      </c>
      <c r="C808" s="23" t="str">
        <f>IF(A808&lt;&gt;"",vlookup(A808,'📦 ชื่อสินค้า'!A:E,5,false),"")</f>
        <v/>
      </c>
      <c r="D808" s="23" t="str">
        <f>IF(A808&lt;&gt;"",VLOOKUP(A808,'📦 ชื่อสินค้า'!A:F,6,false),"")</f>
        <v/>
      </c>
      <c r="E808" s="16" t="str">
        <f>IFERROR(IF(VLOOKUP(A808,'📦 ชื่อสินค้า'!A:G,7,false)="InActive","InActive",IF(A808&lt;&gt;"",IF(B808&lt;=0,"สินค้าหมด",IF(B808&lt;=C808,"ควรเติมทันที","OK")),"")),)</f>
        <v/>
      </c>
      <c r="F808" s="24" t="str">
        <f>IFERROR(IF(A808&lt;&gt;"", SUMIF('💸 Transaction ซื้อ'!B:B,A808,'💸 Transaction ซื้อ'!G:G)/SUMIF('💸 Transaction ซื้อ'!B:B,A808,'💸 Transaction ซื้อ'!E:E),""),"-")</f>
        <v/>
      </c>
      <c r="G808" s="24" t="str">
        <f t="shared" si="1"/>
        <v/>
      </c>
      <c r="H808" s="25"/>
      <c r="I808" s="26"/>
      <c r="J808" s="26"/>
      <c r="K808" s="27" t="str">
        <f>IF(A808&lt;&gt;"",IF(E808="InActive","-",SUMIFS('💰 Transaction ขาย'!E:E,'💰 Transaction ขาย'!B:B,A808,'💰 Transaction ขาย'!A:A,"&gt;"&amp;'⚙️ Config'!$H$1-'⚙️ Config'!$H$2)),)</f>
        <v/>
      </c>
      <c r="L808" s="28" t="str">
        <f>IF(E808="InActive","-",IF(A808&lt;&gt;"",K808/'⚙️ Config'!$H$2,))</f>
        <v/>
      </c>
      <c r="M808" s="28" t="str">
        <f t="shared" si="2"/>
        <v/>
      </c>
      <c r="N808" s="28" t="str">
        <f>IF(A808&lt;&gt;"", SUMIFS('💰 Transaction ขาย'!F:F,'💰 Transaction ขาย'!B:B,A808,'💰 Transaction ขาย'!A:A,"&gt;="&amp;DATE(YEAR('⚙️ Config'!$H$1),1,1),'💰 Transaction ขาย'!A:A,"&lt;="&amp;DATE(YEAR('⚙️ Config'!$H$1),12,31)),)</f>
        <v/>
      </c>
    </row>
    <row r="809">
      <c r="A809" s="22"/>
      <c r="B809" s="22" t="str">
        <f>IF(A809&lt;&gt;"",SUMIFS('💸 Transaction ซื้อ'!E:E,'💸 Transaction ซื้อ'!B:B,A809)-SUMIFS('💰 Transaction ขาย'!E:E,'💰 Transaction ขาย'!B:B,A809),"")</f>
        <v/>
      </c>
      <c r="C809" s="23" t="str">
        <f>IF(A809&lt;&gt;"",vlookup(A809,'📦 ชื่อสินค้า'!A:E,5,false),"")</f>
        <v/>
      </c>
      <c r="D809" s="23" t="str">
        <f>IF(A809&lt;&gt;"",VLOOKUP(A809,'📦 ชื่อสินค้า'!A:F,6,false),"")</f>
        <v/>
      </c>
      <c r="E809" s="16" t="str">
        <f>IFERROR(IF(VLOOKUP(A809,'📦 ชื่อสินค้า'!A:G,7,false)="InActive","InActive",IF(A809&lt;&gt;"",IF(B809&lt;=0,"สินค้าหมด",IF(B809&lt;=C809,"ควรเติมทันที","OK")),"")),)</f>
        <v/>
      </c>
      <c r="F809" s="24" t="str">
        <f>IFERROR(IF(A809&lt;&gt;"", SUMIF('💸 Transaction ซื้อ'!B:B,A809,'💸 Transaction ซื้อ'!G:G)/SUMIF('💸 Transaction ซื้อ'!B:B,A809,'💸 Transaction ซื้อ'!E:E),""),"-")</f>
        <v/>
      </c>
      <c r="G809" s="24" t="str">
        <f t="shared" si="1"/>
        <v/>
      </c>
      <c r="H809" s="25"/>
      <c r="I809" s="26"/>
      <c r="J809" s="26"/>
      <c r="K809" s="27" t="str">
        <f>IF(A809&lt;&gt;"",IF(E809="InActive","-",SUMIFS('💰 Transaction ขาย'!E:E,'💰 Transaction ขาย'!B:B,A809,'💰 Transaction ขาย'!A:A,"&gt;"&amp;'⚙️ Config'!$H$1-'⚙️ Config'!$H$2)),)</f>
        <v/>
      </c>
      <c r="L809" s="28" t="str">
        <f>IF(E809="InActive","-",IF(A809&lt;&gt;"",K809/'⚙️ Config'!$H$2,))</f>
        <v/>
      </c>
      <c r="M809" s="28" t="str">
        <f t="shared" si="2"/>
        <v/>
      </c>
      <c r="N809" s="28" t="str">
        <f>IF(A809&lt;&gt;"", SUMIFS('💰 Transaction ขาย'!F:F,'💰 Transaction ขาย'!B:B,A809,'💰 Transaction ขาย'!A:A,"&gt;="&amp;DATE(YEAR('⚙️ Config'!$H$1),1,1),'💰 Transaction ขาย'!A:A,"&lt;="&amp;DATE(YEAR('⚙️ Config'!$H$1),12,31)),)</f>
        <v/>
      </c>
    </row>
    <row r="810">
      <c r="A810" s="22"/>
      <c r="B810" s="22" t="str">
        <f>IF(A810&lt;&gt;"",SUMIFS('💸 Transaction ซื้อ'!E:E,'💸 Transaction ซื้อ'!B:B,A810)-SUMIFS('💰 Transaction ขาย'!E:E,'💰 Transaction ขาย'!B:B,A810),"")</f>
        <v/>
      </c>
      <c r="C810" s="23" t="str">
        <f>IF(A810&lt;&gt;"",vlookup(A810,'📦 ชื่อสินค้า'!A:E,5,false),"")</f>
        <v/>
      </c>
      <c r="D810" s="23" t="str">
        <f>IF(A810&lt;&gt;"",VLOOKUP(A810,'📦 ชื่อสินค้า'!A:F,6,false),"")</f>
        <v/>
      </c>
      <c r="E810" s="16" t="str">
        <f>IFERROR(IF(VLOOKUP(A810,'📦 ชื่อสินค้า'!A:G,7,false)="InActive","InActive",IF(A810&lt;&gt;"",IF(B810&lt;=0,"สินค้าหมด",IF(B810&lt;=C810,"ควรเติมทันที","OK")),"")),)</f>
        <v/>
      </c>
      <c r="F810" s="24" t="str">
        <f>IFERROR(IF(A810&lt;&gt;"", SUMIF('💸 Transaction ซื้อ'!B:B,A810,'💸 Transaction ซื้อ'!G:G)/SUMIF('💸 Transaction ซื้อ'!B:B,A810,'💸 Transaction ซื้อ'!E:E),""),"-")</f>
        <v/>
      </c>
      <c r="G810" s="24" t="str">
        <f t="shared" si="1"/>
        <v/>
      </c>
      <c r="H810" s="25"/>
      <c r="I810" s="26"/>
      <c r="J810" s="26"/>
      <c r="K810" s="27" t="str">
        <f>IF(A810&lt;&gt;"",IF(E810="InActive","-",SUMIFS('💰 Transaction ขาย'!E:E,'💰 Transaction ขาย'!B:B,A810,'💰 Transaction ขาย'!A:A,"&gt;"&amp;'⚙️ Config'!$H$1-'⚙️ Config'!$H$2)),)</f>
        <v/>
      </c>
      <c r="L810" s="28" t="str">
        <f>IF(E810="InActive","-",IF(A810&lt;&gt;"",K810/'⚙️ Config'!$H$2,))</f>
        <v/>
      </c>
      <c r="M810" s="28" t="str">
        <f t="shared" si="2"/>
        <v/>
      </c>
      <c r="N810" s="28" t="str">
        <f>IF(A810&lt;&gt;"", SUMIFS('💰 Transaction ขาย'!F:F,'💰 Transaction ขาย'!B:B,A810,'💰 Transaction ขาย'!A:A,"&gt;="&amp;DATE(YEAR('⚙️ Config'!$H$1),1,1),'💰 Transaction ขาย'!A:A,"&lt;="&amp;DATE(YEAR('⚙️ Config'!$H$1),12,31)),)</f>
        <v/>
      </c>
    </row>
    <row r="811">
      <c r="A811" s="22"/>
      <c r="B811" s="22" t="str">
        <f>IF(A811&lt;&gt;"",SUMIFS('💸 Transaction ซื้อ'!E:E,'💸 Transaction ซื้อ'!B:B,A811)-SUMIFS('💰 Transaction ขาย'!E:E,'💰 Transaction ขาย'!B:B,A811),"")</f>
        <v/>
      </c>
      <c r="C811" s="23" t="str">
        <f>IF(A811&lt;&gt;"",vlookup(A811,'📦 ชื่อสินค้า'!A:E,5,false),"")</f>
        <v/>
      </c>
      <c r="D811" s="23" t="str">
        <f>IF(A811&lt;&gt;"",VLOOKUP(A811,'📦 ชื่อสินค้า'!A:F,6,false),"")</f>
        <v/>
      </c>
      <c r="E811" s="16" t="str">
        <f>IFERROR(IF(VLOOKUP(A811,'📦 ชื่อสินค้า'!A:G,7,false)="InActive","InActive",IF(A811&lt;&gt;"",IF(B811&lt;=0,"สินค้าหมด",IF(B811&lt;=C811,"ควรเติมทันที","OK")),"")),)</f>
        <v/>
      </c>
      <c r="F811" s="24" t="str">
        <f>IFERROR(IF(A811&lt;&gt;"", SUMIF('💸 Transaction ซื้อ'!B:B,A811,'💸 Transaction ซื้อ'!G:G)/SUMIF('💸 Transaction ซื้อ'!B:B,A811,'💸 Transaction ซื้อ'!E:E),""),"-")</f>
        <v/>
      </c>
      <c r="G811" s="24" t="str">
        <f t="shared" si="1"/>
        <v/>
      </c>
      <c r="H811" s="25"/>
      <c r="I811" s="26"/>
      <c r="J811" s="26"/>
      <c r="K811" s="27" t="str">
        <f>IF(A811&lt;&gt;"",IF(E811="InActive","-",SUMIFS('💰 Transaction ขาย'!E:E,'💰 Transaction ขาย'!B:B,A811,'💰 Transaction ขาย'!A:A,"&gt;"&amp;'⚙️ Config'!$H$1-'⚙️ Config'!$H$2)),)</f>
        <v/>
      </c>
      <c r="L811" s="28" t="str">
        <f>IF(E811="InActive","-",IF(A811&lt;&gt;"",K811/'⚙️ Config'!$H$2,))</f>
        <v/>
      </c>
      <c r="M811" s="28" t="str">
        <f t="shared" si="2"/>
        <v/>
      </c>
      <c r="N811" s="28" t="str">
        <f>IF(A811&lt;&gt;"", SUMIFS('💰 Transaction ขาย'!F:F,'💰 Transaction ขาย'!B:B,A811,'💰 Transaction ขาย'!A:A,"&gt;="&amp;DATE(YEAR('⚙️ Config'!$H$1),1,1),'💰 Transaction ขาย'!A:A,"&lt;="&amp;DATE(YEAR('⚙️ Config'!$H$1),12,31)),)</f>
        <v/>
      </c>
    </row>
    <row r="812">
      <c r="A812" s="22"/>
      <c r="B812" s="22" t="str">
        <f>IF(A812&lt;&gt;"",SUMIFS('💸 Transaction ซื้อ'!E:E,'💸 Transaction ซื้อ'!B:B,A812)-SUMIFS('💰 Transaction ขาย'!E:E,'💰 Transaction ขาย'!B:B,A812),"")</f>
        <v/>
      </c>
      <c r="C812" s="23" t="str">
        <f>IF(A812&lt;&gt;"",vlookup(A812,'📦 ชื่อสินค้า'!A:E,5,false),"")</f>
        <v/>
      </c>
      <c r="D812" s="23" t="str">
        <f>IF(A812&lt;&gt;"",VLOOKUP(A812,'📦 ชื่อสินค้า'!A:F,6,false),"")</f>
        <v/>
      </c>
      <c r="E812" s="16" t="str">
        <f>IFERROR(IF(VLOOKUP(A812,'📦 ชื่อสินค้า'!A:G,7,false)="InActive","InActive",IF(A812&lt;&gt;"",IF(B812&lt;=0,"สินค้าหมด",IF(B812&lt;=C812,"ควรเติมทันที","OK")),"")),)</f>
        <v/>
      </c>
      <c r="F812" s="24" t="str">
        <f>IFERROR(IF(A812&lt;&gt;"", SUMIF('💸 Transaction ซื้อ'!B:B,A812,'💸 Transaction ซื้อ'!G:G)/SUMIF('💸 Transaction ซื้อ'!B:B,A812,'💸 Transaction ซื้อ'!E:E),""),"-")</f>
        <v/>
      </c>
      <c r="G812" s="24" t="str">
        <f t="shared" si="1"/>
        <v/>
      </c>
      <c r="H812" s="25"/>
      <c r="I812" s="26"/>
      <c r="J812" s="26"/>
      <c r="K812" s="27" t="str">
        <f>IF(A812&lt;&gt;"",IF(E812="InActive","-",SUMIFS('💰 Transaction ขาย'!E:E,'💰 Transaction ขาย'!B:B,A812,'💰 Transaction ขาย'!A:A,"&gt;"&amp;'⚙️ Config'!$H$1-'⚙️ Config'!$H$2)),)</f>
        <v/>
      </c>
      <c r="L812" s="28" t="str">
        <f>IF(E812="InActive","-",IF(A812&lt;&gt;"",K812/'⚙️ Config'!$H$2,))</f>
        <v/>
      </c>
      <c r="M812" s="28" t="str">
        <f t="shared" si="2"/>
        <v/>
      </c>
      <c r="N812" s="28" t="str">
        <f>IF(A812&lt;&gt;"", SUMIFS('💰 Transaction ขาย'!F:F,'💰 Transaction ขาย'!B:B,A812,'💰 Transaction ขาย'!A:A,"&gt;="&amp;DATE(YEAR('⚙️ Config'!$H$1),1,1),'💰 Transaction ขาย'!A:A,"&lt;="&amp;DATE(YEAR('⚙️ Config'!$H$1),12,31)),)</f>
        <v/>
      </c>
    </row>
    <row r="813">
      <c r="A813" s="22"/>
      <c r="B813" s="22" t="str">
        <f>IF(A813&lt;&gt;"",SUMIFS('💸 Transaction ซื้อ'!E:E,'💸 Transaction ซื้อ'!B:B,A813)-SUMIFS('💰 Transaction ขาย'!E:E,'💰 Transaction ขาย'!B:B,A813),"")</f>
        <v/>
      </c>
      <c r="C813" s="23" t="str">
        <f>IF(A813&lt;&gt;"",vlookup(A813,'📦 ชื่อสินค้า'!A:E,5,false),"")</f>
        <v/>
      </c>
      <c r="D813" s="23" t="str">
        <f>IF(A813&lt;&gt;"",VLOOKUP(A813,'📦 ชื่อสินค้า'!A:F,6,false),"")</f>
        <v/>
      </c>
      <c r="E813" s="16" t="str">
        <f>IFERROR(IF(VLOOKUP(A813,'📦 ชื่อสินค้า'!A:G,7,false)="InActive","InActive",IF(A813&lt;&gt;"",IF(B813&lt;=0,"สินค้าหมด",IF(B813&lt;=C813,"ควรเติมทันที","OK")),"")),)</f>
        <v/>
      </c>
      <c r="F813" s="24" t="str">
        <f>IFERROR(IF(A813&lt;&gt;"", SUMIF('💸 Transaction ซื้อ'!B:B,A813,'💸 Transaction ซื้อ'!G:G)/SUMIF('💸 Transaction ซื้อ'!B:B,A813,'💸 Transaction ซื้อ'!E:E),""),"-")</f>
        <v/>
      </c>
      <c r="G813" s="24" t="str">
        <f t="shared" si="1"/>
        <v/>
      </c>
      <c r="H813" s="25"/>
      <c r="I813" s="26"/>
      <c r="J813" s="26"/>
      <c r="K813" s="27" t="str">
        <f>IF(A813&lt;&gt;"",IF(E813="InActive","-",SUMIFS('💰 Transaction ขาย'!E:E,'💰 Transaction ขาย'!B:B,A813,'💰 Transaction ขาย'!A:A,"&gt;"&amp;'⚙️ Config'!$H$1-'⚙️ Config'!$H$2)),)</f>
        <v/>
      </c>
      <c r="L813" s="28" t="str">
        <f>IF(E813="InActive","-",IF(A813&lt;&gt;"",K813/'⚙️ Config'!$H$2,))</f>
        <v/>
      </c>
      <c r="M813" s="28" t="str">
        <f t="shared" si="2"/>
        <v/>
      </c>
      <c r="N813" s="28" t="str">
        <f>IF(A813&lt;&gt;"", SUMIFS('💰 Transaction ขาย'!F:F,'💰 Transaction ขาย'!B:B,A813,'💰 Transaction ขาย'!A:A,"&gt;="&amp;DATE(YEAR('⚙️ Config'!$H$1),1,1),'💰 Transaction ขาย'!A:A,"&lt;="&amp;DATE(YEAR('⚙️ Config'!$H$1),12,31)),)</f>
        <v/>
      </c>
    </row>
    <row r="814">
      <c r="A814" s="22"/>
      <c r="B814" s="22" t="str">
        <f>IF(A814&lt;&gt;"",SUMIFS('💸 Transaction ซื้อ'!E:E,'💸 Transaction ซื้อ'!B:B,A814)-SUMIFS('💰 Transaction ขาย'!E:E,'💰 Transaction ขาย'!B:B,A814),"")</f>
        <v/>
      </c>
      <c r="C814" s="23" t="str">
        <f>IF(A814&lt;&gt;"",vlookup(A814,'📦 ชื่อสินค้า'!A:E,5,false),"")</f>
        <v/>
      </c>
      <c r="D814" s="23" t="str">
        <f>IF(A814&lt;&gt;"",VLOOKUP(A814,'📦 ชื่อสินค้า'!A:F,6,false),"")</f>
        <v/>
      </c>
      <c r="E814" s="16" t="str">
        <f>IFERROR(IF(VLOOKUP(A814,'📦 ชื่อสินค้า'!A:G,7,false)="InActive","InActive",IF(A814&lt;&gt;"",IF(B814&lt;=0,"สินค้าหมด",IF(B814&lt;=C814,"ควรเติมทันที","OK")),"")),)</f>
        <v/>
      </c>
      <c r="F814" s="24" t="str">
        <f>IFERROR(IF(A814&lt;&gt;"", SUMIF('💸 Transaction ซื้อ'!B:B,A814,'💸 Transaction ซื้อ'!G:G)/SUMIF('💸 Transaction ซื้อ'!B:B,A814,'💸 Transaction ซื้อ'!E:E),""),"-")</f>
        <v/>
      </c>
      <c r="G814" s="24" t="str">
        <f t="shared" si="1"/>
        <v/>
      </c>
      <c r="H814" s="25"/>
      <c r="I814" s="26"/>
      <c r="J814" s="26"/>
      <c r="K814" s="27" t="str">
        <f>IF(A814&lt;&gt;"",IF(E814="InActive","-",SUMIFS('💰 Transaction ขาย'!E:E,'💰 Transaction ขาย'!B:B,A814,'💰 Transaction ขาย'!A:A,"&gt;"&amp;'⚙️ Config'!$H$1-'⚙️ Config'!$H$2)),)</f>
        <v/>
      </c>
      <c r="L814" s="28" t="str">
        <f>IF(E814="InActive","-",IF(A814&lt;&gt;"",K814/'⚙️ Config'!$H$2,))</f>
        <v/>
      </c>
      <c r="M814" s="28" t="str">
        <f t="shared" si="2"/>
        <v/>
      </c>
      <c r="N814" s="28" t="str">
        <f>IF(A814&lt;&gt;"", SUMIFS('💰 Transaction ขาย'!F:F,'💰 Transaction ขาย'!B:B,A814,'💰 Transaction ขาย'!A:A,"&gt;="&amp;DATE(YEAR('⚙️ Config'!$H$1),1,1),'💰 Transaction ขาย'!A:A,"&lt;="&amp;DATE(YEAR('⚙️ Config'!$H$1),12,31)),)</f>
        <v/>
      </c>
    </row>
    <row r="815">
      <c r="A815" s="22"/>
      <c r="B815" s="22" t="str">
        <f>IF(A815&lt;&gt;"",SUMIFS('💸 Transaction ซื้อ'!E:E,'💸 Transaction ซื้อ'!B:B,A815)-SUMIFS('💰 Transaction ขาย'!E:E,'💰 Transaction ขาย'!B:B,A815),"")</f>
        <v/>
      </c>
      <c r="C815" s="23" t="str">
        <f>IF(A815&lt;&gt;"",vlookup(A815,'📦 ชื่อสินค้า'!A:E,5,false),"")</f>
        <v/>
      </c>
      <c r="D815" s="23" t="str">
        <f>IF(A815&lt;&gt;"",VLOOKUP(A815,'📦 ชื่อสินค้า'!A:F,6,false),"")</f>
        <v/>
      </c>
      <c r="E815" s="16" t="str">
        <f>IFERROR(IF(VLOOKUP(A815,'📦 ชื่อสินค้า'!A:G,7,false)="InActive","InActive",IF(A815&lt;&gt;"",IF(B815&lt;=0,"สินค้าหมด",IF(B815&lt;=C815,"ควรเติมทันที","OK")),"")),)</f>
        <v/>
      </c>
      <c r="F815" s="24" t="str">
        <f>IFERROR(IF(A815&lt;&gt;"", SUMIF('💸 Transaction ซื้อ'!B:B,A815,'💸 Transaction ซื้อ'!G:G)/SUMIF('💸 Transaction ซื้อ'!B:B,A815,'💸 Transaction ซื้อ'!E:E),""),"-")</f>
        <v/>
      </c>
      <c r="G815" s="24" t="str">
        <f t="shared" si="1"/>
        <v/>
      </c>
      <c r="H815" s="25"/>
      <c r="I815" s="26"/>
      <c r="J815" s="26"/>
      <c r="K815" s="27" t="str">
        <f>IF(A815&lt;&gt;"",IF(E815="InActive","-",SUMIFS('💰 Transaction ขาย'!E:E,'💰 Transaction ขาย'!B:B,A815,'💰 Transaction ขาย'!A:A,"&gt;"&amp;'⚙️ Config'!$H$1-'⚙️ Config'!$H$2)),)</f>
        <v/>
      </c>
      <c r="L815" s="28" t="str">
        <f>IF(E815="InActive","-",IF(A815&lt;&gt;"",K815/'⚙️ Config'!$H$2,))</f>
        <v/>
      </c>
      <c r="M815" s="28" t="str">
        <f t="shared" si="2"/>
        <v/>
      </c>
      <c r="N815" s="28" t="str">
        <f>IF(A815&lt;&gt;"", SUMIFS('💰 Transaction ขาย'!F:F,'💰 Transaction ขาย'!B:B,A815,'💰 Transaction ขาย'!A:A,"&gt;="&amp;DATE(YEAR('⚙️ Config'!$H$1),1,1),'💰 Transaction ขาย'!A:A,"&lt;="&amp;DATE(YEAR('⚙️ Config'!$H$1),12,31)),)</f>
        <v/>
      </c>
    </row>
    <row r="816">
      <c r="A816" s="22"/>
      <c r="B816" s="22" t="str">
        <f>IF(A816&lt;&gt;"",SUMIFS('💸 Transaction ซื้อ'!E:E,'💸 Transaction ซื้อ'!B:B,A816)-SUMIFS('💰 Transaction ขาย'!E:E,'💰 Transaction ขาย'!B:B,A816),"")</f>
        <v/>
      </c>
      <c r="C816" s="23" t="str">
        <f>IF(A816&lt;&gt;"",vlookup(A816,'📦 ชื่อสินค้า'!A:E,5,false),"")</f>
        <v/>
      </c>
      <c r="D816" s="23" t="str">
        <f>IF(A816&lt;&gt;"",VLOOKUP(A816,'📦 ชื่อสินค้า'!A:F,6,false),"")</f>
        <v/>
      </c>
      <c r="E816" s="16" t="str">
        <f>IFERROR(IF(VLOOKUP(A816,'📦 ชื่อสินค้า'!A:G,7,false)="InActive","InActive",IF(A816&lt;&gt;"",IF(B816&lt;=0,"สินค้าหมด",IF(B816&lt;=C816,"ควรเติมทันที","OK")),"")),)</f>
        <v/>
      </c>
      <c r="F816" s="24" t="str">
        <f>IFERROR(IF(A816&lt;&gt;"", SUMIF('💸 Transaction ซื้อ'!B:B,A816,'💸 Transaction ซื้อ'!G:G)/SUMIF('💸 Transaction ซื้อ'!B:B,A816,'💸 Transaction ซื้อ'!E:E),""),"-")</f>
        <v/>
      </c>
      <c r="G816" s="24" t="str">
        <f t="shared" si="1"/>
        <v/>
      </c>
      <c r="H816" s="25"/>
      <c r="I816" s="26"/>
      <c r="J816" s="26"/>
      <c r="K816" s="27" t="str">
        <f>IF(A816&lt;&gt;"",IF(E816="InActive","-",SUMIFS('💰 Transaction ขาย'!E:E,'💰 Transaction ขาย'!B:B,A816,'💰 Transaction ขาย'!A:A,"&gt;"&amp;'⚙️ Config'!$H$1-'⚙️ Config'!$H$2)),)</f>
        <v/>
      </c>
      <c r="L816" s="28" t="str">
        <f>IF(E816="InActive","-",IF(A816&lt;&gt;"",K816/'⚙️ Config'!$H$2,))</f>
        <v/>
      </c>
      <c r="M816" s="28" t="str">
        <f t="shared" si="2"/>
        <v/>
      </c>
      <c r="N816" s="28" t="str">
        <f>IF(A816&lt;&gt;"", SUMIFS('💰 Transaction ขาย'!F:F,'💰 Transaction ขาย'!B:B,A816,'💰 Transaction ขาย'!A:A,"&gt;="&amp;DATE(YEAR('⚙️ Config'!$H$1),1,1),'💰 Transaction ขาย'!A:A,"&lt;="&amp;DATE(YEAR('⚙️ Config'!$H$1),12,31)),)</f>
        <v/>
      </c>
    </row>
    <row r="817">
      <c r="A817" s="22"/>
      <c r="B817" s="22" t="str">
        <f>IF(A817&lt;&gt;"",SUMIFS('💸 Transaction ซื้อ'!E:E,'💸 Transaction ซื้อ'!B:B,A817)-SUMIFS('💰 Transaction ขาย'!E:E,'💰 Transaction ขาย'!B:B,A817),"")</f>
        <v/>
      </c>
      <c r="C817" s="23" t="str">
        <f>IF(A817&lt;&gt;"",vlookup(A817,'📦 ชื่อสินค้า'!A:E,5,false),"")</f>
        <v/>
      </c>
      <c r="D817" s="23" t="str">
        <f>IF(A817&lt;&gt;"",VLOOKUP(A817,'📦 ชื่อสินค้า'!A:F,6,false),"")</f>
        <v/>
      </c>
      <c r="E817" s="16" t="str">
        <f>IFERROR(IF(VLOOKUP(A817,'📦 ชื่อสินค้า'!A:G,7,false)="InActive","InActive",IF(A817&lt;&gt;"",IF(B817&lt;=0,"สินค้าหมด",IF(B817&lt;=C817,"ควรเติมทันที","OK")),"")),)</f>
        <v/>
      </c>
      <c r="F817" s="24" t="str">
        <f>IFERROR(IF(A817&lt;&gt;"", SUMIF('💸 Transaction ซื้อ'!B:B,A817,'💸 Transaction ซื้อ'!G:G)/SUMIF('💸 Transaction ซื้อ'!B:B,A817,'💸 Transaction ซื้อ'!E:E),""),"-")</f>
        <v/>
      </c>
      <c r="G817" s="24" t="str">
        <f t="shared" si="1"/>
        <v/>
      </c>
      <c r="H817" s="25"/>
      <c r="I817" s="26"/>
      <c r="J817" s="26"/>
      <c r="K817" s="27" t="str">
        <f>IF(A817&lt;&gt;"",IF(E817="InActive","-",SUMIFS('💰 Transaction ขาย'!E:E,'💰 Transaction ขาย'!B:B,A817,'💰 Transaction ขาย'!A:A,"&gt;"&amp;'⚙️ Config'!$H$1-'⚙️ Config'!$H$2)),)</f>
        <v/>
      </c>
      <c r="L817" s="28" t="str">
        <f>IF(E817="InActive","-",IF(A817&lt;&gt;"",K817/'⚙️ Config'!$H$2,))</f>
        <v/>
      </c>
      <c r="M817" s="28" t="str">
        <f t="shared" si="2"/>
        <v/>
      </c>
      <c r="N817" s="28" t="str">
        <f>IF(A817&lt;&gt;"", SUMIFS('💰 Transaction ขาย'!F:F,'💰 Transaction ขาย'!B:B,A817,'💰 Transaction ขาย'!A:A,"&gt;="&amp;DATE(YEAR('⚙️ Config'!$H$1),1,1),'💰 Transaction ขาย'!A:A,"&lt;="&amp;DATE(YEAR('⚙️ Config'!$H$1),12,31)),)</f>
        <v/>
      </c>
    </row>
    <row r="818">
      <c r="A818" s="22"/>
      <c r="B818" s="22" t="str">
        <f>IF(A818&lt;&gt;"",SUMIFS('💸 Transaction ซื้อ'!E:E,'💸 Transaction ซื้อ'!B:B,A818)-SUMIFS('💰 Transaction ขาย'!E:E,'💰 Transaction ขาย'!B:B,A818),"")</f>
        <v/>
      </c>
      <c r="C818" s="23" t="str">
        <f>IF(A818&lt;&gt;"",vlookup(A818,'📦 ชื่อสินค้า'!A:E,5,false),"")</f>
        <v/>
      </c>
      <c r="D818" s="23" t="str">
        <f>IF(A818&lt;&gt;"",VLOOKUP(A818,'📦 ชื่อสินค้า'!A:F,6,false),"")</f>
        <v/>
      </c>
      <c r="E818" s="16" t="str">
        <f>IFERROR(IF(VLOOKUP(A818,'📦 ชื่อสินค้า'!A:G,7,false)="InActive","InActive",IF(A818&lt;&gt;"",IF(B818&lt;=0,"สินค้าหมด",IF(B818&lt;=C818,"ควรเติมทันที","OK")),"")),)</f>
        <v/>
      </c>
      <c r="F818" s="24" t="str">
        <f>IFERROR(IF(A818&lt;&gt;"", SUMIF('💸 Transaction ซื้อ'!B:B,A818,'💸 Transaction ซื้อ'!G:G)/SUMIF('💸 Transaction ซื้อ'!B:B,A818,'💸 Transaction ซื้อ'!E:E),""),"-")</f>
        <v/>
      </c>
      <c r="G818" s="24" t="str">
        <f t="shared" si="1"/>
        <v/>
      </c>
      <c r="H818" s="25"/>
      <c r="I818" s="26"/>
      <c r="J818" s="26"/>
      <c r="K818" s="27" t="str">
        <f>IF(A818&lt;&gt;"",IF(E818="InActive","-",SUMIFS('💰 Transaction ขาย'!E:E,'💰 Transaction ขาย'!B:B,A818,'💰 Transaction ขาย'!A:A,"&gt;"&amp;'⚙️ Config'!$H$1-'⚙️ Config'!$H$2)),)</f>
        <v/>
      </c>
      <c r="L818" s="28" t="str">
        <f>IF(E818="InActive","-",IF(A818&lt;&gt;"",K818/'⚙️ Config'!$H$2,))</f>
        <v/>
      </c>
      <c r="M818" s="28" t="str">
        <f t="shared" si="2"/>
        <v/>
      </c>
      <c r="N818" s="28" t="str">
        <f>IF(A818&lt;&gt;"", SUMIFS('💰 Transaction ขาย'!F:F,'💰 Transaction ขาย'!B:B,A818,'💰 Transaction ขาย'!A:A,"&gt;="&amp;DATE(YEAR('⚙️ Config'!$H$1),1,1),'💰 Transaction ขาย'!A:A,"&lt;="&amp;DATE(YEAR('⚙️ Config'!$H$1),12,31)),)</f>
        <v/>
      </c>
    </row>
    <row r="819">
      <c r="A819" s="22"/>
      <c r="B819" s="22" t="str">
        <f>IF(A819&lt;&gt;"",SUMIFS('💸 Transaction ซื้อ'!E:E,'💸 Transaction ซื้อ'!B:B,A819)-SUMIFS('💰 Transaction ขาย'!E:E,'💰 Transaction ขาย'!B:B,A819),"")</f>
        <v/>
      </c>
      <c r="C819" s="23" t="str">
        <f>IF(A819&lt;&gt;"",vlookup(A819,'📦 ชื่อสินค้า'!A:E,5,false),"")</f>
        <v/>
      </c>
      <c r="D819" s="23" t="str">
        <f>IF(A819&lt;&gt;"",VLOOKUP(A819,'📦 ชื่อสินค้า'!A:F,6,false),"")</f>
        <v/>
      </c>
      <c r="E819" s="16" t="str">
        <f>IFERROR(IF(VLOOKUP(A819,'📦 ชื่อสินค้า'!A:G,7,false)="InActive","InActive",IF(A819&lt;&gt;"",IF(B819&lt;=0,"สินค้าหมด",IF(B819&lt;=C819,"ควรเติมทันที","OK")),"")),)</f>
        <v/>
      </c>
      <c r="F819" s="24" t="str">
        <f>IFERROR(IF(A819&lt;&gt;"", SUMIF('💸 Transaction ซื้อ'!B:B,A819,'💸 Transaction ซื้อ'!G:G)/SUMIF('💸 Transaction ซื้อ'!B:B,A819,'💸 Transaction ซื้อ'!E:E),""),"-")</f>
        <v/>
      </c>
      <c r="G819" s="24" t="str">
        <f t="shared" si="1"/>
        <v/>
      </c>
      <c r="H819" s="25"/>
      <c r="I819" s="26"/>
      <c r="J819" s="26"/>
      <c r="K819" s="27" t="str">
        <f>IF(A819&lt;&gt;"",IF(E819="InActive","-",SUMIFS('💰 Transaction ขาย'!E:E,'💰 Transaction ขาย'!B:B,A819,'💰 Transaction ขาย'!A:A,"&gt;"&amp;'⚙️ Config'!$H$1-'⚙️ Config'!$H$2)),)</f>
        <v/>
      </c>
      <c r="L819" s="28" t="str">
        <f>IF(E819="InActive","-",IF(A819&lt;&gt;"",K819/'⚙️ Config'!$H$2,))</f>
        <v/>
      </c>
      <c r="M819" s="28" t="str">
        <f t="shared" si="2"/>
        <v/>
      </c>
      <c r="N819" s="28" t="str">
        <f>IF(A819&lt;&gt;"", SUMIFS('💰 Transaction ขาย'!F:F,'💰 Transaction ขาย'!B:B,A819,'💰 Transaction ขาย'!A:A,"&gt;="&amp;DATE(YEAR('⚙️ Config'!$H$1),1,1),'💰 Transaction ขาย'!A:A,"&lt;="&amp;DATE(YEAR('⚙️ Config'!$H$1),12,31)),)</f>
        <v/>
      </c>
    </row>
    <row r="820">
      <c r="A820" s="22"/>
      <c r="B820" s="22" t="str">
        <f>IF(A820&lt;&gt;"",SUMIFS('💸 Transaction ซื้อ'!E:E,'💸 Transaction ซื้อ'!B:B,A820)-SUMIFS('💰 Transaction ขาย'!E:E,'💰 Transaction ขาย'!B:B,A820),"")</f>
        <v/>
      </c>
      <c r="C820" s="23" t="str">
        <f>IF(A820&lt;&gt;"",vlookup(A820,'📦 ชื่อสินค้า'!A:E,5,false),"")</f>
        <v/>
      </c>
      <c r="D820" s="23" t="str">
        <f>IF(A820&lt;&gt;"",VLOOKUP(A820,'📦 ชื่อสินค้า'!A:F,6,false),"")</f>
        <v/>
      </c>
      <c r="E820" s="16" t="str">
        <f>IFERROR(IF(VLOOKUP(A820,'📦 ชื่อสินค้า'!A:G,7,false)="InActive","InActive",IF(A820&lt;&gt;"",IF(B820&lt;=0,"สินค้าหมด",IF(B820&lt;=C820,"ควรเติมทันที","OK")),"")),)</f>
        <v/>
      </c>
      <c r="F820" s="24" t="str">
        <f>IFERROR(IF(A820&lt;&gt;"", SUMIF('💸 Transaction ซื้อ'!B:B,A820,'💸 Transaction ซื้อ'!G:G)/SUMIF('💸 Transaction ซื้อ'!B:B,A820,'💸 Transaction ซื้อ'!E:E),""),"-")</f>
        <v/>
      </c>
      <c r="G820" s="24" t="str">
        <f t="shared" si="1"/>
        <v/>
      </c>
      <c r="H820" s="25"/>
      <c r="I820" s="26"/>
      <c r="J820" s="26"/>
      <c r="K820" s="27" t="str">
        <f>IF(A820&lt;&gt;"",IF(E820="InActive","-",SUMIFS('💰 Transaction ขาย'!E:E,'💰 Transaction ขาย'!B:B,A820,'💰 Transaction ขาย'!A:A,"&gt;"&amp;'⚙️ Config'!$H$1-'⚙️ Config'!$H$2)),)</f>
        <v/>
      </c>
      <c r="L820" s="28" t="str">
        <f>IF(E820="InActive","-",IF(A820&lt;&gt;"",K820/'⚙️ Config'!$H$2,))</f>
        <v/>
      </c>
      <c r="M820" s="28" t="str">
        <f t="shared" si="2"/>
        <v/>
      </c>
      <c r="N820" s="28" t="str">
        <f>IF(A820&lt;&gt;"", SUMIFS('💰 Transaction ขาย'!F:F,'💰 Transaction ขาย'!B:B,A820,'💰 Transaction ขาย'!A:A,"&gt;="&amp;DATE(YEAR('⚙️ Config'!$H$1),1,1),'💰 Transaction ขาย'!A:A,"&lt;="&amp;DATE(YEAR('⚙️ Config'!$H$1),12,31)),)</f>
        <v/>
      </c>
    </row>
    <row r="821">
      <c r="A821" s="22"/>
      <c r="B821" s="22" t="str">
        <f>IF(A821&lt;&gt;"",SUMIFS('💸 Transaction ซื้อ'!E:E,'💸 Transaction ซื้อ'!B:B,A821)-SUMIFS('💰 Transaction ขาย'!E:E,'💰 Transaction ขาย'!B:B,A821),"")</f>
        <v/>
      </c>
      <c r="C821" s="23" t="str">
        <f>IF(A821&lt;&gt;"",vlookup(A821,'📦 ชื่อสินค้า'!A:E,5,false),"")</f>
        <v/>
      </c>
      <c r="D821" s="23" t="str">
        <f>IF(A821&lt;&gt;"",VLOOKUP(A821,'📦 ชื่อสินค้า'!A:F,6,false),"")</f>
        <v/>
      </c>
      <c r="E821" s="16" t="str">
        <f>IFERROR(IF(VLOOKUP(A821,'📦 ชื่อสินค้า'!A:G,7,false)="InActive","InActive",IF(A821&lt;&gt;"",IF(B821&lt;=0,"สินค้าหมด",IF(B821&lt;=C821,"ควรเติมทันที","OK")),"")),)</f>
        <v/>
      </c>
      <c r="F821" s="24" t="str">
        <f>IFERROR(IF(A821&lt;&gt;"", SUMIF('💸 Transaction ซื้อ'!B:B,A821,'💸 Transaction ซื้อ'!G:G)/SUMIF('💸 Transaction ซื้อ'!B:B,A821,'💸 Transaction ซื้อ'!E:E),""),"-")</f>
        <v/>
      </c>
      <c r="G821" s="24" t="str">
        <f t="shared" si="1"/>
        <v/>
      </c>
      <c r="H821" s="25"/>
      <c r="I821" s="26"/>
      <c r="J821" s="26"/>
      <c r="K821" s="27" t="str">
        <f>IF(A821&lt;&gt;"",IF(E821="InActive","-",SUMIFS('💰 Transaction ขาย'!E:E,'💰 Transaction ขาย'!B:B,A821,'💰 Transaction ขาย'!A:A,"&gt;"&amp;'⚙️ Config'!$H$1-'⚙️ Config'!$H$2)),)</f>
        <v/>
      </c>
      <c r="L821" s="28" t="str">
        <f>IF(E821="InActive","-",IF(A821&lt;&gt;"",K821/'⚙️ Config'!$H$2,))</f>
        <v/>
      </c>
      <c r="M821" s="28" t="str">
        <f t="shared" si="2"/>
        <v/>
      </c>
      <c r="N821" s="28" t="str">
        <f>IF(A821&lt;&gt;"", SUMIFS('💰 Transaction ขาย'!F:F,'💰 Transaction ขาย'!B:B,A821,'💰 Transaction ขาย'!A:A,"&gt;="&amp;DATE(YEAR('⚙️ Config'!$H$1),1,1),'💰 Transaction ขาย'!A:A,"&lt;="&amp;DATE(YEAR('⚙️ Config'!$H$1),12,31)),)</f>
        <v/>
      </c>
    </row>
    <row r="822">
      <c r="A822" s="22"/>
      <c r="B822" s="22" t="str">
        <f>IF(A822&lt;&gt;"",SUMIFS('💸 Transaction ซื้อ'!E:E,'💸 Transaction ซื้อ'!B:B,A822)-SUMIFS('💰 Transaction ขาย'!E:E,'💰 Transaction ขาย'!B:B,A822),"")</f>
        <v/>
      </c>
      <c r="C822" s="23" t="str">
        <f>IF(A822&lt;&gt;"",vlookup(A822,'📦 ชื่อสินค้า'!A:E,5,false),"")</f>
        <v/>
      </c>
      <c r="D822" s="23" t="str">
        <f>IF(A822&lt;&gt;"",VLOOKUP(A822,'📦 ชื่อสินค้า'!A:F,6,false),"")</f>
        <v/>
      </c>
      <c r="E822" s="16" t="str">
        <f>IFERROR(IF(VLOOKUP(A822,'📦 ชื่อสินค้า'!A:G,7,false)="InActive","InActive",IF(A822&lt;&gt;"",IF(B822&lt;=0,"สินค้าหมด",IF(B822&lt;=C822,"ควรเติมทันที","OK")),"")),)</f>
        <v/>
      </c>
      <c r="F822" s="24" t="str">
        <f>IFERROR(IF(A822&lt;&gt;"", SUMIF('💸 Transaction ซื้อ'!B:B,A822,'💸 Transaction ซื้อ'!G:G)/SUMIF('💸 Transaction ซื้อ'!B:B,A822,'💸 Transaction ซื้อ'!E:E),""),"-")</f>
        <v/>
      </c>
      <c r="G822" s="24" t="str">
        <f t="shared" si="1"/>
        <v/>
      </c>
      <c r="H822" s="25"/>
      <c r="I822" s="26"/>
      <c r="J822" s="26"/>
      <c r="K822" s="27" t="str">
        <f>IF(A822&lt;&gt;"",IF(E822="InActive","-",SUMIFS('💰 Transaction ขาย'!E:E,'💰 Transaction ขาย'!B:B,A822,'💰 Transaction ขาย'!A:A,"&gt;"&amp;'⚙️ Config'!$H$1-'⚙️ Config'!$H$2)),)</f>
        <v/>
      </c>
      <c r="L822" s="28" t="str">
        <f>IF(E822="InActive","-",IF(A822&lt;&gt;"",K822/'⚙️ Config'!$H$2,))</f>
        <v/>
      </c>
      <c r="M822" s="28" t="str">
        <f t="shared" si="2"/>
        <v/>
      </c>
      <c r="N822" s="28" t="str">
        <f>IF(A822&lt;&gt;"", SUMIFS('💰 Transaction ขาย'!F:F,'💰 Transaction ขาย'!B:B,A822,'💰 Transaction ขาย'!A:A,"&gt;="&amp;DATE(YEAR('⚙️ Config'!$H$1),1,1),'💰 Transaction ขาย'!A:A,"&lt;="&amp;DATE(YEAR('⚙️ Config'!$H$1),12,31)),)</f>
        <v/>
      </c>
    </row>
    <row r="823">
      <c r="A823" s="22"/>
      <c r="B823" s="22" t="str">
        <f>IF(A823&lt;&gt;"",SUMIFS('💸 Transaction ซื้อ'!E:E,'💸 Transaction ซื้อ'!B:B,A823)-SUMIFS('💰 Transaction ขาย'!E:E,'💰 Transaction ขาย'!B:B,A823),"")</f>
        <v/>
      </c>
      <c r="C823" s="23" t="str">
        <f>IF(A823&lt;&gt;"",vlookup(A823,'📦 ชื่อสินค้า'!A:E,5,false),"")</f>
        <v/>
      </c>
      <c r="D823" s="23" t="str">
        <f>IF(A823&lt;&gt;"",VLOOKUP(A823,'📦 ชื่อสินค้า'!A:F,6,false),"")</f>
        <v/>
      </c>
      <c r="E823" s="16" t="str">
        <f>IFERROR(IF(VLOOKUP(A823,'📦 ชื่อสินค้า'!A:G,7,false)="InActive","InActive",IF(A823&lt;&gt;"",IF(B823&lt;=0,"สินค้าหมด",IF(B823&lt;=C823,"ควรเติมทันที","OK")),"")),)</f>
        <v/>
      </c>
      <c r="F823" s="24" t="str">
        <f>IFERROR(IF(A823&lt;&gt;"", SUMIF('💸 Transaction ซื้อ'!B:B,A823,'💸 Transaction ซื้อ'!G:G)/SUMIF('💸 Transaction ซื้อ'!B:B,A823,'💸 Transaction ซื้อ'!E:E),""),"-")</f>
        <v/>
      </c>
      <c r="G823" s="24" t="str">
        <f t="shared" si="1"/>
        <v/>
      </c>
      <c r="H823" s="25"/>
      <c r="I823" s="26"/>
      <c r="J823" s="26"/>
      <c r="K823" s="27" t="str">
        <f>IF(A823&lt;&gt;"",IF(E823="InActive","-",SUMIFS('💰 Transaction ขาย'!E:E,'💰 Transaction ขาย'!B:B,A823,'💰 Transaction ขาย'!A:A,"&gt;"&amp;'⚙️ Config'!$H$1-'⚙️ Config'!$H$2)),)</f>
        <v/>
      </c>
      <c r="L823" s="28" t="str">
        <f>IF(E823="InActive","-",IF(A823&lt;&gt;"",K823/'⚙️ Config'!$H$2,))</f>
        <v/>
      </c>
      <c r="M823" s="28" t="str">
        <f t="shared" si="2"/>
        <v/>
      </c>
      <c r="N823" s="28" t="str">
        <f>IF(A823&lt;&gt;"", SUMIFS('💰 Transaction ขาย'!F:F,'💰 Transaction ขาย'!B:B,A823,'💰 Transaction ขาย'!A:A,"&gt;="&amp;DATE(YEAR('⚙️ Config'!$H$1),1,1),'💰 Transaction ขาย'!A:A,"&lt;="&amp;DATE(YEAR('⚙️ Config'!$H$1),12,31)),)</f>
        <v/>
      </c>
    </row>
    <row r="824">
      <c r="A824" s="22"/>
      <c r="B824" s="22" t="str">
        <f>IF(A824&lt;&gt;"",SUMIFS('💸 Transaction ซื้อ'!E:E,'💸 Transaction ซื้อ'!B:B,A824)-SUMIFS('💰 Transaction ขาย'!E:E,'💰 Transaction ขาย'!B:B,A824),"")</f>
        <v/>
      </c>
      <c r="C824" s="23" t="str">
        <f>IF(A824&lt;&gt;"",vlookup(A824,'📦 ชื่อสินค้า'!A:E,5,false),"")</f>
        <v/>
      </c>
      <c r="D824" s="23" t="str">
        <f>IF(A824&lt;&gt;"",VLOOKUP(A824,'📦 ชื่อสินค้า'!A:F,6,false),"")</f>
        <v/>
      </c>
      <c r="E824" s="16" t="str">
        <f>IFERROR(IF(VLOOKUP(A824,'📦 ชื่อสินค้า'!A:G,7,false)="InActive","InActive",IF(A824&lt;&gt;"",IF(B824&lt;=0,"สินค้าหมด",IF(B824&lt;=C824,"ควรเติมทันที","OK")),"")),)</f>
        <v/>
      </c>
      <c r="F824" s="24" t="str">
        <f>IFERROR(IF(A824&lt;&gt;"", SUMIF('💸 Transaction ซื้อ'!B:B,A824,'💸 Transaction ซื้อ'!G:G)/SUMIF('💸 Transaction ซื้อ'!B:B,A824,'💸 Transaction ซื้อ'!E:E),""),"-")</f>
        <v/>
      </c>
      <c r="G824" s="24" t="str">
        <f t="shared" si="1"/>
        <v/>
      </c>
      <c r="H824" s="25"/>
      <c r="I824" s="26"/>
      <c r="J824" s="26"/>
      <c r="K824" s="27" t="str">
        <f>IF(A824&lt;&gt;"",IF(E824="InActive","-",SUMIFS('💰 Transaction ขาย'!E:E,'💰 Transaction ขาย'!B:B,A824,'💰 Transaction ขาย'!A:A,"&gt;"&amp;'⚙️ Config'!$H$1-'⚙️ Config'!$H$2)),)</f>
        <v/>
      </c>
      <c r="L824" s="28" t="str">
        <f>IF(E824="InActive","-",IF(A824&lt;&gt;"",K824/'⚙️ Config'!$H$2,))</f>
        <v/>
      </c>
      <c r="M824" s="28" t="str">
        <f t="shared" si="2"/>
        <v/>
      </c>
      <c r="N824" s="28" t="str">
        <f>IF(A824&lt;&gt;"", SUMIFS('💰 Transaction ขาย'!F:F,'💰 Transaction ขาย'!B:B,A824,'💰 Transaction ขาย'!A:A,"&gt;="&amp;DATE(YEAR('⚙️ Config'!$H$1),1,1),'💰 Transaction ขาย'!A:A,"&lt;="&amp;DATE(YEAR('⚙️ Config'!$H$1),12,31)),)</f>
        <v/>
      </c>
    </row>
    <row r="825">
      <c r="A825" s="22"/>
      <c r="B825" s="22" t="str">
        <f>IF(A825&lt;&gt;"",SUMIFS('💸 Transaction ซื้อ'!E:E,'💸 Transaction ซื้อ'!B:B,A825)-SUMIFS('💰 Transaction ขาย'!E:E,'💰 Transaction ขาย'!B:B,A825),"")</f>
        <v/>
      </c>
      <c r="C825" s="23" t="str">
        <f>IF(A825&lt;&gt;"",vlookup(A825,'📦 ชื่อสินค้า'!A:E,5,false),"")</f>
        <v/>
      </c>
      <c r="D825" s="23" t="str">
        <f>IF(A825&lt;&gt;"",VLOOKUP(A825,'📦 ชื่อสินค้า'!A:F,6,false),"")</f>
        <v/>
      </c>
      <c r="E825" s="16" t="str">
        <f>IFERROR(IF(VLOOKUP(A825,'📦 ชื่อสินค้า'!A:G,7,false)="InActive","InActive",IF(A825&lt;&gt;"",IF(B825&lt;=0,"สินค้าหมด",IF(B825&lt;=C825,"ควรเติมทันที","OK")),"")),)</f>
        <v/>
      </c>
      <c r="F825" s="24" t="str">
        <f>IFERROR(IF(A825&lt;&gt;"", SUMIF('💸 Transaction ซื้อ'!B:B,A825,'💸 Transaction ซื้อ'!G:G)/SUMIF('💸 Transaction ซื้อ'!B:B,A825,'💸 Transaction ซื้อ'!E:E),""),"-")</f>
        <v/>
      </c>
      <c r="G825" s="24" t="str">
        <f t="shared" si="1"/>
        <v/>
      </c>
      <c r="H825" s="25"/>
      <c r="I825" s="26"/>
      <c r="J825" s="26"/>
      <c r="K825" s="27" t="str">
        <f>IF(A825&lt;&gt;"",IF(E825="InActive","-",SUMIFS('💰 Transaction ขาย'!E:E,'💰 Transaction ขาย'!B:B,A825,'💰 Transaction ขาย'!A:A,"&gt;"&amp;'⚙️ Config'!$H$1-'⚙️ Config'!$H$2)),)</f>
        <v/>
      </c>
      <c r="L825" s="28" t="str">
        <f>IF(E825="InActive","-",IF(A825&lt;&gt;"",K825/'⚙️ Config'!$H$2,))</f>
        <v/>
      </c>
      <c r="M825" s="28" t="str">
        <f t="shared" si="2"/>
        <v/>
      </c>
      <c r="N825" s="28" t="str">
        <f>IF(A825&lt;&gt;"", SUMIFS('💰 Transaction ขาย'!F:F,'💰 Transaction ขาย'!B:B,A825,'💰 Transaction ขาย'!A:A,"&gt;="&amp;DATE(YEAR('⚙️ Config'!$H$1),1,1),'💰 Transaction ขาย'!A:A,"&lt;="&amp;DATE(YEAR('⚙️ Config'!$H$1),12,31)),)</f>
        <v/>
      </c>
    </row>
    <row r="826">
      <c r="A826" s="22"/>
      <c r="B826" s="22" t="str">
        <f>IF(A826&lt;&gt;"",SUMIFS('💸 Transaction ซื้อ'!E:E,'💸 Transaction ซื้อ'!B:B,A826)-SUMIFS('💰 Transaction ขาย'!E:E,'💰 Transaction ขาย'!B:B,A826),"")</f>
        <v/>
      </c>
      <c r="C826" s="23" t="str">
        <f>IF(A826&lt;&gt;"",vlookup(A826,'📦 ชื่อสินค้า'!A:E,5,false),"")</f>
        <v/>
      </c>
      <c r="D826" s="23" t="str">
        <f>IF(A826&lt;&gt;"",VLOOKUP(A826,'📦 ชื่อสินค้า'!A:F,6,false),"")</f>
        <v/>
      </c>
      <c r="E826" s="16" t="str">
        <f>IFERROR(IF(VLOOKUP(A826,'📦 ชื่อสินค้า'!A:G,7,false)="InActive","InActive",IF(A826&lt;&gt;"",IF(B826&lt;=0,"สินค้าหมด",IF(B826&lt;=C826,"ควรเติมทันที","OK")),"")),)</f>
        <v/>
      </c>
      <c r="F826" s="24" t="str">
        <f>IFERROR(IF(A826&lt;&gt;"", SUMIF('💸 Transaction ซื้อ'!B:B,A826,'💸 Transaction ซื้อ'!G:G)/SUMIF('💸 Transaction ซื้อ'!B:B,A826,'💸 Transaction ซื้อ'!E:E),""),"-")</f>
        <v/>
      </c>
      <c r="G826" s="24" t="str">
        <f t="shared" si="1"/>
        <v/>
      </c>
      <c r="H826" s="25"/>
      <c r="I826" s="26"/>
      <c r="J826" s="26"/>
      <c r="K826" s="27" t="str">
        <f>IF(A826&lt;&gt;"",IF(E826="InActive","-",SUMIFS('💰 Transaction ขาย'!E:E,'💰 Transaction ขาย'!B:B,A826,'💰 Transaction ขาย'!A:A,"&gt;"&amp;'⚙️ Config'!$H$1-'⚙️ Config'!$H$2)),)</f>
        <v/>
      </c>
      <c r="L826" s="28" t="str">
        <f>IF(E826="InActive","-",IF(A826&lt;&gt;"",K826/'⚙️ Config'!$H$2,))</f>
        <v/>
      </c>
      <c r="M826" s="28" t="str">
        <f t="shared" si="2"/>
        <v/>
      </c>
      <c r="N826" s="28" t="str">
        <f>IF(A826&lt;&gt;"", SUMIFS('💰 Transaction ขาย'!F:F,'💰 Transaction ขาย'!B:B,A826,'💰 Transaction ขาย'!A:A,"&gt;="&amp;DATE(YEAR('⚙️ Config'!$H$1),1,1),'💰 Transaction ขาย'!A:A,"&lt;="&amp;DATE(YEAR('⚙️ Config'!$H$1),12,31)),)</f>
        <v/>
      </c>
    </row>
    <row r="827">
      <c r="A827" s="22"/>
      <c r="B827" s="22" t="str">
        <f>IF(A827&lt;&gt;"",SUMIFS('💸 Transaction ซื้อ'!E:E,'💸 Transaction ซื้อ'!B:B,A827)-SUMIFS('💰 Transaction ขาย'!E:E,'💰 Transaction ขาย'!B:B,A827),"")</f>
        <v/>
      </c>
      <c r="C827" s="23" t="str">
        <f>IF(A827&lt;&gt;"",vlookup(A827,'📦 ชื่อสินค้า'!A:E,5,false),"")</f>
        <v/>
      </c>
      <c r="D827" s="23" t="str">
        <f>IF(A827&lt;&gt;"",VLOOKUP(A827,'📦 ชื่อสินค้า'!A:F,6,false),"")</f>
        <v/>
      </c>
      <c r="E827" s="16" t="str">
        <f>IFERROR(IF(VLOOKUP(A827,'📦 ชื่อสินค้า'!A:G,7,false)="InActive","InActive",IF(A827&lt;&gt;"",IF(B827&lt;=0,"สินค้าหมด",IF(B827&lt;=C827,"ควรเติมทันที","OK")),"")),)</f>
        <v/>
      </c>
      <c r="F827" s="24" t="str">
        <f>IFERROR(IF(A827&lt;&gt;"", SUMIF('💸 Transaction ซื้อ'!B:B,A827,'💸 Transaction ซื้อ'!G:G)/SUMIF('💸 Transaction ซื้อ'!B:B,A827,'💸 Transaction ซื้อ'!E:E),""),"-")</f>
        <v/>
      </c>
      <c r="G827" s="24" t="str">
        <f t="shared" si="1"/>
        <v/>
      </c>
      <c r="H827" s="25"/>
      <c r="I827" s="26"/>
      <c r="J827" s="26"/>
      <c r="K827" s="27" t="str">
        <f>IF(A827&lt;&gt;"",IF(E827="InActive","-",SUMIFS('💰 Transaction ขาย'!E:E,'💰 Transaction ขาย'!B:B,A827,'💰 Transaction ขาย'!A:A,"&gt;"&amp;'⚙️ Config'!$H$1-'⚙️ Config'!$H$2)),)</f>
        <v/>
      </c>
      <c r="L827" s="28" t="str">
        <f>IF(E827="InActive","-",IF(A827&lt;&gt;"",K827/'⚙️ Config'!$H$2,))</f>
        <v/>
      </c>
      <c r="M827" s="28" t="str">
        <f t="shared" si="2"/>
        <v/>
      </c>
      <c r="N827" s="28" t="str">
        <f>IF(A827&lt;&gt;"", SUMIFS('💰 Transaction ขาย'!F:F,'💰 Transaction ขาย'!B:B,A827,'💰 Transaction ขาย'!A:A,"&gt;="&amp;DATE(YEAR('⚙️ Config'!$H$1),1,1),'💰 Transaction ขาย'!A:A,"&lt;="&amp;DATE(YEAR('⚙️ Config'!$H$1),12,31)),)</f>
        <v/>
      </c>
    </row>
    <row r="828">
      <c r="A828" s="22"/>
      <c r="B828" s="22" t="str">
        <f>IF(A828&lt;&gt;"",SUMIFS('💸 Transaction ซื้อ'!E:E,'💸 Transaction ซื้อ'!B:B,A828)-SUMIFS('💰 Transaction ขาย'!E:E,'💰 Transaction ขาย'!B:B,A828),"")</f>
        <v/>
      </c>
      <c r="C828" s="23" t="str">
        <f>IF(A828&lt;&gt;"",vlookup(A828,'📦 ชื่อสินค้า'!A:E,5,false),"")</f>
        <v/>
      </c>
      <c r="D828" s="23" t="str">
        <f>IF(A828&lt;&gt;"",VLOOKUP(A828,'📦 ชื่อสินค้า'!A:F,6,false),"")</f>
        <v/>
      </c>
      <c r="E828" s="16" t="str">
        <f>IFERROR(IF(VLOOKUP(A828,'📦 ชื่อสินค้า'!A:G,7,false)="InActive","InActive",IF(A828&lt;&gt;"",IF(B828&lt;=0,"สินค้าหมด",IF(B828&lt;=C828,"ควรเติมทันที","OK")),"")),)</f>
        <v/>
      </c>
      <c r="F828" s="24" t="str">
        <f>IFERROR(IF(A828&lt;&gt;"", SUMIF('💸 Transaction ซื้อ'!B:B,A828,'💸 Transaction ซื้อ'!G:G)/SUMIF('💸 Transaction ซื้อ'!B:B,A828,'💸 Transaction ซื้อ'!E:E),""),"-")</f>
        <v/>
      </c>
      <c r="G828" s="24" t="str">
        <f t="shared" si="1"/>
        <v/>
      </c>
      <c r="H828" s="25"/>
      <c r="I828" s="26"/>
      <c r="J828" s="26"/>
      <c r="K828" s="27" t="str">
        <f>IF(A828&lt;&gt;"",IF(E828="InActive","-",SUMIFS('💰 Transaction ขาย'!E:E,'💰 Transaction ขาย'!B:B,A828,'💰 Transaction ขาย'!A:A,"&gt;"&amp;'⚙️ Config'!$H$1-'⚙️ Config'!$H$2)),)</f>
        <v/>
      </c>
      <c r="L828" s="28" t="str">
        <f>IF(E828="InActive","-",IF(A828&lt;&gt;"",K828/'⚙️ Config'!$H$2,))</f>
        <v/>
      </c>
      <c r="M828" s="28" t="str">
        <f t="shared" si="2"/>
        <v/>
      </c>
      <c r="N828" s="28" t="str">
        <f>IF(A828&lt;&gt;"", SUMIFS('💰 Transaction ขาย'!F:F,'💰 Transaction ขาย'!B:B,A828,'💰 Transaction ขาย'!A:A,"&gt;="&amp;DATE(YEAR('⚙️ Config'!$H$1),1,1),'💰 Transaction ขาย'!A:A,"&lt;="&amp;DATE(YEAR('⚙️ Config'!$H$1),12,31)),)</f>
        <v/>
      </c>
    </row>
    <row r="829">
      <c r="A829" s="22"/>
      <c r="B829" s="22" t="str">
        <f>IF(A829&lt;&gt;"",SUMIFS('💸 Transaction ซื้อ'!E:E,'💸 Transaction ซื้อ'!B:B,A829)-SUMIFS('💰 Transaction ขาย'!E:E,'💰 Transaction ขาย'!B:B,A829),"")</f>
        <v/>
      </c>
      <c r="C829" s="23" t="str">
        <f>IF(A829&lt;&gt;"",vlookup(A829,'📦 ชื่อสินค้า'!A:E,5,false),"")</f>
        <v/>
      </c>
      <c r="D829" s="23" t="str">
        <f>IF(A829&lt;&gt;"",VLOOKUP(A829,'📦 ชื่อสินค้า'!A:F,6,false),"")</f>
        <v/>
      </c>
      <c r="E829" s="16" t="str">
        <f>IFERROR(IF(VLOOKUP(A829,'📦 ชื่อสินค้า'!A:G,7,false)="InActive","InActive",IF(A829&lt;&gt;"",IF(B829&lt;=0,"สินค้าหมด",IF(B829&lt;=C829,"ควรเติมทันที","OK")),"")),)</f>
        <v/>
      </c>
      <c r="F829" s="24" t="str">
        <f>IFERROR(IF(A829&lt;&gt;"", SUMIF('💸 Transaction ซื้อ'!B:B,A829,'💸 Transaction ซื้อ'!G:G)/SUMIF('💸 Transaction ซื้อ'!B:B,A829,'💸 Transaction ซื้อ'!E:E),""),"-")</f>
        <v/>
      </c>
      <c r="G829" s="24" t="str">
        <f t="shared" si="1"/>
        <v/>
      </c>
      <c r="H829" s="25"/>
      <c r="I829" s="26"/>
      <c r="J829" s="26"/>
      <c r="K829" s="27" t="str">
        <f>IF(A829&lt;&gt;"",IF(E829="InActive","-",SUMIFS('💰 Transaction ขาย'!E:E,'💰 Transaction ขาย'!B:B,A829,'💰 Transaction ขาย'!A:A,"&gt;"&amp;'⚙️ Config'!$H$1-'⚙️ Config'!$H$2)),)</f>
        <v/>
      </c>
      <c r="L829" s="28" t="str">
        <f>IF(E829="InActive","-",IF(A829&lt;&gt;"",K829/'⚙️ Config'!$H$2,))</f>
        <v/>
      </c>
      <c r="M829" s="28" t="str">
        <f t="shared" si="2"/>
        <v/>
      </c>
      <c r="N829" s="28" t="str">
        <f>IF(A829&lt;&gt;"", SUMIFS('💰 Transaction ขาย'!F:F,'💰 Transaction ขาย'!B:B,A829,'💰 Transaction ขาย'!A:A,"&gt;="&amp;DATE(YEAR('⚙️ Config'!$H$1),1,1),'💰 Transaction ขาย'!A:A,"&lt;="&amp;DATE(YEAR('⚙️ Config'!$H$1),12,31)),)</f>
        <v/>
      </c>
    </row>
    <row r="830">
      <c r="A830" s="22"/>
      <c r="B830" s="22" t="str">
        <f>IF(A830&lt;&gt;"",SUMIFS('💸 Transaction ซื้อ'!E:E,'💸 Transaction ซื้อ'!B:B,A830)-SUMIFS('💰 Transaction ขาย'!E:E,'💰 Transaction ขาย'!B:B,A830),"")</f>
        <v/>
      </c>
      <c r="C830" s="23" t="str">
        <f>IF(A830&lt;&gt;"",vlookup(A830,'📦 ชื่อสินค้า'!A:E,5,false),"")</f>
        <v/>
      </c>
      <c r="D830" s="23" t="str">
        <f>IF(A830&lt;&gt;"",VLOOKUP(A830,'📦 ชื่อสินค้า'!A:F,6,false),"")</f>
        <v/>
      </c>
      <c r="E830" s="16" t="str">
        <f>IFERROR(IF(VLOOKUP(A830,'📦 ชื่อสินค้า'!A:G,7,false)="InActive","InActive",IF(A830&lt;&gt;"",IF(B830&lt;=0,"สินค้าหมด",IF(B830&lt;=C830,"ควรเติมทันที","OK")),"")),)</f>
        <v/>
      </c>
      <c r="F830" s="24" t="str">
        <f>IFERROR(IF(A830&lt;&gt;"", SUMIF('💸 Transaction ซื้อ'!B:B,A830,'💸 Transaction ซื้อ'!G:G)/SUMIF('💸 Transaction ซื้อ'!B:B,A830,'💸 Transaction ซื้อ'!E:E),""),"-")</f>
        <v/>
      </c>
      <c r="G830" s="24" t="str">
        <f t="shared" si="1"/>
        <v/>
      </c>
      <c r="H830" s="25"/>
      <c r="I830" s="26"/>
      <c r="J830" s="26"/>
      <c r="K830" s="27" t="str">
        <f>IF(A830&lt;&gt;"",IF(E830="InActive","-",SUMIFS('💰 Transaction ขาย'!E:E,'💰 Transaction ขาย'!B:B,A830,'💰 Transaction ขาย'!A:A,"&gt;"&amp;'⚙️ Config'!$H$1-'⚙️ Config'!$H$2)),)</f>
        <v/>
      </c>
      <c r="L830" s="28" t="str">
        <f>IF(E830="InActive","-",IF(A830&lt;&gt;"",K830/'⚙️ Config'!$H$2,))</f>
        <v/>
      </c>
      <c r="M830" s="28" t="str">
        <f t="shared" si="2"/>
        <v/>
      </c>
      <c r="N830" s="28" t="str">
        <f>IF(A830&lt;&gt;"", SUMIFS('💰 Transaction ขาย'!F:F,'💰 Transaction ขาย'!B:B,A830,'💰 Transaction ขาย'!A:A,"&gt;="&amp;DATE(YEAR('⚙️ Config'!$H$1),1,1),'💰 Transaction ขาย'!A:A,"&lt;="&amp;DATE(YEAR('⚙️ Config'!$H$1),12,31)),)</f>
        <v/>
      </c>
    </row>
    <row r="831">
      <c r="A831" s="22"/>
      <c r="B831" s="22" t="str">
        <f>IF(A831&lt;&gt;"",SUMIFS('💸 Transaction ซื้อ'!E:E,'💸 Transaction ซื้อ'!B:B,A831)-SUMIFS('💰 Transaction ขาย'!E:E,'💰 Transaction ขาย'!B:B,A831),"")</f>
        <v/>
      </c>
      <c r="C831" s="23" t="str">
        <f>IF(A831&lt;&gt;"",vlookup(A831,'📦 ชื่อสินค้า'!A:E,5,false),"")</f>
        <v/>
      </c>
      <c r="D831" s="23" t="str">
        <f>IF(A831&lt;&gt;"",VLOOKUP(A831,'📦 ชื่อสินค้า'!A:F,6,false),"")</f>
        <v/>
      </c>
      <c r="E831" s="16" t="str">
        <f>IFERROR(IF(VLOOKUP(A831,'📦 ชื่อสินค้า'!A:G,7,false)="InActive","InActive",IF(A831&lt;&gt;"",IF(B831&lt;=0,"สินค้าหมด",IF(B831&lt;=C831,"ควรเติมทันที","OK")),"")),)</f>
        <v/>
      </c>
      <c r="F831" s="24" t="str">
        <f>IFERROR(IF(A831&lt;&gt;"", SUMIF('💸 Transaction ซื้อ'!B:B,A831,'💸 Transaction ซื้อ'!G:G)/SUMIF('💸 Transaction ซื้อ'!B:B,A831,'💸 Transaction ซื้อ'!E:E),""),"-")</f>
        <v/>
      </c>
      <c r="G831" s="24" t="str">
        <f t="shared" si="1"/>
        <v/>
      </c>
      <c r="H831" s="25"/>
      <c r="I831" s="26"/>
      <c r="J831" s="26"/>
      <c r="K831" s="27" t="str">
        <f>IF(A831&lt;&gt;"",IF(E831="InActive","-",SUMIFS('💰 Transaction ขาย'!E:E,'💰 Transaction ขาย'!B:B,A831,'💰 Transaction ขาย'!A:A,"&gt;"&amp;'⚙️ Config'!$H$1-'⚙️ Config'!$H$2)),)</f>
        <v/>
      </c>
      <c r="L831" s="28" t="str">
        <f>IF(E831="InActive","-",IF(A831&lt;&gt;"",K831/'⚙️ Config'!$H$2,))</f>
        <v/>
      </c>
      <c r="M831" s="28" t="str">
        <f t="shared" si="2"/>
        <v/>
      </c>
      <c r="N831" s="28" t="str">
        <f>IF(A831&lt;&gt;"", SUMIFS('💰 Transaction ขาย'!F:F,'💰 Transaction ขาย'!B:B,A831,'💰 Transaction ขาย'!A:A,"&gt;="&amp;DATE(YEAR('⚙️ Config'!$H$1),1,1),'💰 Transaction ขาย'!A:A,"&lt;="&amp;DATE(YEAR('⚙️ Config'!$H$1),12,31)),)</f>
        <v/>
      </c>
    </row>
    <row r="832">
      <c r="A832" s="22"/>
      <c r="B832" s="22" t="str">
        <f>IF(A832&lt;&gt;"",SUMIFS('💸 Transaction ซื้อ'!E:E,'💸 Transaction ซื้อ'!B:B,A832)-SUMIFS('💰 Transaction ขาย'!E:E,'💰 Transaction ขาย'!B:B,A832),"")</f>
        <v/>
      </c>
      <c r="C832" s="23" t="str">
        <f>IF(A832&lt;&gt;"",vlookup(A832,'📦 ชื่อสินค้า'!A:E,5,false),"")</f>
        <v/>
      </c>
      <c r="D832" s="23" t="str">
        <f>IF(A832&lt;&gt;"",VLOOKUP(A832,'📦 ชื่อสินค้า'!A:F,6,false),"")</f>
        <v/>
      </c>
      <c r="E832" s="16" t="str">
        <f>IFERROR(IF(VLOOKUP(A832,'📦 ชื่อสินค้า'!A:G,7,false)="InActive","InActive",IF(A832&lt;&gt;"",IF(B832&lt;=0,"สินค้าหมด",IF(B832&lt;=C832,"ควรเติมทันที","OK")),"")),)</f>
        <v/>
      </c>
      <c r="F832" s="24" t="str">
        <f>IFERROR(IF(A832&lt;&gt;"", SUMIF('💸 Transaction ซื้อ'!B:B,A832,'💸 Transaction ซื้อ'!G:G)/SUMIF('💸 Transaction ซื้อ'!B:B,A832,'💸 Transaction ซื้อ'!E:E),""),"-")</f>
        <v/>
      </c>
      <c r="G832" s="24" t="str">
        <f t="shared" si="1"/>
        <v/>
      </c>
      <c r="H832" s="25"/>
      <c r="I832" s="26"/>
      <c r="J832" s="26"/>
      <c r="K832" s="27" t="str">
        <f>IF(A832&lt;&gt;"",IF(E832="InActive","-",SUMIFS('💰 Transaction ขาย'!E:E,'💰 Transaction ขาย'!B:B,A832,'💰 Transaction ขาย'!A:A,"&gt;"&amp;'⚙️ Config'!$H$1-'⚙️ Config'!$H$2)),)</f>
        <v/>
      </c>
      <c r="L832" s="28" t="str">
        <f>IF(E832="InActive","-",IF(A832&lt;&gt;"",K832/'⚙️ Config'!$H$2,))</f>
        <v/>
      </c>
      <c r="M832" s="28" t="str">
        <f t="shared" si="2"/>
        <v/>
      </c>
      <c r="N832" s="28" t="str">
        <f>IF(A832&lt;&gt;"", SUMIFS('💰 Transaction ขาย'!F:F,'💰 Transaction ขาย'!B:B,A832,'💰 Transaction ขาย'!A:A,"&gt;="&amp;DATE(YEAR('⚙️ Config'!$H$1),1,1),'💰 Transaction ขาย'!A:A,"&lt;="&amp;DATE(YEAR('⚙️ Config'!$H$1),12,31)),)</f>
        <v/>
      </c>
    </row>
    <row r="833">
      <c r="A833" s="22"/>
      <c r="B833" s="22" t="str">
        <f>IF(A833&lt;&gt;"",SUMIFS('💸 Transaction ซื้อ'!E:E,'💸 Transaction ซื้อ'!B:B,A833)-SUMIFS('💰 Transaction ขาย'!E:E,'💰 Transaction ขาย'!B:B,A833),"")</f>
        <v/>
      </c>
      <c r="C833" s="23" t="str">
        <f>IF(A833&lt;&gt;"",vlookup(A833,'📦 ชื่อสินค้า'!A:E,5,false),"")</f>
        <v/>
      </c>
      <c r="D833" s="23" t="str">
        <f>IF(A833&lt;&gt;"",VLOOKUP(A833,'📦 ชื่อสินค้า'!A:F,6,false),"")</f>
        <v/>
      </c>
      <c r="E833" s="16" t="str">
        <f>IFERROR(IF(VLOOKUP(A833,'📦 ชื่อสินค้า'!A:G,7,false)="InActive","InActive",IF(A833&lt;&gt;"",IF(B833&lt;=0,"สินค้าหมด",IF(B833&lt;=C833,"ควรเติมทันที","OK")),"")),)</f>
        <v/>
      </c>
      <c r="F833" s="24" t="str">
        <f>IFERROR(IF(A833&lt;&gt;"", SUMIF('💸 Transaction ซื้อ'!B:B,A833,'💸 Transaction ซื้อ'!G:G)/SUMIF('💸 Transaction ซื้อ'!B:B,A833,'💸 Transaction ซื้อ'!E:E),""),"-")</f>
        <v/>
      </c>
      <c r="G833" s="24" t="str">
        <f t="shared" si="1"/>
        <v/>
      </c>
      <c r="H833" s="25"/>
      <c r="I833" s="26"/>
      <c r="J833" s="26"/>
      <c r="K833" s="27" t="str">
        <f>IF(A833&lt;&gt;"",IF(E833="InActive","-",SUMIFS('💰 Transaction ขาย'!E:E,'💰 Transaction ขาย'!B:B,A833,'💰 Transaction ขาย'!A:A,"&gt;"&amp;'⚙️ Config'!$H$1-'⚙️ Config'!$H$2)),)</f>
        <v/>
      </c>
      <c r="L833" s="28" t="str">
        <f>IF(E833="InActive","-",IF(A833&lt;&gt;"",K833/'⚙️ Config'!$H$2,))</f>
        <v/>
      </c>
      <c r="M833" s="28" t="str">
        <f t="shared" si="2"/>
        <v/>
      </c>
      <c r="N833" s="28" t="str">
        <f>IF(A833&lt;&gt;"", SUMIFS('💰 Transaction ขาย'!F:F,'💰 Transaction ขาย'!B:B,A833,'💰 Transaction ขาย'!A:A,"&gt;="&amp;DATE(YEAR('⚙️ Config'!$H$1),1,1),'💰 Transaction ขาย'!A:A,"&lt;="&amp;DATE(YEAR('⚙️ Config'!$H$1),12,31)),)</f>
        <v/>
      </c>
    </row>
    <row r="834">
      <c r="A834" s="22"/>
      <c r="B834" s="22" t="str">
        <f>IF(A834&lt;&gt;"",SUMIFS('💸 Transaction ซื้อ'!E:E,'💸 Transaction ซื้อ'!B:B,A834)-SUMIFS('💰 Transaction ขาย'!E:E,'💰 Transaction ขาย'!B:B,A834),"")</f>
        <v/>
      </c>
      <c r="C834" s="23" t="str">
        <f>IF(A834&lt;&gt;"",vlookup(A834,'📦 ชื่อสินค้า'!A:E,5,false),"")</f>
        <v/>
      </c>
      <c r="D834" s="23" t="str">
        <f>IF(A834&lt;&gt;"",VLOOKUP(A834,'📦 ชื่อสินค้า'!A:F,6,false),"")</f>
        <v/>
      </c>
      <c r="E834" s="16" t="str">
        <f>IFERROR(IF(VLOOKUP(A834,'📦 ชื่อสินค้า'!A:G,7,false)="InActive","InActive",IF(A834&lt;&gt;"",IF(B834&lt;=0,"สินค้าหมด",IF(B834&lt;=C834,"ควรเติมทันที","OK")),"")),)</f>
        <v/>
      </c>
      <c r="F834" s="24" t="str">
        <f>IFERROR(IF(A834&lt;&gt;"", SUMIF('💸 Transaction ซื้อ'!B:B,A834,'💸 Transaction ซื้อ'!G:G)/SUMIF('💸 Transaction ซื้อ'!B:B,A834,'💸 Transaction ซื้อ'!E:E),""),"-")</f>
        <v/>
      </c>
      <c r="G834" s="24" t="str">
        <f t="shared" si="1"/>
        <v/>
      </c>
      <c r="H834" s="25"/>
      <c r="I834" s="26"/>
      <c r="J834" s="26"/>
      <c r="K834" s="27" t="str">
        <f>IF(A834&lt;&gt;"",IF(E834="InActive","-",SUMIFS('💰 Transaction ขาย'!E:E,'💰 Transaction ขาย'!B:B,A834,'💰 Transaction ขาย'!A:A,"&gt;"&amp;'⚙️ Config'!$H$1-'⚙️ Config'!$H$2)),)</f>
        <v/>
      </c>
      <c r="L834" s="28" t="str">
        <f>IF(E834="InActive","-",IF(A834&lt;&gt;"",K834/'⚙️ Config'!$H$2,))</f>
        <v/>
      </c>
      <c r="M834" s="28" t="str">
        <f t="shared" si="2"/>
        <v/>
      </c>
      <c r="N834" s="28" t="str">
        <f>IF(A834&lt;&gt;"", SUMIFS('💰 Transaction ขาย'!F:F,'💰 Transaction ขาย'!B:B,A834,'💰 Transaction ขาย'!A:A,"&gt;="&amp;DATE(YEAR('⚙️ Config'!$H$1),1,1),'💰 Transaction ขาย'!A:A,"&lt;="&amp;DATE(YEAR('⚙️ Config'!$H$1),12,31)),)</f>
        <v/>
      </c>
    </row>
    <row r="835">
      <c r="A835" s="22"/>
      <c r="B835" s="22" t="str">
        <f>IF(A835&lt;&gt;"",SUMIFS('💸 Transaction ซื้อ'!E:E,'💸 Transaction ซื้อ'!B:B,A835)-SUMIFS('💰 Transaction ขาย'!E:E,'💰 Transaction ขาย'!B:B,A835),"")</f>
        <v/>
      </c>
      <c r="C835" s="23" t="str">
        <f>IF(A835&lt;&gt;"",vlookup(A835,'📦 ชื่อสินค้า'!A:E,5,false),"")</f>
        <v/>
      </c>
      <c r="D835" s="23" t="str">
        <f>IF(A835&lt;&gt;"",VLOOKUP(A835,'📦 ชื่อสินค้า'!A:F,6,false),"")</f>
        <v/>
      </c>
      <c r="E835" s="16" t="str">
        <f>IFERROR(IF(VLOOKUP(A835,'📦 ชื่อสินค้า'!A:G,7,false)="InActive","InActive",IF(A835&lt;&gt;"",IF(B835&lt;=0,"สินค้าหมด",IF(B835&lt;=C835,"ควรเติมทันที","OK")),"")),)</f>
        <v/>
      </c>
      <c r="F835" s="24" t="str">
        <f>IFERROR(IF(A835&lt;&gt;"", SUMIF('💸 Transaction ซื้อ'!B:B,A835,'💸 Transaction ซื้อ'!G:G)/SUMIF('💸 Transaction ซื้อ'!B:B,A835,'💸 Transaction ซื้อ'!E:E),""),"-")</f>
        <v/>
      </c>
      <c r="G835" s="24" t="str">
        <f t="shared" si="1"/>
        <v/>
      </c>
      <c r="H835" s="25"/>
      <c r="I835" s="26"/>
      <c r="J835" s="26"/>
      <c r="K835" s="27" t="str">
        <f>IF(A835&lt;&gt;"",IF(E835="InActive","-",SUMIFS('💰 Transaction ขาย'!E:E,'💰 Transaction ขาย'!B:B,A835,'💰 Transaction ขาย'!A:A,"&gt;"&amp;'⚙️ Config'!$H$1-'⚙️ Config'!$H$2)),)</f>
        <v/>
      </c>
      <c r="L835" s="28" t="str">
        <f>IF(E835="InActive","-",IF(A835&lt;&gt;"",K835/'⚙️ Config'!$H$2,))</f>
        <v/>
      </c>
      <c r="M835" s="28" t="str">
        <f t="shared" si="2"/>
        <v/>
      </c>
      <c r="N835" s="28" t="str">
        <f>IF(A835&lt;&gt;"", SUMIFS('💰 Transaction ขาย'!F:F,'💰 Transaction ขาย'!B:B,A835,'💰 Transaction ขาย'!A:A,"&gt;="&amp;DATE(YEAR('⚙️ Config'!$H$1),1,1),'💰 Transaction ขาย'!A:A,"&lt;="&amp;DATE(YEAR('⚙️ Config'!$H$1),12,31)),)</f>
        <v/>
      </c>
    </row>
    <row r="836">
      <c r="A836" s="22"/>
      <c r="B836" s="22" t="str">
        <f>IF(A836&lt;&gt;"",SUMIFS('💸 Transaction ซื้อ'!E:E,'💸 Transaction ซื้อ'!B:B,A836)-SUMIFS('💰 Transaction ขาย'!E:E,'💰 Transaction ขาย'!B:B,A836),"")</f>
        <v/>
      </c>
      <c r="C836" s="23" t="str">
        <f>IF(A836&lt;&gt;"",vlookup(A836,'📦 ชื่อสินค้า'!A:E,5,false),"")</f>
        <v/>
      </c>
      <c r="D836" s="23" t="str">
        <f>IF(A836&lt;&gt;"",VLOOKUP(A836,'📦 ชื่อสินค้า'!A:F,6,false),"")</f>
        <v/>
      </c>
      <c r="E836" s="16" t="str">
        <f>IFERROR(IF(VLOOKUP(A836,'📦 ชื่อสินค้า'!A:G,7,false)="InActive","InActive",IF(A836&lt;&gt;"",IF(B836&lt;=0,"สินค้าหมด",IF(B836&lt;=C836,"ควรเติมทันที","OK")),"")),)</f>
        <v/>
      </c>
      <c r="F836" s="24" t="str">
        <f>IFERROR(IF(A836&lt;&gt;"", SUMIF('💸 Transaction ซื้อ'!B:B,A836,'💸 Transaction ซื้อ'!G:G)/SUMIF('💸 Transaction ซื้อ'!B:B,A836,'💸 Transaction ซื้อ'!E:E),""),"-")</f>
        <v/>
      </c>
      <c r="G836" s="24" t="str">
        <f t="shared" si="1"/>
        <v/>
      </c>
      <c r="H836" s="25"/>
      <c r="I836" s="26"/>
      <c r="J836" s="26"/>
      <c r="K836" s="27" t="str">
        <f>IF(A836&lt;&gt;"",IF(E836="InActive","-",SUMIFS('💰 Transaction ขาย'!E:E,'💰 Transaction ขาย'!B:B,A836,'💰 Transaction ขาย'!A:A,"&gt;"&amp;'⚙️ Config'!$H$1-'⚙️ Config'!$H$2)),)</f>
        <v/>
      </c>
      <c r="L836" s="28" t="str">
        <f>IF(E836="InActive","-",IF(A836&lt;&gt;"",K836/'⚙️ Config'!$H$2,))</f>
        <v/>
      </c>
      <c r="M836" s="28" t="str">
        <f t="shared" si="2"/>
        <v/>
      </c>
      <c r="N836" s="28" t="str">
        <f>IF(A836&lt;&gt;"", SUMIFS('💰 Transaction ขาย'!F:F,'💰 Transaction ขาย'!B:B,A836,'💰 Transaction ขาย'!A:A,"&gt;="&amp;DATE(YEAR('⚙️ Config'!$H$1),1,1),'💰 Transaction ขาย'!A:A,"&lt;="&amp;DATE(YEAR('⚙️ Config'!$H$1),12,31)),)</f>
        <v/>
      </c>
    </row>
    <row r="837">
      <c r="A837" s="22"/>
      <c r="B837" s="22" t="str">
        <f>IF(A837&lt;&gt;"",SUMIFS('💸 Transaction ซื้อ'!E:E,'💸 Transaction ซื้อ'!B:B,A837)-SUMIFS('💰 Transaction ขาย'!E:E,'💰 Transaction ขาย'!B:B,A837),"")</f>
        <v/>
      </c>
      <c r="C837" s="23" t="str">
        <f>IF(A837&lt;&gt;"",vlookup(A837,'📦 ชื่อสินค้า'!A:E,5,false),"")</f>
        <v/>
      </c>
      <c r="D837" s="23" t="str">
        <f>IF(A837&lt;&gt;"",VLOOKUP(A837,'📦 ชื่อสินค้า'!A:F,6,false),"")</f>
        <v/>
      </c>
      <c r="E837" s="16" t="str">
        <f>IFERROR(IF(VLOOKUP(A837,'📦 ชื่อสินค้า'!A:G,7,false)="InActive","InActive",IF(A837&lt;&gt;"",IF(B837&lt;=0,"สินค้าหมด",IF(B837&lt;=C837,"ควรเติมทันที","OK")),"")),)</f>
        <v/>
      </c>
      <c r="F837" s="24" t="str">
        <f>IFERROR(IF(A837&lt;&gt;"", SUMIF('💸 Transaction ซื้อ'!B:B,A837,'💸 Transaction ซื้อ'!G:G)/SUMIF('💸 Transaction ซื้อ'!B:B,A837,'💸 Transaction ซื้อ'!E:E),""),"-")</f>
        <v/>
      </c>
      <c r="G837" s="24" t="str">
        <f t="shared" si="1"/>
        <v/>
      </c>
      <c r="H837" s="25"/>
      <c r="I837" s="26"/>
      <c r="J837" s="26"/>
      <c r="K837" s="27" t="str">
        <f>IF(A837&lt;&gt;"",IF(E837="InActive","-",SUMIFS('💰 Transaction ขาย'!E:E,'💰 Transaction ขาย'!B:B,A837,'💰 Transaction ขาย'!A:A,"&gt;"&amp;'⚙️ Config'!$H$1-'⚙️ Config'!$H$2)),)</f>
        <v/>
      </c>
      <c r="L837" s="28" t="str">
        <f>IF(E837="InActive","-",IF(A837&lt;&gt;"",K837/'⚙️ Config'!$H$2,))</f>
        <v/>
      </c>
      <c r="M837" s="28" t="str">
        <f t="shared" si="2"/>
        <v/>
      </c>
      <c r="N837" s="28" t="str">
        <f>IF(A837&lt;&gt;"", SUMIFS('💰 Transaction ขาย'!F:F,'💰 Transaction ขาย'!B:B,A837,'💰 Transaction ขาย'!A:A,"&gt;="&amp;DATE(YEAR('⚙️ Config'!$H$1),1,1),'💰 Transaction ขาย'!A:A,"&lt;="&amp;DATE(YEAR('⚙️ Config'!$H$1),12,31)),)</f>
        <v/>
      </c>
    </row>
    <row r="838">
      <c r="A838" s="22"/>
      <c r="B838" s="22" t="str">
        <f>IF(A838&lt;&gt;"",SUMIFS('💸 Transaction ซื้อ'!E:E,'💸 Transaction ซื้อ'!B:B,A838)-SUMIFS('💰 Transaction ขาย'!E:E,'💰 Transaction ขาย'!B:B,A838),"")</f>
        <v/>
      </c>
      <c r="C838" s="23" t="str">
        <f>IF(A838&lt;&gt;"",vlookup(A838,'📦 ชื่อสินค้า'!A:E,5,false),"")</f>
        <v/>
      </c>
      <c r="D838" s="23" t="str">
        <f>IF(A838&lt;&gt;"",VLOOKUP(A838,'📦 ชื่อสินค้า'!A:F,6,false),"")</f>
        <v/>
      </c>
      <c r="E838" s="16" t="str">
        <f>IFERROR(IF(VLOOKUP(A838,'📦 ชื่อสินค้า'!A:G,7,false)="InActive","InActive",IF(A838&lt;&gt;"",IF(B838&lt;=0,"สินค้าหมด",IF(B838&lt;=C838,"ควรเติมทันที","OK")),"")),)</f>
        <v/>
      </c>
      <c r="F838" s="24" t="str">
        <f>IFERROR(IF(A838&lt;&gt;"", SUMIF('💸 Transaction ซื้อ'!B:B,A838,'💸 Transaction ซื้อ'!G:G)/SUMIF('💸 Transaction ซื้อ'!B:B,A838,'💸 Transaction ซื้อ'!E:E),""),"-")</f>
        <v/>
      </c>
      <c r="G838" s="24" t="str">
        <f t="shared" si="1"/>
        <v/>
      </c>
      <c r="H838" s="25"/>
      <c r="I838" s="26"/>
      <c r="J838" s="26"/>
      <c r="K838" s="27" t="str">
        <f>IF(A838&lt;&gt;"",IF(E838="InActive","-",SUMIFS('💰 Transaction ขาย'!E:E,'💰 Transaction ขาย'!B:B,A838,'💰 Transaction ขาย'!A:A,"&gt;"&amp;'⚙️ Config'!$H$1-'⚙️ Config'!$H$2)),)</f>
        <v/>
      </c>
      <c r="L838" s="28" t="str">
        <f>IF(E838="InActive","-",IF(A838&lt;&gt;"",K838/'⚙️ Config'!$H$2,))</f>
        <v/>
      </c>
      <c r="M838" s="28" t="str">
        <f t="shared" si="2"/>
        <v/>
      </c>
      <c r="N838" s="28" t="str">
        <f>IF(A838&lt;&gt;"", SUMIFS('💰 Transaction ขาย'!F:F,'💰 Transaction ขาย'!B:B,A838,'💰 Transaction ขาย'!A:A,"&gt;="&amp;DATE(YEAR('⚙️ Config'!$H$1),1,1),'💰 Transaction ขาย'!A:A,"&lt;="&amp;DATE(YEAR('⚙️ Config'!$H$1),12,31)),)</f>
        <v/>
      </c>
    </row>
    <row r="839">
      <c r="A839" s="22"/>
      <c r="B839" s="22" t="str">
        <f>IF(A839&lt;&gt;"",SUMIFS('💸 Transaction ซื้อ'!E:E,'💸 Transaction ซื้อ'!B:B,A839)-SUMIFS('💰 Transaction ขาย'!E:E,'💰 Transaction ขาย'!B:B,A839),"")</f>
        <v/>
      </c>
      <c r="C839" s="23" t="str">
        <f>IF(A839&lt;&gt;"",vlookup(A839,'📦 ชื่อสินค้า'!A:E,5,false),"")</f>
        <v/>
      </c>
      <c r="D839" s="23" t="str">
        <f>IF(A839&lt;&gt;"",VLOOKUP(A839,'📦 ชื่อสินค้า'!A:F,6,false),"")</f>
        <v/>
      </c>
      <c r="E839" s="16" t="str">
        <f>IFERROR(IF(VLOOKUP(A839,'📦 ชื่อสินค้า'!A:G,7,false)="InActive","InActive",IF(A839&lt;&gt;"",IF(B839&lt;=0,"สินค้าหมด",IF(B839&lt;=C839,"ควรเติมทันที","OK")),"")),)</f>
        <v/>
      </c>
      <c r="F839" s="24" t="str">
        <f>IFERROR(IF(A839&lt;&gt;"", SUMIF('💸 Transaction ซื้อ'!B:B,A839,'💸 Transaction ซื้อ'!G:G)/SUMIF('💸 Transaction ซื้อ'!B:B,A839,'💸 Transaction ซื้อ'!E:E),""),"-")</f>
        <v/>
      </c>
      <c r="G839" s="24" t="str">
        <f t="shared" si="1"/>
        <v/>
      </c>
      <c r="H839" s="25"/>
      <c r="I839" s="26"/>
      <c r="J839" s="26"/>
      <c r="K839" s="27" t="str">
        <f>IF(A839&lt;&gt;"",IF(E839="InActive","-",SUMIFS('💰 Transaction ขาย'!E:E,'💰 Transaction ขาย'!B:B,A839,'💰 Transaction ขาย'!A:A,"&gt;"&amp;'⚙️ Config'!$H$1-'⚙️ Config'!$H$2)),)</f>
        <v/>
      </c>
      <c r="L839" s="28" t="str">
        <f>IF(E839="InActive","-",IF(A839&lt;&gt;"",K839/'⚙️ Config'!$H$2,))</f>
        <v/>
      </c>
      <c r="M839" s="28" t="str">
        <f t="shared" si="2"/>
        <v/>
      </c>
      <c r="N839" s="28" t="str">
        <f>IF(A839&lt;&gt;"", SUMIFS('💰 Transaction ขาย'!F:F,'💰 Transaction ขาย'!B:B,A839,'💰 Transaction ขาย'!A:A,"&gt;="&amp;DATE(YEAR('⚙️ Config'!$H$1),1,1),'💰 Transaction ขาย'!A:A,"&lt;="&amp;DATE(YEAR('⚙️ Config'!$H$1),12,31)),)</f>
        <v/>
      </c>
    </row>
    <row r="840">
      <c r="A840" s="22"/>
      <c r="B840" s="22" t="str">
        <f>IF(A840&lt;&gt;"",SUMIFS('💸 Transaction ซื้อ'!E:E,'💸 Transaction ซื้อ'!B:B,A840)-SUMIFS('💰 Transaction ขาย'!E:E,'💰 Transaction ขาย'!B:B,A840),"")</f>
        <v/>
      </c>
      <c r="C840" s="23" t="str">
        <f>IF(A840&lt;&gt;"",vlookup(A840,'📦 ชื่อสินค้า'!A:E,5,false),"")</f>
        <v/>
      </c>
      <c r="D840" s="23" t="str">
        <f>IF(A840&lt;&gt;"",VLOOKUP(A840,'📦 ชื่อสินค้า'!A:F,6,false),"")</f>
        <v/>
      </c>
      <c r="E840" s="16" t="str">
        <f>IFERROR(IF(VLOOKUP(A840,'📦 ชื่อสินค้า'!A:G,7,false)="InActive","InActive",IF(A840&lt;&gt;"",IF(B840&lt;=0,"สินค้าหมด",IF(B840&lt;=C840,"ควรเติมทันที","OK")),"")),)</f>
        <v/>
      </c>
      <c r="F840" s="24" t="str">
        <f>IFERROR(IF(A840&lt;&gt;"", SUMIF('💸 Transaction ซื้อ'!B:B,A840,'💸 Transaction ซื้อ'!G:G)/SUMIF('💸 Transaction ซื้อ'!B:B,A840,'💸 Transaction ซื้อ'!E:E),""),"-")</f>
        <v/>
      </c>
      <c r="G840" s="24" t="str">
        <f t="shared" si="1"/>
        <v/>
      </c>
      <c r="H840" s="25"/>
      <c r="I840" s="26"/>
      <c r="J840" s="26"/>
      <c r="K840" s="27" t="str">
        <f>IF(A840&lt;&gt;"",IF(E840="InActive","-",SUMIFS('💰 Transaction ขาย'!E:E,'💰 Transaction ขาย'!B:B,A840,'💰 Transaction ขาย'!A:A,"&gt;"&amp;'⚙️ Config'!$H$1-'⚙️ Config'!$H$2)),)</f>
        <v/>
      </c>
      <c r="L840" s="28" t="str">
        <f>IF(E840="InActive","-",IF(A840&lt;&gt;"",K840/'⚙️ Config'!$H$2,))</f>
        <v/>
      </c>
      <c r="M840" s="28" t="str">
        <f t="shared" si="2"/>
        <v/>
      </c>
      <c r="N840" s="28" t="str">
        <f>IF(A840&lt;&gt;"", SUMIFS('💰 Transaction ขาย'!F:F,'💰 Transaction ขาย'!B:B,A840,'💰 Transaction ขาย'!A:A,"&gt;="&amp;DATE(YEAR('⚙️ Config'!$H$1),1,1),'💰 Transaction ขาย'!A:A,"&lt;="&amp;DATE(YEAR('⚙️ Config'!$H$1),12,31)),)</f>
        <v/>
      </c>
    </row>
    <row r="841">
      <c r="A841" s="22"/>
      <c r="B841" s="22" t="str">
        <f>IF(A841&lt;&gt;"",SUMIFS('💸 Transaction ซื้อ'!E:E,'💸 Transaction ซื้อ'!B:B,A841)-SUMIFS('💰 Transaction ขาย'!E:E,'💰 Transaction ขาย'!B:B,A841),"")</f>
        <v/>
      </c>
      <c r="C841" s="23" t="str">
        <f>IF(A841&lt;&gt;"",vlookup(A841,'📦 ชื่อสินค้า'!A:E,5,false),"")</f>
        <v/>
      </c>
      <c r="D841" s="23" t="str">
        <f>IF(A841&lt;&gt;"",VLOOKUP(A841,'📦 ชื่อสินค้า'!A:F,6,false),"")</f>
        <v/>
      </c>
      <c r="E841" s="16" t="str">
        <f>IFERROR(IF(VLOOKUP(A841,'📦 ชื่อสินค้า'!A:G,7,false)="InActive","InActive",IF(A841&lt;&gt;"",IF(B841&lt;=0,"สินค้าหมด",IF(B841&lt;=C841,"ควรเติมทันที","OK")),"")),)</f>
        <v/>
      </c>
      <c r="F841" s="24" t="str">
        <f>IFERROR(IF(A841&lt;&gt;"", SUMIF('💸 Transaction ซื้อ'!B:B,A841,'💸 Transaction ซื้อ'!G:G)/SUMIF('💸 Transaction ซื้อ'!B:B,A841,'💸 Transaction ซื้อ'!E:E),""),"-")</f>
        <v/>
      </c>
      <c r="G841" s="24" t="str">
        <f t="shared" si="1"/>
        <v/>
      </c>
      <c r="H841" s="25"/>
      <c r="I841" s="26"/>
      <c r="J841" s="26"/>
      <c r="K841" s="27" t="str">
        <f>IF(A841&lt;&gt;"",IF(E841="InActive","-",SUMIFS('💰 Transaction ขาย'!E:E,'💰 Transaction ขาย'!B:B,A841,'💰 Transaction ขาย'!A:A,"&gt;"&amp;'⚙️ Config'!$H$1-'⚙️ Config'!$H$2)),)</f>
        <v/>
      </c>
      <c r="L841" s="28" t="str">
        <f>IF(E841="InActive","-",IF(A841&lt;&gt;"",K841/'⚙️ Config'!$H$2,))</f>
        <v/>
      </c>
      <c r="M841" s="28" t="str">
        <f t="shared" si="2"/>
        <v/>
      </c>
      <c r="N841" s="28" t="str">
        <f>IF(A841&lt;&gt;"", SUMIFS('💰 Transaction ขาย'!F:F,'💰 Transaction ขาย'!B:B,A841,'💰 Transaction ขาย'!A:A,"&gt;="&amp;DATE(YEAR('⚙️ Config'!$H$1),1,1),'💰 Transaction ขาย'!A:A,"&lt;="&amp;DATE(YEAR('⚙️ Config'!$H$1),12,31)),)</f>
        <v/>
      </c>
    </row>
    <row r="842">
      <c r="A842" s="22"/>
      <c r="B842" s="22" t="str">
        <f>IF(A842&lt;&gt;"",SUMIFS('💸 Transaction ซื้อ'!E:E,'💸 Transaction ซื้อ'!B:B,A842)-SUMIFS('💰 Transaction ขาย'!E:E,'💰 Transaction ขาย'!B:B,A842),"")</f>
        <v/>
      </c>
      <c r="C842" s="23" t="str">
        <f>IF(A842&lt;&gt;"",vlookup(A842,'📦 ชื่อสินค้า'!A:E,5,false),"")</f>
        <v/>
      </c>
      <c r="D842" s="23" t="str">
        <f>IF(A842&lt;&gt;"",VLOOKUP(A842,'📦 ชื่อสินค้า'!A:F,6,false),"")</f>
        <v/>
      </c>
      <c r="E842" s="16" t="str">
        <f>IFERROR(IF(VLOOKUP(A842,'📦 ชื่อสินค้า'!A:G,7,false)="InActive","InActive",IF(A842&lt;&gt;"",IF(B842&lt;=0,"สินค้าหมด",IF(B842&lt;=C842,"ควรเติมทันที","OK")),"")),)</f>
        <v/>
      </c>
      <c r="F842" s="24" t="str">
        <f>IFERROR(IF(A842&lt;&gt;"", SUMIF('💸 Transaction ซื้อ'!B:B,A842,'💸 Transaction ซื้อ'!G:G)/SUMIF('💸 Transaction ซื้อ'!B:B,A842,'💸 Transaction ซื้อ'!E:E),""),"-")</f>
        <v/>
      </c>
      <c r="G842" s="24" t="str">
        <f t="shared" si="1"/>
        <v/>
      </c>
      <c r="H842" s="25"/>
      <c r="I842" s="26"/>
      <c r="J842" s="26"/>
      <c r="K842" s="27" t="str">
        <f>IF(A842&lt;&gt;"",IF(E842="InActive","-",SUMIFS('💰 Transaction ขาย'!E:E,'💰 Transaction ขาย'!B:B,A842,'💰 Transaction ขาย'!A:A,"&gt;"&amp;'⚙️ Config'!$H$1-'⚙️ Config'!$H$2)),)</f>
        <v/>
      </c>
      <c r="L842" s="28" t="str">
        <f>IF(E842="InActive","-",IF(A842&lt;&gt;"",K842/'⚙️ Config'!$H$2,))</f>
        <v/>
      </c>
      <c r="M842" s="28" t="str">
        <f t="shared" si="2"/>
        <v/>
      </c>
      <c r="N842" s="28" t="str">
        <f>IF(A842&lt;&gt;"", SUMIFS('💰 Transaction ขาย'!F:F,'💰 Transaction ขาย'!B:B,A842,'💰 Transaction ขาย'!A:A,"&gt;="&amp;DATE(YEAR('⚙️ Config'!$H$1),1,1),'💰 Transaction ขาย'!A:A,"&lt;="&amp;DATE(YEAR('⚙️ Config'!$H$1),12,31)),)</f>
        <v/>
      </c>
    </row>
    <row r="843">
      <c r="A843" s="22"/>
      <c r="B843" s="22" t="str">
        <f>IF(A843&lt;&gt;"",SUMIFS('💸 Transaction ซื้อ'!E:E,'💸 Transaction ซื้อ'!B:B,A843)-SUMIFS('💰 Transaction ขาย'!E:E,'💰 Transaction ขาย'!B:B,A843),"")</f>
        <v/>
      </c>
      <c r="C843" s="23" t="str">
        <f>IF(A843&lt;&gt;"",vlookup(A843,'📦 ชื่อสินค้า'!A:E,5,false),"")</f>
        <v/>
      </c>
      <c r="D843" s="23" t="str">
        <f>IF(A843&lt;&gt;"",VLOOKUP(A843,'📦 ชื่อสินค้า'!A:F,6,false),"")</f>
        <v/>
      </c>
      <c r="E843" s="16" t="str">
        <f>IFERROR(IF(VLOOKUP(A843,'📦 ชื่อสินค้า'!A:G,7,false)="InActive","InActive",IF(A843&lt;&gt;"",IF(B843&lt;=0,"สินค้าหมด",IF(B843&lt;=C843,"ควรเติมทันที","OK")),"")),)</f>
        <v/>
      </c>
      <c r="F843" s="24" t="str">
        <f>IFERROR(IF(A843&lt;&gt;"", SUMIF('💸 Transaction ซื้อ'!B:B,A843,'💸 Transaction ซื้อ'!G:G)/SUMIF('💸 Transaction ซื้อ'!B:B,A843,'💸 Transaction ซื้อ'!E:E),""),"-")</f>
        <v/>
      </c>
      <c r="G843" s="24" t="str">
        <f t="shared" si="1"/>
        <v/>
      </c>
      <c r="H843" s="25"/>
      <c r="I843" s="26"/>
      <c r="J843" s="26"/>
      <c r="K843" s="27" t="str">
        <f>IF(A843&lt;&gt;"",IF(E843="InActive","-",SUMIFS('💰 Transaction ขาย'!E:E,'💰 Transaction ขาย'!B:B,A843,'💰 Transaction ขาย'!A:A,"&gt;"&amp;'⚙️ Config'!$H$1-'⚙️ Config'!$H$2)),)</f>
        <v/>
      </c>
      <c r="L843" s="28" t="str">
        <f>IF(E843="InActive","-",IF(A843&lt;&gt;"",K843/'⚙️ Config'!$H$2,))</f>
        <v/>
      </c>
      <c r="M843" s="28" t="str">
        <f t="shared" si="2"/>
        <v/>
      </c>
      <c r="N843" s="28" t="str">
        <f>IF(A843&lt;&gt;"", SUMIFS('💰 Transaction ขาย'!F:F,'💰 Transaction ขาย'!B:B,A843,'💰 Transaction ขาย'!A:A,"&gt;="&amp;DATE(YEAR('⚙️ Config'!$H$1),1,1),'💰 Transaction ขาย'!A:A,"&lt;="&amp;DATE(YEAR('⚙️ Config'!$H$1),12,31)),)</f>
        <v/>
      </c>
    </row>
    <row r="844">
      <c r="A844" s="22"/>
      <c r="B844" s="22" t="str">
        <f>IF(A844&lt;&gt;"",SUMIFS('💸 Transaction ซื้อ'!E:E,'💸 Transaction ซื้อ'!B:B,A844)-SUMIFS('💰 Transaction ขาย'!E:E,'💰 Transaction ขาย'!B:B,A844),"")</f>
        <v/>
      </c>
      <c r="C844" s="23" t="str">
        <f>IF(A844&lt;&gt;"",vlookup(A844,'📦 ชื่อสินค้า'!A:E,5,false),"")</f>
        <v/>
      </c>
      <c r="D844" s="23" t="str">
        <f>IF(A844&lt;&gt;"",VLOOKUP(A844,'📦 ชื่อสินค้า'!A:F,6,false),"")</f>
        <v/>
      </c>
      <c r="E844" s="16" t="str">
        <f>IFERROR(IF(VLOOKUP(A844,'📦 ชื่อสินค้า'!A:G,7,false)="InActive","InActive",IF(A844&lt;&gt;"",IF(B844&lt;=0,"สินค้าหมด",IF(B844&lt;=C844,"ควรเติมทันที","OK")),"")),)</f>
        <v/>
      </c>
      <c r="F844" s="24" t="str">
        <f>IFERROR(IF(A844&lt;&gt;"", SUMIF('💸 Transaction ซื้อ'!B:B,A844,'💸 Transaction ซื้อ'!G:G)/SUMIF('💸 Transaction ซื้อ'!B:B,A844,'💸 Transaction ซื้อ'!E:E),""),"-")</f>
        <v/>
      </c>
      <c r="G844" s="24" t="str">
        <f t="shared" si="1"/>
        <v/>
      </c>
      <c r="H844" s="25"/>
      <c r="I844" s="26"/>
      <c r="J844" s="26"/>
      <c r="K844" s="27" t="str">
        <f>IF(A844&lt;&gt;"",IF(E844="InActive","-",SUMIFS('💰 Transaction ขาย'!E:E,'💰 Transaction ขาย'!B:B,A844,'💰 Transaction ขาย'!A:A,"&gt;"&amp;'⚙️ Config'!$H$1-'⚙️ Config'!$H$2)),)</f>
        <v/>
      </c>
      <c r="L844" s="28" t="str">
        <f>IF(E844="InActive","-",IF(A844&lt;&gt;"",K844/'⚙️ Config'!$H$2,))</f>
        <v/>
      </c>
      <c r="M844" s="28" t="str">
        <f t="shared" si="2"/>
        <v/>
      </c>
      <c r="N844" s="28" t="str">
        <f>IF(A844&lt;&gt;"", SUMIFS('💰 Transaction ขาย'!F:F,'💰 Transaction ขาย'!B:B,A844,'💰 Transaction ขาย'!A:A,"&gt;="&amp;DATE(YEAR('⚙️ Config'!$H$1),1,1),'💰 Transaction ขาย'!A:A,"&lt;="&amp;DATE(YEAR('⚙️ Config'!$H$1),12,31)),)</f>
        <v/>
      </c>
    </row>
    <row r="845">
      <c r="A845" s="22"/>
      <c r="B845" s="22" t="str">
        <f>IF(A845&lt;&gt;"",SUMIFS('💸 Transaction ซื้อ'!E:E,'💸 Transaction ซื้อ'!B:B,A845)-SUMIFS('💰 Transaction ขาย'!E:E,'💰 Transaction ขาย'!B:B,A845),"")</f>
        <v/>
      </c>
      <c r="C845" s="23" t="str">
        <f>IF(A845&lt;&gt;"",vlookup(A845,'📦 ชื่อสินค้า'!A:E,5,false),"")</f>
        <v/>
      </c>
      <c r="D845" s="23" t="str">
        <f>IF(A845&lt;&gt;"",VLOOKUP(A845,'📦 ชื่อสินค้า'!A:F,6,false),"")</f>
        <v/>
      </c>
      <c r="E845" s="16" t="str">
        <f>IFERROR(IF(VLOOKUP(A845,'📦 ชื่อสินค้า'!A:G,7,false)="InActive","InActive",IF(A845&lt;&gt;"",IF(B845&lt;=0,"สินค้าหมด",IF(B845&lt;=C845,"ควรเติมทันที","OK")),"")),)</f>
        <v/>
      </c>
      <c r="F845" s="24" t="str">
        <f>IFERROR(IF(A845&lt;&gt;"", SUMIF('💸 Transaction ซื้อ'!B:B,A845,'💸 Transaction ซื้อ'!G:G)/SUMIF('💸 Transaction ซื้อ'!B:B,A845,'💸 Transaction ซื้อ'!E:E),""),"-")</f>
        <v/>
      </c>
      <c r="G845" s="24" t="str">
        <f t="shared" si="1"/>
        <v/>
      </c>
      <c r="H845" s="25"/>
      <c r="I845" s="26"/>
      <c r="J845" s="26"/>
      <c r="K845" s="27" t="str">
        <f>IF(A845&lt;&gt;"",IF(E845="InActive","-",SUMIFS('💰 Transaction ขาย'!E:E,'💰 Transaction ขาย'!B:B,A845,'💰 Transaction ขาย'!A:A,"&gt;"&amp;'⚙️ Config'!$H$1-'⚙️ Config'!$H$2)),)</f>
        <v/>
      </c>
      <c r="L845" s="28" t="str">
        <f>IF(E845="InActive","-",IF(A845&lt;&gt;"",K845/'⚙️ Config'!$H$2,))</f>
        <v/>
      </c>
      <c r="M845" s="28" t="str">
        <f t="shared" si="2"/>
        <v/>
      </c>
      <c r="N845" s="28" t="str">
        <f>IF(A845&lt;&gt;"", SUMIFS('💰 Transaction ขาย'!F:F,'💰 Transaction ขาย'!B:B,A845,'💰 Transaction ขาย'!A:A,"&gt;="&amp;DATE(YEAR('⚙️ Config'!$H$1),1,1),'💰 Transaction ขาย'!A:A,"&lt;="&amp;DATE(YEAR('⚙️ Config'!$H$1),12,31)),)</f>
        <v/>
      </c>
    </row>
    <row r="846">
      <c r="A846" s="22"/>
      <c r="B846" s="22" t="str">
        <f>IF(A846&lt;&gt;"",SUMIFS('💸 Transaction ซื้อ'!E:E,'💸 Transaction ซื้อ'!B:B,A846)-SUMIFS('💰 Transaction ขาย'!E:E,'💰 Transaction ขาย'!B:B,A846),"")</f>
        <v/>
      </c>
      <c r="C846" s="23" t="str">
        <f>IF(A846&lt;&gt;"",vlookup(A846,'📦 ชื่อสินค้า'!A:E,5,false),"")</f>
        <v/>
      </c>
      <c r="D846" s="23" t="str">
        <f>IF(A846&lt;&gt;"",VLOOKUP(A846,'📦 ชื่อสินค้า'!A:F,6,false),"")</f>
        <v/>
      </c>
      <c r="E846" s="16" t="str">
        <f>IFERROR(IF(VLOOKUP(A846,'📦 ชื่อสินค้า'!A:G,7,false)="InActive","InActive",IF(A846&lt;&gt;"",IF(B846&lt;=0,"สินค้าหมด",IF(B846&lt;=C846,"ควรเติมทันที","OK")),"")),)</f>
        <v/>
      </c>
      <c r="F846" s="24" t="str">
        <f>IFERROR(IF(A846&lt;&gt;"", SUMIF('💸 Transaction ซื้อ'!B:B,A846,'💸 Transaction ซื้อ'!G:G)/SUMIF('💸 Transaction ซื้อ'!B:B,A846,'💸 Transaction ซื้อ'!E:E),""),"-")</f>
        <v/>
      </c>
      <c r="G846" s="24" t="str">
        <f t="shared" si="1"/>
        <v/>
      </c>
      <c r="H846" s="25"/>
      <c r="I846" s="26"/>
      <c r="J846" s="26"/>
      <c r="K846" s="27" t="str">
        <f>IF(A846&lt;&gt;"",IF(E846="InActive","-",SUMIFS('💰 Transaction ขาย'!E:E,'💰 Transaction ขาย'!B:B,A846,'💰 Transaction ขาย'!A:A,"&gt;"&amp;'⚙️ Config'!$H$1-'⚙️ Config'!$H$2)),)</f>
        <v/>
      </c>
      <c r="L846" s="28" t="str">
        <f>IF(E846="InActive","-",IF(A846&lt;&gt;"",K846/'⚙️ Config'!$H$2,))</f>
        <v/>
      </c>
      <c r="M846" s="28" t="str">
        <f t="shared" si="2"/>
        <v/>
      </c>
      <c r="N846" s="28" t="str">
        <f>IF(A846&lt;&gt;"", SUMIFS('💰 Transaction ขาย'!F:F,'💰 Transaction ขาย'!B:B,A846,'💰 Transaction ขาย'!A:A,"&gt;="&amp;DATE(YEAR('⚙️ Config'!$H$1),1,1),'💰 Transaction ขาย'!A:A,"&lt;="&amp;DATE(YEAR('⚙️ Config'!$H$1),12,31)),)</f>
        <v/>
      </c>
    </row>
    <row r="847">
      <c r="A847" s="22"/>
      <c r="B847" s="22" t="str">
        <f>IF(A847&lt;&gt;"",SUMIFS('💸 Transaction ซื้อ'!E:E,'💸 Transaction ซื้อ'!B:B,A847)-SUMIFS('💰 Transaction ขาย'!E:E,'💰 Transaction ขาย'!B:B,A847),"")</f>
        <v/>
      </c>
      <c r="C847" s="23" t="str">
        <f>IF(A847&lt;&gt;"",vlookup(A847,'📦 ชื่อสินค้า'!A:E,5,false),"")</f>
        <v/>
      </c>
      <c r="D847" s="23" t="str">
        <f>IF(A847&lt;&gt;"",VLOOKUP(A847,'📦 ชื่อสินค้า'!A:F,6,false),"")</f>
        <v/>
      </c>
      <c r="E847" s="16" t="str">
        <f>IFERROR(IF(VLOOKUP(A847,'📦 ชื่อสินค้า'!A:G,7,false)="InActive","InActive",IF(A847&lt;&gt;"",IF(B847&lt;=0,"สินค้าหมด",IF(B847&lt;=C847,"ควรเติมทันที","OK")),"")),)</f>
        <v/>
      </c>
      <c r="F847" s="24" t="str">
        <f>IFERROR(IF(A847&lt;&gt;"", SUMIF('💸 Transaction ซื้อ'!B:B,A847,'💸 Transaction ซื้อ'!G:G)/SUMIF('💸 Transaction ซื้อ'!B:B,A847,'💸 Transaction ซื้อ'!E:E),""),"-")</f>
        <v/>
      </c>
      <c r="G847" s="24" t="str">
        <f t="shared" si="1"/>
        <v/>
      </c>
      <c r="H847" s="25"/>
      <c r="I847" s="26"/>
      <c r="J847" s="26"/>
      <c r="K847" s="27" t="str">
        <f>IF(A847&lt;&gt;"",IF(E847="InActive","-",SUMIFS('💰 Transaction ขาย'!E:E,'💰 Transaction ขาย'!B:B,A847,'💰 Transaction ขาย'!A:A,"&gt;"&amp;'⚙️ Config'!$H$1-'⚙️ Config'!$H$2)),)</f>
        <v/>
      </c>
      <c r="L847" s="28" t="str">
        <f>IF(E847="InActive","-",IF(A847&lt;&gt;"",K847/'⚙️ Config'!$H$2,))</f>
        <v/>
      </c>
      <c r="M847" s="28" t="str">
        <f t="shared" si="2"/>
        <v/>
      </c>
      <c r="N847" s="28" t="str">
        <f>IF(A847&lt;&gt;"", SUMIFS('💰 Transaction ขาย'!F:F,'💰 Transaction ขาย'!B:B,A847,'💰 Transaction ขาย'!A:A,"&gt;="&amp;DATE(YEAR('⚙️ Config'!$H$1),1,1),'💰 Transaction ขาย'!A:A,"&lt;="&amp;DATE(YEAR('⚙️ Config'!$H$1),12,31)),)</f>
        <v/>
      </c>
    </row>
    <row r="848">
      <c r="A848" s="22"/>
      <c r="B848" s="22" t="str">
        <f>IF(A848&lt;&gt;"",SUMIFS('💸 Transaction ซื้อ'!E:E,'💸 Transaction ซื้อ'!B:B,A848)-SUMIFS('💰 Transaction ขาย'!E:E,'💰 Transaction ขาย'!B:B,A848),"")</f>
        <v/>
      </c>
      <c r="C848" s="23" t="str">
        <f>IF(A848&lt;&gt;"",vlookup(A848,'📦 ชื่อสินค้า'!A:E,5,false),"")</f>
        <v/>
      </c>
      <c r="D848" s="23" t="str">
        <f>IF(A848&lt;&gt;"",VLOOKUP(A848,'📦 ชื่อสินค้า'!A:F,6,false),"")</f>
        <v/>
      </c>
      <c r="E848" s="16" t="str">
        <f>IFERROR(IF(VLOOKUP(A848,'📦 ชื่อสินค้า'!A:G,7,false)="InActive","InActive",IF(A848&lt;&gt;"",IF(B848&lt;=0,"สินค้าหมด",IF(B848&lt;=C848,"ควรเติมทันที","OK")),"")),)</f>
        <v/>
      </c>
      <c r="F848" s="24" t="str">
        <f>IFERROR(IF(A848&lt;&gt;"", SUMIF('💸 Transaction ซื้อ'!B:B,A848,'💸 Transaction ซื้อ'!G:G)/SUMIF('💸 Transaction ซื้อ'!B:B,A848,'💸 Transaction ซื้อ'!E:E),""),"-")</f>
        <v/>
      </c>
      <c r="G848" s="24" t="str">
        <f t="shared" si="1"/>
        <v/>
      </c>
      <c r="H848" s="25"/>
      <c r="I848" s="26"/>
      <c r="J848" s="26"/>
      <c r="K848" s="27" t="str">
        <f>IF(A848&lt;&gt;"",IF(E848="InActive","-",SUMIFS('💰 Transaction ขาย'!E:E,'💰 Transaction ขาย'!B:B,A848,'💰 Transaction ขาย'!A:A,"&gt;"&amp;'⚙️ Config'!$H$1-'⚙️ Config'!$H$2)),)</f>
        <v/>
      </c>
      <c r="L848" s="28" t="str">
        <f>IF(E848="InActive","-",IF(A848&lt;&gt;"",K848/'⚙️ Config'!$H$2,))</f>
        <v/>
      </c>
      <c r="M848" s="28" t="str">
        <f t="shared" si="2"/>
        <v/>
      </c>
      <c r="N848" s="28" t="str">
        <f>IF(A848&lt;&gt;"", SUMIFS('💰 Transaction ขาย'!F:F,'💰 Transaction ขาย'!B:B,A848,'💰 Transaction ขาย'!A:A,"&gt;="&amp;DATE(YEAR('⚙️ Config'!$H$1),1,1),'💰 Transaction ขาย'!A:A,"&lt;="&amp;DATE(YEAR('⚙️ Config'!$H$1),12,31)),)</f>
        <v/>
      </c>
    </row>
    <row r="849">
      <c r="A849" s="22"/>
      <c r="B849" s="22" t="str">
        <f>IF(A849&lt;&gt;"",SUMIFS('💸 Transaction ซื้อ'!E:E,'💸 Transaction ซื้อ'!B:B,A849)-SUMIFS('💰 Transaction ขาย'!E:E,'💰 Transaction ขาย'!B:B,A849),"")</f>
        <v/>
      </c>
      <c r="C849" s="23" t="str">
        <f>IF(A849&lt;&gt;"",vlookup(A849,'📦 ชื่อสินค้า'!A:E,5,false),"")</f>
        <v/>
      </c>
      <c r="D849" s="23" t="str">
        <f>IF(A849&lt;&gt;"",VLOOKUP(A849,'📦 ชื่อสินค้า'!A:F,6,false),"")</f>
        <v/>
      </c>
      <c r="E849" s="16" t="str">
        <f>IFERROR(IF(VLOOKUP(A849,'📦 ชื่อสินค้า'!A:G,7,false)="InActive","InActive",IF(A849&lt;&gt;"",IF(B849&lt;=0,"สินค้าหมด",IF(B849&lt;=C849,"ควรเติมทันที","OK")),"")),)</f>
        <v/>
      </c>
      <c r="F849" s="24" t="str">
        <f>IFERROR(IF(A849&lt;&gt;"", SUMIF('💸 Transaction ซื้อ'!B:B,A849,'💸 Transaction ซื้อ'!G:G)/SUMIF('💸 Transaction ซื้อ'!B:B,A849,'💸 Transaction ซื้อ'!E:E),""),"-")</f>
        <v/>
      </c>
      <c r="G849" s="24" t="str">
        <f t="shared" si="1"/>
        <v/>
      </c>
      <c r="H849" s="25"/>
      <c r="I849" s="26"/>
      <c r="J849" s="26"/>
      <c r="K849" s="27" t="str">
        <f>IF(A849&lt;&gt;"",IF(E849="InActive","-",SUMIFS('💰 Transaction ขาย'!E:E,'💰 Transaction ขาย'!B:B,A849,'💰 Transaction ขาย'!A:A,"&gt;"&amp;'⚙️ Config'!$H$1-'⚙️ Config'!$H$2)),)</f>
        <v/>
      </c>
      <c r="L849" s="28" t="str">
        <f>IF(E849="InActive","-",IF(A849&lt;&gt;"",K849/'⚙️ Config'!$H$2,))</f>
        <v/>
      </c>
      <c r="M849" s="28" t="str">
        <f t="shared" si="2"/>
        <v/>
      </c>
      <c r="N849" s="28" t="str">
        <f>IF(A849&lt;&gt;"", SUMIFS('💰 Transaction ขาย'!F:F,'💰 Transaction ขาย'!B:B,A849,'💰 Transaction ขาย'!A:A,"&gt;="&amp;DATE(YEAR('⚙️ Config'!$H$1),1,1),'💰 Transaction ขาย'!A:A,"&lt;="&amp;DATE(YEAR('⚙️ Config'!$H$1),12,31)),)</f>
        <v/>
      </c>
    </row>
    <row r="850">
      <c r="A850" s="22"/>
      <c r="B850" s="22" t="str">
        <f>IF(A850&lt;&gt;"",SUMIFS('💸 Transaction ซื้อ'!E:E,'💸 Transaction ซื้อ'!B:B,A850)-SUMIFS('💰 Transaction ขาย'!E:E,'💰 Transaction ขาย'!B:B,A850),"")</f>
        <v/>
      </c>
      <c r="C850" s="23" t="str">
        <f>IF(A850&lt;&gt;"",vlookup(A850,'📦 ชื่อสินค้า'!A:E,5,false),"")</f>
        <v/>
      </c>
      <c r="D850" s="23" t="str">
        <f>IF(A850&lt;&gt;"",VLOOKUP(A850,'📦 ชื่อสินค้า'!A:F,6,false),"")</f>
        <v/>
      </c>
      <c r="E850" s="16" t="str">
        <f>IFERROR(IF(VLOOKUP(A850,'📦 ชื่อสินค้า'!A:G,7,false)="InActive","InActive",IF(A850&lt;&gt;"",IF(B850&lt;=0,"สินค้าหมด",IF(B850&lt;=C850,"ควรเติมทันที","OK")),"")),)</f>
        <v/>
      </c>
      <c r="F850" s="24" t="str">
        <f>IFERROR(IF(A850&lt;&gt;"", SUMIF('💸 Transaction ซื้อ'!B:B,A850,'💸 Transaction ซื้อ'!G:G)/SUMIF('💸 Transaction ซื้อ'!B:B,A850,'💸 Transaction ซื้อ'!E:E),""),"-")</f>
        <v/>
      </c>
      <c r="G850" s="24" t="str">
        <f t="shared" si="1"/>
        <v/>
      </c>
      <c r="H850" s="25"/>
      <c r="I850" s="26"/>
      <c r="J850" s="26"/>
      <c r="K850" s="27" t="str">
        <f>IF(A850&lt;&gt;"",IF(E850="InActive","-",SUMIFS('💰 Transaction ขาย'!E:E,'💰 Transaction ขาย'!B:B,A850,'💰 Transaction ขาย'!A:A,"&gt;"&amp;'⚙️ Config'!$H$1-'⚙️ Config'!$H$2)),)</f>
        <v/>
      </c>
      <c r="L850" s="28" t="str">
        <f>IF(E850="InActive","-",IF(A850&lt;&gt;"",K850/'⚙️ Config'!$H$2,))</f>
        <v/>
      </c>
      <c r="M850" s="28" t="str">
        <f t="shared" si="2"/>
        <v/>
      </c>
      <c r="N850" s="28" t="str">
        <f>IF(A850&lt;&gt;"", SUMIFS('💰 Transaction ขาย'!F:F,'💰 Transaction ขาย'!B:B,A850,'💰 Transaction ขาย'!A:A,"&gt;="&amp;DATE(YEAR('⚙️ Config'!$H$1),1,1),'💰 Transaction ขาย'!A:A,"&lt;="&amp;DATE(YEAR('⚙️ Config'!$H$1),12,31)),)</f>
        <v/>
      </c>
    </row>
    <row r="851">
      <c r="A851" s="22"/>
      <c r="B851" s="22" t="str">
        <f>IF(A851&lt;&gt;"",SUMIFS('💸 Transaction ซื้อ'!E:E,'💸 Transaction ซื้อ'!B:B,A851)-SUMIFS('💰 Transaction ขาย'!E:E,'💰 Transaction ขาย'!B:B,A851),"")</f>
        <v/>
      </c>
      <c r="C851" s="23" t="str">
        <f>IF(A851&lt;&gt;"",vlookup(A851,'📦 ชื่อสินค้า'!A:E,5,false),"")</f>
        <v/>
      </c>
      <c r="D851" s="23" t="str">
        <f>IF(A851&lt;&gt;"",VLOOKUP(A851,'📦 ชื่อสินค้า'!A:F,6,false),"")</f>
        <v/>
      </c>
      <c r="E851" s="16" t="str">
        <f>IFERROR(IF(VLOOKUP(A851,'📦 ชื่อสินค้า'!A:G,7,false)="InActive","InActive",IF(A851&lt;&gt;"",IF(B851&lt;=0,"สินค้าหมด",IF(B851&lt;=C851,"ควรเติมทันที","OK")),"")),)</f>
        <v/>
      </c>
      <c r="F851" s="24" t="str">
        <f>IFERROR(IF(A851&lt;&gt;"", SUMIF('💸 Transaction ซื้อ'!B:B,A851,'💸 Transaction ซื้อ'!G:G)/SUMIF('💸 Transaction ซื้อ'!B:B,A851,'💸 Transaction ซื้อ'!E:E),""),"-")</f>
        <v/>
      </c>
      <c r="G851" s="24" t="str">
        <f t="shared" si="1"/>
        <v/>
      </c>
      <c r="H851" s="25"/>
      <c r="I851" s="26"/>
      <c r="J851" s="26"/>
      <c r="K851" s="27" t="str">
        <f>IF(A851&lt;&gt;"",IF(E851="InActive","-",SUMIFS('💰 Transaction ขาย'!E:E,'💰 Transaction ขาย'!B:B,A851,'💰 Transaction ขาย'!A:A,"&gt;"&amp;'⚙️ Config'!$H$1-'⚙️ Config'!$H$2)),)</f>
        <v/>
      </c>
      <c r="L851" s="28" t="str">
        <f>IF(E851="InActive","-",IF(A851&lt;&gt;"",K851/'⚙️ Config'!$H$2,))</f>
        <v/>
      </c>
      <c r="M851" s="28" t="str">
        <f t="shared" si="2"/>
        <v/>
      </c>
      <c r="N851" s="28" t="str">
        <f>IF(A851&lt;&gt;"", SUMIFS('💰 Transaction ขาย'!F:F,'💰 Transaction ขาย'!B:B,A851,'💰 Transaction ขาย'!A:A,"&gt;="&amp;DATE(YEAR('⚙️ Config'!$H$1),1,1),'💰 Transaction ขาย'!A:A,"&lt;="&amp;DATE(YEAR('⚙️ Config'!$H$1),12,31)),)</f>
        <v/>
      </c>
    </row>
    <row r="852">
      <c r="A852" s="22"/>
      <c r="B852" s="22" t="str">
        <f>IF(A852&lt;&gt;"",SUMIFS('💸 Transaction ซื้อ'!E:E,'💸 Transaction ซื้อ'!B:B,A852)-SUMIFS('💰 Transaction ขาย'!E:E,'💰 Transaction ขาย'!B:B,A852),"")</f>
        <v/>
      </c>
      <c r="C852" s="23" t="str">
        <f>IF(A852&lt;&gt;"",vlookup(A852,'📦 ชื่อสินค้า'!A:E,5,false),"")</f>
        <v/>
      </c>
      <c r="D852" s="23" t="str">
        <f>IF(A852&lt;&gt;"",VLOOKUP(A852,'📦 ชื่อสินค้า'!A:F,6,false),"")</f>
        <v/>
      </c>
      <c r="E852" s="16" t="str">
        <f>IFERROR(IF(VLOOKUP(A852,'📦 ชื่อสินค้า'!A:G,7,false)="InActive","InActive",IF(A852&lt;&gt;"",IF(B852&lt;=0,"สินค้าหมด",IF(B852&lt;=C852,"ควรเติมทันที","OK")),"")),)</f>
        <v/>
      </c>
      <c r="F852" s="24" t="str">
        <f>IFERROR(IF(A852&lt;&gt;"", SUMIF('💸 Transaction ซื้อ'!B:B,A852,'💸 Transaction ซื้อ'!G:G)/SUMIF('💸 Transaction ซื้อ'!B:B,A852,'💸 Transaction ซื้อ'!E:E),""),"-")</f>
        <v/>
      </c>
      <c r="G852" s="24" t="str">
        <f t="shared" si="1"/>
        <v/>
      </c>
      <c r="H852" s="25"/>
      <c r="I852" s="26"/>
      <c r="J852" s="26"/>
      <c r="K852" s="27" t="str">
        <f>IF(A852&lt;&gt;"",IF(E852="InActive","-",SUMIFS('💰 Transaction ขาย'!E:E,'💰 Transaction ขาย'!B:B,A852,'💰 Transaction ขาย'!A:A,"&gt;"&amp;'⚙️ Config'!$H$1-'⚙️ Config'!$H$2)),)</f>
        <v/>
      </c>
      <c r="L852" s="28" t="str">
        <f>IF(E852="InActive","-",IF(A852&lt;&gt;"",K852/'⚙️ Config'!$H$2,))</f>
        <v/>
      </c>
      <c r="M852" s="28" t="str">
        <f t="shared" si="2"/>
        <v/>
      </c>
      <c r="N852" s="28" t="str">
        <f>IF(A852&lt;&gt;"", SUMIFS('💰 Transaction ขาย'!F:F,'💰 Transaction ขาย'!B:B,A852,'💰 Transaction ขาย'!A:A,"&gt;="&amp;DATE(YEAR('⚙️ Config'!$H$1),1,1),'💰 Transaction ขาย'!A:A,"&lt;="&amp;DATE(YEAR('⚙️ Config'!$H$1),12,31)),)</f>
        <v/>
      </c>
    </row>
    <row r="853">
      <c r="A853" s="22"/>
      <c r="B853" s="22" t="str">
        <f>IF(A853&lt;&gt;"",SUMIFS('💸 Transaction ซื้อ'!E:E,'💸 Transaction ซื้อ'!B:B,A853)-SUMIFS('💰 Transaction ขาย'!E:E,'💰 Transaction ขาย'!B:B,A853),"")</f>
        <v/>
      </c>
      <c r="C853" s="23" t="str">
        <f>IF(A853&lt;&gt;"",vlookup(A853,'📦 ชื่อสินค้า'!A:E,5,false),"")</f>
        <v/>
      </c>
      <c r="D853" s="23" t="str">
        <f>IF(A853&lt;&gt;"",VLOOKUP(A853,'📦 ชื่อสินค้า'!A:F,6,false),"")</f>
        <v/>
      </c>
      <c r="E853" s="16" t="str">
        <f>IFERROR(IF(VLOOKUP(A853,'📦 ชื่อสินค้า'!A:G,7,false)="InActive","InActive",IF(A853&lt;&gt;"",IF(B853&lt;=0,"สินค้าหมด",IF(B853&lt;=C853,"ควรเติมทันที","OK")),"")),)</f>
        <v/>
      </c>
      <c r="F853" s="24" t="str">
        <f>IFERROR(IF(A853&lt;&gt;"", SUMIF('💸 Transaction ซื้อ'!B:B,A853,'💸 Transaction ซื้อ'!G:G)/SUMIF('💸 Transaction ซื้อ'!B:B,A853,'💸 Transaction ซื้อ'!E:E),""),"-")</f>
        <v/>
      </c>
      <c r="G853" s="24" t="str">
        <f t="shared" si="1"/>
        <v/>
      </c>
      <c r="H853" s="25"/>
      <c r="I853" s="26"/>
      <c r="J853" s="26"/>
      <c r="K853" s="27" t="str">
        <f>IF(A853&lt;&gt;"",IF(E853="InActive","-",SUMIFS('💰 Transaction ขาย'!E:E,'💰 Transaction ขาย'!B:B,A853,'💰 Transaction ขาย'!A:A,"&gt;"&amp;'⚙️ Config'!$H$1-'⚙️ Config'!$H$2)),)</f>
        <v/>
      </c>
      <c r="L853" s="28" t="str">
        <f>IF(E853="InActive","-",IF(A853&lt;&gt;"",K853/'⚙️ Config'!$H$2,))</f>
        <v/>
      </c>
      <c r="M853" s="28" t="str">
        <f t="shared" si="2"/>
        <v/>
      </c>
      <c r="N853" s="28" t="str">
        <f>IF(A853&lt;&gt;"", SUMIFS('💰 Transaction ขาย'!F:F,'💰 Transaction ขาย'!B:B,A853,'💰 Transaction ขาย'!A:A,"&gt;="&amp;DATE(YEAR('⚙️ Config'!$H$1),1,1),'💰 Transaction ขาย'!A:A,"&lt;="&amp;DATE(YEAR('⚙️ Config'!$H$1),12,31)),)</f>
        <v/>
      </c>
    </row>
    <row r="854">
      <c r="A854" s="22"/>
      <c r="B854" s="22" t="str">
        <f>IF(A854&lt;&gt;"",SUMIFS('💸 Transaction ซื้อ'!E:E,'💸 Transaction ซื้อ'!B:B,A854)-SUMIFS('💰 Transaction ขาย'!E:E,'💰 Transaction ขาย'!B:B,A854),"")</f>
        <v/>
      </c>
      <c r="C854" s="23" t="str">
        <f>IF(A854&lt;&gt;"",vlookup(A854,'📦 ชื่อสินค้า'!A:E,5,false),"")</f>
        <v/>
      </c>
      <c r="D854" s="23" t="str">
        <f>IF(A854&lt;&gt;"",VLOOKUP(A854,'📦 ชื่อสินค้า'!A:F,6,false),"")</f>
        <v/>
      </c>
      <c r="E854" s="16" t="str">
        <f>IFERROR(IF(VLOOKUP(A854,'📦 ชื่อสินค้า'!A:G,7,false)="InActive","InActive",IF(A854&lt;&gt;"",IF(B854&lt;=0,"สินค้าหมด",IF(B854&lt;=C854,"ควรเติมทันที","OK")),"")),)</f>
        <v/>
      </c>
      <c r="F854" s="24" t="str">
        <f>IFERROR(IF(A854&lt;&gt;"", SUMIF('💸 Transaction ซื้อ'!B:B,A854,'💸 Transaction ซื้อ'!G:G)/SUMIF('💸 Transaction ซื้อ'!B:B,A854,'💸 Transaction ซื้อ'!E:E),""),"-")</f>
        <v/>
      </c>
      <c r="G854" s="24" t="str">
        <f t="shared" si="1"/>
        <v/>
      </c>
      <c r="H854" s="25"/>
      <c r="I854" s="26"/>
      <c r="J854" s="26"/>
      <c r="K854" s="27" t="str">
        <f>IF(A854&lt;&gt;"",IF(E854="InActive","-",SUMIFS('💰 Transaction ขาย'!E:E,'💰 Transaction ขาย'!B:B,A854,'💰 Transaction ขาย'!A:A,"&gt;"&amp;'⚙️ Config'!$H$1-'⚙️ Config'!$H$2)),)</f>
        <v/>
      </c>
      <c r="L854" s="28" t="str">
        <f>IF(E854="InActive","-",IF(A854&lt;&gt;"",K854/'⚙️ Config'!$H$2,))</f>
        <v/>
      </c>
      <c r="M854" s="28" t="str">
        <f t="shared" si="2"/>
        <v/>
      </c>
      <c r="N854" s="28" t="str">
        <f>IF(A854&lt;&gt;"", SUMIFS('💰 Transaction ขาย'!F:F,'💰 Transaction ขาย'!B:B,A854,'💰 Transaction ขาย'!A:A,"&gt;="&amp;DATE(YEAR('⚙️ Config'!$H$1),1,1),'💰 Transaction ขาย'!A:A,"&lt;="&amp;DATE(YEAR('⚙️ Config'!$H$1),12,31)),)</f>
        <v/>
      </c>
    </row>
    <row r="855">
      <c r="A855" s="22"/>
      <c r="B855" s="22" t="str">
        <f>IF(A855&lt;&gt;"",SUMIFS('💸 Transaction ซื้อ'!E:E,'💸 Transaction ซื้อ'!B:B,A855)-SUMIFS('💰 Transaction ขาย'!E:E,'💰 Transaction ขาย'!B:B,A855),"")</f>
        <v/>
      </c>
      <c r="C855" s="23" t="str">
        <f>IF(A855&lt;&gt;"",vlookup(A855,'📦 ชื่อสินค้า'!A:E,5,false),"")</f>
        <v/>
      </c>
      <c r="D855" s="23" t="str">
        <f>IF(A855&lt;&gt;"",VLOOKUP(A855,'📦 ชื่อสินค้า'!A:F,6,false),"")</f>
        <v/>
      </c>
      <c r="E855" s="16" t="str">
        <f>IFERROR(IF(VLOOKUP(A855,'📦 ชื่อสินค้า'!A:G,7,false)="InActive","InActive",IF(A855&lt;&gt;"",IF(B855&lt;=0,"สินค้าหมด",IF(B855&lt;=C855,"ควรเติมทันที","OK")),"")),)</f>
        <v/>
      </c>
      <c r="F855" s="24" t="str">
        <f>IFERROR(IF(A855&lt;&gt;"", SUMIF('💸 Transaction ซื้อ'!B:B,A855,'💸 Transaction ซื้อ'!G:G)/SUMIF('💸 Transaction ซื้อ'!B:B,A855,'💸 Transaction ซื้อ'!E:E),""),"-")</f>
        <v/>
      </c>
      <c r="G855" s="24" t="str">
        <f t="shared" si="1"/>
        <v/>
      </c>
      <c r="H855" s="25"/>
      <c r="I855" s="26"/>
      <c r="J855" s="26"/>
      <c r="K855" s="27" t="str">
        <f>IF(A855&lt;&gt;"",IF(E855="InActive","-",SUMIFS('💰 Transaction ขาย'!E:E,'💰 Transaction ขาย'!B:B,A855,'💰 Transaction ขาย'!A:A,"&gt;"&amp;'⚙️ Config'!$H$1-'⚙️ Config'!$H$2)),)</f>
        <v/>
      </c>
      <c r="L855" s="28" t="str">
        <f>IF(E855="InActive","-",IF(A855&lt;&gt;"",K855/'⚙️ Config'!$H$2,))</f>
        <v/>
      </c>
      <c r="M855" s="28" t="str">
        <f t="shared" si="2"/>
        <v/>
      </c>
      <c r="N855" s="28" t="str">
        <f>IF(A855&lt;&gt;"", SUMIFS('💰 Transaction ขาย'!F:F,'💰 Transaction ขาย'!B:B,A855,'💰 Transaction ขาย'!A:A,"&gt;="&amp;DATE(YEAR('⚙️ Config'!$H$1),1,1),'💰 Transaction ขาย'!A:A,"&lt;="&amp;DATE(YEAR('⚙️ Config'!$H$1),12,31)),)</f>
        <v/>
      </c>
    </row>
    <row r="856">
      <c r="A856" s="22"/>
      <c r="B856" s="22" t="str">
        <f>IF(A856&lt;&gt;"",SUMIFS('💸 Transaction ซื้อ'!E:E,'💸 Transaction ซื้อ'!B:B,A856)-SUMIFS('💰 Transaction ขาย'!E:E,'💰 Transaction ขาย'!B:B,A856),"")</f>
        <v/>
      </c>
      <c r="C856" s="23" t="str">
        <f>IF(A856&lt;&gt;"",vlookup(A856,'📦 ชื่อสินค้า'!A:E,5,false),"")</f>
        <v/>
      </c>
      <c r="D856" s="23" t="str">
        <f>IF(A856&lt;&gt;"",VLOOKUP(A856,'📦 ชื่อสินค้า'!A:F,6,false),"")</f>
        <v/>
      </c>
      <c r="E856" s="16" t="str">
        <f>IFERROR(IF(VLOOKUP(A856,'📦 ชื่อสินค้า'!A:G,7,false)="InActive","InActive",IF(A856&lt;&gt;"",IF(B856&lt;=0,"สินค้าหมด",IF(B856&lt;=C856,"ควรเติมทันที","OK")),"")),)</f>
        <v/>
      </c>
      <c r="F856" s="24" t="str">
        <f>IFERROR(IF(A856&lt;&gt;"", SUMIF('💸 Transaction ซื้อ'!B:B,A856,'💸 Transaction ซื้อ'!G:G)/SUMIF('💸 Transaction ซื้อ'!B:B,A856,'💸 Transaction ซื้อ'!E:E),""),"-")</f>
        <v/>
      </c>
      <c r="G856" s="24" t="str">
        <f t="shared" si="1"/>
        <v/>
      </c>
      <c r="H856" s="25"/>
      <c r="I856" s="26"/>
      <c r="J856" s="26"/>
      <c r="K856" s="27" t="str">
        <f>IF(A856&lt;&gt;"",IF(E856="InActive","-",SUMIFS('💰 Transaction ขาย'!E:E,'💰 Transaction ขาย'!B:B,A856,'💰 Transaction ขาย'!A:A,"&gt;"&amp;'⚙️ Config'!$H$1-'⚙️ Config'!$H$2)),)</f>
        <v/>
      </c>
      <c r="L856" s="28" t="str">
        <f>IF(E856="InActive","-",IF(A856&lt;&gt;"",K856/'⚙️ Config'!$H$2,))</f>
        <v/>
      </c>
      <c r="M856" s="28" t="str">
        <f t="shared" si="2"/>
        <v/>
      </c>
      <c r="N856" s="28" t="str">
        <f>IF(A856&lt;&gt;"", SUMIFS('💰 Transaction ขาย'!F:F,'💰 Transaction ขาย'!B:B,A856,'💰 Transaction ขาย'!A:A,"&gt;="&amp;DATE(YEAR('⚙️ Config'!$H$1),1,1),'💰 Transaction ขาย'!A:A,"&lt;="&amp;DATE(YEAR('⚙️ Config'!$H$1),12,31)),)</f>
        <v/>
      </c>
    </row>
    <row r="857">
      <c r="A857" s="22"/>
      <c r="B857" s="22" t="str">
        <f>IF(A857&lt;&gt;"",SUMIFS('💸 Transaction ซื้อ'!E:E,'💸 Transaction ซื้อ'!B:B,A857)-SUMIFS('💰 Transaction ขาย'!E:E,'💰 Transaction ขาย'!B:B,A857),"")</f>
        <v/>
      </c>
      <c r="C857" s="23" t="str">
        <f>IF(A857&lt;&gt;"",vlookup(A857,'📦 ชื่อสินค้า'!A:E,5,false),"")</f>
        <v/>
      </c>
      <c r="D857" s="23" t="str">
        <f>IF(A857&lt;&gt;"",VLOOKUP(A857,'📦 ชื่อสินค้า'!A:F,6,false),"")</f>
        <v/>
      </c>
      <c r="E857" s="16" t="str">
        <f>IFERROR(IF(VLOOKUP(A857,'📦 ชื่อสินค้า'!A:G,7,false)="InActive","InActive",IF(A857&lt;&gt;"",IF(B857&lt;=0,"สินค้าหมด",IF(B857&lt;=C857,"ควรเติมทันที","OK")),"")),)</f>
        <v/>
      </c>
      <c r="F857" s="24" t="str">
        <f>IFERROR(IF(A857&lt;&gt;"", SUMIF('💸 Transaction ซื้อ'!B:B,A857,'💸 Transaction ซื้อ'!G:G)/SUMIF('💸 Transaction ซื้อ'!B:B,A857,'💸 Transaction ซื้อ'!E:E),""),"-")</f>
        <v/>
      </c>
      <c r="G857" s="24" t="str">
        <f t="shared" si="1"/>
        <v/>
      </c>
      <c r="H857" s="25"/>
      <c r="I857" s="26"/>
      <c r="J857" s="26"/>
      <c r="K857" s="27" t="str">
        <f>IF(A857&lt;&gt;"",IF(E857="InActive","-",SUMIFS('💰 Transaction ขาย'!E:E,'💰 Transaction ขาย'!B:B,A857,'💰 Transaction ขาย'!A:A,"&gt;"&amp;'⚙️ Config'!$H$1-'⚙️ Config'!$H$2)),)</f>
        <v/>
      </c>
      <c r="L857" s="28" t="str">
        <f>IF(E857="InActive","-",IF(A857&lt;&gt;"",K857/'⚙️ Config'!$H$2,))</f>
        <v/>
      </c>
      <c r="M857" s="28" t="str">
        <f t="shared" si="2"/>
        <v/>
      </c>
      <c r="N857" s="28" t="str">
        <f>IF(A857&lt;&gt;"", SUMIFS('💰 Transaction ขาย'!F:F,'💰 Transaction ขาย'!B:B,A857,'💰 Transaction ขาย'!A:A,"&gt;="&amp;DATE(YEAR('⚙️ Config'!$H$1),1,1),'💰 Transaction ขาย'!A:A,"&lt;="&amp;DATE(YEAR('⚙️ Config'!$H$1),12,31)),)</f>
        <v/>
      </c>
    </row>
    <row r="858">
      <c r="A858" s="22"/>
      <c r="B858" s="22" t="str">
        <f>IF(A858&lt;&gt;"",SUMIFS('💸 Transaction ซื้อ'!E:E,'💸 Transaction ซื้อ'!B:B,A858)-SUMIFS('💰 Transaction ขาย'!E:E,'💰 Transaction ขาย'!B:B,A858),"")</f>
        <v/>
      </c>
      <c r="C858" s="23" t="str">
        <f>IF(A858&lt;&gt;"",vlookup(A858,'📦 ชื่อสินค้า'!A:E,5,false),"")</f>
        <v/>
      </c>
      <c r="D858" s="23" t="str">
        <f>IF(A858&lt;&gt;"",VLOOKUP(A858,'📦 ชื่อสินค้า'!A:F,6,false),"")</f>
        <v/>
      </c>
      <c r="E858" s="16" t="str">
        <f>IFERROR(IF(VLOOKUP(A858,'📦 ชื่อสินค้า'!A:G,7,false)="InActive","InActive",IF(A858&lt;&gt;"",IF(B858&lt;=0,"สินค้าหมด",IF(B858&lt;=C858,"ควรเติมทันที","OK")),"")),)</f>
        <v/>
      </c>
      <c r="F858" s="24" t="str">
        <f>IFERROR(IF(A858&lt;&gt;"", SUMIF('💸 Transaction ซื้อ'!B:B,A858,'💸 Transaction ซื้อ'!G:G)/SUMIF('💸 Transaction ซื้อ'!B:B,A858,'💸 Transaction ซื้อ'!E:E),""),"-")</f>
        <v/>
      </c>
      <c r="G858" s="24" t="str">
        <f t="shared" si="1"/>
        <v/>
      </c>
      <c r="H858" s="25"/>
      <c r="I858" s="26"/>
      <c r="J858" s="26"/>
      <c r="K858" s="27" t="str">
        <f>IF(A858&lt;&gt;"",IF(E858="InActive","-",SUMIFS('💰 Transaction ขาย'!E:E,'💰 Transaction ขาย'!B:B,A858,'💰 Transaction ขาย'!A:A,"&gt;"&amp;'⚙️ Config'!$H$1-'⚙️ Config'!$H$2)),)</f>
        <v/>
      </c>
      <c r="L858" s="28" t="str">
        <f>IF(E858="InActive","-",IF(A858&lt;&gt;"",K858/'⚙️ Config'!$H$2,))</f>
        <v/>
      </c>
      <c r="M858" s="28" t="str">
        <f t="shared" si="2"/>
        <v/>
      </c>
      <c r="N858" s="28" t="str">
        <f>IF(A858&lt;&gt;"", SUMIFS('💰 Transaction ขาย'!F:F,'💰 Transaction ขาย'!B:B,A858,'💰 Transaction ขาย'!A:A,"&gt;="&amp;DATE(YEAR('⚙️ Config'!$H$1),1,1),'💰 Transaction ขาย'!A:A,"&lt;="&amp;DATE(YEAR('⚙️ Config'!$H$1),12,31)),)</f>
        <v/>
      </c>
    </row>
    <row r="859">
      <c r="A859" s="22"/>
      <c r="B859" s="22" t="str">
        <f>IF(A859&lt;&gt;"",SUMIFS('💸 Transaction ซื้อ'!E:E,'💸 Transaction ซื้อ'!B:B,A859)-SUMIFS('💰 Transaction ขาย'!E:E,'💰 Transaction ขาย'!B:B,A859),"")</f>
        <v/>
      </c>
      <c r="C859" s="23" t="str">
        <f>IF(A859&lt;&gt;"",vlookup(A859,'📦 ชื่อสินค้า'!A:E,5,false),"")</f>
        <v/>
      </c>
      <c r="D859" s="23" t="str">
        <f>IF(A859&lt;&gt;"",VLOOKUP(A859,'📦 ชื่อสินค้า'!A:F,6,false),"")</f>
        <v/>
      </c>
      <c r="E859" s="16" t="str">
        <f>IFERROR(IF(VLOOKUP(A859,'📦 ชื่อสินค้า'!A:G,7,false)="InActive","InActive",IF(A859&lt;&gt;"",IF(B859&lt;=0,"สินค้าหมด",IF(B859&lt;=C859,"ควรเติมทันที","OK")),"")),)</f>
        <v/>
      </c>
      <c r="F859" s="24" t="str">
        <f>IFERROR(IF(A859&lt;&gt;"", SUMIF('💸 Transaction ซื้อ'!B:B,A859,'💸 Transaction ซื้อ'!G:G)/SUMIF('💸 Transaction ซื้อ'!B:B,A859,'💸 Transaction ซื้อ'!E:E),""),"-")</f>
        <v/>
      </c>
      <c r="G859" s="24" t="str">
        <f t="shared" si="1"/>
        <v/>
      </c>
      <c r="H859" s="25"/>
      <c r="I859" s="26"/>
      <c r="J859" s="26"/>
      <c r="K859" s="27" t="str">
        <f>IF(A859&lt;&gt;"",IF(E859="InActive","-",SUMIFS('💰 Transaction ขาย'!E:E,'💰 Transaction ขาย'!B:B,A859,'💰 Transaction ขาย'!A:A,"&gt;"&amp;'⚙️ Config'!$H$1-'⚙️ Config'!$H$2)),)</f>
        <v/>
      </c>
      <c r="L859" s="28" t="str">
        <f>IF(E859="InActive","-",IF(A859&lt;&gt;"",K859/'⚙️ Config'!$H$2,))</f>
        <v/>
      </c>
      <c r="M859" s="28" t="str">
        <f t="shared" si="2"/>
        <v/>
      </c>
      <c r="N859" s="28" t="str">
        <f>IF(A859&lt;&gt;"", SUMIFS('💰 Transaction ขาย'!F:F,'💰 Transaction ขาย'!B:B,A859,'💰 Transaction ขาย'!A:A,"&gt;="&amp;DATE(YEAR('⚙️ Config'!$H$1),1,1),'💰 Transaction ขาย'!A:A,"&lt;="&amp;DATE(YEAR('⚙️ Config'!$H$1),12,31)),)</f>
        <v/>
      </c>
    </row>
    <row r="860">
      <c r="A860" s="22"/>
      <c r="B860" s="22" t="str">
        <f>IF(A860&lt;&gt;"",SUMIFS('💸 Transaction ซื้อ'!E:E,'💸 Transaction ซื้อ'!B:B,A860)-SUMIFS('💰 Transaction ขาย'!E:E,'💰 Transaction ขาย'!B:B,A860),"")</f>
        <v/>
      </c>
      <c r="C860" s="23" t="str">
        <f>IF(A860&lt;&gt;"",vlookup(A860,'📦 ชื่อสินค้า'!A:E,5,false),"")</f>
        <v/>
      </c>
      <c r="D860" s="23" t="str">
        <f>IF(A860&lt;&gt;"",VLOOKUP(A860,'📦 ชื่อสินค้า'!A:F,6,false),"")</f>
        <v/>
      </c>
      <c r="E860" s="16" t="str">
        <f>IFERROR(IF(VLOOKUP(A860,'📦 ชื่อสินค้า'!A:G,7,false)="InActive","InActive",IF(A860&lt;&gt;"",IF(B860&lt;=0,"สินค้าหมด",IF(B860&lt;=C860,"ควรเติมทันที","OK")),"")),)</f>
        <v/>
      </c>
      <c r="F860" s="24" t="str">
        <f>IFERROR(IF(A860&lt;&gt;"", SUMIF('💸 Transaction ซื้อ'!B:B,A860,'💸 Transaction ซื้อ'!G:G)/SUMIF('💸 Transaction ซื้อ'!B:B,A860,'💸 Transaction ซื้อ'!E:E),""),"-")</f>
        <v/>
      </c>
      <c r="G860" s="24" t="str">
        <f t="shared" si="1"/>
        <v/>
      </c>
      <c r="H860" s="25"/>
      <c r="I860" s="26"/>
      <c r="J860" s="26"/>
      <c r="K860" s="27" t="str">
        <f>IF(A860&lt;&gt;"",IF(E860="InActive","-",SUMIFS('💰 Transaction ขาย'!E:E,'💰 Transaction ขาย'!B:B,A860,'💰 Transaction ขาย'!A:A,"&gt;"&amp;'⚙️ Config'!$H$1-'⚙️ Config'!$H$2)),)</f>
        <v/>
      </c>
      <c r="L860" s="28" t="str">
        <f>IF(E860="InActive","-",IF(A860&lt;&gt;"",K860/'⚙️ Config'!$H$2,))</f>
        <v/>
      </c>
      <c r="M860" s="28" t="str">
        <f t="shared" si="2"/>
        <v/>
      </c>
      <c r="N860" s="28" t="str">
        <f>IF(A860&lt;&gt;"", SUMIFS('💰 Transaction ขาย'!F:F,'💰 Transaction ขาย'!B:B,A860,'💰 Transaction ขาย'!A:A,"&gt;="&amp;DATE(YEAR('⚙️ Config'!$H$1),1,1),'💰 Transaction ขาย'!A:A,"&lt;="&amp;DATE(YEAR('⚙️ Config'!$H$1),12,31)),)</f>
        <v/>
      </c>
    </row>
    <row r="861">
      <c r="A861" s="22"/>
      <c r="B861" s="22" t="str">
        <f>IF(A861&lt;&gt;"",SUMIFS('💸 Transaction ซื้อ'!E:E,'💸 Transaction ซื้อ'!B:B,A861)-SUMIFS('💰 Transaction ขาย'!E:E,'💰 Transaction ขาย'!B:B,A861),"")</f>
        <v/>
      </c>
      <c r="C861" s="23" t="str">
        <f>IF(A861&lt;&gt;"",vlookup(A861,'📦 ชื่อสินค้า'!A:E,5,false),"")</f>
        <v/>
      </c>
      <c r="D861" s="23" t="str">
        <f>IF(A861&lt;&gt;"",VLOOKUP(A861,'📦 ชื่อสินค้า'!A:F,6,false),"")</f>
        <v/>
      </c>
      <c r="E861" s="16" t="str">
        <f>IFERROR(IF(VLOOKUP(A861,'📦 ชื่อสินค้า'!A:G,7,false)="InActive","InActive",IF(A861&lt;&gt;"",IF(B861&lt;=0,"สินค้าหมด",IF(B861&lt;=C861,"ควรเติมทันที","OK")),"")),)</f>
        <v/>
      </c>
      <c r="F861" s="24" t="str">
        <f>IFERROR(IF(A861&lt;&gt;"", SUMIF('💸 Transaction ซื้อ'!B:B,A861,'💸 Transaction ซื้อ'!G:G)/SUMIF('💸 Transaction ซื้อ'!B:B,A861,'💸 Transaction ซื้อ'!E:E),""),"-")</f>
        <v/>
      </c>
      <c r="G861" s="24" t="str">
        <f t="shared" si="1"/>
        <v/>
      </c>
      <c r="H861" s="25"/>
      <c r="I861" s="26"/>
      <c r="J861" s="26"/>
      <c r="K861" s="27" t="str">
        <f>IF(A861&lt;&gt;"",IF(E861="InActive","-",SUMIFS('💰 Transaction ขาย'!E:E,'💰 Transaction ขาย'!B:B,A861,'💰 Transaction ขาย'!A:A,"&gt;"&amp;'⚙️ Config'!$H$1-'⚙️ Config'!$H$2)),)</f>
        <v/>
      </c>
      <c r="L861" s="28" t="str">
        <f>IF(E861="InActive","-",IF(A861&lt;&gt;"",K861/'⚙️ Config'!$H$2,))</f>
        <v/>
      </c>
      <c r="M861" s="28" t="str">
        <f t="shared" si="2"/>
        <v/>
      </c>
      <c r="N861" s="28" t="str">
        <f>IF(A861&lt;&gt;"", SUMIFS('💰 Transaction ขาย'!F:F,'💰 Transaction ขาย'!B:B,A861,'💰 Transaction ขาย'!A:A,"&gt;="&amp;DATE(YEAR('⚙️ Config'!$H$1),1,1),'💰 Transaction ขาย'!A:A,"&lt;="&amp;DATE(YEAR('⚙️ Config'!$H$1),12,31)),)</f>
        <v/>
      </c>
    </row>
    <row r="862">
      <c r="A862" s="22"/>
      <c r="B862" s="22" t="str">
        <f>IF(A862&lt;&gt;"",SUMIFS('💸 Transaction ซื้อ'!E:E,'💸 Transaction ซื้อ'!B:B,A862)-SUMIFS('💰 Transaction ขาย'!E:E,'💰 Transaction ขาย'!B:B,A862),"")</f>
        <v/>
      </c>
      <c r="C862" s="23" t="str">
        <f>IF(A862&lt;&gt;"",vlookup(A862,'📦 ชื่อสินค้า'!A:E,5,false),"")</f>
        <v/>
      </c>
      <c r="D862" s="23" t="str">
        <f>IF(A862&lt;&gt;"",VLOOKUP(A862,'📦 ชื่อสินค้า'!A:F,6,false),"")</f>
        <v/>
      </c>
      <c r="E862" s="16" t="str">
        <f>IFERROR(IF(VLOOKUP(A862,'📦 ชื่อสินค้า'!A:G,7,false)="InActive","InActive",IF(A862&lt;&gt;"",IF(B862&lt;=0,"สินค้าหมด",IF(B862&lt;=C862,"ควรเติมทันที","OK")),"")),)</f>
        <v/>
      </c>
      <c r="F862" s="24" t="str">
        <f>IFERROR(IF(A862&lt;&gt;"", SUMIF('💸 Transaction ซื้อ'!B:B,A862,'💸 Transaction ซื้อ'!G:G)/SUMIF('💸 Transaction ซื้อ'!B:B,A862,'💸 Transaction ซื้อ'!E:E),""),"-")</f>
        <v/>
      </c>
      <c r="G862" s="24" t="str">
        <f t="shared" si="1"/>
        <v/>
      </c>
      <c r="H862" s="25"/>
      <c r="I862" s="26"/>
      <c r="J862" s="26"/>
      <c r="K862" s="27" t="str">
        <f>IF(A862&lt;&gt;"",IF(E862="InActive","-",SUMIFS('💰 Transaction ขาย'!E:E,'💰 Transaction ขาย'!B:B,A862,'💰 Transaction ขาย'!A:A,"&gt;"&amp;'⚙️ Config'!$H$1-'⚙️ Config'!$H$2)),)</f>
        <v/>
      </c>
      <c r="L862" s="28" t="str">
        <f>IF(E862="InActive","-",IF(A862&lt;&gt;"",K862/'⚙️ Config'!$H$2,))</f>
        <v/>
      </c>
      <c r="M862" s="28" t="str">
        <f t="shared" si="2"/>
        <v/>
      </c>
      <c r="N862" s="28" t="str">
        <f>IF(A862&lt;&gt;"", SUMIFS('💰 Transaction ขาย'!F:F,'💰 Transaction ขาย'!B:B,A862,'💰 Transaction ขาย'!A:A,"&gt;="&amp;DATE(YEAR('⚙️ Config'!$H$1),1,1),'💰 Transaction ขาย'!A:A,"&lt;="&amp;DATE(YEAR('⚙️ Config'!$H$1),12,31)),)</f>
        <v/>
      </c>
    </row>
    <row r="863">
      <c r="A863" s="22"/>
      <c r="B863" s="22" t="str">
        <f>IF(A863&lt;&gt;"",SUMIFS('💸 Transaction ซื้อ'!E:E,'💸 Transaction ซื้อ'!B:B,A863)-SUMIFS('💰 Transaction ขาย'!E:E,'💰 Transaction ขาย'!B:B,A863),"")</f>
        <v/>
      </c>
      <c r="C863" s="23" t="str">
        <f>IF(A863&lt;&gt;"",vlookup(A863,'📦 ชื่อสินค้า'!A:E,5,false),"")</f>
        <v/>
      </c>
      <c r="D863" s="23" t="str">
        <f>IF(A863&lt;&gt;"",VLOOKUP(A863,'📦 ชื่อสินค้า'!A:F,6,false),"")</f>
        <v/>
      </c>
      <c r="E863" s="16" t="str">
        <f>IFERROR(IF(VLOOKUP(A863,'📦 ชื่อสินค้า'!A:G,7,false)="InActive","InActive",IF(A863&lt;&gt;"",IF(B863&lt;=0,"สินค้าหมด",IF(B863&lt;=C863,"ควรเติมทันที","OK")),"")),)</f>
        <v/>
      </c>
      <c r="F863" s="24" t="str">
        <f>IFERROR(IF(A863&lt;&gt;"", SUMIF('💸 Transaction ซื้อ'!B:B,A863,'💸 Transaction ซื้อ'!G:G)/SUMIF('💸 Transaction ซื้อ'!B:B,A863,'💸 Transaction ซื้อ'!E:E),""),"-")</f>
        <v/>
      </c>
      <c r="G863" s="24" t="str">
        <f t="shared" si="1"/>
        <v/>
      </c>
      <c r="H863" s="25"/>
      <c r="I863" s="26"/>
      <c r="J863" s="26"/>
      <c r="K863" s="27" t="str">
        <f>IF(A863&lt;&gt;"",IF(E863="InActive","-",SUMIFS('💰 Transaction ขาย'!E:E,'💰 Transaction ขาย'!B:B,A863,'💰 Transaction ขาย'!A:A,"&gt;"&amp;'⚙️ Config'!$H$1-'⚙️ Config'!$H$2)),)</f>
        <v/>
      </c>
      <c r="L863" s="28" t="str">
        <f>IF(E863="InActive","-",IF(A863&lt;&gt;"",K863/'⚙️ Config'!$H$2,))</f>
        <v/>
      </c>
      <c r="M863" s="28" t="str">
        <f t="shared" si="2"/>
        <v/>
      </c>
      <c r="N863" s="28" t="str">
        <f>IF(A863&lt;&gt;"", SUMIFS('💰 Transaction ขาย'!F:F,'💰 Transaction ขาย'!B:B,A863,'💰 Transaction ขาย'!A:A,"&gt;="&amp;DATE(YEAR('⚙️ Config'!$H$1),1,1),'💰 Transaction ขาย'!A:A,"&lt;="&amp;DATE(YEAR('⚙️ Config'!$H$1),12,31)),)</f>
        <v/>
      </c>
    </row>
    <row r="864">
      <c r="A864" s="22"/>
      <c r="B864" s="22" t="str">
        <f>IF(A864&lt;&gt;"",SUMIFS('💸 Transaction ซื้อ'!E:E,'💸 Transaction ซื้อ'!B:B,A864)-SUMIFS('💰 Transaction ขาย'!E:E,'💰 Transaction ขาย'!B:B,A864),"")</f>
        <v/>
      </c>
      <c r="C864" s="23" t="str">
        <f>IF(A864&lt;&gt;"",vlookup(A864,'📦 ชื่อสินค้า'!A:E,5,false),"")</f>
        <v/>
      </c>
      <c r="D864" s="23" t="str">
        <f>IF(A864&lt;&gt;"",VLOOKUP(A864,'📦 ชื่อสินค้า'!A:F,6,false),"")</f>
        <v/>
      </c>
      <c r="E864" s="16" t="str">
        <f>IFERROR(IF(VLOOKUP(A864,'📦 ชื่อสินค้า'!A:G,7,false)="InActive","InActive",IF(A864&lt;&gt;"",IF(B864&lt;=0,"สินค้าหมด",IF(B864&lt;=C864,"ควรเติมทันที","OK")),"")),)</f>
        <v/>
      </c>
      <c r="F864" s="24" t="str">
        <f>IFERROR(IF(A864&lt;&gt;"", SUMIF('💸 Transaction ซื้อ'!B:B,A864,'💸 Transaction ซื้อ'!G:G)/SUMIF('💸 Transaction ซื้อ'!B:B,A864,'💸 Transaction ซื้อ'!E:E),""),"-")</f>
        <v/>
      </c>
      <c r="G864" s="24" t="str">
        <f t="shared" si="1"/>
        <v/>
      </c>
      <c r="H864" s="25"/>
      <c r="I864" s="26"/>
      <c r="J864" s="26"/>
      <c r="K864" s="27" t="str">
        <f>IF(A864&lt;&gt;"",IF(E864="InActive","-",SUMIFS('💰 Transaction ขาย'!E:E,'💰 Transaction ขาย'!B:B,A864,'💰 Transaction ขาย'!A:A,"&gt;"&amp;'⚙️ Config'!$H$1-'⚙️ Config'!$H$2)),)</f>
        <v/>
      </c>
      <c r="L864" s="28" t="str">
        <f>IF(E864="InActive","-",IF(A864&lt;&gt;"",K864/'⚙️ Config'!$H$2,))</f>
        <v/>
      </c>
      <c r="M864" s="28" t="str">
        <f t="shared" si="2"/>
        <v/>
      </c>
      <c r="N864" s="28" t="str">
        <f>IF(A864&lt;&gt;"", SUMIFS('💰 Transaction ขาย'!F:F,'💰 Transaction ขาย'!B:B,A864,'💰 Transaction ขาย'!A:A,"&gt;="&amp;DATE(YEAR('⚙️ Config'!$H$1),1,1),'💰 Transaction ขาย'!A:A,"&lt;="&amp;DATE(YEAR('⚙️ Config'!$H$1),12,31)),)</f>
        <v/>
      </c>
    </row>
    <row r="865">
      <c r="A865" s="22"/>
      <c r="B865" s="22" t="str">
        <f>IF(A865&lt;&gt;"",SUMIFS('💸 Transaction ซื้อ'!E:E,'💸 Transaction ซื้อ'!B:B,A865)-SUMIFS('💰 Transaction ขาย'!E:E,'💰 Transaction ขาย'!B:B,A865),"")</f>
        <v/>
      </c>
      <c r="C865" s="23" t="str">
        <f>IF(A865&lt;&gt;"",vlookup(A865,'📦 ชื่อสินค้า'!A:E,5,false),"")</f>
        <v/>
      </c>
      <c r="D865" s="23" t="str">
        <f>IF(A865&lt;&gt;"",VLOOKUP(A865,'📦 ชื่อสินค้า'!A:F,6,false),"")</f>
        <v/>
      </c>
      <c r="E865" s="16" t="str">
        <f>IFERROR(IF(VLOOKUP(A865,'📦 ชื่อสินค้า'!A:G,7,false)="InActive","InActive",IF(A865&lt;&gt;"",IF(B865&lt;=0,"สินค้าหมด",IF(B865&lt;=C865,"ควรเติมทันที","OK")),"")),)</f>
        <v/>
      </c>
      <c r="F865" s="24" t="str">
        <f>IFERROR(IF(A865&lt;&gt;"", SUMIF('💸 Transaction ซื้อ'!B:B,A865,'💸 Transaction ซื้อ'!G:G)/SUMIF('💸 Transaction ซื้อ'!B:B,A865,'💸 Transaction ซื้อ'!E:E),""),"-")</f>
        <v/>
      </c>
      <c r="G865" s="24" t="str">
        <f t="shared" si="1"/>
        <v/>
      </c>
      <c r="H865" s="25"/>
      <c r="I865" s="26"/>
      <c r="J865" s="26"/>
      <c r="K865" s="27" t="str">
        <f>IF(A865&lt;&gt;"",IF(E865="InActive","-",SUMIFS('💰 Transaction ขาย'!E:E,'💰 Transaction ขาย'!B:B,A865,'💰 Transaction ขาย'!A:A,"&gt;"&amp;'⚙️ Config'!$H$1-'⚙️ Config'!$H$2)),)</f>
        <v/>
      </c>
      <c r="L865" s="28" t="str">
        <f>IF(E865="InActive","-",IF(A865&lt;&gt;"",K865/'⚙️ Config'!$H$2,))</f>
        <v/>
      </c>
      <c r="M865" s="28" t="str">
        <f t="shared" si="2"/>
        <v/>
      </c>
      <c r="N865" s="28" t="str">
        <f>IF(A865&lt;&gt;"", SUMIFS('💰 Transaction ขาย'!F:F,'💰 Transaction ขาย'!B:B,A865,'💰 Transaction ขาย'!A:A,"&gt;="&amp;DATE(YEAR('⚙️ Config'!$H$1),1,1),'💰 Transaction ขาย'!A:A,"&lt;="&amp;DATE(YEAR('⚙️ Config'!$H$1),12,31)),)</f>
        <v/>
      </c>
    </row>
    <row r="866">
      <c r="A866" s="22"/>
      <c r="B866" s="22" t="str">
        <f>IF(A866&lt;&gt;"",SUMIFS('💸 Transaction ซื้อ'!E:E,'💸 Transaction ซื้อ'!B:B,A866)-SUMIFS('💰 Transaction ขาย'!E:E,'💰 Transaction ขาย'!B:B,A866),"")</f>
        <v/>
      </c>
      <c r="C866" s="23" t="str">
        <f>IF(A866&lt;&gt;"",vlookup(A866,'📦 ชื่อสินค้า'!A:E,5,false),"")</f>
        <v/>
      </c>
      <c r="D866" s="23" t="str">
        <f>IF(A866&lt;&gt;"",VLOOKUP(A866,'📦 ชื่อสินค้า'!A:F,6,false),"")</f>
        <v/>
      </c>
      <c r="E866" s="16" t="str">
        <f>IFERROR(IF(VLOOKUP(A866,'📦 ชื่อสินค้า'!A:G,7,false)="InActive","InActive",IF(A866&lt;&gt;"",IF(B866&lt;=0,"สินค้าหมด",IF(B866&lt;=C866,"ควรเติมทันที","OK")),"")),)</f>
        <v/>
      </c>
      <c r="F866" s="24" t="str">
        <f>IFERROR(IF(A866&lt;&gt;"", SUMIF('💸 Transaction ซื้อ'!B:B,A866,'💸 Transaction ซื้อ'!G:G)/SUMIF('💸 Transaction ซื้อ'!B:B,A866,'💸 Transaction ซื้อ'!E:E),""),"-")</f>
        <v/>
      </c>
      <c r="G866" s="24" t="str">
        <f t="shared" si="1"/>
        <v/>
      </c>
      <c r="H866" s="25"/>
      <c r="I866" s="26"/>
      <c r="J866" s="26"/>
      <c r="K866" s="27" t="str">
        <f>IF(A866&lt;&gt;"",IF(E866="InActive","-",SUMIFS('💰 Transaction ขาย'!E:E,'💰 Transaction ขาย'!B:B,A866,'💰 Transaction ขาย'!A:A,"&gt;"&amp;'⚙️ Config'!$H$1-'⚙️ Config'!$H$2)),)</f>
        <v/>
      </c>
      <c r="L866" s="28" t="str">
        <f>IF(E866="InActive","-",IF(A866&lt;&gt;"",K866/'⚙️ Config'!$H$2,))</f>
        <v/>
      </c>
      <c r="M866" s="28" t="str">
        <f t="shared" si="2"/>
        <v/>
      </c>
      <c r="N866" s="28" t="str">
        <f>IF(A866&lt;&gt;"", SUMIFS('💰 Transaction ขาย'!F:F,'💰 Transaction ขาย'!B:B,A866,'💰 Transaction ขาย'!A:A,"&gt;="&amp;DATE(YEAR('⚙️ Config'!$H$1),1,1),'💰 Transaction ขาย'!A:A,"&lt;="&amp;DATE(YEAR('⚙️ Config'!$H$1),12,31)),)</f>
        <v/>
      </c>
    </row>
    <row r="867">
      <c r="A867" s="22"/>
      <c r="B867" s="22" t="str">
        <f>IF(A867&lt;&gt;"",SUMIFS('💸 Transaction ซื้อ'!E:E,'💸 Transaction ซื้อ'!B:B,A867)-SUMIFS('💰 Transaction ขาย'!E:E,'💰 Transaction ขาย'!B:B,A867),"")</f>
        <v/>
      </c>
      <c r="C867" s="23" t="str">
        <f>IF(A867&lt;&gt;"",vlookup(A867,'📦 ชื่อสินค้า'!A:E,5,false),"")</f>
        <v/>
      </c>
      <c r="D867" s="23" t="str">
        <f>IF(A867&lt;&gt;"",VLOOKUP(A867,'📦 ชื่อสินค้า'!A:F,6,false),"")</f>
        <v/>
      </c>
      <c r="E867" s="16" t="str">
        <f>IFERROR(IF(VLOOKUP(A867,'📦 ชื่อสินค้า'!A:G,7,false)="InActive","InActive",IF(A867&lt;&gt;"",IF(B867&lt;=0,"สินค้าหมด",IF(B867&lt;=C867,"ควรเติมทันที","OK")),"")),)</f>
        <v/>
      </c>
      <c r="F867" s="24" t="str">
        <f>IFERROR(IF(A867&lt;&gt;"", SUMIF('💸 Transaction ซื้อ'!B:B,A867,'💸 Transaction ซื้อ'!G:G)/SUMIF('💸 Transaction ซื้อ'!B:B,A867,'💸 Transaction ซื้อ'!E:E),""),"-")</f>
        <v/>
      </c>
      <c r="G867" s="24" t="str">
        <f t="shared" si="1"/>
        <v/>
      </c>
      <c r="H867" s="25"/>
      <c r="I867" s="26"/>
      <c r="J867" s="26"/>
      <c r="K867" s="27" t="str">
        <f>IF(A867&lt;&gt;"",IF(E867="InActive","-",SUMIFS('💰 Transaction ขาย'!E:E,'💰 Transaction ขาย'!B:B,A867,'💰 Transaction ขาย'!A:A,"&gt;"&amp;'⚙️ Config'!$H$1-'⚙️ Config'!$H$2)),)</f>
        <v/>
      </c>
      <c r="L867" s="28" t="str">
        <f>IF(E867="InActive","-",IF(A867&lt;&gt;"",K867/'⚙️ Config'!$H$2,))</f>
        <v/>
      </c>
      <c r="M867" s="28" t="str">
        <f t="shared" si="2"/>
        <v/>
      </c>
      <c r="N867" s="28" t="str">
        <f>IF(A867&lt;&gt;"", SUMIFS('💰 Transaction ขาย'!F:F,'💰 Transaction ขาย'!B:B,A867,'💰 Transaction ขาย'!A:A,"&gt;="&amp;DATE(YEAR('⚙️ Config'!$H$1),1,1),'💰 Transaction ขาย'!A:A,"&lt;="&amp;DATE(YEAR('⚙️ Config'!$H$1),12,31)),)</f>
        <v/>
      </c>
    </row>
    <row r="868">
      <c r="A868" s="22"/>
      <c r="B868" s="22" t="str">
        <f>IF(A868&lt;&gt;"",SUMIFS('💸 Transaction ซื้อ'!E:E,'💸 Transaction ซื้อ'!B:B,A868)-SUMIFS('💰 Transaction ขาย'!E:E,'💰 Transaction ขาย'!B:B,A868),"")</f>
        <v/>
      </c>
      <c r="C868" s="23" t="str">
        <f>IF(A868&lt;&gt;"",vlookup(A868,'📦 ชื่อสินค้า'!A:E,5,false),"")</f>
        <v/>
      </c>
      <c r="D868" s="23" t="str">
        <f>IF(A868&lt;&gt;"",VLOOKUP(A868,'📦 ชื่อสินค้า'!A:F,6,false),"")</f>
        <v/>
      </c>
      <c r="E868" s="16" t="str">
        <f>IFERROR(IF(VLOOKUP(A868,'📦 ชื่อสินค้า'!A:G,7,false)="InActive","InActive",IF(A868&lt;&gt;"",IF(B868&lt;=0,"สินค้าหมด",IF(B868&lt;=C868,"ควรเติมทันที","OK")),"")),)</f>
        <v/>
      </c>
      <c r="F868" s="24" t="str">
        <f>IFERROR(IF(A868&lt;&gt;"", SUMIF('💸 Transaction ซื้อ'!B:B,A868,'💸 Transaction ซื้อ'!G:G)/SUMIF('💸 Transaction ซื้อ'!B:B,A868,'💸 Transaction ซื้อ'!E:E),""),"-")</f>
        <v/>
      </c>
      <c r="G868" s="24" t="str">
        <f t="shared" si="1"/>
        <v/>
      </c>
      <c r="H868" s="25"/>
      <c r="I868" s="26"/>
      <c r="J868" s="26"/>
      <c r="K868" s="27" t="str">
        <f>IF(A868&lt;&gt;"",IF(E868="InActive","-",SUMIFS('💰 Transaction ขาย'!E:E,'💰 Transaction ขาย'!B:B,A868,'💰 Transaction ขาย'!A:A,"&gt;"&amp;'⚙️ Config'!$H$1-'⚙️ Config'!$H$2)),)</f>
        <v/>
      </c>
      <c r="L868" s="28" t="str">
        <f>IF(E868="InActive","-",IF(A868&lt;&gt;"",K868/'⚙️ Config'!$H$2,))</f>
        <v/>
      </c>
      <c r="M868" s="28" t="str">
        <f t="shared" si="2"/>
        <v/>
      </c>
      <c r="N868" s="28" t="str">
        <f>IF(A868&lt;&gt;"", SUMIFS('💰 Transaction ขาย'!F:F,'💰 Transaction ขาย'!B:B,A868,'💰 Transaction ขาย'!A:A,"&gt;="&amp;DATE(YEAR('⚙️ Config'!$H$1),1,1),'💰 Transaction ขาย'!A:A,"&lt;="&amp;DATE(YEAR('⚙️ Config'!$H$1),12,31)),)</f>
        <v/>
      </c>
    </row>
    <row r="869">
      <c r="A869" s="22"/>
      <c r="B869" s="22" t="str">
        <f>IF(A869&lt;&gt;"",SUMIFS('💸 Transaction ซื้อ'!E:E,'💸 Transaction ซื้อ'!B:B,A869)-SUMIFS('💰 Transaction ขาย'!E:E,'💰 Transaction ขาย'!B:B,A869),"")</f>
        <v/>
      </c>
      <c r="C869" s="23" t="str">
        <f>IF(A869&lt;&gt;"",vlookup(A869,'📦 ชื่อสินค้า'!A:E,5,false),"")</f>
        <v/>
      </c>
      <c r="D869" s="23" t="str">
        <f>IF(A869&lt;&gt;"",VLOOKUP(A869,'📦 ชื่อสินค้า'!A:F,6,false),"")</f>
        <v/>
      </c>
      <c r="E869" s="16" t="str">
        <f>IFERROR(IF(VLOOKUP(A869,'📦 ชื่อสินค้า'!A:G,7,false)="InActive","InActive",IF(A869&lt;&gt;"",IF(B869&lt;=0,"สินค้าหมด",IF(B869&lt;=C869,"ควรเติมทันที","OK")),"")),)</f>
        <v/>
      </c>
      <c r="F869" s="24" t="str">
        <f>IFERROR(IF(A869&lt;&gt;"", SUMIF('💸 Transaction ซื้อ'!B:B,A869,'💸 Transaction ซื้อ'!G:G)/SUMIF('💸 Transaction ซื้อ'!B:B,A869,'💸 Transaction ซื้อ'!E:E),""),"-")</f>
        <v/>
      </c>
      <c r="G869" s="24" t="str">
        <f t="shared" si="1"/>
        <v/>
      </c>
      <c r="H869" s="25"/>
      <c r="I869" s="26"/>
      <c r="J869" s="26"/>
      <c r="K869" s="27" t="str">
        <f>IF(A869&lt;&gt;"",IF(E869="InActive","-",SUMIFS('💰 Transaction ขาย'!E:E,'💰 Transaction ขาย'!B:B,A869,'💰 Transaction ขาย'!A:A,"&gt;"&amp;'⚙️ Config'!$H$1-'⚙️ Config'!$H$2)),)</f>
        <v/>
      </c>
      <c r="L869" s="28" t="str">
        <f>IF(E869="InActive","-",IF(A869&lt;&gt;"",K869/'⚙️ Config'!$H$2,))</f>
        <v/>
      </c>
      <c r="M869" s="28" t="str">
        <f t="shared" si="2"/>
        <v/>
      </c>
      <c r="N869" s="28" t="str">
        <f>IF(A869&lt;&gt;"", SUMIFS('💰 Transaction ขาย'!F:F,'💰 Transaction ขาย'!B:B,A869,'💰 Transaction ขาย'!A:A,"&gt;="&amp;DATE(YEAR('⚙️ Config'!$H$1),1,1),'💰 Transaction ขาย'!A:A,"&lt;="&amp;DATE(YEAR('⚙️ Config'!$H$1),12,31)),)</f>
        <v/>
      </c>
    </row>
    <row r="870">
      <c r="A870" s="22"/>
      <c r="B870" s="22" t="str">
        <f>IF(A870&lt;&gt;"",SUMIFS('💸 Transaction ซื้อ'!E:E,'💸 Transaction ซื้อ'!B:B,A870)-SUMIFS('💰 Transaction ขาย'!E:E,'💰 Transaction ขาย'!B:B,A870),"")</f>
        <v/>
      </c>
      <c r="C870" s="23" t="str">
        <f>IF(A870&lt;&gt;"",vlookup(A870,'📦 ชื่อสินค้า'!A:E,5,false),"")</f>
        <v/>
      </c>
      <c r="D870" s="23" t="str">
        <f>IF(A870&lt;&gt;"",VLOOKUP(A870,'📦 ชื่อสินค้า'!A:F,6,false),"")</f>
        <v/>
      </c>
      <c r="E870" s="16" t="str">
        <f>IFERROR(IF(VLOOKUP(A870,'📦 ชื่อสินค้า'!A:G,7,false)="InActive","InActive",IF(A870&lt;&gt;"",IF(B870&lt;=0,"สินค้าหมด",IF(B870&lt;=C870,"ควรเติมทันที","OK")),"")),)</f>
        <v/>
      </c>
      <c r="F870" s="24" t="str">
        <f>IFERROR(IF(A870&lt;&gt;"", SUMIF('💸 Transaction ซื้อ'!B:B,A870,'💸 Transaction ซื้อ'!G:G)/SUMIF('💸 Transaction ซื้อ'!B:B,A870,'💸 Transaction ซื้อ'!E:E),""),"-")</f>
        <v/>
      </c>
      <c r="G870" s="24" t="str">
        <f t="shared" si="1"/>
        <v/>
      </c>
      <c r="H870" s="25"/>
      <c r="I870" s="26"/>
      <c r="J870" s="26"/>
      <c r="K870" s="27" t="str">
        <f>IF(A870&lt;&gt;"",IF(E870="InActive","-",SUMIFS('💰 Transaction ขาย'!E:E,'💰 Transaction ขาย'!B:B,A870,'💰 Transaction ขาย'!A:A,"&gt;"&amp;'⚙️ Config'!$H$1-'⚙️ Config'!$H$2)),)</f>
        <v/>
      </c>
      <c r="L870" s="28" t="str">
        <f>IF(E870="InActive","-",IF(A870&lt;&gt;"",K870/'⚙️ Config'!$H$2,))</f>
        <v/>
      </c>
      <c r="M870" s="28" t="str">
        <f t="shared" si="2"/>
        <v/>
      </c>
      <c r="N870" s="28" t="str">
        <f>IF(A870&lt;&gt;"", SUMIFS('💰 Transaction ขาย'!F:F,'💰 Transaction ขาย'!B:B,A870,'💰 Transaction ขาย'!A:A,"&gt;="&amp;DATE(YEAR('⚙️ Config'!$H$1),1,1),'💰 Transaction ขาย'!A:A,"&lt;="&amp;DATE(YEAR('⚙️ Config'!$H$1),12,31)),)</f>
        <v/>
      </c>
    </row>
    <row r="871">
      <c r="A871" s="22"/>
      <c r="B871" s="22" t="str">
        <f>IF(A871&lt;&gt;"",SUMIFS('💸 Transaction ซื้อ'!E:E,'💸 Transaction ซื้อ'!B:B,A871)-SUMIFS('💰 Transaction ขาย'!E:E,'💰 Transaction ขาย'!B:B,A871),"")</f>
        <v/>
      </c>
      <c r="C871" s="23" t="str">
        <f>IF(A871&lt;&gt;"",vlookup(A871,'📦 ชื่อสินค้า'!A:E,5,false),"")</f>
        <v/>
      </c>
      <c r="D871" s="23" t="str">
        <f>IF(A871&lt;&gt;"",VLOOKUP(A871,'📦 ชื่อสินค้า'!A:F,6,false),"")</f>
        <v/>
      </c>
      <c r="E871" s="16" t="str">
        <f>IFERROR(IF(VLOOKUP(A871,'📦 ชื่อสินค้า'!A:G,7,false)="InActive","InActive",IF(A871&lt;&gt;"",IF(B871&lt;=0,"สินค้าหมด",IF(B871&lt;=C871,"ควรเติมทันที","OK")),"")),)</f>
        <v/>
      </c>
      <c r="F871" s="24" t="str">
        <f>IFERROR(IF(A871&lt;&gt;"", SUMIF('💸 Transaction ซื้อ'!B:B,A871,'💸 Transaction ซื้อ'!G:G)/SUMIF('💸 Transaction ซื้อ'!B:B,A871,'💸 Transaction ซื้อ'!E:E),""),"-")</f>
        <v/>
      </c>
      <c r="G871" s="24" t="str">
        <f t="shared" si="1"/>
        <v/>
      </c>
      <c r="H871" s="25"/>
      <c r="I871" s="26"/>
      <c r="J871" s="26"/>
      <c r="K871" s="27" t="str">
        <f>IF(A871&lt;&gt;"",IF(E871="InActive","-",SUMIFS('💰 Transaction ขาย'!E:E,'💰 Transaction ขาย'!B:B,A871,'💰 Transaction ขาย'!A:A,"&gt;"&amp;'⚙️ Config'!$H$1-'⚙️ Config'!$H$2)),)</f>
        <v/>
      </c>
      <c r="L871" s="28" t="str">
        <f>IF(E871="InActive","-",IF(A871&lt;&gt;"",K871/'⚙️ Config'!$H$2,))</f>
        <v/>
      </c>
      <c r="M871" s="28" t="str">
        <f t="shared" si="2"/>
        <v/>
      </c>
      <c r="N871" s="28" t="str">
        <f>IF(A871&lt;&gt;"", SUMIFS('💰 Transaction ขาย'!F:F,'💰 Transaction ขาย'!B:B,A871,'💰 Transaction ขาย'!A:A,"&gt;="&amp;DATE(YEAR('⚙️ Config'!$H$1),1,1),'💰 Transaction ขาย'!A:A,"&lt;="&amp;DATE(YEAR('⚙️ Config'!$H$1),12,31)),)</f>
        <v/>
      </c>
    </row>
    <row r="872">
      <c r="A872" s="22"/>
      <c r="B872" s="22" t="str">
        <f>IF(A872&lt;&gt;"",SUMIFS('💸 Transaction ซื้อ'!E:E,'💸 Transaction ซื้อ'!B:B,A872)-SUMIFS('💰 Transaction ขาย'!E:E,'💰 Transaction ขาย'!B:B,A872),"")</f>
        <v/>
      </c>
      <c r="C872" s="23" t="str">
        <f>IF(A872&lt;&gt;"",vlookup(A872,'📦 ชื่อสินค้า'!A:E,5,false),"")</f>
        <v/>
      </c>
      <c r="D872" s="23" t="str">
        <f>IF(A872&lt;&gt;"",VLOOKUP(A872,'📦 ชื่อสินค้า'!A:F,6,false),"")</f>
        <v/>
      </c>
      <c r="E872" s="16" t="str">
        <f>IFERROR(IF(VLOOKUP(A872,'📦 ชื่อสินค้า'!A:G,7,false)="InActive","InActive",IF(A872&lt;&gt;"",IF(B872&lt;=0,"สินค้าหมด",IF(B872&lt;=C872,"ควรเติมทันที","OK")),"")),)</f>
        <v/>
      </c>
      <c r="F872" s="24" t="str">
        <f>IFERROR(IF(A872&lt;&gt;"", SUMIF('💸 Transaction ซื้อ'!B:B,A872,'💸 Transaction ซื้อ'!G:G)/SUMIF('💸 Transaction ซื้อ'!B:B,A872,'💸 Transaction ซื้อ'!E:E),""),"-")</f>
        <v/>
      </c>
      <c r="G872" s="24" t="str">
        <f t="shared" si="1"/>
        <v/>
      </c>
      <c r="H872" s="25"/>
      <c r="I872" s="26"/>
      <c r="J872" s="26"/>
      <c r="K872" s="27" t="str">
        <f>IF(A872&lt;&gt;"",IF(E872="InActive","-",SUMIFS('💰 Transaction ขาย'!E:E,'💰 Transaction ขาย'!B:B,A872,'💰 Transaction ขาย'!A:A,"&gt;"&amp;'⚙️ Config'!$H$1-'⚙️ Config'!$H$2)),)</f>
        <v/>
      </c>
      <c r="L872" s="28" t="str">
        <f>IF(E872="InActive","-",IF(A872&lt;&gt;"",K872/'⚙️ Config'!$H$2,))</f>
        <v/>
      </c>
      <c r="M872" s="28" t="str">
        <f t="shared" si="2"/>
        <v/>
      </c>
      <c r="N872" s="28" t="str">
        <f>IF(A872&lt;&gt;"", SUMIFS('💰 Transaction ขาย'!F:F,'💰 Transaction ขาย'!B:B,A872,'💰 Transaction ขาย'!A:A,"&gt;="&amp;DATE(YEAR('⚙️ Config'!$H$1),1,1),'💰 Transaction ขาย'!A:A,"&lt;="&amp;DATE(YEAR('⚙️ Config'!$H$1),12,31)),)</f>
        <v/>
      </c>
    </row>
    <row r="873">
      <c r="A873" s="22"/>
      <c r="B873" s="22" t="str">
        <f>IF(A873&lt;&gt;"",SUMIFS('💸 Transaction ซื้อ'!E:E,'💸 Transaction ซื้อ'!B:B,A873)-SUMIFS('💰 Transaction ขาย'!E:E,'💰 Transaction ขาย'!B:B,A873),"")</f>
        <v/>
      </c>
      <c r="C873" s="23" t="str">
        <f>IF(A873&lt;&gt;"",vlookup(A873,'📦 ชื่อสินค้า'!A:E,5,false),"")</f>
        <v/>
      </c>
      <c r="D873" s="23" t="str">
        <f>IF(A873&lt;&gt;"",VLOOKUP(A873,'📦 ชื่อสินค้า'!A:F,6,false),"")</f>
        <v/>
      </c>
      <c r="E873" s="16" t="str">
        <f>IFERROR(IF(VLOOKUP(A873,'📦 ชื่อสินค้า'!A:G,7,false)="InActive","InActive",IF(A873&lt;&gt;"",IF(B873&lt;=0,"สินค้าหมด",IF(B873&lt;=C873,"ควรเติมทันที","OK")),"")),)</f>
        <v/>
      </c>
      <c r="F873" s="24" t="str">
        <f>IFERROR(IF(A873&lt;&gt;"", SUMIF('💸 Transaction ซื้อ'!B:B,A873,'💸 Transaction ซื้อ'!G:G)/SUMIF('💸 Transaction ซื้อ'!B:B,A873,'💸 Transaction ซื้อ'!E:E),""),"-")</f>
        <v/>
      </c>
      <c r="G873" s="24" t="str">
        <f t="shared" si="1"/>
        <v/>
      </c>
      <c r="H873" s="25"/>
      <c r="I873" s="26"/>
      <c r="J873" s="26"/>
      <c r="K873" s="27" t="str">
        <f>IF(A873&lt;&gt;"",IF(E873="InActive","-",SUMIFS('💰 Transaction ขาย'!E:E,'💰 Transaction ขาย'!B:B,A873,'💰 Transaction ขาย'!A:A,"&gt;"&amp;'⚙️ Config'!$H$1-'⚙️ Config'!$H$2)),)</f>
        <v/>
      </c>
      <c r="L873" s="28" t="str">
        <f>IF(E873="InActive","-",IF(A873&lt;&gt;"",K873/'⚙️ Config'!$H$2,))</f>
        <v/>
      </c>
      <c r="M873" s="28" t="str">
        <f t="shared" si="2"/>
        <v/>
      </c>
      <c r="N873" s="28" t="str">
        <f>IF(A873&lt;&gt;"", SUMIFS('💰 Transaction ขาย'!F:F,'💰 Transaction ขาย'!B:B,A873,'💰 Transaction ขาย'!A:A,"&gt;="&amp;DATE(YEAR('⚙️ Config'!$H$1),1,1),'💰 Transaction ขาย'!A:A,"&lt;="&amp;DATE(YEAR('⚙️ Config'!$H$1),12,31)),)</f>
        <v/>
      </c>
    </row>
    <row r="874">
      <c r="A874" s="22"/>
      <c r="B874" s="22" t="str">
        <f>IF(A874&lt;&gt;"",SUMIFS('💸 Transaction ซื้อ'!E:E,'💸 Transaction ซื้อ'!B:B,A874)-SUMIFS('💰 Transaction ขาย'!E:E,'💰 Transaction ขาย'!B:B,A874),"")</f>
        <v/>
      </c>
      <c r="C874" s="23" t="str">
        <f>IF(A874&lt;&gt;"",vlookup(A874,'📦 ชื่อสินค้า'!A:E,5,false),"")</f>
        <v/>
      </c>
      <c r="D874" s="23" t="str">
        <f>IF(A874&lt;&gt;"",VLOOKUP(A874,'📦 ชื่อสินค้า'!A:F,6,false),"")</f>
        <v/>
      </c>
      <c r="E874" s="16" t="str">
        <f>IFERROR(IF(VLOOKUP(A874,'📦 ชื่อสินค้า'!A:G,7,false)="InActive","InActive",IF(A874&lt;&gt;"",IF(B874&lt;=0,"สินค้าหมด",IF(B874&lt;=C874,"ควรเติมทันที","OK")),"")),)</f>
        <v/>
      </c>
      <c r="F874" s="24" t="str">
        <f>IFERROR(IF(A874&lt;&gt;"", SUMIF('💸 Transaction ซื้อ'!B:B,A874,'💸 Transaction ซื้อ'!G:G)/SUMIF('💸 Transaction ซื้อ'!B:B,A874,'💸 Transaction ซื้อ'!E:E),""),"-")</f>
        <v/>
      </c>
      <c r="G874" s="24" t="str">
        <f t="shared" si="1"/>
        <v/>
      </c>
      <c r="H874" s="25"/>
      <c r="I874" s="26"/>
      <c r="J874" s="26"/>
      <c r="K874" s="27" t="str">
        <f>IF(A874&lt;&gt;"",IF(E874="InActive","-",SUMIFS('💰 Transaction ขาย'!E:E,'💰 Transaction ขาย'!B:B,A874,'💰 Transaction ขาย'!A:A,"&gt;"&amp;'⚙️ Config'!$H$1-'⚙️ Config'!$H$2)),)</f>
        <v/>
      </c>
      <c r="L874" s="28" t="str">
        <f>IF(E874="InActive","-",IF(A874&lt;&gt;"",K874/'⚙️ Config'!$H$2,))</f>
        <v/>
      </c>
      <c r="M874" s="28" t="str">
        <f t="shared" si="2"/>
        <v/>
      </c>
      <c r="N874" s="28" t="str">
        <f>IF(A874&lt;&gt;"", SUMIFS('💰 Transaction ขาย'!F:F,'💰 Transaction ขาย'!B:B,A874,'💰 Transaction ขาย'!A:A,"&gt;="&amp;DATE(YEAR('⚙️ Config'!$H$1),1,1),'💰 Transaction ขาย'!A:A,"&lt;="&amp;DATE(YEAR('⚙️ Config'!$H$1),12,31)),)</f>
        <v/>
      </c>
    </row>
    <row r="875">
      <c r="A875" s="22"/>
      <c r="B875" s="22" t="str">
        <f>IF(A875&lt;&gt;"",SUMIFS('💸 Transaction ซื้อ'!E:E,'💸 Transaction ซื้อ'!B:B,A875)-SUMIFS('💰 Transaction ขาย'!E:E,'💰 Transaction ขาย'!B:B,A875),"")</f>
        <v/>
      </c>
      <c r="C875" s="23" t="str">
        <f>IF(A875&lt;&gt;"",vlookup(A875,'📦 ชื่อสินค้า'!A:E,5,false),"")</f>
        <v/>
      </c>
      <c r="D875" s="23" t="str">
        <f>IF(A875&lt;&gt;"",VLOOKUP(A875,'📦 ชื่อสินค้า'!A:F,6,false),"")</f>
        <v/>
      </c>
      <c r="E875" s="16" t="str">
        <f>IFERROR(IF(VLOOKUP(A875,'📦 ชื่อสินค้า'!A:G,7,false)="InActive","InActive",IF(A875&lt;&gt;"",IF(B875&lt;=0,"สินค้าหมด",IF(B875&lt;=C875,"ควรเติมทันที","OK")),"")),)</f>
        <v/>
      </c>
      <c r="F875" s="24" t="str">
        <f>IFERROR(IF(A875&lt;&gt;"", SUMIF('💸 Transaction ซื้อ'!B:B,A875,'💸 Transaction ซื้อ'!G:G)/SUMIF('💸 Transaction ซื้อ'!B:B,A875,'💸 Transaction ซื้อ'!E:E),""),"-")</f>
        <v/>
      </c>
      <c r="G875" s="24" t="str">
        <f t="shared" si="1"/>
        <v/>
      </c>
      <c r="H875" s="25"/>
      <c r="I875" s="26"/>
      <c r="J875" s="26"/>
      <c r="K875" s="27" t="str">
        <f>IF(A875&lt;&gt;"",IF(E875="InActive","-",SUMIFS('💰 Transaction ขาย'!E:E,'💰 Transaction ขาย'!B:B,A875,'💰 Transaction ขาย'!A:A,"&gt;"&amp;'⚙️ Config'!$H$1-'⚙️ Config'!$H$2)),)</f>
        <v/>
      </c>
      <c r="L875" s="28" t="str">
        <f>IF(E875="InActive","-",IF(A875&lt;&gt;"",K875/'⚙️ Config'!$H$2,))</f>
        <v/>
      </c>
      <c r="M875" s="28" t="str">
        <f t="shared" si="2"/>
        <v/>
      </c>
      <c r="N875" s="28" t="str">
        <f>IF(A875&lt;&gt;"", SUMIFS('💰 Transaction ขาย'!F:F,'💰 Transaction ขาย'!B:B,A875,'💰 Transaction ขาย'!A:A,"&gt;="&amp;DATE(YEAR('⚙️ Config'!$H$1),1,1),'💰 Transaction ขาย'!A:A,"&lt;="&amp;DATE(YEAR('⚙️ Config'!$H$1),12,31)),)</f>
        <v/>
      </c>
    </row>
    <row r="876">
      <c r="A876" s="22"/>
      <c r="B876" s="22" t="str">
        <f>IF(A876&lt;&gt;"",SUMIFS('💸 Transaction ซื้อ'!E:E,'💸 Transaction ซื้อ'!B:B,A876)-SUMIFS('💰 Transaction ขาย'!E:E,'💰 Transaction ขาย'!B:B,A876),"")</f>
        <v/>
      </c>
      <c r="C876" s="23" t="str">
        <f>IF(A876&lt;&gt;"",vlookup(A876,'📦 ชื่อสินค้า'!A:E,5,false),"")</f>
        <v/>
      </c>
      <c r="D876" s="23" t="str">
        <f>IF(A876&lt;&gt;"",VLOOKUP(A876,'📦 ชื่อสินค้า'!A:F,6,false),"")</f>
        <v/>
      </c>
      <c r="E876" s="16" t="str">
        <f>IFERROR(IF(VLOOKUP(A876,'📦 ชื่อสินค้า'!A:G,7,false)="InActive","InActive",IF(A876&lt;&gt;"",IF(B876&lt;=0,"สินค้าหมด",IF(B876&lt;=C876,"ควรเติมทันที","OK")),"")),)</f>
        <v/>
      </c>
      <c r="F876" s="24" t="str">
        <f>IFERROR(IF(A876&lt;&gt;"", SUMIF('💸 Transaction ซื้อ'!B:B,A876,'💸 Transaction ซื้อ'!G:G)/SUMIF('💸 Transaction ซื้อ'!B:B,A876,'💸 Transaction ซื้อ'!E:E),""),"-")</f>
        <v/>
      </c>
      <c r="G876" s="24" t="str">
        <f t="shared" si="1"/>
        <v/>
      </c>
      <c r="H876" s="25"/>
      <c r="I876" s="26"/>
      <c r="J876" s="26"/>
      <c r="K876" s="27" t="str">
        <f>IF(A876&lt;&gt;"",IF(E876="InActive","-",SUMIFS('💰 Transaction ขาย'!E:E,'💰 Transaction ขาย'!B:B,A876,'💰 Transaction ขาย'!A:A,"&gt;"&amp;'⚙️ Config'!$H$1-'⚙️ Config'!$H$2)),)</f>
        <v/>
      </c>
      <c r="L876" s="28" t="str">
        <f>IF(E876="InActive","-",IF(A876&lt;&gt;"",K876/'⚙️ Config'!$H$2,))</f>
        <v/>
      </c>
      <c r="M876" s="28" t="str">
        <f t="shared" si="2"/>
        <v/>
      </c>
      <c r="N876" s="28" t="str">
        <f>IF(A876&lt;&gt;"", SUMIFS('💰 Transaction ขาย'!F:F,'💰 Transaction ขาย'!B:B,A876,'💰 Transaction ขาย'!A:A,"&gt;="&amp;DATE(YEAR('⚙️ Config'!$H$1),1,1),'💰 Transaction ขาย'!A:A,"&lt;="&amp;DATE(YEAR('⚙️ Config'!$H$1),12,31)),)</f>
        <v/>
      </c>
    </row>
    <row r="877">
      <c r="A877" s="22"/>
      <c r="B877" s="22" t="str">
        <f>IF(A877&lt;&gt;"",SUMIFS('💸 Transaction ซื้อ'!E:E,'💸 Transaction ซื้อ'!B:B,A877)-SUMIFS('💰 Transaction ขาย'!E:E,'💰 Transaction ขาย'!B:B,A877),"")</f>
        <v/>
      </c>
      <c r="C877" s="23" t="str">
        <f>IF(A877&lt;&gt;"",vlookup(A877,'📦 ชื่อสินค้า'!A:E,5,false),"")</f>
        <v/>
      </c>
      <c r="D877" s="23" t="str">
        <f>IF(A877&lt;&gt;"",VLOOKUP(A877,'📦 ชื่อสินค้า'!A:F,6,false),"")</f>
        <v/>
      </c>
      <c r="E877" s="16" t="str">
        <f>IFERROR(IF(VLOOKUP(A877,'📦 ชื่อสินค้า'!A:G,7,false)="InActive","InActive",IF(A877&lt;&gt;"",IF(B877&lt;=0,"สินค้าหมด",IF(B877&lt;=C877,"ควรเติมทันที","OK")),"")),)</f>
        <v/>
      </c>
      <c r="F877" s="24" t="str">
        <f>IFERROR(IF(A877&lt;&gt;"", SUMIF('💸 Transaction ซื้อ'!B:B,A877,'💸 Transaction ซื้อ'!G:G)/SUMIF('💸 Transaction ซื้อ'!B:B,A877,'💸 Transaction ซื้อ'!E:E),""),"-")</f>
        <v/>
      </c>
      <c r="G877" s="24" t="str">
        <f t="shared" si="1"/>
        <v/>
      </c>
      <c r="H877" s="25"/>
      <c r="I877" s="26"/>
      <c r="J877" s="26"/>
      <c r="K877" s="27" t="str">
        <f>IF(A877&lt;&gt;"",IF(E877="InActive","-",SUMIFS('💰 Transaction ขาย'!E:E,'💰 Transaction ขาย'!B:B,A877,'💰 Transaction ขาย'!A:A,"&gt;"&amp;'⚙️ Config'!$H$1-'⚙️ Config'!$H$2)),)</f>
        <v/>
      </c>
      <c r="L877" s="28" t="str">
        <f>IF(E877="InActive","-",IF(A877&lt;&gt;"",K877/'⚙️ Config'!$H$2,))</f>
        <v/>
      </c>
      <c r="M877" s="28" t="str">
        <f t="shared" si="2"/>
        <v/>
      </c>
      <c r="N877" s="28" t="str">
        <f>IF(A877&lt;&gt;"", SUMIFS('💰 Transaction ขาย'!F:F,'💰 Transaction ขาย'!B:B,A877,'💰 Transaction ขาย'!A:A,"&gt;="&amp;DATE(YEAR('⚙️ Config'!$H$1),1,1),'💰 Transaction ขาย'!A:A,"&lt;="&amp;DATE(YEAR('⚙️ Config'!$H$1),12,31)),)</f>
        <v/>
      </c>
    </row>
    <row r="878">
      <c r="A878" s="22"/>
      <c r="B878" s="22" t="str">
        <f>IF(A878&lt;&gt;"",SUMIFS('💸 Transaction ซื้อ'!E:E,'💸 Transaction ซื้อ'!B:B,A878)-SUMIFS('💰 Transaction ขาย'!E:E,'💰 Transaction ขาย'!B:B,A878),"")</f>
        <v/>
      </c>
      <c r="C878" s="23" t="str">
        <f>IF(A878&lt;&gt;"",vlookup(A878,'📦 ชื่อสินค้า'!A:E,5,false),"")</f>
        <v/>
      </c>
      <c r="D878" s="23" t="str">
        <f>IF(A878&lt;&gt;"",VLOOKUP(A878,'📦 ชื่อสินค้า'!A:F,6,false),"")</f>
        <v/>
      </c>
      <c r="E878" s="16" t="str">
        <f>IFERROR(IF(VLOOKUP(A878,'📦 ชื่อสินค้า'!A:G,7,false)="InActive","InActive",IF(A878&lt;&gt;"",IF(B878&lt;=0,"สินค้าหมด",IF(B878&lt;=C878,"ควรเติมทันที","OK")),"")),)</f>
        <v/>
      </c>
      <c r="F878" s="24" t="str">
        <f>IFERROR(IF(A878&lt;&gt;"", SUMIF('💸 Transaction ซื้อ'!B:B,A878,'💸 Transaction ซื้อ'!G:G)/SUMIF('💸 Transaction ซื้อ'!B:B,A878,'💸 Transaction ซื้อ'!E:E),""),"-")</f>
        <v/>
      </c>
      <c r="G878" s="24" t="str">
        <f t="shared" si="1"/>
        <v/>
      </c>
      <c r="H878" s="25"/>
      <c r="I878" s="26"/>
      <c r="J878" s="26"/>
      <c r="K878" s="27" t="str">
        <f>IF(A878&lt;&gt;"",IF(E878="InActive","-",SUMIFS('💰 Transaction ขาย'!E:E,'💰 Transaction ขาย'!B:B,A878,'💰 Transaction ขาย'!A:A,"&gt;"&amp;'⚙️ Config'!$H$1-'⚙️ Config'!$H$2)),)</f>
        <v/>
      </c>
      <c r="L878" s="28" t="str">
        <f>IF(E878="InActive","-",IF(A878&lt;&gt;"",K878/'⚙️ Config'!$H$2,))</f>
        <v/>
      </c>
      <c r="M878" s="28" t="str">
        <f t="shared" si="2"/>
        <v/>
      </c>
      <c r="N878" s="28" t="str">
        <f>IF(A878&lt;&gt;"", SUMIFS('💰 Transaction ขาย'!F:F,'💰 Transaction ขาย'!B:B,A878,'💰 Transaction ขาย'!A:A,"&gt;="&amp;DATE(YEAR('⚙️ Config'!$H$1),1,1),'💰 Transaction ขาย'!A:A,"&lt;="&amp;DATE(YEAR('⚙️ Config'!$H$1),12,31)),)</f>
        <v/>
      </c>
    </row>
    <row r="879">
      <c r="A879" s="22"/>
      <c r="B879" s="22" t="str">
        <f>IF(A879&lt;&gt;"",SUMIFS('💸 Transaction ซื้อ'!E:E,'💸 Transaction ซื้อ'!B:B,A879)-SUMIFS('💰 Transaction ขาย'!E:E,'💰 Transaction ขาย'!B:B,A879),"")</f>
        <v/>
      </c>
      <c r="C879" s="23" t="str">
        <f>IF(A879&lt;&gt;"",vlookup(A879,'📦 ชื่อสินค้า'!A:E,5,false),"")</f>
        <v/>
      </c>
      <c r="D879" s="23" t="str">
        <f>IF(A879&lt;&gt;"",VLOOKUP(A879,'📦 ชื่อสินค้า'!A:F,6,false),"")</f>
        <v/>
      </c>
      <c r="E879" s="16" t="str">
        <f>IFERROR(IF(VLOOKUP(A879,'📦 ชื่อสินค้า'!A:G,7,false)="InActive","InActive",IF(A879&lt;&gt;"",IF(B879&lt;=0,"สินค้าหมด",IF(B879&lt;=C879,"ควรเติมทันที","OK")),"")),)</f>
        <v/>
      </c>
      <c r="F879" s="24" t="str">
        <f>IFERROR(IF(A879&lt;&gt;"", SUMIF('💸 Transaction ซื้อ'!B:B,A879,'💸 Transaction ซื้อ'!G:G)/SUMIF('💸 Transaction ซื้อ'!B:B,A879,'💸 Transaction ซื้อ'!E:E),""),"-")</f>
        <v/>
      </c>
      <c r="G879" s="24" t="str">
        <f t="shared" si="1"/>
        <v/>
      </c>
      <c r="H879" s="25"/>
      <c r="I879" s="26"/>
      <c r="J879" s="26"/>
      <c r="K879" s="27" t="str">
        <f>IF(A879&lt;&gt;"",IF(E879="InActive","-",SUMIFS('💰 Transaction ขาย'!E:E,'💰 Transaction ขาย'!B:B,A879,'💰 Transaction ขาย'!A:A,"&gt;"&amp;'⚙️ Config'!$H$1-'⚙️ Config'!$H$2)),)</f>
        <v/>
      </c>
      <c r="L879" s="28" t="str">
        <f>IF(E879="InActive","-",IF(A879&lt;&gt;"",K879/'⚙️ Config'!$H$2,))</f>
        <v/>
      </c>
      <c r="M879" s="28" t="str">
        <f t="shared" si="2"/>
        <v/>
      </c>
      <c r="N879" s="28" t="str">
        <f>IF(A879&lt;&gt;"", SUMIFS('💰 Transaction ขาย'!F:F,'💰 Transaction ขาย'!B:B,A879,'💰 Transaction ขาย'!A:A,"&gt;="&amp;DATE(YEAR('⚙️ Config'!$H$1),1,1),'💰 Transaction ขาย'!A:A,"&lt;="&amp;DATE(YEAR('⚙️ Config'!$H$1),12,31)),)</f>
        <v/>
      </c>
    </row>
    <row r="880">
      <c r="A880" s="22"/>
      <c r="B880" s="22" t="str">
        <f>IF(A880&lt;&gt;"",SUMIFS('💸 Transaction ซื้อ'!E:E,'💸 Transaction ซื้อ'!B:B,A880)-SUMIFS('💰 Transaction ขาย'!E:E,'💰 Transaction ขาย'!B:B,A880),"")</f>
        <v/>
      </c>
      <c r="C880" s="23" t="str">
        <f>IF(A880&lt;&gt;"",vlookup(A880,'📦 ชื่อสินค้า'!A:E,5,false),"")</f>
        <v/>
      </c>
      <c r="D880" s="23" t="str">
        <f>IF(A880&lt;&gt;"",VLOOKUP(A880,'📦 ชื่อสินค้า'!A:F,6,false),"")</f>
        <v/>
      </c>
      <c r="E880" s="16" t="str">
        <f>IFERROR(IF(VLOOKUP(A880,'📦 ชื่อสินค้า'!A:G,7,false)="InActive","InActive",IF(A880&lt;&gt;"",IF(B880&lt;=0,"สินค้าหมด",IF(B880&lt;=C880,"ควรเติมทันที","OK")),"")),)</f>
        <v/>
      </c>
      <c r="F880" s="24" t="str">
        <f>IFERROR(IF(A880&lt;&gt;"", SUMIF('💸 Transaction ซื้อ'!B:B,A880,'💸 Transaction ซื้อ'!G:G)/SUMIF('💸 Transaction ซื้อ'!B:B,A880,'💸 Transaction ซื้อ'!E:E),""),"-")</f>
        <v/>
      </c>
      <c r="G880" s="24" t="str">
        <f t="shared" si="1"/>
        <v/>
      </c>
      <c r="H880" s="25"/>
      <c r="I880" s="26"/>
      <c r="J880" s="26"/>
      <c r="K880" s="27" t="str">
        <f>IF(A880&lt;&gt;"",IF(E880="InActive","-",SUMIFS('💰 Transaction ขาย'!E:E,'💰 Transaction ขาย'!B:B,A880,'💰 Transaction ขาย'!A:A,"&gt;"&amp;'⚙️ Config'!$H$1-'⚙️ Config'!$H$2)),)</f>
        <v/>
      </c>
      <c r="L880" s="28" t="str">
        <f>IF(E880="InActive","-",IF(A880&lt;&gt;"",K880/'⚙️ Config'!$H$2,))</f>
        <v/>
      </c>
      <c r="M880" s="28" t="str">
        <f t="shared" si="2"/>
        <v/>
      </c>
      <c r="N880" s="28" t="str">
        <f>IF(A880&lt;&gt;"", SUMIFS('💰 Transaction ขาย'!F:F,'💰 Transaction ขาย'!B:B,A880,'💰 Transaction ขาย'!A:A,"&gt;="&amp;DATE(YEAR('⚙️ Config'!$H$1),1,1),'💰 Transaction ขาย'!A:A,"&lt;="&amp;DATE(YEAR('⚙️ Config'!$H$1),12,31)),)</f>
        <v/>
      </c>
    </row>
    <row r="881">
      <c r="A881" s="22"/>
      <c r="B881" s="22" t="str">
        <f>IF(A881&lt;&gt;"",SUMIFS('💸 Transaction ซื้อ'!E:E,'💸 Transaction ซื้อ'!B:B,A881)-SUMIFS('💰 Transaction ขาย'!E:E,'💰 Transaction ขาย'!B:B,A881),"")</f>
        <v/>
      </c>
      <c r="C881" s="23" t="str">
        <f>IF(A881&lt;&gt;"",vlookup(A881,'📦 ชื่อสินค้า'!A:E,5,false),"")</f>
        <v/>
      </c>
      <c r="D881" s="23" t="str">
        <f>IF(A881&lt;&gt;"",VLOOKUP(A881,'📦 ชื่อสินค้า'!A:F,6,false),"")</f>
        <v/>
      </c>
      <c r="E881" s="16" t="str">
        <f>IFERROR(IF(VLOOKUP(A881,'📦 ชื่อสินค้า'!A:G,7,false)="InActive","InActive",IF(A881&lt;&gt;"",IF(B881&lt;=0,"สินค้าหมด",IF(B881&lt;=C881,"ควรเติมทันที","OK")),"")),)</f>
        <v/>
      </c>
      <c r="F881" s="24" t="str">
        <f>IFERROR(IF(A881&lt;&gt;"", SUMIF('💸 Transaction ซื้อ'!B:B,A881,'💸 Transaction ซื้อ'!G:G)/SUMIF('💸 Transaction ซื้อ'!B:B,A881,'💸 Transaction ซื้อ'!E:E),""),"-")</f>
        <v/>
      </c>
      <c r="G881" s="24" t="str">
        <f t="shared" si="1"/>
        <v/>
      </c>
      <c r="H881" s="25"/>
      <c r="I881" s="26"/>
      <c r="J881" s="26"/>
      <c r="K881" s="27" t="str">
        <f>IF(A881&lt;&gt;"",IF(E881="InActive","-",SUMIFS('💰 Transaction ขาย'!E:E,'💰 Transaction ขาย'!B:B,A881,'💰 Transaction ขาย'!A:A,"&gt;"&amp;'⚙️ Config'!$H$1-'⚙️ Config'!$H$2)),)</f>
        <v/>
      </c>
      <c r="L881" s="28" t="str">
        <f>IF(E881="InActive","-",IF(A881&lt;&gt;"",K881/'⚙️ Config'!$H$2,))</f>
        <v/>
      </c>
      <c r="M881" s="28" t="str">
        <f t="shared" si="2"/>
        <v/>
      </c>
      <c r="N881" s="28" t="str">
        <f>IF(A881&lt;&gt;"", SUMIFS('💰 Transaction ขาย'!F:F,'💰 Transaction ขาย'!B:B,A881,'💰 Transaction ขาย'!A:A,"&gt;="&amp;DATE(YEAR('⚙️ Config'!$H$1),1,1),'💰 Transaction ขาย'!A:A,"&lt;="&amp;DATE(YEAR('⚙️ Config'!$H$1),12,31)),)</f>
        <v/>
      </c>
    </row>
    <row r="882">
      <c r="A882" s="22"/>
      <c r="B882" s="22" t="str">
        <f>IF(A882&lt;&gt;"",SUMIFS('💸 Transaction ซื้อ'!E:E,'💸 Transaction ซื้อ'!B:B,A882)-SUMIFS('💰 Transaction ขาย'!E:E,'💰 Transaction ขาย'!B:B,A882),"")</f>
        <v/>
      </c>
      <c r="C882" s="23" t="str">
        <f>IF(A882&lt;&gt;"",vlookup(A882,'📦 ชื่อสินค้า'!A:E,5,false),"")</f>
        <v/>
      </c>
      <c r="D882" s="23" t="str">
        <f>IF(A882&lt;&gt;"",VLOOKUP(A882,'📦 ชื่อสินค้า'!A:F,6,false),"")</f>
        <v/>
      </c>
      <c r="E882" s="16" t="str">
        <f>IFERROR(IF(VLOOKUP(A882,'📦 ชื่อสินค้า'!A:G,7,false)="InActive","InActive",IF(A882&lt;&gt;"",IF(B882&lt;=0,"สินค้าหมด",IF(B882&lt;=C882,"ควรเติมทันที","OK")),"")),)</f>
        <v/>
      </c>
      <c r="F882" s="24" t="str">
        <f>IFERROR(IF(A882&lt;&gt;"", SUMIF('💸 Transaction ซื้อ'!B:B,A882,'💸 Transaction ซื้อ'!G:G)/SUMIF('💸 Transaction ซื้อ'!B:B,A882,'💸 Transaction ซื้อ'!E:E),""),"-")</f>
        <v/>
      </c>
      <c r="G882" s="24" t="str">
        <f t="shared" si="1"/>
        <v/>
      </c>
      <c r="H882" s="25"/>
      <c r="I882" s="26"/>
      <c r="J882" s="26"/>
      <c r="K882" s="27" t="str">
        <f>IF(A882&lt;&gt;"",IF(E882="InActive","-",SUMIFS('💰 Transaction ขาย'!E:E,'💰 Transaction ขาย'!B:B,A882,'💰 Transaction ขาย'!A:A,"&gt;"&amp;'⚙️ Config'!$H$1-'⚙️ Config'!$H$2)),)</f>
        <v/>
      </c>
      <c r="L882" s="28" t="str">
        <f>IF(E882="InActive","-",IF(A882&lt;&gt;"",K882/'⚙️ Config'!$H$2,))</f>
        <v/>
      </c>
      <c r="M882" s="28" t="str">
        <f t="shared" si="2"/>
        <v/>
      </c>
      <c r="N882" s="28" t="str">
        <f>IF(A882&lt;&gt;"", SUMIFS('💰 Transaction ขาย'!F:F,'💰 Transaction ขาย'!B:B,A882,'💰 Transaction ขาย'!A:A,"&gt;="&amp;DATE(YEAR('⚙️ Config'!$H$1),1,1),'💰 Transaction ขาย'!A:A,"&lt;="&amp;DATE(YEAR('⚙️ Config'!$H$1),12,31)),)</f>
        <v/>
      </c>
    </row>
    <row r="883">
      <c r="A883" s="22"/>
      <c r="B883" s="22" t="str">
        <f>IF(A883&lt;&gt;"",SUMIFS('💸 Transaction ซื้อ'!E:E,'💸 Transaction ซื้อ'!B:B,A883)-SUMIFS('💰 Transaction ขาย'!E:E,'💰 Transaction ขาย'!B:B,A883),"")</f>
        <v/>
      </c>
      <c r="C883" s="23" t="str">
        <f>IF(A883&lt;&gt;"",vlookup(A883,'📦 ชื่อสินค้า'!A:E,5,false),"")</f>
        <v/>
      </c>
      <c r="D883" s="23" t="str">
        <f>IF(A883&lt;&gt;"",VLOOKUP(A883,'📦 ชื่อสินค้า'!A:F,6,false),"")</f>
        <v/>
      </c>
      <c r="E883" s="16" t="str">
        <f>IFERROR(IF(VLOOKUP(A883,'📦 ชื่อสินค้า'!A:G,7,false)="InActive","InActive",IF(A883&lt;&gt;"",IF(B883&lt;=0,"สินค้าหมด",IF(B883&lt;=C883,"ควรเติมทันที","OK")),"")),)</f>
        <v/>
      </c>
      <c r="F883" s="24" t="str">
        <f>IFERROR(IF(A883&lt;&gt;"", SUMIF('💸 Transaction ซื้อ'!B:B,A883,'💸 Transaction ซื้อ'!G:G)/SUMIF('💸 Transaction ซื้อ'!B:B,A883,'💸 Transaction ซื้อ'!E:E),""),"-")</f>
        <v/>
      </c>
      <c r="G883" s="24" t="str">
        <f t="shared" si="1"/>
        <v/>
      </c>
      <c r="H883" s="25"/>
      <c r="I883" s="26"/>
      <c r="J883" s="26"/>
      <c r="K883" s="27" t="str">
        <f>IF(A883&lt;&gt;"",IF(E883="InActive","-",SUMIFS('💰 Transaction ขาย'!E:E,'💰 Transaction ขาย'!B:B,A883,'💰 Transaction ขาย'!A:A,"&gt;"&amp;'⚙️ Config'!$H$1-'⚙️ Config'!$H$2)),)</f>
        <v/>
      </c>
      <c r="L883" s="28" t="str">
        <f>IF(E883="InActive","-",IF(A883&lt;&gt;"",K883/'⚙️ Config'!$H$2,))</f>
        <v/>
      </c>
      <c r="M883" s="28" t="str">
        <f t="shared" si="2"/>
        <v/>
      </c>
      <c r="N883" s="28" t="str">
        <f>IF(A883&lt;&gt;"", SUMIFS('💰 Transaction ขาย'!F:F,'💰 Transaction ขาย'!B:B,A883,'💰 Transaction ขาย'!A:A,"&gt;="&amp;DATE(YEAR('⚙️ Config'!$H$1),1,1),'💰 Transaction ขาย'!A:A,"&lt;="&amp;DATE(YEAR('⚙️ Config'!$H$1),12,31)),)</f>
        <v/>
      </c>
    </row>
    <row r="884">
      <c r="A884" s="22"/>
      <c r="B884" s="22" t="str">
        <f>IF(A884&lt;&gt;"",SUMIFS('💸 Transaction ซื้อ'!E:E,'💸 Transaction ซื้อ'!B:B,A884)-SUMIFS('💰 Transaction ขาย'!E:E,'💰 Transaction ขาย'!B:B,A884),"")</f>
        <v/>
      </c>
      <c r="C884" s="23" t="str">
        <f>IF(A884&lt;&gt;"",vlookup(A884,'📦 ชื่อสินค้า'!A:E,5,false),"")</f>
        <v/>
      </c>
      <c r="D884" s="23" t="str">
        <f>IF(A884&lt;&gt;"",VLOOKUP(A884,'📦 ชื่อสินค้า'!A:F,6,false),"")</f>
        <v/>
      </c>
      <c r="E884" s="16" t="str">
        <f>IFERROR(IF(VLOOKUP(A884,'📦 ชื่อสินค้า'!A:G,7,false)="InActive","InActive",IF(A884&lt;&gt;"",IF(B884&lt;=0,"สินค้าหมด",IF(B884&lt;=C884,"ควรเติมทันที","OK")),"")),)</f>
        <v/>
      </c>
      <c r="F884" s="24" t="str">
        <f>IFERROR(IF(A884&lt;&gt;"", SUMIF('💸 Transaction ซื้อ'!B:B,A884,'💸 Transaction ซื้อ'!G:G)/SUMIF('💸 Transaction ซื้อ'!B:B,A884,'💸 Transaction ซื้อ'!E:E),""),"-")</f>
        <v/>
      </c>
      <c r="G884" s="24" t="str">
        <f t="shared" si="1"/>
        <v/>
      </c>
      <c r="H884" s="25"/>
      <c r="I884" s="26"/>
      <c r="J884" s="26"/>
      <c r="K884" s="27" t="str">
        <f>IF(A884&lt;&gt;"",IF(E884="InActive","-",SUMIFS('💰 Transaction ขาย'!E:E,'💰 Transaction ขาย'!B:B,A884,'💰 Transaction ขาย'!A:A,"&gt;"&amp;'⚙️ Config'!$H$1-'⚙️ Config'!$H$2)),)</f>
        <v/>
      </c>
      <c r="L884" s="28" t="str">
        <f>IF(E884="InActive","-",IF(A884&lt;&gt;"",K884/'⚙️ Config'!$H$2,))</f>
        <v/>
      </c>
      <c r="M884" s="28" t="str">
        <f t="shared" si="2"/>
        <v/>
      </c>
      <c r="N884" s="28" t="str">
        <f>IF(A884&lt;&gt;"", SUMIFS('💰 Transaction ขาย'!F:F,'💰 Transaction ขาย'!B:B,A884,'💰 Transaction ขาย'!A:A,"&gt;="&amp;DATE(YEAR('⚙️ Config'!$H$1),1,1),'💰 Transaction ขาย'!A:A,"&lt;="&amp;DATE(YEAR('⚙️ Config'!$H$1),12,31)),)</f>
        <v/>
      </c>
    </row>
    <row r="885">
      <c r="A885" s="22"/>
      <c r="B885" s="22" t="str">
        <f>IF(A885&lt;&gt;"",SUMIFS('💸 Transaction ซื้อ'!E:E,'💸 Transaction ซื้อ'!B:B,A885)-SUMIFS('💰 Transaction ขาย'!E:E,'💰 Transaction ขาย'!B:B,A885),"")</f>
        <v/>
      </c>
      <c r="C885" s="23" t="str">
        <f>IF(A885&lt;&gt;"",vlookup(A885,'📦 ชื่อสินค้า'!A:E,5,false),"")</f>
        <v/>
      </c>
      <c r="D885" s="23" t="str">
        <f>IF(A885&lt;&gt;"",VLOOKUP(A885,'📦 ชื่อสินค้า'!A:F,6,false),"")</f>
        <v/>
      </c>
      <c r="E885" s="16" t="str">
        <f>IFERROR(IF(VLOOKUP(A885,'📦 ชื่อสินค้า'!A:G,7,false)="InActive","InActive",IF(A885&lt;&gt;"",IF(B885&lt;=0,"สินค้าหมด",IF(B885&lt;=C885,"ควรเติมทันที","OK")),"")),)</f>
        <v/>
      </c>
      <c r="F885" s="24" t="str">
        <f>IFERROR(IF(A885&lt;&gt;"", SUMIF('💸 Transaction ซื้อ'!B:B,A885,'💸 Transaction ซื้อ'!G:G)/SUMIF('💸 Transaction ซื้อ'!B:B,A885,'💸 Transaction ซื้อ'!E:E),""),"-")</f>
        <v/>
      </c>
      <c r="G885" s="24" t="str">
        <f t="shared" si="1"/>
        <v/>
      </c>
      <c r="H885" s="25"/>
      <c r="I885" s="26"/>
      <c r="J885" s="26"/>
      <c r="K885" s="27" t="str">
        <f>IF(A885&lt;&gt;"",IF(E885="InActive","-",SUMIFS('💰 Transaction ขาย'!E:E,'💰 Transaction ขาย'!B:B,A885,'💰 Transaction ขาย'!A:A,"&gt;"&amp;'⚙️ Config'!$H$1-'⚙️ Config'!$H$2)),)</f>
        <v/>
      </c>
      <c r="L885" s="28" t="str">
        <f>IF(E885="InActive","-",IF(A885&lt;&gt;"",K885/'⚙️ Config'!$H$2,))</f>
        <v/>
      </c>
      <c r="M885" s="28" t="str">
        <f t="shared" si="2"/>
        <v/>
      </c>
      <c r="N885" s="28" t="str">
        <f>IF(A885&lt;&gt;"", SUMIFS('💰 Transaction ขาย'!F:F,'💰 Transaction ขาย'!B:B,A885,'💰 Transaction ขาย'!A:A,"&gt;="&amp;DATE(YEAR('⚙️ Config'!$H$1),1,1),'💰 Transaction ขาย'!A:A,"&lt;="&amp;DATE(YEAR('⚙️ Config'!$H$1),12,31)),)</f>
        <v/>
      </c>
    </row>
    <row r="886">
      <c r="A886" s="22"/>
      <c r="B886" s="22" t="str">
        <f>IF(A886&lt;&gt;"",SUMIFS('💸 Transaction ซื้อ'!E:E,'💸 Transaction ซื้อ'!B:B,A886)-SUMIFS('💰 Transaction ขาย'!E:E,'💰 Transaction ขาย'!B:B,A886),"")</f>
        <v/>
      </c>
      <c r="C886" s="23" t="str">
        <f>IF(A886&lt;&gt;"",vlookup(A886,'📦 ชื่อสินค้า'!A:E,5,false),"")</f>
        <v/>
      </c>
      <c r="D886" s="23" t="str">
        <f>IF(A886&lt;&gt;"",VLOOKUP(A886,'📦 ชื่อสินค้า'!A:F,6,false),"")</f>
        <v/>
      </c>
      <c r="E886" s="16" t="str">
        <f>IFERROR(IF(VLOOKUP(A886,'📦 ชื่อสินค้า'!A:G,7,false)="InActive","InActive",IF(A886&lt;&gt;"",IF(B886&lt;=0,"สินค้าหมด",IF(B886&lt;=C886,"ควรเติมทันที","OK")),"")),)</f>
        <v/>
      </c>
      <c r="F886" s="24" t="str">
        <f>IFERROR(IF(A886&lt;&gt;"", SUMIF('💸 Transaction ซื้อ'!B:B,A886,'💸 Transaction ซื้อ'!G:G)/SUMIF('💸 Transaction ซื้อ'!B:B,A886,'💸 Transaction ซื้อ'!E:E),""),"-")</f>
        <v/>
      </c>
      <c r="G886" s="24" t="str">
        <f t="shared" si="1"/>
        <v/>
      </c>
      <c r="H886" s="25"/>
      <c r="I886" s="26"/>
      <c r="J886" s="26"/>
      <c r="K886" s="27" t="str">
        <f>IF(A886&lt;&gt;"",IF(E886="InActive","-",SUMIFS('💰 Transaction ขาย'!E:E,'💰 Transaction ขาย'!B:B,A886,'💰 Transaction ขาย'!A:A,"&gt;"&amp;'⚙️ Config'!$H$1-'⚙️ Config'!$H$2)),)</f>
        <v/>
      </c>
      <c r="L886" s="28" t="str">
        <f>IF(E886="InActive","-",IF(A886&lt;&gt;"",K886/'⚙️ Config'!$H$2,))</f>
        <v/>
      </c>
      <c r="M886" s="28" t="str">
        <f t="shared" si="2"/>
        <v/>
      </c>
      <c r="N886" s="28" t="str">
        <f>IF(A886&lt;&gt;"", SUMIFS('💰 Transaction ขาย'!F:F,'💰 Transaction ขาย'!B:B,A886,'💰 Transaction ขาย'!A:A,"&gt;="&amp;DATE(YEAR('⚙️ Config'!$H$1),1,1),'💰 Transaction ขาย'!A:A,"&lt;="&amp;DATE(YEAR('⚙️ Config'!$H$1),12,31)),)</f>
        <v/>
      </c>
    </row>
    <row r="887">
      <c r="A887" s="22"/>
      <c r="B887" s="22" t="str">
        <f>IF(A887&lt;&gt;"",SUMIFS('💸 Transaction ซื้อ'!E:E,'💸 Transaction ซื้อ'!B:B,A887)-SUMIFS('💰 Transaction ขาย'!E:E,'💰 Transaction ขาย'!B:B,A887),"")</f>
        <v/>
      </c>
      <c r="C887" s="23" t="str">
        <f>IF(A887&lt;&gt;"",vlookup(A887,'📦 ชื่อสินค้า'!A:E,5,false),"")</f>
        <v/>
      </c>
      <c r="D887" s="23" t="str">
        <f>IF(A887&lt;&gt;"",VLOOKUP(A887,'📦 ชื่อสินค้า'!A:F,6,false),"")</f>
        <v/>
      </c>
      <c r="E887" s="16" t="str">
        <f>IFERROR(IF(VLOOKUP(A887,'📦 ชื่อสินค้า'!A:G,7,false)="InActive","InActive",IF(A887&lt;&gt;"",IF(B887&lt;=0,"สินค้าหมด",IF(B887&lt;=C887,"ควรเติมทันที","OK")),"")),)</f>
        <v/>
      </c>
      <c r="F887" s="24" t="str">
        <f>IFERROR(IF(A887&lt;&gt;"", SUMIF('💸 Transaction ซื้อ'!B:B,A887,'💸 Transaction ซื้อ'!G:G)/SUMIF('💸 Transaction ซื้อ'!B:B,A887,'💸 Transaction ซื้อ'!E:E),""),"-")</f>
        <v/>
      </c>
      <c r="G887" s="24" t="str">
        <f t="shared" si="1"/>
        <v/>
      </c>
      <c r="H887" s="25"/>
      <c r="I887" s="26"/>
      <c r="J887" s="26"/>
      <c r="K887" s="27" t="str">
        <f>IF(A887&lt;&gt;"",IF(E887="InActive","-",SUMIFS('💰 Transaction ขาย'!E:E,'💰 Transaction ขาย'!B:B,A887,'💰 Transaction ขาย'!A:A,"&gt;"&amp;'⚙️ Config'!$H$1-'⚙️ Config'!$H$2)),)</f>
        <v/>
      </c>
      <c r="L887" s="28" t="str">
        <f>IF(E887="InActive","-",IF(A887&lt;&gt;"",K887/'⚙️ Config'!$H$2,))</f>
        <v/>
      </c>
      <c r="M887" s="28" t="str">
        <f t="shared" si="2"/>
        <v/>
      </c>
      <c r="N887" s="28" t="str">
        <f>IF(A887&lt;&gt;"", SUMIFS('💰 Transaction ขาย'!F:F,'💰 Transaction ขาย'!B:B,A887,'💰 Transaction ขาย'!A:A,"&gt;="&amp;DATE(YEAR('⚙️ Config'!$H$1),1,1),'💰 Transaction ขาย'!A:A,"&lt;="&amp;DATE(YEAR('⚙️ Config'!$H$1),12,31)),)</f>
        <v/>
      </c>
    </row>
    <row r="888">
      <c r="A888" s="22"/>
      <c r="B888" s="22" t="str">
        <f>IF(A888&lt;&gt;"",SUMIFS('💸 Transaction ซื้อ'!E:E,'💸 Transaction ซื้อ'!B:B,A888)-SUMIFS('💰 Transaction ขาย'!E:E,'💰 Transaction ขาย'!B:B,A888),"")</f>
        <v/>
      </c>
      <c r="C888" s="23" t="str">
        <f>IF(A888&lt;&gt;"",vlookup(A888,'📦 ชื่อสินค้า'!A:E,5,false),"")</f>
        <v/>
      </c>
      <c r="D888" s="23" t="str">
        <f>IF(A888&lt;&gt;"",VLOOKUP(A888,'📦 ชื่อสินค้า'!A:F,6,false),"")</f>
        <v/>
      </c>
      <c r="E888" s="16" t="str">
        <f>IFERROR(IF(VLOOKUP(A888,'📦 ชื่อสินค้า'!A:G,7,false)="InActive","InActive",IF(A888&lt;&gt;"",IF(B888&lt;=0,"สินค้าหมด",IF(B888&lt;=C888,"ควรเติมทันที","OK")),"")),)</f>
        <v/>
      </c>
      <c r="F888" s="24" t="str">
        <f>IFERROR(IF(A888&lt;&gt;"", SUMIF('💸 Transaction ซื้อ'!B:B,A888,'💸 Transaction ซื้อ'!G:G)/SUMIF('💸 Transaction ซื้อ'!B:B,A888,'💸 Transaction ซื้อ'!E:E),""),"-")</f>
        <v/>
      </c>
      <c r="G888" s="24" t="str">
        <f t="shared" si="1"/>
        <v/>
      </c>
      <c r="H888" s="25"/>
      <c r="I888" s="26"/>
      <c r="J888" s="26"/>
      <c r="K888" s="27" t="str">
        <f>IF(A888&lt;&gt;"",IF(E888="InActive","-",SUMIFS('💰 Transaction ขาย'!E:E,'💰 Transaction ขาย'!B:B,A888,'💰 Transaction ขาย'!A:A,"&gt;"&amp;'⚙️ Config'!$H$1-'⚙️ Config'!$H$2)),)</f>
        <v/>
      </c>
      <c r="L888" s="28" t="str">
        <f>IF(E888="InActive","-",IF(A888&lt;&gt;"",K888/'⚙️ Config'!$H$2,))</f>
        <v/>
      </c>
      <c r="M888" s="28" t="str">
        <f t="shared" si="2"/>
        <v/>
      </c>
      <c r="N888" s="28" t="str">
        <f>IF(A888&lt;&gt;"", SUMIFS('💰 Transaction ขาย'!F:F,'💰 Transaction ขาย'!B:B,A888,'💰 Transaction ขาย'!A:A,"&gt;="&amp;DATE(YEAR('⚙️ Config'!$H$1),1,1),'💰 Transaction ขาย'!A:A,"&lt;="&amp;DATE(YEAR('⚙️ Config'!$H$1),12,31)),)</f>
        <v/>
      </c>
    </row>
    <row r="889">
      <c r="A889" s="22"/>
      <c r="B889" s="22" t="str">
        <f>IF(A889&lt;&gt;"",SUMIFS('💸 Transaction ซื้อ'!E:E,'💸 Transaction ซื้อ'!B:B,A889)-SUMIFS('💰 Transaction ขาย'!E:E,'💰 Transaction ขาย'!B:B,A889),"")</f>
        <v/>
      </c>
      <c r="C889" s="23" t="str">
        <f>IF(A889&lt;&gt;"",vlookup(A889,'📦 ชื่อสินค้า'!A:E,5,false),"")</f>
        <v/>
      </c>
      <c r="D889" s="23" t="str">
        <f>IF(A889&lt;&gt;"",VLOOKUP(A889,'📦 ชื่อสินค้า'!A:F,6,false),"")</f>
        <v/>
      </c>
      <c r="E889" s="16" t="str">
        <f>IFERROR(IF(VLOOKUP(A889,'📦 ชื่อสินค้า'!A:G,7,false)="InActive","InActive",IF(A889&lt;&gt;"",IF(B889&lt;=0,"สินค้าหมด",IF(B889&lt;=C889,"ควรเติมทันที","OK")),"")),)</f>
        <v/>
      </c>
      <c r="F889" s="24" t="str">
        <f>IFERROR(IF(A889&lt;&gt;"", SUMIF('💸 Transaction ซื้อ'!B:B,A889,'💸 Transaction ซื้อ'!G:G)/SUMIF('💸 Transaction ซื้อ'!B:B,A889,'💸 Transaction ซื้อ'!E:E),""),"-")</f>
        <v/>
      </c>
      <c r="G889" s="24" t="str">
        <f t="shared" si="1"/>
        <v/>
      </c>
      <c r="H889" s="25"/>
      <c r="I889" s="26"/>
      <c r="J889" s="26"/>
      <c r="K889" s="27" t="str">
        <f>IF(A889&lt;&gt;"",IF(E889="InActive","-",SUMIFS('💰 Transaction ขาย'!E:E,'💰 Transaction ขาย'!B:B,A889,'💰 Transaction ขาย'!A:A,"&gt;"&amp;'⚙️ Config'!$H$1-'⚙️ Config'!$H$2)),)</f>
        <v/>
      </c>
      <c r="L889" s="28" t="str">
        <f>IF(E889="InActive","-",IF(A889&lt;&gt;"",K889/'⚙️ Config'!$H$2,))</f>
        <v/>
      </c>
      <c r="M889" s="28" t="str">
        <f t="shared" si="2"/>
        <v/>
      </c>
      <c r="N889" s="28" t="str">
        <f>IF(A889&lt;&gt;"", SUMIFS('💰 Transaction ขาย'!F:F,'💰 Transaction ขาย'!B:B,A889,'💰 Transaction ขาย'!A:A,"&gt;="&amp;DATE(YEAR('⚙️ Config'!$H$1),1,1),'💰 Transaction ขาย'!A:A,"&lt;="&amp;DATE(YEAR('⚙️ Config'!$H$1),12,31)),)</f>
        <v/>
      </c>
    </row>
    <row r="890">
      <c r="A890" s="22"/>
      <c r="B890" s="22" t="str">
        <f>IF(A890&lt;&gt;"",SUMIFS('💸 Transaction ซื้อ'!E:E,'💸 Transaction ซื้อ'!B:B,A890)-SUMIFS('💰 Transaction ขาย'!E:E,'💰 Transaction ขาย'!B:B,A890),"")</f>
        <v/>
      </c>
      <c r="C890" s="23" t="str">
        <f>IF(A890&lt;&gt;"",vlookup(A890,'📦 ชื่อสินค้า'!A:E,5,false),"")</f>
        <v/>
      </c>
      <c r="D890" s="23" t="str">
        <f>IF(A890&lt;&gt;"",VLOOKUP(A890,'📦 ชื่อสินค้า'!A:F,6,false),"")</f>
        <v/>
      </c>
      <c r="E890" s="16" t="str">
        <f>IFERROR(IF(VLOOKUP(A890,'📦 ชื่อสินค้า'!A:G,7,false)="InActive","InActive",IF(A890&lt;&gt;"",IF(B890&lt;=0,"สินค้าหมด",IF(B890&lt;=C890,"ควรเติมทันที","OK")),"")),)</f>
        <v/>
      </c>
      <c r="F890" s="24" t="str">
        <f>IFERROR(IF(A890&lt;&gt;"", SUMIF('💸 Transaction ซื้อ'!B:B,A890,'💸 Transaction ซื้อ'!G:G)/SUMIF('💸 Transaction ซื้อ'!B:B,A890,'💸 Transaction ซื้อ'!E:E),""),"-")</f>
        <v/>
      </c>
      <c r="G890" s="24" t="str">
        <f t="shared" si="1"/>
        <v/>
      </c>
      <c r="H890" s="25"/>
      <c r="I890" s="26"/>
      <c r="J890" s="26"/>
      <c r="K890" s="27" t="str">
        <f>IF(A890&lt;&gt;"",IF(E890="InActive","-",SUMIFS('💰 Transaction ขาย'!E:E,'💰 Transaction ขาย'!B:B,A890,'💰 Transaction ขาย'!A:A,"&gt;"&amp;'⚙️ Config'!$H$1-'⚙️ Config'!$H$2)),)</f>
        <v/>
      </c>
      <c r="L890" s="28" t="str">
        <f>IF(E890="InActive","-",IF(A890&lt;&gt;"",K890/'⚙️ Config'!$H$2,))</f>
        <v/>
      </c>
      <c r="M890" s="28" t="str">
        <f t="shared" si="2"/>
        <v/>
      </c>
      <c r="N890" s="28" t="str">
        <f>IF(A890&lt;&gt;"", SUMIFS('💰 Transaction ขาย'!F:F,'💰 Transaction ขาย'!B:B,A890,'💰 Transaction ขาย'!A:A,"&gt;="&amp;DATE(YEAR('⚙️ Config'!$H$1),1,1),'💰 Transaction ขาย'!A:A,"&lt;="&amp;DATE(YEAR('⚙️ Config'!$H$1),12,31)),)</f>
        <v/>
      </c>
    </row>
    <row r="891">
      <c r="A891" s="22"/>
      <c r="B891" s="22" t="str">
        <f>IF(A891&lt;&gt;"",SUMIFS('💸 Transaction ซื้อ'!E:E,'💸 Transaction ซื้อ'!B:B,A891)-SUMIFS('💰 Transaction ขาย'!E:E,'💰 Transaction ขาย'!B:B,A891),"")</f>
        <v/>
      </c>
      <c r="C891" s="23" t="str">
        <f>IF(A891&lt;&gt;"",vlookup(A891,'📦 ชื่อสินค้า'!A:E,5,false),"")</f>
        <v/>
      </c>
      <c r="D891" s="23" t="str">
        <f>IF(A891&lt;&gt;"",VLOOKUP(A891,'📦 ชื่อสินค้า'!A:F,6,false),"")</f>
        <v/>
      </c>
      <c r="E891" s="16" t="str">
        <f>IFERROR(IF(VLOOKUP(A891,'📦 ชื่อสินค้า'!A:G,7,false)="InActive","InActive",IF(A891&lt;&gt;"",IF(B891&lt;=0,"สินค้าหมด",IF(B891&lt;=C891,"ควรเติมทันที","OK")),"")),)</f>
        <v/>
      </c>
      <c r="F891" s="24" t="str">
        <f>IFERROR(IF(A891&lt;&gt;"", SUMIF('💸 Transaction ซื้อ'!B:B,A891,'💸 Transaction ซื้อ'!G:G)/SUMIF('💸 Transaction ซื้อ'!B:B,A891,'💸 Transaction ซื้อ'!E:E),""),"-")</f>
        <v/>
      </c>
      <c r="G891" s="24" t="str">
        <f t="shared" si="1"/>
        <v/>
      </c>
      <c r="H891" s="25"/>
      <c r="I891" s="26"/>
      <c r="J891" s="26"/>
      <c r="K891" s="27" t="str">
        <f>IF(A891&lt;&gt;"",IF(E891="InActive","-",SUMIFS('💰 Transaction ขาย'!E:E,'💰 Transaction ขาย'!B:B,A891,'💰 Transaction ขาย'!A:A,"&gt;"&amp;'⚙️ Config'!$H$1-'⚙️ Config'!$H$2)),)</f>
        <v/>
      </c>
      <c r="L891" s="28" t="str">
        <f>IF(E891="InActive","-",IF(A891&lt;&gt;"",K891/'⚙️ Config'!$H$2,))</f>
        <v/>
      </c>
      <c r="M891" s="28" t="str">
        <f t="shared" si="2"/>
        <v/>
      </c>
      <c r="N891" s="28" t="str">
        <f>IF(A891&lt;&gt;"", SUMIFS('💰 Transaction ขาย'!F:F,'💰 Transaction ขาย'!B:B,A891,'💰 Transaction ขาย'!A:A,"&gt;="&amp;DATE(YEAR('⚙️ Config'!$H$1),1,1),'💰 Transaction ขาย'!A:A,"&lt;="&amp;DATE(YEAR('⚙️ Config'!$H$1),12,31)),)</f>
        <v/>
      </c>
    </row>
    <row r="892">
      <c r="A892" s="22"/>
      <c r="B892" s="22" t="str">
        <f>IF(A892&lt;&gt;"",SUMIFS('💸 Transaction ซื้อ'!E:E,'💸 Transaction ซื้อ'!B:B,A892)-SUMIFS('💰 Transaction ขาย'!E:E,'💰 Transaction ขาย'!B:B,A892),"")</f>
        <v/>
      </c>
      <c r="C892" s="23" t="str">
        <f>IF(A892&lt;&gt;"",vlookup(A892,'📦 ชื่อสินค้า'!A:E,5,false),"")</f>
        <v/>
      </c>
      <c r="D892" s="23" t="str">
        <f>IF(A892&lt;&gt;"",VLOOKUP(A892,'📦 ชื่อสินค้า'!A:F,6,false),"")</f>
        <v/>
      </c>
      <c r="E892" s="16" t="str">
        <f>IFERROR(IF(VLOOKUP(A892,'📦 ชื่อสินค้า'!A:G,7,false)="InActive","InActive",IF(A892&lt;&gt;"",IF(B892&lt;=0,"สินค้าหมด",IF(B892&lt;=C892,"ควรเติมทันที","OK")),"")),)</f>
        <v/>
      </c>
      <c r="F892" s="24" t="str">
        <f>IFERROR(IF(A892&lt;&gt;"", SUMIF('💸 Transaction ซื้อ'!B:B,A892,'💸 Transaction ซื้อ'!G:G)/SUMIF('💸 Transaction ซื้อ'!B:B,A892,'💸 Transaction ซื้อ'!E:E),""),"-")</f>
        <v/>
      </c>
      <c r="G892" s="24" t="str">
        <f t="shared" si="1"/>
        <v/>
      </c>
      <c r="H892" s="25"/>
      <c r="I892" s="26"/>
      <c r="J892" s="26"/>
      <c r="K892" s="27" t="str">
        <f>IF(A892&lt;&gt;"",IF(E892="InActive","-",SUMIFS('💰 Transaction ขาย'!E:E,'💰 Transaction ขาย'!B:B,A892,'💰 Transaction ขาย'!A:A,"&gt;"&amp;'⚙️ Config'!$H$1-'⚙️ Config'!$H$2)),)</f>
        <v/>
      </c>
      <c r="L892" s="28" t="str">
        <f>IF(E892="InActive","-",IF(A892&lt;&gt;"",K892/'⚙️ Config'!$H$2,))</f>
        <v/>
      </c>
      <c r="M892" s="28" t="str">
        <f t="shared" si="2"/>
        <v/>
      </c>
      <c r="N892" s="28" t="str">
        <f>IF(A892&lt;&gt;"", SUMIFS('💰 Transaction ขาย'!F:F,'💰 Transaction ขาย'!B:B,A892,'💰 Transaction ขาย'!A:A,"&gt;="&amp;DATE(YEAR('⚙️ Config'!$H$1),1,1),'💰 Transaction ขาย'!A:A,"&lt;="&amp;DATE(YEAR('⚙️ Config'!$H$1),12,31)),)</f>
        <v/>
      </c>
    </row>
    <row r="893">
      <c r="A893" s="22"/>
      <c r="B893" s="22" t="str">
        <f>IF(A893&lt;&gt;"",SUMIFS('💸 Transaction ซื้อ'!E:E,'💸 Transaction ซื้อ'!B:B,A893)-SUMIFS('💰 Transaction ขาย'!E:E,'💰 Transaction ขาย'!B:B,A893),"")</f>
        <v/>
      </c>
      <c r="C893" s="23" t="str">
        <f>IF(A893&lt;&gt;"",vlookup(A893,'📦 ชื่อสินค้า'!A:E,5,false),"")</f>
        <v/>
      </c>
      <c r="D893" s="23" t="str">
        <f>IF(A893&lt;&gt;"",VLOOKUP(A893,'📦 ชื่อสินค้า'!A:F,6,false),"")</f>
        <v/>
      </c>
      <c r="E893" s="16" t="str">
        <f>IFERROR(IF(VLOOKUP(A893,'📦 ชื่อสินค้า'!A:G,7,false)="InActive","InActive",IF(A893&lt;&gt;"",IF(B893&lt;=0,"สินค้าหมด",IF(B893&lt;=C893,"ควรเติมทันที","OK")),"")),)</f>
        <v/>
      </c>
      <c r="F893" s="24" t="str">
        <f>IFERROR(IF(A893&lt;&gt;"", SUMIF('💸 Transaction ซื้อ'!B:B,A893,'💸 Transaction ซื้อ'!G:G)/SUMIF('💸 Transaction ซื้อ'!B:B,A893,'💸 Transaction ซื้อ'!E:E),""),"-")</f>
        <v/>
      </c>
      <c r="G893" s="24" t="str">
        <f t="shared" si="1"/>
        <v/>
      </c>
      <c r="H893" s="25"/>
      <c r="I893" s="26"/>
      <c r="J893" s="26"/>
      <c r="K893" s="27" t="str">
        <f>IF(A893&lt;&gt;"",IF(E893="InActive","-",SUMIFS('💰 Transaction ขาย'!E:E,'💰 Transaction ขาย'!B:B,A893,'💰 Transaction ขาย'!A:A,"&gt;"&amp;'⚙️ Config'!$H$1-'⚙️ Config'!$H$2)),)</f>
        <v/>
      </c>
      <c r="L893" s="28" t="str">
        <f>IF(E893="InActive","-",IF(A893&lt;&gt;"",K893/'⚙️ Config'!$H$2,))</f>
        <v/>
      </c>
      <c r="M893" s="28" t="str">
        <f t="shared" si="2"/>
        <v/>
      </c>
      <c r="N893" s="28" t="str">
        <f>IF(A893&lt;&gt;"", SUMIFS('💰 Transaction ขาย'!F:F,'💰 Transaction ขาย'!B:B,A893,'💰 Transaction ขาย'!A:A,"&gt;="&amp;DATE(YEAR('⚙️ Config'!$H$1),1,1),'💰 Transaction ขาย'!A:A,"&lt;="&amp;DATE(YEAR('⚙️ Config'!$H$1),12,31)),)</f>
        <v/>
      </c>
    </row>
    <row r="894">
      <c r="A894" s="22"/>
      <c r="B894" s="22" t="str">
        <f>IF(A894&lt;&gt;"",SUMIFS('💸 Transaction ซื้อ'!E:E,'💸 Transaction ซื้อ'!B:B,A894)-SUMIFS('💰 Transaction ขาย'!E:E,'💰 Transaction ขาย'!B:B,A894),"")</f>
        <v/>
      </c>
      <c r="C894" s="23" t="str">
        <f>IF(A894&lt;&gt;"",vlookup(A894,'📦 ชื่อสินค้า'!A:E,5,false),"")</f>
        <v/>
      </c>
      <c r="D894" s="23" t="str">
        <f>IF(A894&lt;&gt;"",VLOOKUP(A894,'📦 ชื่อสินค้า'!A:F,6,false),"")</f>
        <v/>
      </c>
      <c r="E894" s="16" t="str">
        <f>IFERROR(IF(VLOOKUP(A894,'📦 ชื่อสินค้า'!A:G,7,false)="InActive","InActive",IF(A894&lt;&gt;"",IF(B894&lt;=0,"สินค้าหมด",IF(B894&lt;=C894,"ควรเติมทันที","OK")),"")),)</f>
        <v/>
      </c>
      <c r="F894" s="24" t="str">
        <f>IFERROR(IF(A894&lt;&gt;"", SUMIF('💸 Transaction ซื้อ'!B:B,A894,'💸 Transaction ซื้อ'!G:G)/SUMIF('💸 Transaction ซื้อ'!B:B,A894,'💸 Transaction ซื้อ'!E:E),""),"-")</f>
        <v/>
      </c>
      <c r="G894" s="24" t="str">
        <f t="shared" si="1"/>
        <v/>
      </c>
      <c r="H894" s="25"/>
      <c r="I894" s="26"/>
      <c r="J894" s="26"/>
      <c r="K894" s="27" t="str">
        <f>IF(A894&lt;&gt;"",IF(E894="InActive","-",SUMIFS('💰 Transaction ขาย'!E:E,'💰 Transaction ขาย'!B:B,A894,'💰 Transaction ขาย'!A:A,"&gt;"&amp;'⚙️ Config'!$H$1-'⚙️ Config'!$H$2)),)</f>
        <v/>
      </c>
      <c r="L894" s="28" t="str">
        <f>IF(E894="InActive","-",IF(A894&lt;&gt;"",K894/'⚙️ Config'!$H$2,))</f>
        <v/>
      </c>
      <c r="M894" s="28" t="str">
        <f t="shared" si="2"/>
        <v/>
      </c>
      <c r="N894" s="28" t="str">
        <f>IF(A894&lt;&gt;"", SUMIFS('💰 Transaction ขาย'!F:F,'💰 Transaction ขาย'!B:B,A894,'💰 Transaction ขาย'!A:A,"&gt;="&amp;DATE(YEAR('⚙️ Config'!$H$1),1,1),'💰 Transaction ขาย'!A:A,"&lt;="&amp;DATE(YEAR('⚙️ Config'!$H$1),12,31)),)</f>
        <v/>
      </c>
    </row>
    <row r="895">
      <c r="A895" s="22"/>
      <c r="B895" s="22" t="str">
        <f>IF(A895&lt;&gt;"",SUMIFS('💸 Transaction ซื้อ'!E:E,'💸 Transaction ซื้อ'!B:B,A895)-SUMIFS('💰 Transaction ขาย'!E:E,'💰 Transaction ขาย'!B:B,A895),"")</f>
        <v/>
      </c>
      <c r="C895" s="23" t="str">
        <f>IF(A895&lt;&gt;"",vlookup(A895,'📦 ชื่อสินค้า'!A:E,5,false),"")</f>
        <v/>
      </c>
      <c r="D895" s="23" t="str">
        <f>IF(A895&lt;&gt;"",VLOOKUP(A895,'📦 ชื่อสินค้า'!A:F,6,false),"")</f>
        <v/>
      </c>
      <c r="E895" s="16" t="str">
        <f>IFERROR(IF(VLOOKUP(A895,'📦 ชื่อสินค้า'!A:G,7,false)="InActive","InActive",IF(A895&lt;&gt;"",IF(B895&lt;=0,"สินค้าหมด",IF(B895&lt;=C895,"ควรเติมทันที","OK")),"")),)</f>
        <v/>
      </c>
      <c r="F895" s="24" t="str">
        <f>IFERROR(IF(A895&lt;&gt;"", SUMIF('💸 Transaction ซื้อ'!B:B,A895,'💸 Transaction ซื้อ'!G:G)/SUMIF('💸 Transaction ซื้อ'!B:B,A895,'💸 Transaction ซื้อ'!E:E),""),"-")</f>
        <v/>
      </c>
      <c r="G895" s="24" t="str">
        <f t="shared" si="1"/>
        <v/>
      </c>
      <c r="H895" s="25"/>
      <c r="I895" s="26"/>
      <c r="J895" s="26"/>
      <c r="K895" s="27" t="str">
        <f>IF(A895&lt;&gt;"",IF(E895="InActive","-",SUMIFS('💰 Transaction ขาย'!E:E,'💰 Transaction ขาย'!B:B,A895,'💰 Transaction ขาย'!A:A,"&gt;"&amp;'⚙️ Config'!$H$1-'⚙️ Config'!$H$2)),)</f>
        <v/>
      </c>
      <c r="L895" s="28" t="str">
        <f>IF(E895="InActive","-",IF(A895&lt;&gt;"",K895/'⚙️ Config'!$H$2,))</f>
        <v/>
      </c>
      <c r="M895" s="28" t="str">
        <f t="shared" si="2"/>
        <v/>
      </c>
      <c r="N895" s="28" t="str">
        <f>IF(A895&lt;&gt;"", SUMIFS('💰 Transaction ขาย'!F:F,'💰 Transaction ขาย'!B:B,A895,'💰 Transaction ขาย'!A:A,"&gt;="&amp;DATE(YEAR('⚙️ Config'!$H$1),1,1),'💰 Transaction ขาย'!A:A,"&lt;="&amp;DATE(YEAR('⚙️ Config'!$H$1),12,31)),)</f>
        <v/>
      </c>
    </row>
    <row r="896">
      <c r="A896" s="22"/>
      <c r="B896" s="22" t="str">
        <f>IF(A896&lt;&gt;"",SUMIFS('💸 Transaction ซื้อ'!E:E,'💸 Transaction ซื้อ'!B:B,A896)-SUMIFS('💰 Transaction ขาย'!E:E,'💰 Transaction ขาย'!B:B,A896),"")</f>
        <v/>
      </c>
      <c r="C896" s="23" t="str">
        <f>IF(A896&lt;&gt;"",vlookup(A896,'📦 ชื่อสินค้า'!A:E,5,false),"")</f>
        <v/>
      </c>
      <c r="D896" s="23" t="str">
        <f>IF(A896&lt;&gt;"",VLOOKUP(A896,'📦 ชื่อสินค้า'!A:F,6,false),"")</f>
        <v/>
      </c>
      <c r="E896" s="16" t="str">
        <f>IFERROR(IF(VLOOKUP(A896,'📦 ชื่อสินค้า'!A:G,7,false)="InActive","InActive",IF(A896&lt;&gt;"",IF(B896&lt;=0,"สินค้าหมด",IF(B896&lt;=C896,"ควรเติมทันที","OK")),"")),)</f>
        <v/>
      </c>
      <c r="F896" s="24" t="str">
        <f>IFERROR(IF(A896&lt;&gt;"", SUMIF('💸 Transaction ซื้อ'!B:B,A896,'💸 Transaction ซื้อ'!G:G)/SUMIF('💸 Transaction ซื้อ'!B:B,A896,'💸 Transaction ซื้อ'!E:E),""),"-")</f>
        <v/>
      </c>
      <c r="G896" s="24" t="str">
        <f t="shared" si="1"/>
        <v/>
      </c>
      <c r="H896" s="25"/>
      <c r="I896" s="26"/>
      <c r="J896" s="26"/>
      <c r="K896" s="27" t="str">
        <f>IF(A896&lt;&gt;"",IF(E896="InActive","-",SUMIFS('💰 Transaction ขาย'!E:E,'💰 Transaction ขาย'!B:B,A896,'💰 Transaction ขาย'!A:A,"&gt;"&amp;'⚙️ Config'!$H$1-'⚙️ Config'!$H$2)),)</f>
        <v/>
      </c>
      <c r="L896" s="28" t="str">
        <f>IF(E896="InActive","-",IF(A896&lt;&gt;"",K896/'⚙️ Config'!$H$2,))</f>
        <v/>
      </c>
      <c r="M896" s="28" t="str">
        <f t="shared" si="2"/>
        <v/>
      </c>
      <c r="N896" s="28" t="str">
        <f>IF(A896&lt;&gt;"", SUMIFS('💰 Transaction ขาย'!F:F,'💰 Transaction ขาย'!B:B,A896,'💰 Transaction ขาย'!A:A,"&gt;="&amp;DATE(YEAR('⚙️ Config'!$H$1),1,1),'💰 Transaction ขาย'!A:A,"&lt;="&amp;DATE(YEAR('⚙️ Config'!$H$1),12,31)),)</f>
        <v/>
      </c>
    </row>
    <row r="897">
      <c r="A897" s="22"/>
      <c r="B897" s="22" t="str">
        <f>IF(A897&lt;&gt;"",SUMIFS('💸 Transaction ซื้อ'!E:E,'💸 Transaction ซื้อ'!B:B,A897)-SUMIFS('💰 Transaction ขาย'!E:E,'💰 Transaction ขาย'!B:B,A897),"")</f>
        <v/>
      </c>
      <c r="C897" s="23" t="str">
        <f>IF(A897&lt;&gt;"",vlookup(A897,'📦 ชื่อสินค้า'!A:E,5,false),"")</f>
        <v/>
      </c>
      <c r="D897" s="23" t="str">
        <f>IF(A897&lt;&gt;"",VLOOKUP(A897,'📦 ชื่อสินค้า'!A:F,6,false),"")</f>
        <v/>
      </c>
      <c r="E897" s="16" t="str">
        <f>IFERROR(IF(VLOOKUP(A897,'📦 ชื่อสินค้า'!A:G,7,false)="InActive","InActive",IF(A897&lt;&gt;"",IF(B897&lt;=0,"สินค้าหมด",IF(B897&lt;=C897,"ควรเติมทันที","OK")),"")),)</f>
        <v/>
      </c>
      <c r="F897" s="24" t="str">
        <f>IFERROR(IF(A897&lt;&gt;"", SUMIF('💸 Transaction ซื้อ'!B:B,A897,'💸 Transaction ซื้อ'!G:G)/SUMIF('💸 Transaction ซื้อ'!B:B,A897,'💸 Transaction ซื้อ'!E:E),""),"-")</f>
        <v/>
      </c>
      <c r="G897" s="24" t="str">
        <f t="shared" si="1"/>
        <v/>
      </c>
      <c r="H897" s="25"/>
      <c r="I897" s="26"/>
      <c r="J897" s="26"/>
      <c r="K897" s="27" t="str">
        <f>IF(A897&lt;&gt;"",IF(E897="InActive","-",SUMIFS('💰 Transaction ขาย'!E:E,'💰 Transaction ขาย'!B:B,A897,'💰 Transaction ขาย'!A:A,"&gt;"&amp;'⚙️ Config'!$H$1-'⚙️ Config'!$H$2)),)</f>
        <v/>
      </c>
      <c r="L897" s="28" t="str">
        <f>IF(E897="InActive","-",IF(A897&lt;&gt;"",K897/'⚙️ Config'!$H$2,))</f>
        <v/>
      </c>
      <c r="M897" s="28" t="str">
        <f t="shared" si="2"/>
        <v/>
      </c>
      <c r="N897" s="28" t="str">
        <f>IF(A897&lt;&gt;"", SUMIFS('💰 Transaction ขาย'!F:F,'💰 Transaction ขาย'!B:B,A897,'💰 Transaction ขาย'!A:A,"&gt;="&amp;DATE(YEAR('⚙️ Config'!$H$1),1,1),'💰 Transaction ขาย'!A:A,"&lt;="&amp;DATE(YEAR('⚙️ Config'!$H$1),12,31)),)</f>
        <v/>
      </c>
    </row>
    <row r="898">
      <c r="A898" s="22"/>
      <c r="B898" s="22" t="str">
        <f>IF(A898&lt;&gt;"",SUMIFS('💸 Transaction ซื้อ'!E:E,'💸 Transaction ซื้อ'!B:B,A898)-SUMIFS('💰 Transaction ขาย'!E:E,'💰 Transaction ขาย'!B:B,A898),"")</f>
        <v/>
      </c>
      <c r="C898" s="23" t="str">
        <f>IF(A898&lt;&gt;"",vlookup(A898,'📦 ชื่อสินค้า'!A:E,5,false),"")</f>
        <v/>
      </c>
      <c r="D898" s="23" t="str">
        <f>IF(A898&lt;&gt;"",VLOOKUP(A898,'📦 ชื่อสินค้า'!A:F,6,false),"")</f>
        <v/>
      </c>
      <c r="E898" s="16" t="str">
        <f>IFERROR(IF(VLOOKUP(A898,'📦 ชื่อสินค้า'!A:G,7,false)="InActive","InActive",IF(A898&lt;&gt;"",IF(B898&lt;=0,"สินค้าหมด",IF(B898&lt;=C898,"ควรเติมทันที","OK")),"")),)</f>
        <v/>
      </c>
      <c r="F898" s="24" t="str">
        <f>IFERROR(IF(A898&lt;&gt;"", SUMIF('💸 Transaction ซื้อ'!B:B,A898,'💸 Transaction ซื้อ'!G:G)/SUMIF('💸 Transaction ซื้อ'!B:B,A898,'💸 Transaction ซื้อ'!E:E),""),"-")</f>
        <v/>
      </c>
      <c r="G898" s="24" t="str">
        <f t="shared" si="1"/>
        <v/>
      </c>
      <c r="H898" s="25"/>
      <c r="I898" s="26"/>
      <c r="J898" s="26"/>
      <c r="K898" s="27" t="str">
        <f>IF(A898&lt;&gt;"",IF(E898="InActive","-",SUMIFS('💰 Transaction ขาย'!E:E,'💰 Transaction ขาย'!B:B,A898,'💰 Transaction ขาย'!A:A,"&gt;"&amp;'⚙️ Config'!$H$1-'⚙️ Config'!$H$2)),)</f>
        <v/>
      </c>
      <c r="L898" s="28" t="str">
        <f>IF(E898="InActive","-",IF(A898&lt;&gt;"",K898/'⚙️ Config'!$H$2,))</f>
        <v/>
      </c>
      <c r="M898" s="28" t="str">
        <f t="shared" si="2"/>
        <v/>
      </c>
      <c r="N898" s="28" t="str">
        <f>IF(A898&lt;&gt;"", SUMIFS('💰 Transaction ขาย'!F:F,'💰 Transaction ขาย'!B:B,A898,'💰 Transaction ขาย'!A:A,"&gt;="&amp;DATE(YEAR('⚙️ Config'!$H$1),1,1),'💰 Transaction ขาย'!A:A,"&lt;="&amp;DATE(YEAR('⚙️ Config'!$H$1),12,31)),)</f>
        <v/>
      </c>
    </row>
    <row r="899">
      <c r="A899" s="22"/>
      <c r="B899" s="22" t="str">
        <f>IF(A899&lt;&gt;"",SUMIFS('💸 Transaction ซื้อ'!E:E,'💸 Transaction ซื้อ'!B:B,A899)-SUMIFS('💰 Transaction ขาย'!E:E,'💰 Transaction ขาย'!B:B,A899),"")</f>
        <v/>
      </c>
      <c r="C899" s="23" t="str">
        <f>IF(A899&lt;&gt;"",vlookup(A899,'📦 ชื่อสินค้า'!A:E,5,false),"")</f>
        <v/>
      </c>
      <c r="D899" s="23" t="str">
        <f>IF(A899&lt;&gt;"",VLOOKUP(A899,'📦 ชื่อสินค้า'!A:F,6,false),"")</f>
        <v/>
      </c>
      <c r="E899" s="16" t="str">
        <f>IFERROR(IF(VLOOKUP(A899,'📦 ชื่อสินค้า'!A:G,7,false)="InActive","InActive",IF(A899&lt;&gt;"",IF(B899&lt;=0,"สินค้าหมด",IF(B899&lt;=C899,"ควรเติมทันที","OK")),"")),)</f>
        <v/>
      </c>
      <c r="F899" s="24" t="str">
        <f>IFERROR(IF(A899&lt;&gt;"", SUMIF('💸 Transaction ซื้อ'!B:B,A899,'💸 Transaction ซื้อ'!G:G)/SUMIF('💸 Transaction ซื้อ'!B:B,A899,'💸 Transaction ซื้อ'!E:E),""),"-")</f>
        <v/>
      </c>
      <c r="G899" s="24" t="str">
        <f t="shared" si="1"/>
        <v/>
      </c>
      <c r="H899" s="25"/>
      <c r="I899" s="26"/>
      <c r="J899" s="26"/>
      <c r="K899" s="27" t="str">
        <f>IF(A899&lt;&gt;"",IF(E899="InActive","-",SUMIFS('💰 Transaction ขาย'!E:E,'💰 Transaction ขาย'!B:B,A899,'💰 Transaction ขาย'!A:A,"&gt;"&amp;'⚙️ Config'!$H$1-'⚙️ Config'!$H$2)),)</f>
        <v/>
      </c>
      <c r="L899" s="28" t="str">
        <f>IF(E899="InActive","-",IF(A899&lt;&gt;"",K899/'⚙️ Config'!$H$2,))</f>
        <v/>
      </c>
      <c r="M899" s="28" t="str">
        <f t="shared" si="2"/>
        <v/>
      </c>
      <c r="N899" s="28" t="str">
        <f>IF(A899&lt;&gt;"", SUMIFS('💰 Transaction ขาย'!F:F,'💰 Transaction ขาย'!B:B,A899,'💰 Transaction ขาย'!A:A,"&gt;="&amp;DATE(YEAR('⚙️ Config'!$H$1),1,1),'💰 Transaction ขาย'!A:A,"&lt;="&amp;DATE(YEAR('⚙️ Config'!$H$1),12,31)),)</f>
        <v/>
      </c>
    </row>
    <row r="900">
      <c r="A900" s="22"/>
      <c r="B900" s="22" t="str">
        <f>IF(A900&lt;&gt;"",SUMIFS('💸 Transaction ซื้อ'!E:E,'💸 Transaction ซื้อ'!B:B,A900)-SUMIFS('💰 Transaction ขาย'!E:E,'💰 Transaction ขาย'!B:B,A900),"")</f>
        <v/>
      </c>
      <c r="C900" s="23" t="str">
        <f>IF(A900&lt;&gt;"",vlookup(A900,'📦 ชื่อสินค้า'!A:E,5,false),"")</f>
        <v/>
      </c>
      <c r="D900" s="23" t="str">
        <f>IF(A900&lt;&gt;"",VLOOKUP(A900,'📦 ชื่อสินค้า'!A:F,6,false),"")</f>
        <v/>
      </c>
      <c r="E900" s="16" t="str">
        <f>IFERROR(IF(VLOOKUP(A900,'📦 ชื่อสินค้า'!A:G,7,false)="InActive","InActive",IF(A900&lt;&gt;"",IF(B900&lt;=0,"สินค้าหมด",IF(B900&lt;=C900,"ควรเติมทันที","OK")),"")),)</f>
        <v/>
      </c>
      <c r="F900" s="24" t="str">
        <f>IFERROR(IF(A900&lt;&gt;"", SUMIF('💸 Transaction ซื้อ'!B:B,A900,'💸 Transaction ซื้อ'!G:G)/SUMIF('💸 Transaction ซื้อ'!B:B,A900,'💸 Transaction ซื้อ'!E:E),""),"-")</f>
        <v/>
      </c>
      <c r="G900" s="24" t="str">
        <f t="shared" si="1"/>
        <v/>
      </c>
      <c r="H900" s="25"/>
      <c r="I900" s="26"/>
      <c r="J900" s="26"/>
      <c r="K900" s="27" t="str">
        <f>IF(A900&lt;&gt;"",IF(E900="InActive","-",SUMIFS('💰 Transaction ขาย'!E:E,'💰 Transaction ขาย'!B:B,A900,'💰 Transaction ขาย'!A:A,"&gt;"&amp;'⚙️ Config'!$H$1-'⚙️ Config'!$H$2)),)</f>
        <v/>
      </c>
      <c r="L900" s="28" t="str">
        <f>IF(E900="InActive","-",IF(A900&lt;&gt;"",K900/'⚙️ Config'!$H$2,))</f>
        <v/>
      </c>
      <c r="M900" s="28" t="str">
        <f t="shared" si="2"/>
        <v/>
      </c>
      <c r="N900" s="28" t="str">
        <f>IF(A900&lt;&gt;"", SUMIFS('💰 Transaction ขาย'!F:F,'💰 Transaction ขาย'!B:B,A900,'💰 Transaction ขาย'!A:A,"&gt;="&amp;DATE(YEAR('⚙️ Config'!$H$1),1,1),'💰 Transaction ขาย'!A:A,"&lt;="&amp;DATE(YEAR('⚙️ Config'!$H$1),12,31)),)</f>
        <v/>
      </c>
    </row>
    <row r="901">
      <c r="A901" s="22"/>
      <c r="B901" s="22" t="str">
        <f>IF(A901&lt;&gt;"",SUMIFS('💸 Transaction ซื้อ'!E:E,'💸 Transaction ซื้อ'!B:B,A901)-SUMIFS('💰 Transaction ขาย'!E:E,'💰 Transaction ขาย'!B:B,A901),"")</f>
        <v/>
      </c>
      <c r="C901" s="23" t="str">
        <f>IF(A901&lt;&gt;"",vlookup(A901,'📦 ชื่อสินค้า'!A:E,5,false),"")</f>
        <v/>
      </c>
      <c r="D901" s="23" t="str">
        <f>IF(A901&lt;&gt;"",VLOOKUP(A901,'📦 ชื่อสินค้า'!A:F,6,false),"")</f>
        <v/>
      </c>
      <c r="E901" s="16" t="str">
        <f>IFERROR(IF(VLOOKUP(A901,'📦 ชื่อสินค้า'!A:G,7,false)="InActive","InActive",IF(A901&lt;&gt;"",IF(B901&lt;=0,"สินค้าหมด",IF(B901&lt;=C901,"ควรเติมทันที","OK")),"")),)</f>
        <v/>
      </c>
      <c r="F901" s="24" t="str">
        <f>IFERROR(IF(A901&lt;&gt;"", SUMIF('💸 Transaction ซื้อ'!B:B,A901,'💸 Transaction ซื้อ'!G:G)/SUMIF('💸 Transaction ซื้อ'!B:B,A901,'💸 Transaction ซื้อ'!E:E),""),"-")</f>
        <v/>
      </c>
      <c r="G901" s="24" t="str">
        <f t="shared" si="1"/>
        <v/>
      </c>
      <c r="H901" s="25"/>
      <c r="I901" s="26"/>
      <c r="J901" s="26"/>
      <c r="K901" s="27" t="str">
        <f>IF(A901&lt;&gt;"",IF(E901="InActive","-",SUMIFS('💰 Transaction ขาย'!E:E,'💰 Transaction ขาย'!B:B,A901,'💰 Transaction ขาย'!A:A,"&gt;"&amp;'⚙️ Config'!$H$1-'⚙️ Config'!$H$2)),)</f>
        <v/>
      </c>
      <c r="L901" s="28" t="str">
        <f>IF(E901="InActive","-",IF(A901&lt;&gt;"",K901/'⚙️ Config'!$H$2,))</f>
        <v/>
      </c>
      <c r="M901" s="28" t="str">
        <f t="shared" si="2"/>
        <v/>
      </c>
      <c r="N901" s="28" t="str">
        <f>IF(A901&lt;&gt;"", SUMIFS('💰 Transaction ขาย'!F:F,'💰 Transaction ขาย'!B:B,A901,'💰 Transaction ขาย'!A:A,"&gt;="&amp;DATE(YEAR('⚙️ Config'!$H$1),1,1),'💰 Transaction ขาย'!A:A,"&lt;="&amp;DATE(YEAR('⚙️ Config'!$H$1),12,31)),)</f>
        <v/>
      </c>
    </row>
    <row r="902">
      <c r="A902" s="22"/>
      <c r="B902" s="22" t="str">
        <f>IF(A902&lt;&gt;"",SUMIFS('💸 Transaction ซื้อ'!E:E,'💸 Transaction ซื้อ'!B:B,A902)-SUMIFS('💰 Transaction ขาย'!E:E,'💰 Transaction ขาย'!B:B,A902),"")</f>
        <v/>
      </c>
      <c r="C902" s="23" t="str">
        <f>IF(A902&lt;&gt;"",vlookup(A902,'📦 ชื่อสินค้า'!A:E,5,false),"")</f>
        <v/>
      </c>
      <c r="D902" s="23" t="str">
        <f>IF(A902&lt;&gt;"",VLOOKUP(A902,'📦 ชื่อสินค้า'!A:F,6,false),"")</f>
        <v/>
      </c>
      <c r="E902" s="16" t="str">
        <f>IFERROR(IF(VLOOKUP(A902,'📦 ชื่อสินค้า'!A:G,7,false)="InActive","InActive",IF(A902&lt;&gt;"",IF(B902&lt;=0,"สินค้าหมด",IF(B902&lt;=C902,"ควรเติมทันที","OK")),"")),)</f>
        <v/>
      </c>
      <c r="F902" s="24" t="str">
        <f>IFERROR(IF(A902&lt;&gt;"", SUMIF('💸 Transaction ซื้อ'!B:B,A902,'💸 Transaction ซื้อ'!G:G)/SUMIF('💸 Transaction ซื้อ'!B:B,A902,'💸 Transaction ซื้อ'!E:E),""),"-")</f>
        <v/>
      </c>
      <c r="G902" s="24" t="str">
        <f t="shared" si="1"/>
        <v/>
      </c>
      <c r="H902" s="25"/>
      <c r="I902" s="26"/>
      <c r="J902" s="26"/>
      <c r="K902" s="27" t="str">
        <f>IF(A902&lt;&gt;"",IF(E902="InActive","-",SUMIFS('💰 Transaction ขาย'!E:E,'💰 Transaction ขาย'!B:B,A902,'💰 Transaction ขาย'!A:A,"&gt;"&amp;'⚙️ Config'!$H$1-'⚙️ Config'!$H$2)),)</f>
        <v/>
      </c>
      <c r="L902" s="28" t="str">
        <f>IF(E902="InActive","-",IF(A902&lt;&gt;"",K902/'⚙️ Config'!$H$2,))</f>
        <v/>
      </c>
      <c r="M902" s="28" t="str">
        <f t="shared" si="2"/>
        <v/>
      </c>
      <c r="N902" s="28" t="str">
        <f>IF(A902&lt;&gt;"", SUMIFS('💰 Transaction ขาย'!F:F,'💰 Transaction ขาย'!B:B,A902,'💰 Transaction ขาย'!A:A,"&gt;="&amp;DATE(YEAR('⚙️ Config'!$H$1),1,1),'💰 Transaction ขาย'!A:A,"&lt;="&amp;DATE(YEAR('⚙️ Config'!$H$1),12,31)),)</f>
        <v/>
      </c>
    </row>
    <row r="903">
      <c r="A903" s="22"/>
      <c r="B903" s="22" t="str">
        <f>IF(A903&lt;&gt;"",SUMIFS('💸 Transaction ซื้อ'!E:E,'💸 Transaction ซื้อ'!B:B,A903)-SUMIFS('💰 Transaction ขาย'!E:E,'💰 Transaction ขาย'!B:B,A903),"")</f>
        <v/>
      </c>
      <c r="C903" s="23" t="str">
        <f>IF(A903&lt;&gt;"",vlookup(A903,'📦 ชื่อสินค้า'!A:E,5,false),"")</f>
        <v/>
      </c>
      <c r="D903" s="23" t="str">
        <f>IF(A903&lt;&gt;"",VLOOKUP(A903,'📦 ชื่อสินค้า'!A:F,6,false),"")</f>
        <v/>
      </c>
      <c r="E903" s="16" t="str">
        <f>IFERROR(IF(VLOOKUP(A903,'📦 ชื่อสินค้า'!A:G,7,false)="InActive","InActive",IF(A903&lt;&gt;"",IF(B903&lt;=0,"สินค้าหมด",IF(B903&lt;=C903,"ควรเติมทันที","OK")),"")),)</f>
        <v/>
      </c>
      <c r="F903" s="24" t="str">
        <f>IFERROR(IF(A903&lt;&gt;"", SUMIF('💸 Transaction ซื้อ'!B:B,A903,'💸 Transaction ซื้อ'!G:G)/SUMIF('💸 Transaction ซื้อ'!B:B,A903,'💸 Transaction ซื้อ'!E:E),""),"-")</f>
        <v/>
      </c>
      <c r="G903" s="24" t="str">
        <f t="shared" si="1"/>
        <v/>
      </c>
      <c r="H903" s="25"/>
      <c r="I903" s="26"/>
      <c r="J903" s="26"/>
      <c r="K903" s="27" t="str">
        <f>IF(A903&lt;&gt;"",IF(E903="InActive","-",SUMIFS('💰 Transaction ขาย'!E:E,'💰 Transaction ขาย'!B:B,A903,'💰 Transaction ขาย'!A:A,"&gt;"&amp;'⚙️ Config'!$H$1-'⚙️ Config'!$H$2)),)</f>
        <v/>
      </c>
      <c r="L903" s="28" t="str">
        <f>IF(E903="InActive","-",IF(A903&lt;&gt;"",K903/'⚙️ Config'!$H$2,))</f>
        <v/>
      </c>
      <c r="M903" s="28" t="str">
        <f t="shared" si="2"/>
        <v/>
      </c>
      <c r="N903" s="28" t="str">
        <f>IF(A903&lt;&gt;"", SUMIFS('💰 Transaction ขาย'!F:F,'💰 Transaction ขาย'!B:B,A903,'💰 Transaction ขาย'!A:A,"&gt;="&amp;DATE(YEAR('⚙️ Config'!$H$1),1,1),'💰 Transaction ขาย'!A:A,"&lt;="&amp;DATE(YEAR('⚙️ Config'!$H$1),12,31)),)</f>
        <v/>
      </c>
    </row>
    <row r="904">
      <c r="A904" s="22"/>
      <c r="B904" s="22" t="str">
        <f>IF(A904&lt;&gt;"",SUMIFS('💸 Transaction ซื้อ'!E:E,'💸 Transaction ซื้อ'!B:B,A904)-SUMIFS('💰 Transaction ขาย'!E:E,'💰 Transaction ขาย'!B:B,A904),"")</f>
        <v/>
      </c>
      <c r="C904" s="23" t="str">
        <f>IF(A904&lt;&gt;"",vlookup(A904,'📦 ชื่อสินค้า'!A:E,5,false),"")</f>
        <v/>
      </c>
      <c r="D904" s="23" t="str">
        <f>IF(A904&lt;&gt;"",VLOOKUP(A904,'📦 ชื่อสินค้า'!A:F,6,false),"")</f>
        <v/>
      </c>
      <c r="E904" s="16" t="str">
        <f>IFERROR(IF(VLOOKUP(A904,'📦 ชื่อสินค้า'!A:G,7,false)="InActive","InActive",IF(A904&lt;&gt;"",IF(B904&lt;=0,"สินค้าหมด",IF(B904&lt;=C904,"ควรเติมทันที","OK")),"")),)</f>
        <v/>
      </c>
      <c r="F904" s="24" t="str">
        <f>IFERROR(IF(A904&lt;&gt;"", SUMIF('💸 Transaction ซื้อ'!B:B,A904,'💸 Transaction ซื้อ'!G:G)/SUMIF('💸 Transaction ซื้อ'!B:B,A904,'💸 Transaction ซื้อ'!E:E),""),"-")</f>
        <v/>
      </c>
      <c r="G904" s="24" t="str">
        <f t="shared" si="1"/>
        <v/>
      </c>
      <c r="H904" s="25"/>
      <c r="I904" s="26"/>
      <c r="J904" s="26"/>
      <c r="K904" s="27" t="str">
        <f>IF(A904&lt;&gt;"",IF(E904="InActive","-",SUMIFS('💰 Transaction ขาย'!E:E,'💰 Transaction ขาย'!B:B,A904,'💰 Transaction ขาย'!A:A,"&gt;"&amp;'⚙️ Config'!$H$1-'⚙️ Config'!$H$2)),)</f>
        <v/>
      </c>
      <c r="L904" s="28" t="str">
        <f>IF(E904="InActive","-",IF(A904&lt;&gt;"",K904/'⚙️ Config'!$H$2,))</f>
        <v/>
      </c>
      <c r="M904" s="28" t="str">
        <f t="shared" si="2"/>
        <v/>
      </c>
      <c r="N904" s="28" t="str">
        <f>IF(A904&lt;&gt;"", SUMIFS('💰 Transaction ขาย'!F:F,'💰 Transaction ขาย'!B:B,A904,'💰 Transaction ขาย'!A:A,"&gt;="&amp;DATE(YEAR('⚙️ Config'!$H$1),1,1),'💰 Transaction ขาย'!A:A,"&lt;="&amp;DATE(YEAR('⚙️ Config'!$H$1),12,31)),)</f>
        <v/>
      </c>
    </row>
    <row r="905">
      <c r="A905" s="22"/>
      <c r="B905" s="22" t="str">
        <f>IF(A905&lt;&gt;"",SUMIFS('💸 Transaction ซื้อ'!E:E,'💸 Transaction ซื้อ'!B:B,A905)-SUMIFS('💰 Transaction ขาย'!E:E,'💰 Transaction ขาย'!B:B,A905),"")</f>
        <v/>
      </c>
      <c r="C905" s="23" t="str">
        <f>IF(A905&lt;&gt;"",vlookup(A905,'📦 ชื่อสินค้า'!A:E,5,false),"")</f>
        <v/>
      </c>
      <c r="D905" s="23" t="str">
        <f>IF(A905&lt;&gt;"",VLOOKUP(A905,'📦 ชื่อสินค้า'!A:F,6,false),"")</f>
        <v/>
      </c>
      <c r="E905" s="16" t="str">
        <f>IFERROR(IF(VLOOKUP(A905,'📦 ชื่อสินค้า'!A:G,7,false)="InActive","InActive",IF(A905&lt;&gt;"",IF(B905&lt;=0,"สินค้าหมด",IF(B905&lt;=C905,"ควรเติมทันที","OK")),"")),)</f>
        <v/>
      </c>
      <c r="F905" s="24" t="str">
        <f>IFERROR(IF(A905&lt;&gt;"", SUMIF('💸 Transaction ซื้อ'!B:B,A905,'💸 Transaction ซื้อ'!G:G)/SUMIF('💸 Transaction ซื้อ'!B:B,A905,'💸 Transaction ซื้อ'!E:E),""),"-")</f>
        <v/>
      </c>
      <c r="G905" s="24" t="str">
        <f t="shared" si="1"/>
        <v/>
      </c>
      <c r="H905" s="25"/>
      <c r="I905" s="26"/>
      <c r="J905" s="26"/>
      <c r="K905" s="27" t="str">
        <f>IF(A905&lt;&gt;"",IF(E905="InActive","-",SUMIFS('💰 Transaction ขาย'!E:E,'💰 Transaction ขาย'!B:B,A905,'💰 Transaction ขาย'!A:A,"&gt;"&amp;'⚙️ Config'!$H$1-'⚙️ Config'!$H$2)),)</f>
        <v/>
      </c>
      <c r="L905" s="28" t="str">
        <f>IF(E905="InActive","-",IF(A905&lt;&gt;"",K905/'⚙️ Config'!$H$2,))</f>
        <v/>
      </c>
      <c r="M905" s="28" t="str">
        <f t="shared" si="2"/>
        <v/>
      </c>
      <c r="N905" s="28" t="str">
        <f>IF(A905&lt;&gt;"", SUMIFS('💰 Transaction ขาย'!F:F,'💰 Transaction ขาย'!B:B,A905,'💰 Transaction ขาย'!A:A,"&gt;="&amp;DATE(YEAR('⚙️ Config'!$H$1),1,1),'💰 Transaction ขาย'!A:A,"&lt;="&amp;DATE(YEAR('⚙️ Config'!$H$1),12,31)),)</f>
        <v/>
      </c>
    </row>
    <row r="906">
      <c r="A906" s="22"/>
      <c r="B906" s="22" t="str">
        <f>IF(A906&lt;&gt;"",SUMIFS('💸 Transaction ซื้อ'!E:E,'💸 Transaction ซื้อ'!B:B,A906)-SUMIFS('💰 Transaction ขาย'!E:E,'💰 Transaction ขาย'!B:B,A906),"")</f>
        <v/>
      </c>
      <c r="C906" s="23" t="str">
        <f>IF(A906&lt;&gt;"",vlookup(A906,'📦 ชื่อสินค้า'!A:E,5,false),"")</f>
        <v/>
      </c>
      <c r="D906" s="23" t="str">
        <f>IF(A906&lt;&gt;"",VLOOKUP(A906,'📦 ชื่อสินค้า'!A:F,6,false),"")</f>
        <v/>
      </c>
      <c r="E906" s="16" t="str">
        <f>IFERROR(IF(VLOOKUP(A906,'📦 ชื่อสินค้า'!A:G,7,false)="InActive","InActive",IF(A906&lt;&gt;"",IF(B906&lt;=0,"สินค้าหมด",IF(B906&lt;=C906,"ควรเติมทันที","OK")),"")),)</f>
        <v/>
      </c>
      <c r="F906" s="24" t="str">
        <f>IFERROR(IF(A906&lt;&gt;"", SUMIF('💸 Transaction ซื้อ'!B:B,A906,'💸 Transaction ซื้อ'!G:G)/SUMIF('💸 Transaction ซื้อ'!B:B,A906,'💸 Transaction ซื้อ'!E:E),""),"-")</f>
        <v/>
      </c>
      <c r="G906" s="24" t="str">
        <f t="shared" si="1"/>
        <v/>
      </c>
      <c r="H906" s="25"/>
      <c r="I906" s="26"/>
      <c r="J906" s="26"/>
      <c r="K906" s="27" t="str">
        <f>IF(A906&lt;&gt;"",IF(E906="InActive","-",SUMIFS('💰 Transaction ขาย'!E:E,'💰 Transaction ขาย'!B:B,A906,'💰 Transaction ขาย'!A:A,"&gt;"&amp;'⚙️ Config'!$H$1-'⚙️ Config'!$H$2)),)</f>
        <v/>
      </c>
      <c r="L906" s="28" t="str">
        <f>IF(E906="InActive","-",IF(A906&lt;&gt;"",K906/'⚙️ Config'!$H$2,))</f>
        <v/>
      </c>
      <c r="M906" s="28" t="str">
        <f t="shared" si="2"/>
        <v/>
      </c>
      <c r="N906" s="28" t="str">
        <f>IF(A906&lt;&gt;"", SUMIFS('💰 Transaction ขาย'!F:F,'💰 Transaction ขาย'!B:B,A906,'💰 Transaction ขาย'!A:A,"&gt;="&amp;DATE(YEAR('⚙️ Config'!$H$1),1,1),'💰 Transaction ขาย'!A:A,"&lt;="&amp;DATE(YEAR('⚙️ Config'!$H$1),12,31)),)</f>
        <v/>
      </c>
    </row>
    <row r="907">
      <c r="A907" s="22"/>
      <c r="B907" s="22" t="str">
        <f>IF(A907&lt;&gt;"",SUMIFS('💸 Transaction ซื้อ'!E:E,'💸 Transaction ซื้อ'!B:B,A907)-SUMIFS('💰 Transaction ขาย'!E:E,'💰 Transaction ขาย'!B:B,A907),"")</f>
        <v/>
      </c>
      <c r="C907" s="23" t="str">
        <f>IF(A907&lt;&gt;"",vlookup(A907,'📦 ชื่อสินค้า'!A:E,5,false),"")</f>
        <v/>
      </c>
      <c r="D907" s="23" t="str">
        <f>IF(A907&lt;&gt;"",VLOOKUP(A907,'📦 ชื่อสินค้า'!A:F,6,false),"")</f>
        <v/>
      </c>
      <c r="E907" s="16" t="str">
        <f>IFERROR(IF(VLOOKUP(A907,'📦 ชื่อสินค้า'!A:G,7,false)="InActive","InActive",IF(A907&lt;&gt;"",IF(B907&lt;=0,"สินค้าหมด",IF(B907&lt;=C907,"ควรเติมทันที","OK")),"")),)</f>
        <v/>
      </c>
      <c r="F907" s="24" t="str">
        <f>IFERROR(IF(A907&lt;&gt;"", SUMIF('💸 Transaction ซื้อ'!B:B,A907,'💸 Transaction ซื้อ'!G:G)/SUMIF('💸 Transaction ซื้อ'!B:B,A907,'💸 Transaction ซื้อ'!E:E),""),"-")</f>
        <v/>
      </c>
      <c r="G907" s="24" t="str">
        <f t="shared" si="1"/>
        <v/>
      </c>
      <c r="H907" s="25"/>
      <c r="I907" s="26"/>
      <c r="J907" s="26"/>
      <c r="K907" s="27" t="str">
        <f>IF(A907&lt;&gt;"",IF(E907="InActive","-",SUMIFS('💰 Transaction ขาย'!E:E,'💰 Transaction ขาย'!B:B,A907,'💰 Transaction ขาย'!A:A,"&gt;"&amp;'⚙️ Config'!$H$1-'⚙️ Config'!$H$2)),)</f>
        <v/>
      </c>
      <c r="L907" s="28" t="str">
        <f>IF(E907="InActive","-",IF(A907&lt;&gt;"",K907/'⚙️ Config'!$H$2,))</f>
        <v/>
      </c>
      <c r="M907" s="28" t="str">
        <f t="shared" si="2"/>
        <v/>
      </c>
      <c r="N907" s="28" t="str">
        <f>IF(A907&lt;&gt;"", SUMIFS('💰 Transaction ขาย'!F:F,'💰 Transaction ขาย'!B:B,A907,'💰 Transaction ขาย'!A:A,"&gt;="&amp;DATE(YEAR('⚙️ Config'!$H$1),1,1),'💰 Transaction ขาย'!A:A,"&lt;="&amp;DATE(YEAR('⚙️ Config'!$H$1),12,31)),)</f>
        <v/>
      </c>
    </row>
    <row r="908">
      <c r="A908" s="22"/>
      <c r="B908" s="22" t="str">
        <f>IF(A908&lt;&gt;"",SUMIFS('💸 Transaction ซื้อ'!E:E,'💸 Transaction ซื้อ'!B:B,A908)-SUMIFS('💰 Transaction ขาย'!E:E,'💰 Transaction ขาย'!B:B,A908),"")</f>
        <v/>
      </c>
      <c r="C908" s="23" t="str">
        <f>IF(A908&lt;&gt;"",vlookup(A908,'📦 ชื่อสินค้า'!A:E,5,false),"")</f>
        <v/>
      </c>
      <c r="D908" s="23" t="str">
        <f>IF(A908&lt;&gt;"",VLOOKUP(A908,'📦 ชื่อสินค้า'!A:F,6,false),"")</f>
        <v/>
      </c>
      <c r="E908" s="16" t="str">
        <f>IFERROR(IF(VLOOKUP(A908,'📦 ชื่อสินค้า'!A:G,7,false)="InActive","InActive",IF(A908&lt;&gt;"",IF(B908&lt;=0,"สินค้าหมด",IF(B908&lt;=C908,"ควรเติมทันที","OK")),"")),)</f>
        <v/>
      </c>
      <c r="F908" s="24" t="str">
        <f>IFERROR(IF(A908&lt;&gt;"", SUMIF('💸 Transaction ซื้อ'!B:B,A908,'💸 Transaction ซื้อ'!G:G)/SUMIF('💸 Transaction ซื้อ'!B:B,A908,'💸 Transaction ซื้อ'!E:E),""),"-")</f>
        <v/>
      </c>
      <c r="G908" s="24" t="str">
        <f t="shared" si="1"/>
        <v/>
      </c>
      <c r="H908" s="25"/>
      <c r="I908" s="26"/>
      <c r="J908" s="26"/>
      <c r="K908" s="27" t="str">
        <f>IF(A908&lt;&gt;"",IF(E908="InActive","-",SUMIFS('💰 Transaction ขาย'!E:E,'💰 Transaction ขาย'!B:B,A908,'💰 Transaction ขาย'!A:A,"&gt;"&amp;'⚙️ Config'!$H$1-'⚙️ Config'!$H$2)),)</f>
        <v/>
      </c>
      <c r="L908" s="28" t="str">
        <f>IF(E908="InActive","-",IF(A908&lt;&gt;"",K908/'⚙️ Config'!$H$2,))</f>
        <v/>
      </c>
      <c r="M908" s="28" t="str">
        <f t="shared" si="2"/>
        <v/>
      </c>
      <c r="N908" s="28" t="str">
        <f>IF(A908&lt;&gt;"", SUMIFS('💰 Transaction ขาย'!F:F,'💰 Transaction ขาย'!B:B,A908,'💰 Transaction ขาย'!A:A,"&gt;="&amp;DATE(YEAR('⚙️ Config'!$H$1),1,1),'💰 Transaction ขาย'!A:A,"&lt;="&amp;DATE(YEAR('⚙️ Config'!$H$1),12,31)),)</f>
        <v/>
      </c>
    </row>
    <row r="909">
      <c r="A909" s="22"/>
      <c r="B909" s="22" t="str">
        <f>IF(A909&lt;&gt;"",SUMIFS('💸 Transaction ซื้อ'!E:E,'💸 Transaction ซื้อ'!B:B,A909)-SUMIFS('💰 Transaction ขาย'!E:E,'💰 Transaction ขาย'!B:B,A909),"")</f>
        <v/>
      </c>
      <c r="C909" s="23" t="str">
        <f>IF(A909&lt;&gt;"",vlookup(A909,'📦 ชื่อสินค้า'!A:E,5,false),"")</f>
        <v/>
      </c>
      <c r="D909" s="23" t="str">
        <f>IF(A909&lt;&gt;"",VLOOKUP(A909,'📦 ชื่อสินค้า'!A:F,6,false),"")</f>
        <v/>
      </c>
      <c r="E909" s="16" t="str">
        <f>IFERROR(IF(VLOOKUP(A909,'📦 ชื่อสินค้า'!A:G,7,false)="InActive","InActive",IF(A909&lt;&gt;"",IF(B909&lt;=0,"สินค้าหมด",IF(B909&lt;=C909,"ควรเติมทันที","OK")),"")),)</f>
        <v/>
      </c>
      <c r="F909" s="24" t="str">
        <f>IFERROR(IF(A909&lt;&gt;"", SUMIF('💸 Transaction ซื้อ'!B:B,A909,'💸 Transaction ซื้อ'!G:G)/SUMIF('💸 Transaction ซื้อ'!B:B,A909,'💸 Transaction ซื้อ'!E:E),""),"-")</f>
        <v/>
      </c>
      <c r="G909" s="24" t="str">
        <f t="shared" si="1"/>
        <v/>
      </c>
      <c r="H909" s="25"/>
      <c r="I909" s="26"/>
      <c r="J909" s="26"/>
      <c r="K909" s="27" t="str">
        <f>IF(A909&lt;&gt;"",IF(E909="InActive","-",SUMIFS('💰 Transaction ขาย'!E:E,'💰 Transaction ขาย'!B:B,A909,'💰 Transaction ขาย'!A:A,"&gt;"&amp;'⚙️ Config'!$H$1-'⚙️ Config'!$H$2)),)</f>
        <v/>
      </c>
      <c r="L909" s="28" t="str">
        <f>IF(E909="InActive","-",IF(A909&lt;&gt;"",K909/'⚙️ Config'!$H$2,))</f>
        <v/>
      </c>
      <c r="M909" s="28" t="str">
        <f t="shared" si="2"/>
        <v/>
      </c>
      <c r="N909" s="28" t="str">
        <f>IF(A909&lt;&gt;"", SUMIFS('💰 Transaction ขาย'!F:F,'💰 Transaction ขาย'!B:B,A909,'💰 Transaction ขาย'!A:A,"&gt;="&amp;DATE(YEAR('⚙️ Config'!$H$1),1,1),'💰 Transaction ขาย'!A:A,"&lt;="&amp;DATE(YEAR('⚙️ Config'!$H$1),12,31)),)</f>
        <v/>
      </c>
    </row>
    <row r="910">
      <c r="A910" s="22"/>
      <c r="B910" s="22" t="str">
        <f>IF(A910&lt;&gt;"",SUMIFS('💸 Transaction ซื้อ'!E:E,'💸 Transaction ซื้อ'!B:B,A910)-SUMIFS('💰 Transaction ขาย'!E:E,'💰 Transaction ขาย'!B:B,A910),"")</f>
        <v/>
      </c>
      <c r="C910" s="23" t="str">
        <f>IF(A910&lt;&gt;"",vlookup(A910,'📦 ชื่อสินค้า'!A:E,5,false),"")</f>
        <v/>
      </c>
      <c r="D910" s="23" t="str">
        <f>IF(A910&lt;&gt;"",VLOOKUP(A910,'📦 ชื่อสินค้า'!A:F,6,false),"")</f>
        <v/>
      </c>
      <c r="E910" s="16" t="str">
        <f>IFERROR(IF(VLOOKUP(A910,'📦 ชื่อสินค้า'!A:G,7,false)="InActive","InActive",IF(A910&lt;&gt;"",IF(B910&lt;=0,"สินค้าหมด",IF(B910&lt;=C910,"ควรเติมทันที","OK")),"")),)</f>
        <v/>
      </c>
      <c r="F910" s="24" t="str">
        <f>IFERROR(IF(A910&lt;&gt;"", SUMIF('💸 Transaction ซื้อ'!B:B,A910,'💸 Transaction ซื้อ'!G:G)/SUMIF('💸 Transaction ซื้อ'!B:B,A910,'💸 Transaction ซื้อ'!E:E),""),"-")</f>
        <v/>
      </c>
      <c r="G910" s="24" t="str">
        <f t="shared" si="1"/>
        <v/>
      </c>
      <c r="H910" s="25"/>
      <c r="I910" s="26"/>
      <c r="J910" s="26"/>
      <c r="K910" s="27" t="str">
        <f>IF(A910&lt;&gt;"",IF(E910="InActive","-",SUMIFS('💰 Transaction ขาย'!E:E,'💰 Transaction ขาย'!B:B,A910,'💰 Transaction ขาย'!A:A,"&gt;"&amp;'⚙️ Config'!$H$1-'⚙️ Config'!$H$2)),)</f>
        <v/>
      </c>
      <c r="L910" s="28" t="str">
        <f>IF(E910="InActive","-",IF(A910&lt;&gt;"",K910/'⚙️ Config'!$H$2,))</f>
        <v/>
      </c>
      <c r="M910" s="28" t="str">
        <f t="shared" si="2"/>
        <v/>
      </c>
      <c r="N910" s="28" t="str">
        <f>IF(A910&lt;&gt;"", SUMIFS('💰 Transaction ขาย'!F:F,'💰 Transaction ขาย'!B:B,A910,'💰 Transaction ขาย'!A:A,"&gt;="&amp;DATE(YEAR('⚙️ Config'!$H$1),1,1),'💰 Transaction ขาย'!A:A,"&lt;="&amp;DATE(YEAR('⚙️ Config'!$H$1),12,31)),)</f>
        <v/>
      </c>
    </row>
    <row r="911">
      <c r="A911" s="22"/>
      <c r="B911" s="22" t="str">
        <f>IF(A911&lt;&gt;"",SUMIFS('💸 Transaction ซื้อ'!E:E,'💸 Transaction ซื้อ'!B:B,A911)-SUMIFS('💰 Transaction ขาย'!E:E,'💰 Transaction ขาย'!B:B,A911),"")</f>
        <v/>
      </c>
      <c r="C911" s="23" t="str">
        <f>IF(A911&lt;&gt;"",vlookup(A911,'📦 ชื่อสินค้า'!A:E,5,false),"")</f>
        <v/>
      </c>
      <c r="D911" s="23" t="str">
        <f>IF(A911&lt;&gt;"",VLOOKUP(A911,'📦 ชื่อสินค้า'!A:F,6,false),"")</f>
        <v/>
      </c>
      <c r="E911" s="16" t="str">
        <f>IFERROR(IF(VLOOKUP(A911,'📦 ชื่อสินค้า'!A:G,7,false)="InActive","InActive",IF(A911&lt;&gt;"",IF(B911&lt;=0,"สินค้าหมด",IF(B911&lt;=C911,"ควรเติมทันที","OK")),"")),)</f>
        <v/>
      </c>
      <c r="F911" s="24" t="str">
        <f>IFERROR(IF(A911&lt;&gt;"", SUMIF('💸 Transaction ซื้อ'!B:B,A911,'💸 Transaction ซื้อ'!G:G)/SUMIF('💸 Transaction ซื้อ'!B:B,A911,'💸 Transaction ซื้อ'!E:E),""),"-")</f>
        <v/>
      </c>
      <c r="G911" s="24" t="str">
        <f t="shared" si="1"/>
        <v/>
      </c>
      <c r="H911" s="25"/>
      <c r="I911" s="26"/>
      <c r="J911" s="26"/>
      <c r="K911" s="27" t="str">
        <f>IF(A911&lt;&gt;"",IF(E911="InActive","-",SUMIFS('💰 Transaction ขาย'!E:E,'💰 Transaction ขาย'!B:B,A911,'💰 Transaction ขาย'!A:A,"&gt;"&amp;'⚙️ Config'!$H$1-'⚙️ Config'!$H$2)),)</f>
        <v/>
      </c>
      <c r="L911" s="28" t="str">
        <f>IF(E911="InActive","-",IF(A911&lt;&gt;"",K911/'⚙️ Config'!$H$2,))</f>
        <v/>
      </c>
      <c r="M911" s="28" t="str">
        <f t="shared" si="2"/>
        <v/>
      </c>
      <c r="N911" s="28" t="str">
        <f>IF(A911&lt;&gt;"", SUMIFS('💰 Transaction ขาย'!F:F,'💰 Transaction ขาย'!B:B,A911,'💰 Transaction ขาย'!A:A,"&gt;="&amp;DATE(YEAR('⚙️ Config'!$H$1),1,1),'💰 Transaction ขาย'!A:A,"&lt;="&amp;DATE(YEAR('⚙️ Config'!$H$1),12,31)),)</f>
        <v/>
      </c>
    </row>
    <row r="912">
      <c r="A912" s="22"/>
      <c r="B912" s="22" t="str">
        <f>IF(A912&lt;&gt;"",SUMIFS('💸 Transaction ซื้อ'!E:E,'💸 Transaction ซื้อ'!B:B,A912)-SUMIFS('💰 Transaction ขาย'!E:E,'💰 Transaction ขาย'!B:B,A912),"")</f>
        <v/>
      </c>
      <c r="C912" s="23" t="str">
        <f>IF(A912&lt;&gt;"",vlookup(A912,'📦 ชื่อสินค้า'!A:E,5,false),"")</f>
        <v/>
      </c>
      <c r="D912" s="23" t="str">
        <f>IF(A912&lt;&gt;"",VLOOKUP(A912,'📦 ชื่อสินค้า'!A:F,6,false),"")</f>
        <v/>
      </c>
      <c r="E912" s="16" t="str">
        <f>IFERROR(IF(VLOOKUP(A912,'📦 ชื่อสินค้า'!A:G,7,false)="InActive","InActive",IF(A912&lt;&gt;"",IF(B912&lt;=0,"สินค้าหมด",IF(B912&lt;=C912,"ควรเติมทันที","OK")),"")),)</f>
        <v/>
      </c>
      <c r="F912" s="24" t="str">
        <f>IFERROR(IF(A912&lt;&gt;"", SUMIF('💸 Transaction ซื้อ'!B:B,A912,'💸 Transaction ซื้อ'!G:G)/SUMIF('💸 Transaction ซื้อ'!B:B,A912,'💸 Transaction ซื้อ'!E:E),""),"-")</f>
        <v/>
      </c>
      <c r="G912" s="24" t="str">
        <f t="shared" si="1"/>
        <v/>
      </c>
      <c r="H912" s="25"/>
      <c r="I912" s="26"/>
      <c r="J912" s="26"/>
      <c r="K912" s="27" t="str">
        <f>IF(A912&lt;&gt;"",IF(E912="InActive","-",SUMIFS('💰 Transaction ขาย'!E:E,'💰 Transaction ขาย'!B:B,A912,'💰 Transaction ขาย'!A:A,"&gt;"&amp;'⚙️ Config'!$H$1-'⚙️ Config'!$H$2)),)</f>
        <v/>
      </c>
      <c r="L912" s="28" t="str">
        <f>IF(E912="InActive","-",IF(A912&lt;&gt;"",K912/'⚙️ Config'!$H$2,))</f>
        <v/>
      </c>
      <c r="M912" s="28" t="str">
        <f t="shared" si="2"/>
        <v/>
      </c>
      <c r="N912" s="28" t="str">
        <f>IF(A912&lt;&gt;"", SUMIFS('💰 Transaction ขาย'!F:F,'💰 Transaction ขาย'!B:B,A912,'💰 Transaction ขาย'!A:A,"&gt;="&amp;DATE(YEAR('⚙️ Config'!$H$1),1,1),'💰 Transaction ขาย'!A:A,"&lt;="&amp;DATE(YEAR('⚙️ Config'!$H$1),12,31)),)</f>
        <v/>
      </c>
    </row>
    <row r="913">
      <c r="A913" s="22"/>
      <c r="B913" s="22" t="str">
        <f>IF(A913&lt;&gt;"",SUMIFS('💸 Transaction ซื้อ'!E:E,'💸 Transaction ซื้อ'!B:B,A913)-SUMIFS('💰 Transaction ขาย'!E:E,'💰 Transaction ขาย'!B:B,A913),"")</f>
        <v/>
      </c>
      <c r="C913" s="23" t="str">
        <f>IF(A913&lt;&gt;"",vlookup(A913,'📦 ชื่อสินค้า'!A:E,5,false),"")</f>
        <v/>
      </c>
      <c r="D913" s="23" t="str">
        <f>IF(A913&lt;&gt;"",VLOOKUP(A913,'📦 ชื่อสินค้า'!A:F,6,false),"")</f>
        <v/>
      </c>
      <c r="E913" s="16" t="str">
        <f>IFERROR(IF(VLOOKUP(A913,'📦 ชื่อสินค้า'!A:G,7,false)="InActive","InActive",IF(A913&lt;&gt;"",IF(B913&lt;=0,"สินค้าหมด",IF(B913&lt;=C913,"ควรเติมทันที","OK")),"")),)</f>
        <v/>
      </c>
      <c r="F913" s="24" t="str">
        <f>IFERROR(IF(A913&lt;&gt;"", SUMIF('💸 Transaction ซื้อ'!B:B,A913,'💸 Transaction ซื้อ'!G:G)/SUMIF('💸 Transaction ซื้อ'!B:B,A913,'💸 Transaction ซื้อ'!E:E),""),"-")</f>
        <v/>
      </c>
      <c r="G913" s="24" t="str">
        <f t="shared" si="1"/>
        <v/>
      </c>
      <c r="H913" s="25"/>
      <c r="I913" s="26"/>
      <c r="J913" s="26"/>
      <c r="K913" s="27" t="str">
        <f>IF(A913&lt;&gt;"",IF(E913="InActive","-",SUMIFS('💰 Transaction ขาย'!E:E,'💰 Transaction ขาย'!B:B,A913,'💰 Transaction ขาย'!A:A,"&gt;"&amp;'⚙️ Config'!$H$1-'⚙️ Config'!$H$2)),)</f>
        <v/>
      </c>
      <c r="L913" s="28" t="str">
        <f>IF(E913="InActive","-",IF(A913&lt;&gt;"",K913/'⚙️ Config'!$H$2,))</f>
        <v/>
      </c>
      <c r="M913" s="28" t="str">
        <f t="shared" si="2"/>
        <v/>
      </c>
      <c r="N913" s="28" t="str">
        <f>IF(A913&lt;&gt;"", SUMIFS('💰 Transaction ขาย'!F:F,'💰 Transaction ขาย'!B:B,A913,'💰 Transaction ขาย'!A:A,"&gt;="&amp;DATE(YEAR('⚙️ Config'!$H$1),1,1),'💰 Transaction ขาย'!A:A,"&lt;="&amp;DATE(YEAR('⚙️ Config'!$H$1),12,31)),)</f>
        <v/>
      </c>
    </row>
    <row r="914">
      <c r="A914" s="22"/>
      <c r="B914" s="22" t="str">
        <f>IF(A914&lt;&gt;"",SUMIFS('💸 Transaction ซื้อ'!E:E,'💸 Transaction ซื้อ'!B:B,A914)-SUMIFS('💰 Transaction ขาย'!E:E,'💰 Transaction ขาย'!B:B,A914),"")</f>
        <v/>
      </c>
      <c r="C914" s="23" t="str">
        <f>IF(A914&lt;&gt;"",vlookup(A914,'📦 ชื่อสินค้า'!A:E,5,false),"")</f>
        <v/>
      </c>
      <c r="D914" s="23" t="str">
        <f>IF(A914&lt;&gt;"",VLOOKUP(A914,'📦 ชื่อสินค้า'!A:F,6,false),"")</f>
        <v/>
      </c>
      <c r="E914" s="16" t="str">
        <f>IFERROR(IF(VLOOKUP(A914,'📦 ชื่อสินค้า'!A:G,7,false)="InActive","InActive",IF(A914&lt;&gt;"",IF(B914&lt;=0,"สินค้าหมด",IF(B914&lt;=C914,"ควรเติมทันที","OK")),"")),)</f>
        <v/>
      </c>
      <c r="F914" s="24" t="str">
        <f>IFERROR(IF(A914&lt;&gt;"", SUMIF('💸 Transaction ซื้อ'!B:B,A914,'💸 Transaction ซื้อ'!G:G)/SUMIF('💸 Transaction ซื้อ'!B:B,A914,'💸 Transaction ซื้อ'!E:E),""),"-")</f>
        <v/>
      </c>
      <c r="G914" s="24" t="str">
        <f t="shared" si="1"/>
        <v/>
      </c>
      <c r="H914" s="25"/>
      <c r="I914" s="26"/>
      <c r="J914" s="26"/>
      <c r="K914" s="27" t="str">
        <f>IF(A914&lt;&gt;"",IF(E914="InActive","-",SUMIFS('💰 Transaction ขาย'!E:E,'💰 Transaction ขาย'!B:B,A914,'💰 Transaction ขาย'!A:A,"&gt;"&amp;'⚙️ Config'!$H$1-'⚙️ Config'!$H$2)),)</f>
        <v/>
      </c>
      <c r="L914" s="28" t="str">
        <f>IF(E914="InActive","-",IF(A914&lt;&gt;"",K914/'⚙️ Config'!$H$2,))</f>
        <v/>
      </c>
      <c r="M914" s="28" t="str">
        <f t="shared" si="2"/>
        <v/>
      </c>
      <c r="N914" s="28" t="str">
        <f>IF(A914&lt;&gt;"", SUMIFS('💰 Transaction ขาย'!F:F,'💰 Transaction ขาย'!B:B,A914,'💰 Transaction ขาย'!A:A,"&gt;="&amp;DATE(YEAR('⚙️ Config'!$H$1),1,1),'💰 Transaction ขาย'!A:A,"&lt;="&amp;DATE(YEAR('⚙️ Config'!$H$1),12,31)),)</f>
        <v/>
      </c>
    </row>
    <row r="915">
      <c r="A915" s="22"/>
      <c r="B915" s="22" t="str">
        <f>IF(A915&lt;&gt;"",SUMIFS('💸 Transaction ซื้อ'!E:E,'💸 Transaction ซื้อ'!B:B,A915)-SUMIFS('💰 Transaction ขาย'!E:E,'💰 Transaction ขาย'!B:B,A915),"")</f>
        <v/>
      </c>
      <c r="C915" s="23" t="str">
        <f>IF(A915&lt;&gt;"",vlookup(A915,'📦 ชื่อสินค้า'!A:E,5,false),"")</f>
        <v/>
      </c>
      <c r="D915" s="23" t="str">
        <f>IF(A915&lt;&gt;"",VLOOKUP(A915,'📦 ชื่อสินค้า'!A:F,6,false),"")</f>
        <v/>
      </c>
      <c r="E915" s="16" t="str">
        <f>IFERROR(IF(VLOOKUP(A915,'📦 ชื่อสินค้า'!A:G,7,false)="InActive","InActive",IF(A915&lt;&gt;"",IF(B915&lt;=0,"สินค้าหมด",IF(B915&lt;=C915,"ควรเติมทันที","OK")),"")),)</f>
        <v/>
      </c>
      <c r="F915" s="24" t="str">
        <f>IFERROR(IF(A915&lt;&gt;"", SUMIF('💸 Transaction ซื้อ'!B:B,A915,'💸 Transaction ซื้อ'!G:G)/SUMIF('💸 Transaction ซื้อ'!B:B,A915,'💸 Transaction ซื้อ'!E:E),""),"-")</f>
        <v/>
      </c>
      <c r="G915" s="24" t="str">
        <f t="shared" si="1"/>
        <v/>
      </c>
      <c r="H915" s="25"/>
      <c r="I915" s="26"/>
      <c r="J915" s="26"/>
      <c r="K915" s="27" t="str">
        <f>IF(A915&lt;&gt;"",IF(E915="InActive","-",SUMIFS('💰 Transaction ขาย'!E:E,'💰 Transaction ขาย'!B:B,A915,'💰 Transaction ขาย'!A:A,"&gt;"&amp;'⚙️ Config'!$H$1-'⚙️ Config'!$H$2)),)</f>
        <v/>
      </c>
      <c r="L915" s="28" t="str">
        <f>IF(E915="InActive","-",IF(A915&lt;&gt;"",K915/'⚙️ Config'!$H$2,))</f>
        <v/>
      </c>
      <c r="M915" s="28" t="str">
        <f t="shared" si="2"/>
        <v/>
      </c>
      <c r="N915" s="28" t="str">
        <f>IF(A915&lt;&gt;"", SUMIFS('💰 Transaction ขาย'!F:F,'💰 Transaction ขาย'!B:B,A915,'💰 Transaction ขาย'!A:A,"&gt;="&amp;DATE(YEAR('⚙️ Config'!$H$1),1,1),'💰 Transaction ขาย'!A:A,"&lt;="&amp;DATE(YEAR('⚙️ Config'!$H$1),12,31)),)</f>
        <v/>
      </c>
    </row>
    <row r="916">
      <c r="A916" s="22"/>
      <c r="B916" s="22" t="str">
        <f>IF(A916&lt;&gt;"",SUMIFS('💸 Transaction ซื้อ'!E:E,'💸 Transaction ซื้อ'!B:B,A916)-SUMIFS('💰 Transaction ขาย'!E:E,'💰 Transaction ขาย'!B:B,A916),"")</f>
        <v/>
      </c>
      <c r="C916" s="23" t="str">
        <f>IF(A916&lt;&gt;"",vlookup(A916,'📦 ชื่อสินค้า'!A:E,5,false),"")</f>
        <v/>
      </c>
      <c r="D916" s="23" t="str">
        <f>IF(A916&lt;&gt;"",VLOOKUP(A916,'📦 ชื่อสินค้า'!A:F,6,false),"")</f>
        <v/>
      </c>
      <c r="E916" s="16" t="str">
        <f>IFERROR(IF(VLOOKUP(A916,'📦 ชื่อสินค้า'!A:G,7,false)="InActive","InActive",IF(A916&lt;&gt;"",IF(B916&lt;=0,"สินค้าหมด",IF(B916&lt;=C916,"ควรเติมทันที","OK")),"")),)</f>
        <v/>
      </c>
      <c r="F916" s="24" t="str">
        <f>IFERROR(IF(A916&lt;&gt;"", SUMIF('💸 Transaction ซื้อ'!B:B,A916,'💸 Transaction ซื้อ'!G:G)/SUMIF('💸 Transaction ซื้อ'!B:B,A916,'💸 Transaction ซื้อ'!E:E),""),"-")</f>
        <v/>
      </c>
      <c r="G916" s="24" t="str">
        <f t="shared" si="1"/>
        <v/>
      </c>
      <c r="H916" s="25"/>
      <c r="I916" s="26"/>
      <c r="J916" s="26"/>
      <c r="K916" s="27" t="str">
        <f>IF(A916&lt;&gt;"",IF(E916="InActive","-",SUMIFS('💰 Transaction ขาย'!E:E,'💰 Transaction ขาย'!B:B,A916,'💰 Transaction ขาย'!A:A,"&gt;"&amp;'⚙️ Config'!$H$1-'⚙️ Config'!$H$2)),)</f>
        <v/>
      </c>
      <c r="L916" s="28" t="str">
        <f>IF(E916="InActive","-",IF(A916&lt;&gt;"",K916/'⚙️ Config'!$H$2,))</f>
        <v/>
      </c>
      <c r="M916" s="28" t="str">
        <f t="shared" si="2"/>
        <v/>
      </c>
      <c r="N916" s="28" t="str">
        <f>IF(A916&lt;&gt;"", SUMIFS('💰 Transaction ขาย'!F:F,'💰 Transaction ขาย'!B:B,A916,'💰 Transaction ขาย'!A:A,"&gt;="&amp;DATE(YEAR('⚙️ Config'!$H$1),1,1),'💰 Transaction ขาย'!A:A,"&lt;="&amp;DATE(YEAR('⚙️ Config'!$H$1),12,31)),)</f>
        <v/>
      </c>
    </row>
    <row r="917">
      <c r="A917" s="22"/>
      <c r="B917" s="22" t="str">
        <f>IF(A917&lt;&gt;"",SUMIFS('💸 Transaction ซื้อ'!E:E,'💸 Transaction ซื้อ'!B:B,A917)-SUMIFS('💰 Transaction ขาย'!E:E,'💰 Transaction ขาย'!B:B,A917),"")</f>
        <v/>
      </c>
      <c r="C917" s="23" t="str">
        <f>IF(A917&lt;&gt;"",vlookup(A917,'📦 ชื่อสินค้า'!A:E,5,false),"")</f>
        <v/>
      </c>
      <c r="D917" s="23" t="str">
        <f>IF(A917&lt;&gt;"",VLOOKUP(A917,'📦 ชื่อสินค้า'!A:F,6,false),"")</f>
        <v/>
      </c>
      <c r="E917" s="16" t="str">
        <f>IFERROR(IF(VLOOKUP(A917,'📦 ชื่อสินค้า'!A:G,7,false)="InActive","InActive",IF(A917&lt;&gt;"",IF(B917&lt;=0,"สินค้าหมด",IF(B917&lt;=C917,"ควรเติมทันที","OK")),"")),)</f>
        <v/>
      </c>
      <c r="F917" s="24" t="str">
        <f>IFERROR(IF(A917&lt;&gt;"", SUMIF('💸 Transaction ซื้อ'!B:B,A917,'💸 Transaction ซื้อ'!G:G)/SUMIF('💸 Transaction ซื้อ'!B:B,A917,'💸 Transaction ซื้อ'!E:E),""),"-")</f>
        <v/>
      </c>
      <c r="G917" s="24" t="str">
        <f t="shared" si="1"/>
        <v/>
      </c>
      <c r="H917" s="25"/>
      <c r="I917" s="26"/>
      <c r="J917" s="26"/>
      <c r="K917" s="27" t="str">
        <f>IF(A917&lt;&gt;"",IF(E917="InActive","-",SUMIFS('💰 Transaction ขาย'!E:E,'💰 Transaction ขาย'!B:B,A917,'💰 Transaction ขาย'!A:A,"&gt;"&amp;'⚙️ Config'!$H$1-'⚙️ Config'!$H$2)),)</f>
        <v/>
      </c>
      <c r="L917" s="28" t="str">
        <f>IF(E917="InActive","-",IF(A917&lt;&gt;"",K917/'⚙️ Config'!$H$2,))</f>
        <v/>
      </c>
      <c r="M917" s="28" t="str">
        <f t="shared" si="2"/>
        <v/>
      </c>
      <c r="N917" s="28" t="str">
        <f>IF(A917&lt;&gt;"", SUMIFS('💰 Transaction ขาย'!F:F,'💰 Transaction ขาย'!B:B,A917,'💰 Transaction ขาย'!A:A,"&gt;="&amp;DATE(YEAR('⚙️ Config'!$H$1),1,1),'💰 Transaction ขาย'!A:A,"&lt;="&amp;DATE(YEAR('⚙️ Config'!$H$1),12,31)),)</f>
        <v/>
      </c>
    </row>
    <row r="918">
      <c r="A918" s="22"/>
      <c r="B918" s="22" t="str">
        <f>IF(A918&lt;&gt;"",SUMIFS('💸 Transaction ซื้อ'!E:E,'💸 Transaction ซื้อ'!B:B,A918)-SUMIFS('💰 Transaction ขาย'!E:E,'💰 Transaction ขาย'!B:B,A918),"")</f>
        <v/>
      </c>
      <c r="C918" s="23" t="str">
        <f>IF(A918&lt;&gt;"",vlookup(A918,'📦 ชื่อสินค้า'!A:E,5,false),"")</f>
        <v/>
      </c>
      <c r="D918" s="23" t="str">
        <f>IF(A918&lt;&gt;"",VLOOKUP(A918,'📦 ชื่อสินค้า'!A:F,6,false),"")</f>
        <v/>
      </c>
      <c r="E918" s="16" t="str">
        <f>IFERROR(IF(VLOOKUP(A918,'📦 ชื่อสินค้า'!A:G,7,false)="InActive","InActive",IF(A918&lt;&gt;"",IF(B918&lt;=0,"สินค้าหมด",IF(B918&lt;=C918,"ควรเติมทันที","OK")),"")),)</f>
        <v/>
      </c>
      <c r="F918" s="24" t="str">
        <f>IFERROR(IF(A918&lt;&gt;"", SUMIF('💸 Transaction ซื้อ'!B:B,A918,'💸 Transaction ซื้อ'!G:G)/SUMIF('💸 Transaction ซื้อ'!B:B,A918,'💸 Transaction ซื้อ'!E:E),""),"-")</f>
        <v/>
      </c>
      <c r="G918" s="24" t="str">
        <f t="shared" si="1"/>
        <v/>
      </c>
      <c r="H918" s="25"/>
      <c r="I918" s="26"/>
      <c r="J918" s="26"/>
      <c r="K918" s="27" t="str">
        <f>IF(A918&lt;&gt;"",IF(E918="InActive","-",SUMIFS('💰 Transaction ขาย'!E:E,'💰 Transaction ขาย'!B:B,A918,'💰 Transaction ขาย'!A:A,"&gt;"&amp;'⚙️ Config'!$H$1-'⚙️ Config'!$H$2)),)</f>
        <v/>
      </c>
      <c r="L918" s="28" t="str">
        <f>IF(E918="InActive","-",IF(A918&lt;&gt;"",K918/'⚙️ Config'!$H$2,))</f>
        <v/>
      </c>
      <c r="M918" s="28" t="str">
        <f t="shared" si="2"/>
        <v/>
      </c>
      <c r="N918" s="28" t="str">
        <f>IF(A918&lt;&gt;"", SUMIFS('💰 Transaction ขาย'!F:F,'💰 Transaction ขาย'!B:B,A918,'💰 Transaction ขาย'!A:A,"&gt;="&amp;DATE(YEAR('⚙️ Config'!$H$1),1,1),'💰 Transaction ขาย'!A:A,"&lt;="&amp;DATE(YEAR('⚙️ Config'!$H$1),12,31)),)</f>
        <v/>
      </c>
    </row>
    <row r="919">
      <c r="A919" s="22"/>
      <c r="B919" s="22" t="str">
        <f>IF(A919&lt;&gt;"",SUMIFS('💸 Transaction ซื้อ'!E:E,'💸 Transaction ซื้อ'!B:B,A919)-SUMIFS('💰 Transaction ขาย'!E:E,'💰 Transaction ขาย'!B:B,A919),"")</f>
        <v/>
      </c>
      <c r="C919" s="23" t="str">
        <f>IF(A919&lt;&gt;"",vlookup(A919,'📦 ชื่อสินค้า'!A:E,5,false),"")</f>
        <v/>
      </c>
      <c r="D919" s="23" t="str">
        <f>IF(A919&lt;&gt;"",VLOOKUP(A919,'📦 ชื่อสินค้า'!A:F,6,false),"")</f>
        <v/>
      </c>
      <c r="E919" s="16" t="str">
        <f>IFERROR(IF(VLOOKUP(A919,'📦 ชื่อสินค้า'!A:G,7,false)="InActive","InActive",IF(A919&lt;&gt;"",IF(B919&lt;=0,"สินค้าหมด",IF(B919&lt;=C919,"ควรเติมทันที","OK")),"")),)</f>
        <v/>
      </c>
      <c r="F919" s="24" t="str">
        <f>IFERROR(IF(A919&lt;&gt;"", SUMIF('💸 Transaction ซื้อ'!B:B,A919,'💸 Transaction ซื้อ'!G:G)/SUMIF('💸 Transaction ซื้อ'!B:B,A919,'💸 Transaction ซื้อ'!E:E),""),"-")</f>
        <v/>
      </c>
      <c r="G919" s="24" t="str">
        <f t="shared" si="1"/>
        <v/>
      </c>
      <c r="H919" s="25"/>
      <c r="I919" s="26"/>
      <c r="J919" s="26"/>
      <c r="K919" s="27" t="str">
        <f>IF(A919&lt;&gt;"",IF(E919="InActive","-",SUMIFS('💰 Transaction ขาย'!E:E,'💰 Transaction ขาย'!B:B,A919,'💰 Transaction ขาย'!A:A,"&gt;"&amp;'⚙️ Config'!$H$1-'⚙️ Config'!$H$2)),)</f>
        <v/>
      </c>
      <c r="L919" s="28" t="str">
        <f>IF(E919="InActive","-",IF(A919&lt;&gt;"",K919/'⚙️ Config'!$H$2,))</f>
        <v/>
      </c>
      <c r="M919" s="28" t="str">
        <f t="shared" si="2"/>
        <v/>
      </c>
      <c r="N919" s="28" t="str">
        <f>IF(A919&lt;&gt;"", SUMIFS('💰 Transaction ขาย'!F:F,'💰 Transaction ขาย'!B:B,A919,'💰 Transaction ขาย'!A:A,"&gt;="&amp;DATE(YEAR('⚙️ Config'!$H$1),1,1),'💰 Transaction ขาย'!A:A,"&lt;="&amp;DATE(YEAR('⚙️ Config'!$H$1),12,31)),)</f>
        <v/>
      </c>
    </row>
    <row r="920">
      <c r="A920" s="22"/>
      <c r="B920" s="22" t="str">
        <f>IF(A920&lt;&gt;"",SUMIFS('💸 Transaction ซื้อ'!E:E,'💸 Transaction ซื้อ'!B:B,A920)-SUMIFS('💰 Transaction ขาย'!E:E,'💰 Transaction ขาย'!B:B,A920),"")</f>
        <v/>
      </c>
      <c r="C920" s="23" t="str">
        <f>IF(A920&lt;&gt;"",vlookup(A920,'📦 ชื่อสินค้า'!A:E,5,false),"")</f>
        <v/>
      </c>
      <c r="D920" s="23" t="str">
        <f>IF(A920&lt;&gt;"",VLOOKUP(A920,'📦 ชื่อสินค้า'!A:F,6,false),"")</f>
        <v/>
      </c>
      <c r="E920" s="16" t="str">
        <f>IFERROR(IF(VLOOKUP(A920,'📦 ชื่อสินค้า'!A:G,7,false)="InActive","InActive",IF(A920&lt;&gt;"",IF(B920&lt;=0,"สินค้าหมด",IF(B920&lt;=C920,"ควรเติมทันที","OK")),"")),)</f>
        <v/>
      </c>
      <c r="F920" s="24" t="str">
        <f>IFERROR(IF(A920&lt;&gt;"", SUMIF('💸 Transaction ซื้อ'!B:B,A920,'💸 Transaction ซื้อ'!G:G)/SUMIF('💸 Transaction ซื้อ'!B:B,A920,'💸 Transaction ซื้อ'!E:E),""),"-")</f>
        <v/>
      </c>
      <c r="G920" s="24" t="str">
        <f t="shared" si="1"/>
        <v/>
      </c>
      <c r="H920" s="25"/>
      <c r="I920" s="26"/>
      <c r="J920" s="26"/>
      <c r="K920" s="27" t="str">
        <f>IF(A920&lt;&gt;"",IF(E920="InActive","-",SUMIFS('💰 Transaction ขาย'!E:E,'💰 Transaction ขาย'!B:B,A920,'💰 Transaction ขาย'!A:A,"&gt;"&amp;'⚙️ Config'!$H$1-'⚙️ Config'!$H$2)),)</f>
        <v/>
      </c>
      <c r="L920" s="28" t="str">
        <f>IF(E920="InActive","-",IF(A920&lt;&gt;"",K920/'⚙️ Config'!$H$2,))</f>
        <v/>
      </c>
      <c r="M920" s="28" t="str">
        <f t="shared" si="2"/>
        <v/>
      </c>
      <c r="N920" s="28" t="str">
        <f>IF(A920&lt;&gt;"", SUMIFS('💰 Transaction ขาย'!F:F,'💰 Transaction ขาย'!B:B,A920,'💰 Transaction ขาย'!A:A,"&gt;="&amp;DATE(YEAR('⚙️ Config'!$H$1),1,1),'💰 Transaction ขาย'!A:A,"&lt;="&amp;DATE(YEAR('⚙️ Config'!$H$1),12,31)),)</f>
        <v/>
      </c>
    </row>
    <row r="921">
      <c r="A921" s="22"/>
      <c r="B921" s="22" t="str">
        <f>IF(A921&lt;&gt;"",SUMIFS('💸 Transaction ซื้อ'!E:E,'💸 Transaction ซื้อ'!B:B,A921)-SUMIFS('💰 Transaction ขาย'!E:E,'💰 Transaction ขาย'!B:B,A921),"")</f>
        <v/>
      </c>
      <c r="C921" s="23" t="str">
        <f>IF(A921&lt;&gt;"",vlookup(A921,'📦 ชื่อสินค้า'!A:E,5,false),"")</f>
        <v/>
      </c>
      <c r="D921" s="23" t="str">
        <f>IF(A921&lt;&gt;"",VLOOKUP(A921,'📦 ชื่อสินค้า'!A:F,6,false),"")</f>
        <v/>
      </c>
      <c r="E921" s="16" t="str">
        <f>IFERROR(IF(VLOOKUP(A921,'📦 ชื่อสินค้า'!A:G,7,false)="InActive","InActive",IF(A921&lt;&gt;"",IF(B921&lt;=0,"สินค้าหมด",IF(B921&lt;=C921,"ควรเติมทันที","OK")),"")),)</f>
        <v/>
      </c>
      <c r="F921" s="24" t="str">
        <f>IFERROR(IF(A921&lt;&gt;"", SUMIF('💸 Transaction ซื้อ'!B:B,A921,'💸 Transaction ซื้อ'!G:G)/SUMIF('💸 Transaction ซื้อ'!B:B,A921,'💸 Transaction ซื้อ'!E:E),""),"-")</f>
        <v/>
      </c>
      <c r="G921" s="24" t="str">
        <f t="shared" si="1"/>
        <v/>
      </c>
      <c r="H921" s="25"/>
      <c r="I921" s="26"/>
      <c r="J921" s="26"/>
      <c r="K921" s="27" t="str">
        <f>IF(A921&lt;&gt;"",IF(E921="InActive","-",SUMIFS('💰 Transaction ขาย'!E:E,'💰 Transaction ขาย'!B:B,A921,'💰 Transaction ขาย'!A:A,"&gt;"&amp;'⚙️ Config'!$H$1-'⚙️ Config'!$H$2)),)</f>
        <v/>
      </c>
      <c r="L921" s="28" t="str">
        <f>IF(E921="InActive","-",IF(A921&lt;&gt;"",K921/'⚙️ Config'!$H$2,))</f>
        <v/>
      </c>
      <c r="M921" s="28" t="str">
        <f t="shared" si="2"/>
        <v/>
      </c>
      <c r="N921" s="28" t="str">
        <f>IF(A921&lt;&gt;"", SUMIFS('💰 Transaction ขาย'!F:F,'💰 Transaction ขาย'!B:B,A921,'💰 Transaction ขาย'!A:A,"&gt;="&amp;DATE(YEAR('⚙️ Config'!$H$1),1,1),'💰 Transaction ขาย'!A:A,"&lt;="&amp;DATE(YEAR('⚙️ Config'!$H$1),12,31)),)</f>
        <v/>
      </c>
    </row>
    <row r="922">
      <c r="A922" s="22"/>
      <c r="B922" s="22" t="str">
        <f>IF(A922&lt;&gt;"",SUMIFS('💸 Transaction ซื้อ'!E:E,'💸 Transaction ซื้อ'!B:B,A922)-SUMIFS('💰 Transaction ขาย'!E:E,'💰 Transaction ขาย'!B:B,A922),"")</f>
        <v/>
      </c>
      <c r="C922" s="23" t="str">
        <f>IF(A922&lt;&gt;"",vlookup(A922,'📦 ชื่อสินค้า'!A:E,5,false),"")</f>
        <v/>
      </c>
      <c r="D922" s="23" t="str">
        <f>IF(A922&lt;&gt;"",VLOOKUP(A922,'📦 ชื่อสินค้า'!A:F,6,false),"")</f>
        <v/>
      </c>
      <c r="E922" s="16" t="str">
        <f>IFERROR(IF(VLOOKUP(A922,'📦 ชื่อสินค้า'!A:G,7,false)="InActive","InActive",IF(A922&lt;&gt;"",IF(B922&lt;=0,"สินค้าหมด",IF(B922&lt;=C922,"ควรเติมทันที","OK")),"")),)</f>
        <v/>
      </c>
      <c r="F922" s="24" t="str">
        <f>IFERROR(IF(A922&lt;&gt;"", SUMIF('💸 Transaction ซื้อ'!B:B,A922,'💸 Transaction ซื้อ'!G:G)/SUMIF('💸 Transaction ซื้อ'!B:B,A922,'💸 Transaction ซื้อ'!E:E),""),"-")</f>
        <v/>
      </c>
      <c r="G922" s="24" t="str">
        <f t="shared" si="1"/>
        <v/>
      </c>
      <c r="H922" s="25"/>
      <c r="I922" s="26"/>
      <c r="J922" s="26"/>
      <c r="K922" s="27" t="str">
        <f>IF(A922&lt;&gt;"",IF(E922="InActive","-",SUMIFS('💰 Transaction ขาย'!E:E,'💰 Transaction ขาย'!B:B,A922,'💰 Transaction ขาย'!A:A,"&gt;"&amp;'⚙️ Config'!$H$1-'⚙️ Config'!$H$2)),)</f>
        <v/>
      </c>
      <c r="L922" s="28" t="str">
        <f>IF(E922="InActive","-",IF(A922&lt;&gt;"",K922/'⚙️ Config'!$H$2,))</f>
        <v/>
      </c>
      <c r="M922" s="28" t="str">
        <f t="shared" si="2"/>
        <v/>
      </c>
      <c r="N922" s="28" t="str">
        <f>IF(A922&lt;&gt;"", SUMIFS('💰 Transaction ขาย'!F:F,'💰 Transaction ขาย'!B:B,A922,'💰 Transaction ขาย'!A:A,"&gt;="&amp;DATE(YEAR('⚙️ Config'!$H$1),1,1),'💰 Transaction ขาย'!A:A,"&lt;="&amp;DATE(YEAR('⚙️ Config'!$H$1),12,31)),)</f>
        <v/>
      </c>
    </row>
    <row r="923">
      <c r="A923" s="22"/>
      <c r="B923" s="22" t="str">
        <f>IF(A923&lt;&gt;"",SUMIFS('💸 Transaction ซื้อ'!E:E,'💸 Transaction ซื้อ'!B:B,A923)-SUMIFS('💰 Transaction ขาย'!E:E,'💰 Transaction ขาย'!B:B,A923),"")</f>
        <v/>
      </c>
      <c r="C923" s="23" t="str">
        <f>IF(A923&lt;&gt;"",vlookup(A923,'📦 ชื่อสินค้า'!A:E,5,false),"")</f>
        <v/>
      </c>
      <c r="D923" s="23" t="str">
        <f>IF(A923&lt;&gt;"",VLOOKUP(A923,'📦 ชื่อสินค้า'!A:F,6,false),"")</f>
        <v/>
      </c>
      <c r="E923" s="16" t="str">
        <f>IFERROR(IF(VLOOKUP(A923,'📦 ชื่อสินค้า'!A:G,7,false)="InActive","InActive",IF(A923&lt;&gt;"",IF(B923&lt;=0,"สินค้าหมด",IF(B923&lt;=C923,"ควรเติมทันที","OK")),"")),)</f>
        <v/>
      </c>
      <c r="F923" s="24" t="str">
        <f>IFERROR(IF(A923&lt;&gt;"", SUMIF('💸 Transaction ซื้อ'!B:B,A923,'💸 Transaction ซื้อ'!G:G)/SUMIF('💸 Transaction ซื้อ'!B:B,A923,'💸 Transaction ซื้อ'!E:E),""),"-")</f>
        <v/>
      </c>
      <c r="G923" s="24" t="str">
        <f t="shared" si="1"/>
        <v/>
      </c>
      <c r="H923" s="25"/>
      <c r="I923" s="26"/>
      <c r="J923" s="26"/>
      <c r="K923" s="27" t="str">
        <f>IF(A923&lt;&gt;"",IF(E923="InActive","-",SUMIFS('💰 Transaction ขาย'!E:E,'💰 Transaction ขาย'!B:B,A923,'💰 Transaction ขาย'!A:A,"&gt;"&amp;'⚙️ Config'!$H$1-'⚙️ Config'!$H$2)),)</f>
        <v/>
      </c>
      <c r="L923" s="28" t="str">
        <f>IF(E923="InActive","-",IF(A923&lt;&gt;"",K923/'⚙️ Config'!$H$2,))</f>
        <v/>
      </c>
      <c r="M923" s="28" t="str">
        <f t="shared" si="2"/>
        <v/>
      </c>
      <c r="N923" s="28" t="str">
        <f>IF(A923&lt;&gt;"", SUMIFS('💰 Transaction ขาย'!F:F,'💰 Transaction ขาย'!B:B,A923,'💰 Transaction ขาย'!A:A,"&gt;="&amp;DATE(YEAR('⚙️ Config'!$H$1),1,1),'💰 Transaction ขาย'!A:A,"&lt;="&amp;DATE(YEAR('⚙️ Config'!$H$1),12,31)),)</f>
        <v/>
      </c>
    </row>
    <row r="924">
      <c r="A924" s="22"/>
      <c r="B924" s="22" t="str">
        <f>IF(A924&lt;&gt;"",SUMIFS('💸 Transaction ซื้อ'!E:E,'💸 Transaction ซื้อ'!B:B,A924)-SUMIFS('💰 Transaction ขาย'!E:E,'💰 Transaction ขาย'!B:B,A924),"")</f>
        <v/>
      </c>
      <c r="C924" s="23" t="str">
        <f>IF(A924&lt;&gt;"",vlookup(A924,'📦 ชื่อสินค้า'!A:E,5,false),"")</f>
        <v/>
      </c>
      <c r="D924" s="23" t="str">
        <f>IF(A924&lt;&gt;"",VLOOKUP(A924,'📦 ชื่อสินค้า'!A:F,6,false),"")</f>
        <v/>
      </c>
      <c r="E924" s="16" t="str">
        <f>IFERROR(IF(VLOOKUP(A924,'📦 ชื่อสินค้า'!A:G,7,false)="InActive","InActive",IF(A924&lt;&gt;"",IF(B924&lt;=0,"สินค้าหมด",IF(B924&lt;=C924,"ควรเติมทันที","OK")),"")),)</f>
        <v/>
      </c>
      <c r="F924" s="24" t="str">
        <f>IFERROR(IF(A924&lt;&gt;"", SUMIF('💸 Transaction ซื้อ'!B:B,A924,'💸 Transaction ซื้อ'!G:G)/SUMIF('💸 Transaction ซื้อ'!B:B,A924,'💸 Transaction ซื้อ'!E:E),""),"-")</f>
        <v/>
      </c>
      <c r="G924" s="24" t="str">
        <f t="shared" si="1"/>
        <v/>
      </c>
      <c r="H924" s="25"/>
      <c r="I924" s="26"/>
      <c r="J924" s="26"/>
      <c r="K924" s="27" t="str">
        <f>IF(A924&lt;&gt;"",IF(E924="InActive","-",SUMIFS('💰 Transaction ขาย'!E:E,'💰 Transaction ขาย'!B:B,A924,'💰 Transaction ขาย'!A:A,"&gt;"&amp;'⚙️ Config'!$H$1-'⚙️ Config'!$H$2)),)</f>
        <v/>
      </c>
      <c r="L924" s="28" t="str">
        <f>IF(E924="InActive","-",IF(A924&lt;&gt;"",K924/'⚙️ Config'!$H$2,))</f>
        <v/>
      </c>
      <c r="M924" s="28" t="str">
        <f t="shared" si="2"/>
        <v/>
      </c>
      <c r="N924" s="28" t="str">
        <f>IF(A924&lt;&gt;"", SUMIFS('💰 Transaction ขาย'!F:F,'💰 Transaction ขาย'!B:B,A924,'💰 Transaction ขาย'!A:A,"&gt;="&amp;DATE(YEAR('⚙️ Config'!$H$1),1,1),'💰 Transaction ขาย'!A:A,"&lt;="&amp;DATE(YEAR('⚙️ Config'!$H$1),12,31)),)</f>
        <v/>
      </c>
    </row>
    <row r="925">
      <c r="A925" s="22"/>
      <c r="B925" s="22" t="str">
        <f>IF(A925&lt;&gt;"",SUMIFS('💸 Transaction ซื้อ'!E:E,'💸 Transaction ซื้อ'!B:B,A925)-SUMIFS('💰 Transaction ขาย'!E:E,'💰 Transaction ขาย'!B:B,A925),"")</f>
        <v/>
      </c>
      <c r="C925" s="23" t="str">
        <f>IF(A925&lt;&gt;"",vlookup(A925,'📦 ชื่อสินค้า'!A:E,5,false),"")</f>
        <v/>
      </c>
      <c r="D925" s="23" t="str">
        <f>IF(A925&lt;&gt;"",VLOOKUP(A925,'📦 ชื่อสินค้า'!A:F,6,false),"")</f>
        <v/>
      </c>
      <c r="E925" s="16" t="str">
        <f>IFERROR(IF(VLOOKUP(A925,'📦 ชื่อสินค้า'!A:G,7,false)="InActive","InActive",IF(A925&lt;&gt;"",IF(B925&lt;=0,"สินค้าหมด",IF(B925&lt;=C925,"ควรเติมทันที","OK")),"")),)</f>
        <v/>
      </c>
      <c r="F925" s="24" t="str">
        <f>IFERROR(IF(A925&lt;&gt;"", SUMIF('💸 Transaction ซื้อ'!B:B,A925,'💸 Transaction ซื้อ'!G:G)/SUMIF('💸 Transaction ซื้อ'!B:B,A925,'💸 Transaction ซื้อ'!E:E),""),"-")</f>
        <v/>
      </c>
      <c r="G925" s="24" t="str">
        <f t="shared" si="1"/>
        <v/>
      </c>
      <c r="H925" s="25"/>
      <c r="I925" s="26"/>
      <c r="J925" s="26"/>
      <c r="K925" s="27" t="str">
        <f>IF(A925&lt;&gt;"",IF(E925="InActive","-",SUMIFS('💰 Transaction ขาย'!E:E,'💰 Transaction ขาย'!B:B,A925,'💰 Transaction ขาย'!A:A,"&gt;"&amp;'⚙️ Config'!$H$1-'⚙️ Config'!$H$2)),)</f>
        <v/>
      </c>
      <c r="L925" s="28" t="str">
        <f>IF(E925="InActive","-",IF(A925&lt;&gt;"",K925/'⚙️ Config'!$H$2,))</f>
        <v/>
      </c>
      <c r="M925" s="28" t="str">
        <f t="shared" si="2"/>
        <v/>
      </c>
      <c r="N925" s="28" t="str">
        <f>IF(A925&lt;&gt;"", SUMIFS('💰 Transaction ขาย'!F:F,'💰 Transaction ขาย'!B:B,A925,'💰 Transaction ขาย'!A:A,"&gt;="&amp;DATE(YEAR('⚙️ Config'!$H$1),1,1),'💰 Transaction ขาย'!A:A,"&lt;="&amp;DATE(YEAR('⚙️ Config'!$H$1),12,31)),)</f>
        <v/>
      </c>
    </row>
    <row r="926">
      <c r="A926" s="22"/>
      <c r="B926" s="22" t="str">
        <f>IF(A926&lt;&gt;"",SUMIFS('💸 Transaction ซื้อ'!E:E,'💸 Transaction ซื้อ'!B:B,A926)-SUMIFS('💰 Transaction ขาย'!E:E,'💰 Transaction ขาย'!B:B,A926),"")</f>
        <v/>
      </c>
      <c r="C926" s="23" t="str">
        <f>IF(A926&lt;&gt;"",vlookup(A926,'📦 ชื่อสินค้า'!A:E,5,false),"")</f>
        <v/>
      </c>
      <c r="D926" s="23" t="str">
        <f>IF(A926&lt;&gt;"",VLOOKUP(A926,'📦 ชื่อสินค้า'!A:F,6,false),"")</f>
        <v/>
      </c>
      <c r="E926" s="16" t="str">
        <f>IFERROR(IF(VLOOKUP(A926,'📦 ชื่อสินค้า'!A:G,7,false)="InActive","InActive",IF(A926&lt;&gt;"",IF(B926&lt;=0,"สินค้าหมด",IF(B926&lt;=C926,"ควรเติมทันที","OK")),"")),)</f>
        <v/>
      </c>
      <c r="F926" s="24" t="str">
        <f>IFERROR(IF(A926&lt;&gt;"", SUMIF('💸 Transaction ซื้อ'!B:B,A926,'💸 Transaction ซื้อ'!G:G)/SUMIF('💸 Transaction ซื้อ'!B:B,A926,'💸 Transaction ซื้อ'!E:E),""),"-")</f>
        <v/>
      </c>
      <c r="G926" s="24" t="str">
        <f t="shared" si="1"/>
        <v/>
      </c>
      <c r="H926" s="25"/>
      <c r="I926" s="26"/>
      <c r="J926" s="26"/>
      <c r="K926" s="27" t="str">
        <f>IF(A926&lt;&gt;"",IF(E926="InActive","-",SUMIFS('💰 Transaction ขาย'!E:E,'💰 Transaction ขาย'!B:B,A926,'💰 Transaction ขาย'!A:A,"&gt;"&amp;'⚙️ Config'!$H$1-'⚙️ Config'!$H$2)),)</f>
        <v/>
      </c>
      <c r="L926" s="28" t="str">
        <f>IF(E926="InActive","-",IF(A926&lt;&gt;"",K926/'⚙️ Config'!$H$2,))</f>
        <v/>
      </c>
      <c r="M926" s="28" t="str">
        <f t="shared" si="2"/>
        <v/>
      </c>
      <c r="N926" s="28" t="str">
        <f>IF(A926&lt;&gt;"", SUMIFS('💰 Transaction ขาย'!F:F,'💰 Transaction ขาย'!B:B,A926,'💰 Transaction ขาย'!A:A,"&gt;="&amp;DATE(YEAR('⚙️ Config'!$H$1),1,1),'💰 Transaction ขาย'!A:A,"&lt;="&amp;DATE(YEAR('⚙️ Config'!$H$1),12,31)),)</f>
        <v/>
      </c>
    </row>
    <row r="927">
      <c r="A927" s="22"/>
      <c r="B927" s="22" t="str">
        <f>IF(A927&lt;&gt;"",SUMIFS('💸 Transaction ซื้อ'!E:E,'💸 Transaction ซื้อ'!B:B,A927)-SUMIFS('💰 Transaction ขาย'!E:E,'💰 Transaction ขาย'!B:B,A927),"")</f>
        <v/>
      </c>
      <c r="C927" s="23" t="str">
        <f>IF(A927&lt;&gt;"",vlookup(A927,'📦 ชื่อสินค้า'!A:E,5,false),"")</f>
        <v/>
      </c>
      <c r="D927" s="23" t="str">
        <f>IF(A927&lt;&gt;"",VLOOKUP(A927,'📦 ชื่อสินค้า'!A:F,6,false),"")</f>
        <v/>
      </c>
      <c r="E927" s="16" t="str">
        <f>IFERROR(IF(VLOOKUP(A927,'📦 ชื่อสินค้า'!A:G,7,false)="InActive","InActive",IF(A927&lt;&gt;"",IF(B927&lt;=0,"สินค้าหมด",IF(B927&lt;=C927,"ควรเติมทันที","OK")),"")),)</f>
        <v/>
      </c>
      <c r="F927" s="24" t="str">
        <f>IFERROR(IF(A927&lt;&gt;"", SUMIF('💸 Transaction ซื้อ'!B:B,A927,'💸 Transaction ซื้อ'!G:G)/SUMIF('💸 Transaction ซื้อ'!B:B,A927,'💸 Transaction ซื้อ'!E:E),""),"-")</f>
        <v/>
      </c>
      <c r="G927" s="24" t="str">
        <f t="shared" si="1"/>
        <v/>
      </c>
      <c r="H927" s="25"/>
      <c r="I927" s="26"/>
      <c r="J927" s="26"/>
      <c r="K927" s="27" t="str">
        <f>IF(A927&lt;&gt;"",IF(E927="InActive","-",SUMIFS('💰 Transaction ขาย'!E:E,'💰 Transaction ขาย'!B:B,A927,'💰 Transaction ขาย'!A:A,"&gt;"&amp;'⚙️ Config'!$H$1-'⚙️ Config'!$H$2)),)</f>
        <v/>
      </c>
      <c r="L927" s="28" t="str">
        <f>IF(E927="InActive","-",IF(A927&lt;&gt;"",K927/'⚙️ Config'!$H$2,))</f>
        <v/>
      </c>
      <c r="M927" s="28" t="str">
        <f t="shared" si="2"/>
        <v/>
      </c>
      <c r="N927" s="28" t="str">
        <f>IF(A927&lt;&gt;"", SUMIFS('💰 Transaction ขาย'!F:F,'💰 Transaction ขาย'!B:B,A927,'💰 Transaction ขาย'!A:A,"&gt;="&amp;DATE(YEAR('⚙️ Config'!$H$1),1,1),'💰 Transaction ขาย'!A:A,"&lt;="&amp;DATE(YEAR('⚙️ Config'!$H$1),12,31)),)</f>
        <v/>
      </c>
    </row>
    <row r="928">
      <c r="A928" s="22"/>
      <c r="B928" s="22" t="str">
        <f>IF(A928&lt;&gt;"",SUMIFS('💸 Transaction ซื้อ'!E:E,'💸 Transaction ซื้อ'!B:B,A928)-SUMIFS('💰 Transaction ขาย'!E:E,'💰 Transaction ขาย'!B:B,A928),"")</f>
        <v/>
      </c>
      <c r="C928" s="23" t="str">
        <f>IF(A928&lt;&gt;"",vlookup(A928,'📦 ชื่อสินค้า'!A:E,5,false),"")</f>
        <v/>
      </c>
      <c r="D928" s="23" t="str">
        <f>IF(A928&lt;&gt;"",VLOOKUP(A928,'📦 ชื่อสินค้า'!A:F,6,false),"")</f>
        <v/>
      </c>
      <c r="E928" s="16" t="str">
        <f>IFERROR(IF(VLOOKUP(A928,'📦 ชื่อสินค้า'!A:G,7,false)="InActive","InActive",IF(A928&lt;&gt;"",IF(B928&lt;=0,"สินค้าหมด",IF(B928&lt;=C928,"ควรเติมทันที","OK")),"")),)</f>
        <v/>
      </c>
      <c r="F928" s="24" t="str">
        <f>IFERROR(IF(A928&lt;&gt;"", SUMIF('💸 Transaction ซื้อ'!B:B,A928,'💸 Transaction ซื้อ'!G:G)/SUMIF('💸 Transaction ซื้อ'!B:B,A928,'💸 Transaction ซื้อ'!E:E),""),"-")</f>
        <v/>
      </c>
      <c r="G928" s="24" t="str">
        <f t="shared" si="1"/>
        <v/>
      </c>
      <c r="H928" s="25"/>
      <c r="I928" s="26"/>
      <c r="J928" s="26"/>
      <c r="K928" s="27" t="str">
        <f>IF(A928&lt;&gt;"",IF(E928="InActive","-",SUMIFS('💰 Transaction ขาย'!E:E,'💰 Transaction ขาย'!B:B,A928,'💰 Transaction ขาย'!A:A,"&gt;"&amp;'⚙️ Config'!$H$1-'⚙️ Config'!$H$2)),)</f>
        <v/>
      </c>
      <c r="L928" s="28" t="str">
        <f>IF(E928="InActive","-",IF(A928&lt;&gt;"",K928/'⚙️ Config'!$H$2,))</f>
        <v/>
      </c>
      <c r="M928" s="28" t="str">
        <f t="shared" si="2"/>
        <v/>
      </c>
      <c r="N928" s="28" t="str">
        <f>IF(A928&lt;&gt;"", SUMIFS('💰 Transaction ขาย'!F:F,'💰 Transaction ขาย'!B:B,A928,'💰 Transaction ขาย'!A:A,"&gt;="&amp;DATE(YEAR('⚙️ Config'!$H$1),1,1),'💰 Transaction ขาย'!A:A,"&lt;="&amp;DATE(YEAR('⚙️ Config'!$H$1),12,31)),)</f>
        <v/>
      </c>
    </row>
    <row r="929">
      <c r="A929" s="22"/>
      <c r="B929" s="22" t="str">
        <f>IF(A929&lt;&gt;"",SUMIFS('💸 Transaction ซื้อ'!E:E,'💸 Transaction ซื้อ'!B:B,A929)-SUMIFS('💰 Transaction ขาย'!E:E,'💰 Transaction ขาย'!B:B,A929),"")</f>
        <v/>
      </c>
      <c r="C929" s="23" t="str">
        <f>IF(A929&lt;&gt;"",vlookup(A929,'📦 ชื่อสินค้า'!A:E,5,false),"")</f>
        <v/>
      </c>
      <c r="D929" s="23" t="str">
        <f>IF(A929&lt;&gt;"",VLOOKUP(A929,'📦 ชื่อสินค้า'!A:F,6,false),"")</f>
        <v/>
      </c>
      <c r="E929" s="16" t="str">
        <f>IFERROR(IF(VLOOKUP(A929,'📦 ชื่อสินค้า'!A:G,7,false)="InActive","InActive",IF(A929&lt;&gt;"",IF(B929&lt;=0,"สินค้าหมด",IF(B929&lt;=C929,"ควรเติมทันที","OK")),"")),)</f>
        <v/>
      </c>
      <c r="F929" s="24" t="str">
        <f>IFERROR(IF(A929&lt;&gt;"", SUMIF('💸 Transaction ซื้อ'!B:B,A929,'💸 Transaction ซื้อ'!G:G)/SUMIF('💸 Transaction ซื้อ'!B:B,A929,'💸 Transaction ซื้อ'!E:E),""),"-")</f>
        <v/>
      </c>
      <c r="G929" s="24" t="str">
        <f t="shared" si="1"/>
        <v/>
      </c>
      <c r="H929" s="25"/>
      <c r="I929" s="26"/>
      <c r="J929" s="26"/>
      <c r="K929" s="27" t="str">
        <f>IF(A929&lt;&gt;"",IF(E929="InActive","-",SUMIFS('💰 Transaction ขาย'!E:E,'💰 Transaction ขาย'!B:B,A929,'💰 Transaction ขาย'!A:A,"&gt;"&amp;'⚙️ Config'!$H$1-'⚙️ Config'!$H$2)),)</f>
        <v/>
      </c>
      <c r="L929" s="28" t="str">
        <f>IF(E929="InActive","-",IF(A929&lt;&gt;"",K929/'⚙️ Config'!$H$2,))</f>
        <v/>
      </c>
      <c r="M929" s="28" t="str">
        <f t="shared" si="2"/>
        <v/>
      </c>
      <c r="N929" s="28" t="str">
        <f>IF(A929&lt;&gt;"", SUMIFS('💰 Transaction ขาย'!F:F,'💰 Transaction ขาย'!B:B,A929,'💰 Transaction ขาย'!A:A,"&gt;="&amp;DATE(YEAR('⚙️ Config'!$H$1),1,1),'💰 Transaction ขาย'!A:A,"&lt;="&amp;DATE(YEAR('⚙️ Config'!$H$1),12,31)),)</f>
        <v/>
      </c>
    </row>
    <row r="930">
      <c r="A930" s="22"/>
      <c r="B930" s="22" t="str">
        <f>IF(A930&lt;&gt;"",SUMIFS('💸 Transaction ซื้อ'!E:E,'💸 Transaction ซื้อ'!B:B,A930)-SUMIFS('💰 Transaction ขาย'!E:E,'💰 Transaction ขาย'!B:B,A930),"")</f>
        <v/>
      </c>
      <c r="C930" s="23" t="str">
        <f>IF(A930&lt;&gt;"",vlookup(A930,'📦 ชื่อสินค้า'!A:E,5,false),"")</f>
        <v/>
      </c>
      <c r="D930" s="23" t="str">
        <f>IF(A930&lt;&gt;"",VLOOKUP(A930,'📦 ชื่อสินค้า'!A:F,6,false),"")</f>
        <v/>
      </c>
      <c r="E930" s="16" t="str">
        <f>IFERROR(IF(VLOOKUP(A930,'📦 ชื่อสินค้า'!A:G,7,false)="InActive","InActive",IF(A930&lt;&gt;"",IF(B930&lt;=0,"สินค้าหมด",IF(B930&lt;=C930,"ควรเติมทันที","OK")),"")),)</f>
        <v/>
      </c>
      <c r="F930" s="24" t="str">
        <f>IFERROR(IF(A930&lt;&gt;"", SUMIF('💸 Transaction ซื้อ'!B:B,A930,'💸 Transaction ซื้อ'!G:G)/SUMIF('💸 Transaction ซื้อ'!B:B,A930,'💸 Transaction ซื้อ'!E:E),""),"-")</f>
        <v/>
      </c>
      <c r="G930" s="24" t="str">
        <f t="shared" si="1"/>
        <v/>
      </c>
      <c r="H930" s="25"/>
      <c r="I930" s="26"/>
      <c r="J930" s="26"/>
      <c r="K930" s="27" t="str">
        <f>IF(A930&lt;&gt;"",IF(E930="InActive","-",SUMIFS('💰 Transaction ขาย'!E:E,'💰 Transaction ขาย'!B:B,A930,'💰 Transaction ขาย'!A:A,"&gt;"&amp;'⚙️ Config'!$H$1-'⚙️ Config'!$H$2)),)</f>
        <v/>
      </c>
      <c r="L930" s="28" t="str">
        <f>IF(E930="InActive","-",IF(A930&lt;&gt;"",K930/'⚙️ Config'!$H$2,))</f>
        <v/>
      </c>
      <c r="M930" s="28" t="str">
        <f t="shared" si="2"/>
        <v/>
      </c>
      <c r="N930" s="28" t="str">
        <f>IF(A930&lt;&gt;"", SUMIFS('💰 Transaction ขาย'!F:F,'💰 Transaction ขาย'!B:B,A930,'💰 Transaction ขาย'!A:A,"&gt;="&amp;DATE(YEAR('⚙️ Config'!$H$1),1,1),'💰 Transaction ขาย'!A:A,"&lt;="&amp;DATE(YEAR('⚙️ Config'!$H$1),12,31)),)</f>
        <v/>
      </c>
    </row>
    <row r="931">
      <c r="A931" s="22"/>
      <c r="B931" s="22" t="str">
        <f>IF(A931&lt;&gt;"",SUMIFS('💸 Transaction ซื้อ'!E:E,'💸 Transaction ซื้อ'!B:B,A931)-SUMIFS('💰 Transaction ขาย'!E:E,'💰 Transaction ขาย'!B:B,A931),"")</f>
        <v/>
      </c>
      <c r="C931" s="23" t="str">
        <f>IF(A931&lt;&gt;"",vlookup(A931,'📦 ชื่อสินค้า'!A:E,5,false),"")</f>
        <v/>
      </c>
      <c r="D931" s="23" t="str">
        <f>IF(A931&lt;&gt;"",VLOOKUP(A931,'📦 ชื่อสินค้า'!A:F,6,false),"")</f>
        <v/>
      </c>
      <c r="E931" s="16" t="str">
        <f>IFERROR(IF(VLOOKUP(A931,'📦 ชื่อสินค้า'!A:G,7,false)="InActive","InActive",IF(A931&lt;&gt;"",IF(B931&lt;=0,"สินค้าหมด",IF(B931&lt;=C931,"ควรเติมทันที","OK")),"")),)</f>
        <v/>
      </c>
      <c r="F931" s="24" t="str">
        <f>IFERROR(IF(A931&lt;&gt;"", SUMIF('💸 Transaction ซื้อ'!B:B,A931,'💸 Transaction ซื้อ'!G:G)/SUMIF('💸 Transaction ซื้อ'!B:B,A931,'💸 Transaction ซื้อ'!E:E),""),"-")</f>
        <v/>
      </c>
      <c r="G931" s="24" t="str">
        <f t="shared" si="1"/>
        <v/>
      </c>
      <c r="H931" s="25"/>
      <c r="I931" s="26"/>
      <c r="J931" s="26"/>
      <c r="K931" s="27" t="str">
        <f>IF(A931&lt;&gt;"",IF(E931="InActive","-",SUMIFS('💰 Transaction ขาย'!E:E,'💰 Transaction ขาย'!B:B,A931,'💰 Transaction ขาย'!A:A,"&gt;"&amp;'⚙️ Config'!$H$1-'⚙️ Config'!$H$2)),)</f>
        <v/>
      </c>
      <c r="L931" s="28" t="str">
        <f>IF(E931="InActive","-",IF(A931&lt;&gt;"",K931/'⚙️ Config'!$H$2,))</f>
        <v/>
      </c>
      <c r="M931" s="28" t="str">
        <f t="shared" si="2"/>
        <v/>
      </c>
      <c r="N931" s="28" t="str">
        <f>IF(A931&lt;&gt;"", SUMIFS('💰 Transaction ขาย'!F:F,'💰 Transaction ขาย'!B:B,A931,'💰 Transaction ขาย'!A:A,"&gt;="&amp;DATE(YEAR('⚙️ Config'!$H$1),1,1),'💰 Transaction ขาย'!A:A,"&lt;="&amp;DATE(YEAR('⚙️ Config'!$H$1),12,31)),)</f>
        <v/>
      </c>
    </row>
    <row r="932">
      <c r="A932" s="22"/>
      <c r="B932" s="22" t="str">
        <f>IF(A932&lt;&gt;"",SUMIFS('💸 Transaction ซื้อ'!E:E,'💸 Transaction ซื้อ'!B:B,A932)-SUMIFS('💰 Transaction ขาย'!E:E,'💰 Transaction ขาย'!B:B,A932),"")</f>
        <v/>
      </c>
      <c r="C932" s="23" t="str">
        <f>IF(A932&lt;&gt;"",vlookup(A932,'📦 ชื่อสินค้า'!A:E,5,false),"")</f>
        <v/>
      </c>
      <c r="D932" s="23" t="str">
        <f>IF(A932&lt;&gt;"",VLOOKUP(A932,'📦 ชื่อสินค้า'!A:F,6,false),"")</f>
        <v/>
      </c>
      <c r="E932" s="16" t="str">
        <f>IFERROR(IF(VLOOKUP(A932,'📦 ชื่อสินค้า'!A:G,7,false)="InActive","InActive",IF(A932&lt;&gt;"",IF(B932&lt;=0,"สินค้าหมด",IF(B932&lt;=C932,"ควรเติมทันที","OK")),"")),)</f>
        <v/>
      </c>
      <c r="F932" s="24" t="str">
        <f>IFERROR(IF(A932&lt;&gt;"", SUMIF('💸 Transaction ซื้อ'!B:B,A932,'💸 Transaction ซื้อ'!G:G)/SUMIF('💸 Transaction ซื้อ'!B:B,A932,'💸 Transaction ซื้อ'!E:E),""),"-")</f>
        <v/>
      </c>
      <c r="G932" s="24" t="str">
        <f t="shared" si="1"/>
        <v/>
      </c>
      <c r="H932" s="25"/>
      <c r="I932" s="26"/>
      <c r="J932" s="26"/>
      <c r="K932" s="27" t="str">
        <f>IF(A932&lt;&gt;"",IF(E932="InActive","-",SUMIFS('💰 Transaction ขาย'!E:E,'💰 Transaction ขาย'!B:B,A932,'💰 Transaction ขาย'!A:A,"&gt;"&amp;'⚙️ Config'!$H$1-'⚙️ Config'!$H$2)),)</f>
        <v/>
      </c>
      <c r="L932" s="28" t="str">
        <f>IF(E932="InActive","-",IF(A932&lt;&gt;"",K932/'⚙️ Config'!$H$2,))</f>
        <v/>
      </c>
      <c r="M932" s="28" t="str">
        <f t="shared" si="2"/>
        <v/>
      </c>
      <c r="N932" s="28" t="str">
        <f>IF(A932&lt;&gt;"", SUMIFS('💰 Transaction ขาย'!F:F,'💰 Transaction ขาย'!B:B,A932,'💰 Transaction ขาย'!A:A,"&gt;="&amp;DATE(YEAR('⚙️ Config'!$H$1),1,1),'💰 Transaction ขาย'!A:A,"&lt;="&amp;DATE(YEAR('⚙️ Config'!$H$1),12,31)),)</f>
        <v/>
      </c>
    </row>
    <row r="933">
      <c r="A933" s="22"/>
      <c r="B933" s="22" t="str">
        <f>IF(A933&lt;&gt;"",SUMIFS('💸 Transaction ซื้อ'!E:E,'💸 Transaction ซื้อ'!B:B,A933)-SUMIFS('💰 Transaction ขาย'!E:E,'💰 Transaction ขาย'!B:B,A933),"")</f>
        <v/>
      </c>
      <c r="C933" s="23" t="str">
        <f>IF(A933&lt;&gt;"",vlookup(A933,'📦 ชื่อสินค้า'!A:E,5,false),"")</f>
        <v/>
      </c>
      <c r="D933" s="23" t="str">
        <f>IF(A933&lt;&gt;"",VLOOKUP(A933,'📦 ชื่อสินค้า'!A:F,6,false),"")</f>
        <v/>
      </c>
      <c r="E933" s="16" t="str">
        <f>IFERROR(IF(VLOOKUP(A933,'📦 ชื่อสินค้า'!A:G,7,false)="InActive","InActive",IF(A933&lt;&gt;"",IF(B933&lt;=0,"สินค้าหมด",IF(B933&lt;=C933,"ควรเติมทันที","OK")),"")),)</f>
        <v/>
      </c>
      <c r="F933" s="24" t="str">
        <f>IFERROR(IF(A933&lt;&gt;"", SUMIF('💸 Transaction ซื้อ'!B:B,A933,'💸 Transaction ซื้อ'!G:G)/SUMIF('💸 Transaction ซื้อ'!B:B,A933,'💸 Transaction ซื้อ'!E:E),""),"-")</f>
        <v/>
      </c>
      <c r="G933" s="24" t="str">
        <f t="shared" si="1"/>
        <v/>
      </c>
      <c r="H933" s="25"/>
      <c r="I933" s="26"/>
      <c r="J933" s="26"/>
      <c r="K933" s="27" t="str">
        <f>IF(A933&lt;&gt;"",IF(E933="InActive","-",SUMIFS('💰 Transaction ขาย'!E:E,'💰 Transaction ขาย'!B:B,A933,'💰 Transaction ขาย'!A:A,"&gt;"&amp;'⚙️ Config'!$H$1-'⚙️ Config'!$H$2)),)</f>
        <v/>
      </c>
      <c r="L933" s="28" t="str">
        <f>IF(E933="InActive","-",IF(A933&lt;&gt;"",K933/'⚙️ Config'!$H$2,))</f>
        <v/>
      </c>
      <c r="M933" s="28" t="str">
        <f t="shared" si="2"/>
        <v/>
      </c>
      <c r="N933" s="28" t="str">
        <f>IF(A933&lt;&gt;"", SUMIFS('💰 Transaction ขาย'!F:F,'💰 Transaction ขาย'!B:B,A933,'💰 Transaction ขาย'!A:A,"&gt;="&amp;DATE(YEAR('⚙️ Config'!$H$1),1,1),'💰 Transaction ขาย'!A:A,"&lt;="&amp;DATE(YEAR('⚙️ Config'!$H$1),12,31)),)</f>
        <v/>
      </c>
    </row>
    <row r="934">
      <c r="A934" s="22"/>
      <c r="B934" s="22" t="str">
        <f>IF(A934&lt;&gt;"",SUMIFS('💸 Transaction ซื้อ'!E:E,'💸 Transaction ซื้อ'!B:B,A934)-SUMIFS('💰 Transaction ขาย'!E:E,'💰 Transaction ขาย'!B:B,A934),"")</f>
        <v/>
      </c>
      <c r="C934" s="23" t="str">
        <f>IF(A934&lt;&gt;"",vlookup(A934,'📦 ชื่อสินค้า'!A:E,5,false),"")</f>
        <v/>
      </c>
      <c r="D934" s="23" t="str">
        <f>IF(A934&lt;&gt;"",VLOOKUP(A934,'📦 ชื่อสินค้า'!A:F,6,false),"")</f>
        <v/>
      </c>
      <c r="E934" s="16" t="str">
        <f>IFERROR(IF(VLOOKUP(A934,'📦 ชื่อสินค้า'!A:G,7,false)="InActive","InActive",IF(A934&lt;&gt;"",IF(B934&lt;=0,"สินค้าหมด",IF(B934&lt;=C934,"ควรเติมทันที","OK")),"")),)</f>
        <v/>
      </c>
      <c r="F934" s="24" t="str">
        <f>IFERROR(IF(A934&lt;&gt;"", SUMIF('💸 Transaction ซื้อ'!B:B,A934,'💸 Transaction ซื้อ'!G:G)/SUMIF('💸 Transaction ซื้อ'!B:B,A934,'💸 Transaction ซื้อ'!E:E),""),"-")</f>
        <v/>
      </c>
      <c r="G934" s="24" t="str">
        <f t="shared" si="1"/>
        <v/>
      </c>
      <c r="H934" s="25"/>
      <c r="I934" s="26"/>
      <c r="J934" s="26"/>
      <c r="K934" s="27" t="str">
        <f>IF(A934&lt;&gt;"",IF(E934="InActive","-",SUMIFS('💰 Transaction ขาย'!E:E,'💰 Transaction ขาย'!B:B,A934,'💰 Transaction ขาย'!A:A,"&gt;"&amp;'⚙️ Config'!$H$1-'⚙️ Config'!$H$2)),)</f>
        <v/>
      </c>
      <c r="L934" s="28" t="str">
        <f>IF(E934="InActive","-",IF(A934&lt;&gt;"",K934/'⚙️ Config'!$H$2,))</f>
        <v/>
      </c>
      <c r="M934" s="28" t="str">
        <f t="shared" si="2"/>
        <v/>
      </c>
      <c r="N934" s="28" t="str">
        <f>IF(A934&lt;&gt;"", SUMIFS('💰 Transaction ขาย'!F:F,'💰 Transaction ขาย'!B:B,A934,'💰 Transaction ขาย'!A:A,"&gt;="&amp;DATE(YEAR('⚙️ Config'!$H$1),1,1),'💰 Transaction ขาย'!A:A,"&lt;="&amp;DATE(YEAR('⚙️ Config'!$H$1),12,31)),)</f>
        <v/>
      </c>
    </row>
    <row r="935">
      <c r="A935" s="22"/>
      <c r="B935" s="22" t="str">
        <f>IF(A935&lt;&gt;"",SUMIFS('💸 Transaction ซื้อ'!E:E,'💸 Transaction ซื้อ'!B:B,A935)-SUMIFS('💰 Transaction ขาย'!E:E,'💰 Transaction ขาย'!B:B,A935),"")</f>
        <v/>
      </c>
      <c r="C935" s="23" t="str">
        <f>IF(A935&lt;&gt;"",vlookup(A935,'📦 ชื่อสินค้า'!A:E,5,false),"")</f>
        <v/>
      </c>
      <c r="D935" s="23" t="str">
        <f>IF(A935&lt;&gt;"",VLOOKUP(A935,'📦 ชื่อสินค้า'!A:F,6,false),"")</f>
        <v/>
      </c>
      <c r="E935" s="16" t="str">
        <f>IFERROR(IF(VLOOKUP(A935,'📦 ชื่อสินค้า'!A:G,7,false)="InActive","InActive",IF(A935&lt;&gt;"",IF(B935&lt;=0,"สินค้าหมด",IF(B935&lt;=C935,"ควรเติมทันที","OK")),"")),)</f>
        <v/>
      </c>
      <c r="F935" s="24" t="str">
        <f>IFERROR(IF(A935&lt;&gt;"", SUMIF('💸 Transaction ซื้อ'!B:B,A935,'💸 Transaction ซื้อ'!G:G)/SUMIF('💸 Transaction ซื้อ'!B:B,A935,'💸 Transaction ซื้อ'!E:E),""),"-")</f>
        <v/>
      </c>
      <c r="G935" s="24" t="str">
        <f t="shared" si="1"/>
        <v/>
      </c>
      <c r="H935" s="25"/>
      <c r="I935" s="26"/>
      <c r="J935" s="26"/>
      <c r="K935" s="27" t="str">
        <f>IF(A935&lt;&gt;"",IF(E935="InActive","-",SUMIFS('💰 Transaction ขาย'!E:E,'💰 Transaction ขาย'!B:B,A935,'💰 Transaction ขาย'!A:A,"&gt;"&amp;'⚙️ Config'!$H$1-'⚙️ Config'!$H$2)),)</f>
        <v/>
      </c>
      <c r="L935" s="28" t="str">
        <f>IF(E935="InActive","-",IF(A935&lt;&gt;"",K935/'⚙️ Config'!$H$2,))</f>
        <v/>
      </c>
      <c r="M935" s="28" t="str">
        <f t="shared" si="2"/>
        <v/>
      </c>
      <c r="N935" s="28" t="str">
        <f>IF(A935&lt;&gt;"", SUMIFS('💰 Transaction ขาย'!F:F,'💰 Transaction ขาย'!B:B,A935,'💰 Transaction ขาย'!A:A,"&gt;="&amp;DATE(YEAR('⚙️ Config'!$H$1),1,1),'💰 Transaction ขาย'!A:A,"&lt;="&amp;DATE(YEAR('⚙️ Config'!$H$1),12,31)),)</f>
        <v/>
      </c>
    </row>
    <row r="936">
      <c r="A936" s="22"/>
      <c r="B936" s="22" t="str">
        <f>IF(A936&lt;&gt;"",SUMIFS('💸 Transaction ซื้อ'!E:E,'💸 Transaction ซื้อ'!B:B,A936)-SUMIFS('💰 Transaction ขาย'!E:E,'💰 Transaction ขาย'!B:B,A936),"")</f>
        <v/>
      </c>
      <c r="C936" s="23" t="str">
        <f>IF(A936&lt;&gt;"",vlookup(A936,'📦 ชื่อสินค้า'!A:E,5,false),"")</f>
        <v/>
      </c>
      <c r="D936" s="23" t="str">
        <f>IF(A936&lt;&gt;"",VLOOKUP(A936,'📦 ชื่อสินค้า'!A:F,6,false),"")</f>
        <v/>
      </c>
      <c r="E936" s="16" t="str">
        <f>IFERROR(IF(VLOOKUP(A936,'📦 ชื่อสินค้า'!A:G,7,false)="InActive","InActive",IF(A936&lt;&gt;"",IF(B936&lt;=0,"สินค้าหมด",IF(B936&lt;=C936,"ควรเติมทันที","OK")),"")),)</f>
        <v/>
      </c>
      <c r="F936" s="24" t="str">
        <f>IFERROR(IF(A936&lt;&gt;"", SUMIF('💸 Transaction ซื้อ'!B:B,A936,'💸 Transaction ซื้อ'!G:G)/SUMIF('💸 Transaction ซื้อ'!B:B,A936,'💸 Transaction ซื้อ'!E:E),""),"-")</f>
        <v/>
      </c>
      <c r="G936" s="24" t="str">
        <f t="shared" si="1"/>
        <v/>
      </c>
      <c r="H936" s="25"/>
      <c r="I936" s="26"/>
      <c r="J936" s="26"/>
      <c r="K936" s="27" t="str">
        <f>IF(A936&lt;&gt;"",IF(E936="InActive","-",SUMIFS('💰 Transaction ขาย'!E:E,'💰 Transaction ขาย'!B:B,A936,'💰 Transaction ขาย'!A:A,"&gt;"&amp;'⚙️ Config'!$H$1-'⚙️ Config'!$H$2)),)</f>
        <v/>
      </c>
      <c r="L936" s="28" t="str">
        <f>IF(E936="InActive","-",IF(A936&lt;&gt;"",K936/'⚙️ Config'!$H$2,))</f>
        <v/>
      </c>
      <c r="M936" s="28" t="str">
        <f t="shared" si="2"/>
        <v/>
      </c>
      <c r="N936" s="28" t="str">
        <f>IF(A936&lt;&gt;"", SUMIFS('💰 Transaction ขาย'!F:F,'💰 Transaction ขาย'!B:B,A936,'💰 Transaction ขาย'!A:A,"&gt;="&amp;DATE(YEAR('⚙️ Config'!$H$1),1,1),'💰 Transaction ขาย'!A:A,"&lt;="&amp;DATE(YEAR('⚙️ Config'!$H$1),12,31)),)</f>
        <v/>
      </c>
    </row>
    <row r="937">
      <c r="A937" s="22"/>
      <c r="B937" s="22" t="str">
        <f>IF(A937&lt;&gt;"",SUMIFS('💸 Transaction ซื้อ'!E:E,'💸 Transaction ซื้อ'!B:B,A937)-SUMIFS('💰 Transaction ขาย'!E:E,'💰 Transaction ขาย'!B:B,A937),"")</f>
        <v/>
      </c>
      <c r="C937" s="23" t="str">
        <f>IF(A937&lt;&gt;"",vlookup(A937,'📦 ชื่อสินค้า'!A:E,5,false),"")</f>
        <v/>
      </c>
      <c r="D937" s="23" t="str">
        <f>IF(A937&lt;&gt;"",VLOOKUP(A937,'📦 ชื่อสินค้า'!A:F,6,false),"")</f>
        <v/>
      </c>
      <c r="E937" s="16" t="str">
        <f>IFERROR(IF(VLOOKUP(A937,'📦 ชื่อสินค้า'!A:G,7,false)="InActive","InActive",IF(A937&lt;&gt;"",IF(B937&lt;=0,"สินค้าหมด",IF(B937&lt;=C937,"ควรเติมทันที","OK")),"")),)</f>
        <v/>
      </c>
      <c r="F937" s="24" t="str">
        <f>IFERROR(IF(A937&lt;&gt;"", SUMIF('💸 Transaction ซื้อ'!B:B,A937,'💸 Transaction ซื้อ'!G:G)/SUMIF('💸 Transaction ซื้อ'!B:B,A937,'💸 Transaction ซื้อ'!E:E),""),"-")</f>
        <v/>
      </c>
      <c r="G937" s="24" t="str">
        <f t="shared" si="1"/>
        <v/>
      </c>
      <c r="H937" s="25"/>
      <c r="I937" s="26"/>
      <c r="J937" s="26"/>
      <c r="K937" s="27" t="str">
        <f>IF(A937&lt;&gt;"",IF(E937="InActive","-",SUMIFS('💰 Transaction ขาย'!E:E,'💰 Transaction ขาย'!B:B,A937,'💰 Transaction ขาย'!A:A,"&gt;"&amp;'⚙️ Config'!$H$1-'⚙️ Config'!$H$2)),)</f>
        <v/>
      </c>
      <c r="L937" s="28" t="str">
        <f>IF(E937="InActive","-",IF(A937&lt;&gt;"",K937/'⚙️ Config'!$H$2,))</f>
        <v/>
      </c>
      <c r="M937" s="28" t="str">
        <f t="shared" si="2"/>
        <v/>
      </c>
      <c r="N937" s="28" t="str">
        <f>IF(A937&lt;&gt;"", SUMIFS('💰 Transaction ขาย'!F:F,'💰 Transaction ขาย'!B:B,A937,'💰 Transaction ขาย'!A:A,"&gt;="&amp;DATE(YEAR('⚙️ Config'!$H$1),1,1),'💰 Transaction ขาย'!A:A,"&lt;="&amp;DATE(YEAR('⚙️ Config'!$H$1),12,31)),)</f>
        <v/>
      </c>
    </row>
    <row r="938">
      <c r="A938" s="22"/>
      <c r="B938" s="22" t="str">
        <f>IF(A938&lt;&gt;"",SUMIFS('💸 Transaction ซื้อ'!E:E,'💸 Transaction ซื้อ'!B:B,A938)-SUMIFS('💰 Transaction ขาย'!E:E,'💰 Transaction ขาย'!B:B,A938),"")</f>
        <v/>
      </c>
      <c r="C938" s="23" t="str">
        <f>IF(A938&lt;&gt;"",vlookup(A938,'📦 ชื่อสินค้า'!A:E,5,false),"")</f>
        <v/>
      </c>
      <c r="D938" s="23" t="str">
        <f>IF(A938&lt;&gt;"",VLOOKUP(A938,'📦 ชื่อสินค้า'!A:F,6,false),"")</f>
        <v/>
      </c>
      <c r="E938" s="16" t="str">
        <f>IFERROR(IF(VLOOKUP(A938,'📦 ชื่อสินค้า'!A:G,7,false)="InActive","InActive",IF(A938&lt;&gt;"",IF(B938&lt;=0,"สินค้าหมด",IF(B938&lt;=C938,"ควรเติมทันที","OK")),"")),)</f>
        <v/>
      </c>
      <c r="F938" s="24" t="str">
        <f>IFERROR(IF(A938&lt;&gt;"", SUMIF('💸 Transaction ซื้อ'!B:B,A938,'💸 Transaction ซื้อ'!G:G)/SUMIF('💸 Transaction ซื้อ'!B:B,A938,'💸 Transaction ซื้อ'!E:E),""),"-")</f>
        <v/>
      </c>
      <c r="G938" s="24" t="str">
        <f t="shared" si="1"/>
        <v/>
      </c>
      <c r="H938" s="25"/>
      <c r="I938" s="26"/>
      <c r="J938" s="26"/>
      <c r="K938" s="27" t="str">
        <f>IF(A938&lt;&gt;"",IF(E938="InActive","-",SUMIFS('💰 Transaction ขาย'!E:E,'💰 Transaction ขาย'!B:B,A938,'💰 Transaction ขาย'!A:A,"&gt;"&amp;'⚙️ Config'!$H$1-'⚙️ Config'!$H$2)),)</f>
        <v/>
      </c>
      <c r="L938" s="28" t="str">
        <f>IF(E938="InActive","-",IF(A938&lt;&gt;"",K938/'⚙️ Config'!$H$2,))</f>
        <v/>
      </c>
      <c r="M938" s="28" t="str">
        <f t="shared" si="2"/>
        <v/>
      </c>
      <c r="N938" s="28" t="str">
        <f>IF(A938&lt;&gt;"", SUMIFS('💰 Transaction ขาย'!F:F,'💰 Transaction ขาย'!B:B,A938,'💰 Transaction ขาย'!A:A,"&gt;="&amp;DATE(YEAR('⚙️ Config'!$H$1),1,1),'💰 Transaction ขาย'!A:A,"&lt;="&amp;DATE(YEAR('⚙️ Config'!$H$1),12,31)),)</f>
        <v/>
      </c>
    </row>
    <row r="939">
      <c r="A939" s="22"/>
      <c r="B939" s="22" t="str">
        <f>IF(A939&lt;&gt;"",SUMIFS('💸 Transaction ซื้อ'!E:E,'💸 Transaction ซื้อ'!B:B,A939)-SUMIFS('💰 Transaction ขาย'!E:E,'💰 Transaction ขาย'!B:B,A939),"")</f>
        <v/>
      </c>
      <c r="C939" s="23" t="str">
        <f>IF(A939&lt;&gt;"",vlookup(A939,'📦 ชื่อสินค้า'!A:E,5,false),"")</f>
        <v/>
      </c>
      <c r="D939" s="23" t="str">
        <f>IF(A939&lt;&gt;"",VLOOKUP(A939,'📦 ชื่อสินค้า'!A:F,6,false),"")</f>
        <v/>
      </c>
      <c r="E939" s="16" t="str">
        <f>IFERROR(IF(VLOOKUP(A939,'📦 ชื่อสินค้า'!A:G,7,false)="InActive","InActive",IF(A939&lt;&gt;"",IF(B939&lt;=0,"สินค้าหมด",IF(B939&lt;=C939,"ควรเติมทันที","OK")),"")),)</f>
        <v/>
      </c>
      <c r="F939" s="24" t="str">
        <f>IFERROR(IF(A939&lt;&gt;"", SUMIF('💸 Transaction ซื้อ'!B:B,A939,'💸 Transaction ซื้อ'!G:G)/SUMIF('💸 Transaction ซื้อ'!B:B,A939,'💸 Transaction ซื้อ'!E:E),""),"-")</f>
        <v/>
      </c>
      <c r="G939" s="24" t="str">
        <f t="shared" si="1"/>
        <v/>
      </c>
      <c r="H939" s="25"/>
      <c r="I939" s="26"/>
      <c r="J939" s="26"/>
      <c r="K939" s="27" t="str">
        <f>IF(A939&lt;&gt;"",IF(E939="InActive","-",SUMIFS('💰 Transaction ขาย'!E:E,'💰 Transaction ขาย'!B:B,A939,'💰 Transaction ขาย'!A:A,"&gt;"&amp;'⚙️ Config'!$H$1-'⚙️ Config'!$H$2)),)</f>
        <v/>
      </c>
      <c r="L939" s="28" t="str">
        <f>IF(E939="InActive","-",IF(A939&lt;&gt;"",K939/'⚙️ Config'!$H$2,))</f>
        <v/>
      </c>
      <c r="M939" s="28" t="str">
        <f t="shared" si="2"/>
        <v/>
      </c>
      <c r="N939" s="28" t="str">
        <f>IF(A939&lt;&gt;"", SUMIFS('💰 Transaction ขาย'!F:F,'💰 Transaction ขาย'!B:B,A939,'💰 Transaction ขาย'!A:A,"&gt;="&amp;DATE(YEAR('⚙️ Config'!$H$1),1,1),'💰 Transaction ขาย'!A:A,"&lt;="&amp;DATE(YEAR('⚙️ Config'!$H$1),12,31)),)</f>
        <v/>
      </c>
    </row>
    <row r="940">
      <c r="A940" s="22"/>
      <c r="B940" s="22" t="str">
        <f>IF(A940&lt;&gt;"",SUMIFS('💸 Transaction ซื้อ'!E:E,'💸 Transaction ซื้อ'!B:B,A940)-SUMIFS('💰 Transaction ขาย'!E:E,'💰 Transaction ขาย'!B:B,A940),"")</f>
        <v/>
      </c>
      <c r="C940" s="23" t="str">
        <f>IF(A940&lt;&gt;"",vlookup(A940,'📦 ชื่อสินค้า'!A:E,5,false),"")</f>
        <v/>
      </c>
      <c r="D940" s="23" t="str">
        <f>IF(A940&lt;&gt;"",VLOOKUP(A940,'📦 ชื่อสินค้า'!A:F,6,false),"")</f>
        <v/>
      </c>
      <c r="E940" s="16" t="str">
        <f>IFERROR(IF(VLOOKUP(A940,'📦 ชื่อสินค้า'!A:G,7,false)="InActive","InActive",IF(A940&lt;&gt;"",IF(B940&lt;=0,"สินค้าหมด",IF(B940&lt;=C940,"ควรเติมทันที","OK")),"")),)</f>
        <v/>
      </c>
      <c r="F940" s="24" t="str">
        <f>IFERROR(IF(A940&lt;&gt;"", SUMIF('💸 Transaction ซื้อ'!B:B,A940,'💸 Transaction ซื้อ'!G:G)/SUMIF('💸 Transaction ซื้อ'!B:B,A940,'💸 Transaction ซื้อ'!E:E),""),"-")</f>
        <v/>
      </c>
      <c r="G940" s="24" t="str">
        <f t="shared" si="1"/>
        <v/>
      </c>
      <c r="H940" s="25"/>
      <c r="I940" s="26"/>
      <c r="J940" s="26"/>
      <c r="K940" s="27" t="str">
        <f>IF(A940&lt;&gt;"",IF(E940="InActive","-",SUMIFS('💰 Transaction ขาย'!E:E,'💰 Transaction ขาย'!B:B,A940,'💰 Transaction ขาย'!A:A,"&gt;"&amp;'⚙️ Config'!$H$1-'⚙️ Config'!$H$2)),)</f>
        <v/>
      </c>
      <c r="L940" s="28" t="str">
        <f>IF(E940="InActive","-",IF(A940&lt;&gt;"",K940/'⚙️ Config'!$H$2,))</f>
        <v/>
      </c>
      <c r="M940" s="28" t="str">
        <f t="shared" si="2"/>
        <v/>
      </c>
      <c r="N940" s="28" t="str">
        <f>IF(A940&lt;&gt;"", SUMIFS('💰 Transaction ขาย'!F:F,'💰 Transaction ขาย'!B:B,A940,'💰 Transaction ขาย'!A:A,"&gt;="&amp;DATE(YEAR('⚙️ Config'!$H$1),1,1),'💰 Transaction ขาย'!A:A,"&lt;="&amp;DATE(YEAR('⚙️ Config'!$H$1),12,31)),)</f>
        <v/>
      </c>
    </row>
    <row r="941">
      <c r="A941" s="22"/>
      <c r="B941" s="22" t="str">
        <f>IF(A941&lt;&gt;"",SUMIFS('💸 Transaction ซื้อ'!E:E,'💸 Transaction ซื้อ'!B:B,A941)-SUMIFS('💰 Transaction ขาย'!E:E,'💰 Transaction ขาย'!B:B,A941),"")</f>
        <v/>
      </c>
      <c r="C941" s="23" t="str">
        <f>IF(A941&lt;&gt;"",vlookup(A941,'📦 ชื่อสินค้า'!A:E,5,false),"")</f>
        <v/>
      </c>
      <c r="D941" s="23" t="str">
        <f>IF(A941&lt;&gt;"",VLOOKUP(A941,'📦 ชื่อสินค้า'!A:F,6,false),"")</f>
        <v/>
      </c>
      <c r="E941" s="16" t="str">
        <f>IFERROR(IF(VLOOKUP(A941,'📦 ชื่อสินค้า'!A:G,7,false)="InActive","InActive",IF(A941&lt;&gt;"",IF(B941&lt;=0,"สินค้าหมด",IF(B941&lt;=C941,"ควรเติมทันที","OK")),"")),)</f>
        <v/>
      </c>
      <c r="F941" s="24" t="str">
        <f>IFERROR(IF(A941&lt;&gt;"", SUMIF('💸 Transaction ซื้อ'!B:B,A941,'💸 Transaction ซื้อ'!G:G)/SUMIF('💸 Transaction ซื้อ'!B:B,A941,'💸 Transaction ซื้อ'!E:E),""),"-")</f>
        <v/>
      </c>
      <c r="G941" s="24" t="str">
        <f t="shared" si="1"/>
        <v/>
      </c>
      <c r="H941" s="25"/>
      <c r="I941" s="26"/>
      <c r="J941" s="26"/>
      <c r="K941" s="27" t="str">
        <f>IF(A941&lt;&gt;"",IF(E941="InActive","-",SUMIFS('💰 Transaction ขาย'!E:E,'💰 Transaction ขาย'!B:B,A941,'💰 Transaction ขาย'!A:A,"&gt;"&amp;'⚙️ Config'!$H$1-'⚙️ Config'!$H$2)),)</f>
        <v/>
      </c>
      <c r="L941" s="28" t="str">
        <f>IF(E941="InActive","-",IF(A941&lt;&gt;"",K941/'⚙️ Config'!$H$2,))</f>
        <v/>
      </c>
      <c r="M941" s="28" t="str">
        <f t="shared" si="2"/>
        <v/>
      </c>
      <c r="N941" s="28" t="str">
        <f>IF(A941&lt;&gt;"", SUMIFS('💰 Transaction ขาย'!F:F,'💰 Transaction ขาย'!B:B,A941,'💰 Transaction ขาย'!A:A,"&gt;="&amp;DATE(YEAR('⚙️ Config'!$H$1),1,1),'💰 Transaction ขาย'!A:A,"&lt;="&amp;DATE(YEAR('⚙️ Config'!$H$1),12,31)),)</f>
        <v/>
      </c>
    </row>
    <row r="942">
      <c r="A942" s="22"/>
      <c r="B942" s="22" t="str">
        <f>IF(A942&lt;&gt;"",SUMIFS('💸 Transaction ซื้อ'!E:E,'💸 Transaction ซื้อ'!B:B,A942)-SUMIFS('💰 Transaction ขาย'!E:E,'💰 Transaction ขาย'!B:B,A942),"")</f>
        <v/>
      </c>
      <c r="C942" s="23" t="str">
        <f>IF(A942&lt;&gt;"",vlookup(A942,'📦 ชื่อสินค้า'!A:E,5,false),"")</f>
        <v/>
      </c>
      <c r="D942" s="23" t="str">
        <f>IF(A942&lt;&gt;"",VLOOKUP(A942,'📦 ชื่อสินค้า'!A:F,6,false),"")</f>
        <v/>
      </c>
      <c r="E942" s="16" t="str">
        <f>IFERROR(IF(VLOOKUP(A942,'📦 ชื่อสินค้า'!A:G,7,false)="InActive","InActive",IF(A942&lt;&gt;"",IF(B942&lt;=0,"สินค้าหมด",IF(B942&lt;=C942,"ควรเติมทันที","OK")),"")),)</f>
        <v/>
      </c>
      <c r="F942" s="24" t="str">
        <f>IFERROR(IF(A942&lt;&gt;"", SUMIF('💸 Transaction ซื้อ'!B:B,A942,'💸 Transaction ซื้อ'!G:G)/SUMIF('💸 Transaction ซื้อ'!B:B,A942,'💸 Transaction ซื้อ'!E:E),""),"-")</f>
        <v/>
      </c>
      <c r="G942" s="24" t="str">
        <f t="shared" si="1"/>
        <v/>
      </c>
      <c r="H942" s="25"/>
      <c r="I942" s="26"/>
      <c r="J942" s="26"/>
      <c r="K942" s="27" t="str">
        <f>IF(A942&lt;&gt;"",IF(E942="InActive","-",SUMIFS('💰 Transaction ขาย'!E:E,'💰 Transaction ขาย'!B:B,A942,'💰 Transaction ขาย'!A:A,"&gt;"&amp;'⚙️ Config'!$H$1-'⚙️ Config'!$H$2)),)</f>
        <v/>
      </c>
      <c r="L942" s="28" t="str">
        <f>IF(E942="InActive","-",IF(A942&lt;&gt;"",K942/'⚙️ Config'!$H$2,))</f>
        <v/>
      </c>
      <c r="M942" s="28" t="str">
        <f t="shared" si="2"/>
        <v/>
      </c>
      <c r="N942" s="28" t="str">
        <f>IF(A942&lt;&gt;"", SUMIFS('💰 Transaction ขาย'!F:F,'💰 Transaction ขาย'!B:B,A942,'💰 Transaction ขาย'!A:A,"&gt;="&amp;DATE(YEAR('⚙️ Config'!$H$1),1,1),'💰 Transaction ขาย'!A:A,"&lt;="&amp;DATE(YEAR('⚙️ Config'!$H$1),12,31)),)</f>
        <v/>
      </c>
    </row>
    <row r="943">
      <c r="A943" s="22"/>
      <c r="B943" s="22" t="str">
        <f>IF(A943&lt;&gt;"",SUMIFS('💸 Transaction ซื้อ'!E:E,'💸 Transaction ซื้อ'!B:B,A943)-SUMIFS('💰 Transaction ขาย'!E:E,'💰 Transaction ขาย'!B:B,A943),"")</f>
        <v/>
      </c>
      <c r="C943" s="23" t="str">
        <f>IF(A943&lt;&gt;"",vlookup(A943,'📦 ชื่อสินค้า'!A:E,5,false),"")</f>
        <v/>
      </c>
      <c r="D943" s="23" t="str">
        <f>IF(A943&lt;&gt;"",VLOOKUP(A943,'📦 ชื่อสินค้า'!A:F,6,false),"")</f>
        <v/>
      </c>
      <c r="E943" s="16" t="str">
        <f>IFERROR(IF(VLOOKUP(A943,'📦 ชื่อสินค้า'!A:G,7,false)="InActive","InActive",IF(A943&lt;&gt;"",IF(B943&lt;=0,"สินค้าหมด",IF(B943&lt;=C943,"ควรเติมทันที","OK")),"")),)</f>
        <v/>
      </c>
      <c r="F943" s="24" t="str">
        <f>IFERROR(IF(A943&lt;&gt;"", SUMIF('💸 Transaction ซื้อ'!B:B,A943,'💸 Transaction ซื้อ'!G:G)/SUMIF('💸 Transaction ซื้อ'!B:B,A943,'💸 Transaction ซื้อ'!E:E),""),"-")</f>
        <v/>
      </c>
      <c r="G943" s="24" t="str">
        <f t="shared" si="1"/>
        <v/>
      </c>
      <c r="H943" s="25"/>
      <c r="I943" s="26"/>
      <c r="J943" s="26"/>
      <c r="K943" s="27" t="str">
        <f>IF(A943&lt;&gt;"",IF(E943="InActive","-",SUMIFS('💰 Transaction ขาย'!E:E,'💰 Transaction ขาย'!B:B,A943,'💰 Transaction ขาย'!A:A,"&gt;"&amp;'⚙️ Config'!$H$1-'⚙️ Config'!$H$2)),)</f>
        <v/>
      </c>
      <c r="L943" s="28" t="str">
        <f>IF(E943="InActive","-",IF(A943&lt;&gt;"",K943/'⚙️ Config'!$H$2,))</f>
        <v/>
      </c>
      <c r="M943" s="28" t="str">
        <f t="shared" si="2"/>
        <v/>
      </c>
      <c r="N943" s="28" t="str">
        <f>IF(A943&lt;&gt;"", SUMIFS('💰 Transaction ขาย'!F:F,'💰 Transaction ขาย'!B:B,A943,'💰 Transaction ขาย'!A:A,"&gt;="&amp;DATE(YEAR('⚙️ Config'!$H$1),1,1),'💰 Transaction ขาย'!A:A,"&lt;="&amp;DATE(YEAR('⚙️ Config'!$H$1),12,31)),)</f>
        <v/>
      </c>
    </row>
    <row r="944">
      <c r="A944" s="22"/>
      <c r="B944" s="22" t="str">
        <f>IF(A944&lt;&gt;"",SUMIFS('💸 Transaction ซื้อ'!E:E,'💸 Transaction ซื้อ'!B:B,A944)-SUMIFS('💰 Transaction ขาย'!E:E,'💰 Transaction ขาย'!B:B,A944),"")</f>
        <v/>
      </c>
      <c r="C944" s="23" t="str">
        <f>IF(A944&lt;&gt;"",vlookup(A944,'📦 ชื่อสินค้า'!A:E,5,false),"")</f>
        <v/>
      </c>
      <c r="D944" s="23" t="str">
        <f>IF(A944&lt;&gt;"",VLOOKUP(A944,'📦 ชื่อสินค้า'!A:F,6,false),"")</f>
        <v/>
      </c>
      <c r="E944" s="16" t="str">
        <f>IFERROR(IF(VLOOKUP(A944,'📦 ชื่อสินค้า'!A:G,7,false)="InActive","InActive",IF(A944&lt;&gt;"",IF(B944&lt;=0,"สินค้าหมด",IF(B944&lt;=C944,"ควรเติมทันที","OK")),"")),)</f>
        <v/>
      </c>
      <c r="F944" s="24" t="str">
        <f>IFERROR(IF(A944&lt;&gt;"", SUMIF('💸 Transaction ซื้อ'!B:B,A944,'💸 Transaction ซื้อ'!G:G)/SUMIF('💸 Transaction ซื้อ'!B:B,A944,'💸 Transaction ซื้อ'!E:E),""),"-")</f>
        <v/>
      </c>
      <c r="G944" s="24" t="str">
        <f t="shared" si="1"/>
        <v/>
      </c>
      <c r="H944" s="25"/>
      <c r="I944" s="26"/>
      <c r="J944" s="26"/>
      <c r="K944" s="27" t="str">
        <f>IF(A944&lt;&gt;"",IF(E944="InActive","-",SUMIFS('💰 Transaction ขาย'!E:E,'💰 Transaction ขาย'!B:B,A944,'💰 Transaction ขาย'!A:A,"&gt;"&amp;'⚙️ Config'!$H$1-'⚙️ Config'!$H$2)),)</f>
        <v/>
      </c>
      <c r="L944" s="28" t="str">
        <f>IF(E944="InActive","-",IF(A944&lt;&gt;"",K944/'⚙️ Config'!$H$2,))</f>
        <v/>
      </c>
      <c r="M944" s="28" t="str">
        <f t="shared" si="2"/>
        <v/>
      </c>
      <c r="N944" s="28" t="str">
        <f>IF(A944&lt;&gt;"", SUMIFS('💰 Transaction ขาย'!F:F,'💰 Transaction ขาย'!B:B,A944,'💰 Transaction ขาย'!A:A,"&gt;="&amp;DATE(YEAR('⚙️ Config'!$H$1),1,1),'💰 Transaction ขาย'!A:A,"&lt;="&amp;DATE(YEAR('⚙️ Config'!$H$1),12,31)),)</f>
        <v/>
      </c>
    </row>
    <row r="945">
      <c r="A945" s="22"/>
      <c r="B945" s="22" t="str">
        <f>IF(A945&lt;&gt;"",SUMIFS('💸 Transaction ซื้อ'!E:E,'💸 Transaction ซื้อ'!B:B,A945)-SUMIFS('💰 Transaction ขาย'!E:E,'💰 Transaction ขาย'!B:B,A945),"")</f>
        <v/>
      </c>
      <c r="C945" s="23" t="str">
        <f>IF(A945&lt;&gt;"",vlookup(A945,'📦 ชื่อสินค้า'!A:E,5,false),"")</f>
        <v/>
      </c>
      <c r="D945" s="23" t="str">
        <f>IF(A945&lt;&gt;"",VLOOKUP(A945,'📦 ชื่อสินค้า'!A:F,6,false),"")</f>
        <v/>
      </c>
      <c r="E945" s="16" t="str">
        <f>IFERROR(IF(VLOOKUP(A945,'📦 ชื่อสินค้า'!A:G,7,false)="InActive","InActive",IF(A945&lt;&gt;"",IF(B945&lt;=0,"สินค้าหมด",IF(B945&lt;=C945,"ควรเติมทันที","OK")),"")),)</f>
        <v/>
      </c>
      <c r="F945" s="24" t="str">
        <f>IFERROR(IF(A945&lt;&gt;"", SUMIF('💸 Transaction ซื้อ'!B:B,A945,'💸 Transaction ซื้อ'!G:G)/SUMIF('💸 Transaction ซื้อ'!B:B,A945,'💸 Transaction ซื้อ'!E:E),""),"-")</f>
        <v/>
      </c>
      <c r="G945" s="24" t="str">
        <f t="shared" si="1"/>
        <v/>
      </c>
      <c r="H945" s="25"/>
      <c r="I945" s="26"/>
      <c r="J945" s="26"/>
      <c r="K945" s="27" t="str">
        <f>IF(A945&lt;&gt;"",IF(E945="InActive","-",SUMIFS('💰 Transaction ขาย'!E:E,'💰 Transaction ขาย'!B:B,A945,'💰 Transaction ขาย'!A:A,"&gt;"&amp;'⚙️ Config'!$H$1-'⚙️ Config'!$H$2)),)</f>
        <v/>
      </c>
      <c r="L945" s="28" t="str">
        <f>IF(E945="InActive","-",IF(A945&lt;&gt;"",K945/'⚙️ Config'!$H$2,))</f>
        <v/>
      </c>
      <c r="M945" s="28" t="str">
        <f t="shared" si="2"/>
        <v/>
      </c>
      <c r="N945" s="28" t="str">
        <f>IF(A945&lt;&gt;"", SUMIFS('💰 Transaction ขาย'!F:F,'💰 Transaction ขาย'!B:B,A945,'💰 Transaction ขาย'!A:A,"&gt;="&amp;DATE(YEAR('⚙️ Config'!$H$1),1,1),'💰 Transaction ขาย'!A:A,"&lt;="&amp;DATE(YEAR('⚙️ Config'!$H$1),12,31)),)</f>
        <v/>
      </c>
    </row>
    <row r="946">
      <c r="A946" s="22"/>
      <c r="B946" s="22" t="str">
        <f>IF(A946&lt;&gt;"",SUMIFS('💸 Transaction ซื้อ'!E:E,'💸 Transaction ซื้อ'!B:B,A946)-SUMIFS('💰 Transaction ขาย'!E:E,'💰 Transaction ขาย'!B:B,A946),"")</f>
        <v/>
      </c>
      <c r="C946" s="23" t="str">
        <f>IF(A946&lt;&gt;"",vlookup(A946,'📦 ชื่อสินค้า'!A:E,5,false),"")</f>
        <v/>
      </c>
      <c r="D946" s="23" t="str">
        <f>IF(A946&lt;&gt;"",VLOOKUP(A946,'📦 ชื่อสินค้า'!A:F,6,false),"")</f>
        <v/>
      </c>
      <c r="E946" s="16" t="str">
        <f>IFERROR(IF(VLOOKUP(A946,'📦 ชื่อสินค้า'!A:G,7,false)="InActive","InActive",IF(A946&lt;&gt;"",IF(B946&lt;=0,"สินค้าหมด",IF(B946&lt;=C946,"ควรเติมทันที","OK")),"")),)</f>
        <v/>
      </c>
      <c r="F946" s="24" t="str">
        <f>IFERROR(IF(A946&lt;&gt;"", SUMIF('💸 Transaction ซื้อ'!B:B,A946,'💸 Transaction ซื้อ'!G:G)/SUMIF('💸 Transaction ซื้อ'!B:B,A946,'💸 Transaction ซื้อ'!E:E),""),"-")</f>
        <v/>
      </c>
      <c r="G946" s="24" t="str">
        <f t="shared" si="1"/>
        <v/>
      </c>
      <c r="H946" s="25"/>
      <c r="I946" s="26"/>
      <c r="J946" s="26"/>
      <c r="K946" s="27" t="str">
        <f>IF(A946&lt;&gt;"",IF(E946="InActive","-",SUMIFS('💰 Transaction ขาย'!E:E,'💰 Transaction ขาย'!B:B,A946,'💰 Transaction ขาย'!A:A,"&gt;"&amp;'⚙️ Config'!$H$1-'⚙️ Config'!$H$2)),)</f>
        <v/>
      </c>
      <c r="L946" s="28" t="str">
        <f>IF(E946="InActive","-",IF(A946&lt;&gt;"",K946/'⚙️ Config'!$H$2,))</f>
        <v/>
      </c>
      <c r="M946" s="28" t="str">
        <f t="shared" si="2"/>
        <v/>
      </c>
      <c r="N946" s="28" t="str">
        <f>IF(A946&lt;&gt;"", SUMIFS('💰 Transaction ขาย'!F:F,'💰 Transaction ขาย'!B:B,A946,'💰 Transaction ขาย'!A:A,"&gt;="&amp;DATE(YEAR('⚙️ Config'!$H$1),1,1),'💰 Transaction ขาย'!A:A,"&lt;="&amp;DATE(YEAR('⚙️ Config'!$H$1),12,31)),)</f>
        <v/>
      </c>
    </row>
    <row r="947">
      <c r="A947" s="22"/>
      <c r="B947" s="22" t="str">
        <f>IF(A947&lt;&gt;"",SUMIFS('💸 Transaction ซื้อ'!E:E,'💸 Transaction ซื้อ'!B:B,A947)-SUMIFS('💰 Transaction ขาย'!E:E,'💰 Transaction ขาย'!B:B,A947),"")</f>
        <v/>
      </c>
      <c r="C947" s="23" t="str">
        <f>IF(A947&lt;&gt;"",vlookup(A947,'📦 ชื่อสินค้า'!A:E,5,false),"")</f>
        <v/>
      </c>
      <c r="D947" s="23" t="str">
        <f>IF(A947&lt;&gt;"",VLOOKUP(A947,'📦 ชื่อสินค้า'!A:F,6,false),"")</f>
        <v/>
      </c>
      <c r="E947" s="16" t="str">
        <f>IFERROR(IF(VLOOKUP(A947,'📦 ชื่อสินค้า'!A:G,7,false)="InActive","InActive",IF(A947&lt;&gt;"",IF(B947&lt;=0,"สินค้าหมด",IF(B947&lt;=C947,"ควรเติมทันที","OK")),"")),)</f>
        <v/>
      </c>
      <c r="F947" s="24" t="str">
        <f>IFERROR(IF(A947&lt;&gt;"", SUMIF('💸 Transaction ซื้อ'!B:B,A947,'💸 Transaction ซื้อ'!G:G)/SUMIF('💸 Transaction ซื้อ'!B:B,A947,'💸 Transaction ซื้อ'!E:E),""),"-")</f>
        <v/>
      </c>
      <c r="G947" s="24" t="str">
        <f t="shared" si="1"/>
        <v/>
      </c>
      <c r="H947" s="25"/>
      <c r="I947" s="26"/>
      <c r="J947" s="26"/>
      <c r="K947" s="27" t="str">
        <f>IF(A947&lt;&gt;"",IF(E947="InActive","-",SUMIFS('💰 Transaction ขาย'!E:E,'💰 Transaction ขาย'!B:B,A947,'💰 Transaction ขาย'!A:A,"&gt;"&amp;'⚙️ Config'!$H$1-'⚙️ Config'!$H$2)),)</f>
        <v/>
      </c>
      <c r="L947" s="28" t="str">
        <f>IF(E947="InActive","-",IF(A947&lt;&gt;"",K947/'⚙️ Config'!$H$2,))</f>
        <v/>
      </c>
      <c r="M947" s="28" t="str">
        <f t="shared" si="2"/>
        <v/>
      </c>
      <c r="N947" s="28" t="str">
        <f>IF(A947&lt;&gt;"", SUMIFS('💰 Transaction ขาย'!F:F,'💰 Transaction ขาย'!B:B,A947,'💰 Transaction ขาย'!A:A,"&gt;="&amp;DATE(YEAR('⚙️ Config'!$H$1),1,1),'💰 Transaction ขาย'!A:A,"&lt;="&amp;DATE(YEAR('⚙️ Config'!$H$1),12,31)),)</f>
        <v/>
      </c>
    </row>
    <row r="948">
      <c r="A948" s="22"/>
      <c r="B948" s="22" t="str">
        <f>IF(A948&lt;&gt;"",SUMIFS('💸 Transaction ซื้อ'!E:E,'💸 Transaction ซื้อ'!B:B,A948)-SUMIFS('💰 Transaction ขาย'!E:E,'💰 Transaction ขาย'!B:B,A948),"")</f>
        <v/>
      </c>
      <c r="C948" s="23" t="str">
        <f>IF(A948&lt;&gt;"",vlookup(A948,'📦 ชื่อสินค้า'!A:E,5,false),"")</f>
        <v/>
      </c>
      <c r="D948" s="23" t="str">
        <f>IF(A948&lt;&gt;"",VLOOKUP(A948,'📦 ชื่อสินค้า'!A:F,6,false),"")</f>
        <v/>
      </c>
      <c r="E948" s="16" t="str">
        <f>IFERROR(IF(VLOOKUP(A948,'📦 ชื่อสินค้า'!A:G,7,false)="InActive","InActive",IF(A948&lt;&gt;"",IF(B948&lt;=0,"สินค้าหมด",IF(B948&lt;=C948,"ควรเติมทันที","OK")),"")),)</f>
        <v/>
      </c>
      <c r="F948" s="24" t="str">
        <f>IFERROR(IF(A948&lt;&gt;"", SUMIF('💸 Transaction ซื้อ'!B:B,A948,'💸 Transaction ซื้อ'!G:G)/SUMIF('💸 Transaction ซื้อ'!B:B,A948,'💸 Transaction ซื้อ'!E:E),""),"-")</f>
        <v/>
      </c>
      <c r="G948" s="24" t="str">
        <f t="shared" si="1"/>
        <v/>
      </c>
      <c r="H948" s="25"/>
      <c r="I948" s="26"/>
      <c r="J948" s="26"/>
      <c r="K948" s="27" t="str">
        <f>IF(A948&lt;&gt;"",IF(E948="InActive","-",SUMIFS('💰 Transaction ขาย'!E:E,'💰 Transaction ขาย'!B:B,A948,'💰 Transaction ขาย'!A:A,"&gt;"&amp;'⚙️ Config'!$H$1-'⚙️ Config'!$H$2)),)</f>
        <v/>
      </c>
      <c r="L948" s="28" t="str">
        <f>IF(E948="InActive","-",IF(A948&lt;&gt;"",K948/'⚙️ Config'!$H$2,))</f>
        <v/>
      </c>
      <c r="M948" s="28" t="str">
        <f t="shared" si="2"/>
        <v/>
      </c>
      <c r="N948" s="28" t="str">
        <f>IF(A948&lt;&gt;"", SUMIFS('💰 Transaction ขาย'!F:F,'💰 Transaction ขาย'!B:B,A948,'💰 Transaction ขาย'!A:A,"&gt;="&amp;DATE(YEAR('⚙️ Config'!$H$1),1,1),'💰 Transaction ขาย'!A:A,"&lt;="&amp;DATE(YEAR('⚙️ Config'!$H$1),12,31)),)</f>
        <v/>
      </c>
    </row>
    <row r="949">
      <c r="A949" s="22"/>
      <c r="B949" s="22" t="str">
        <f>IF(A949&lt;&gt;"",SUMIFS('💸 Transaction ซื้อ'!E:E,'💸 Transaction ซื้อ'!B:B,A949)-SUMIFS('💰 Transaction ขาย'!E:E,'💰 Transaction ขาย'!B:B,A949),"")</f>
        <v/>
      </c>
      <c r="C949" s="23" t="str">
        <f>IF(A949&lt;&gt;"",vlookup(A949,'📦 ชื่อสินค้า'!A:E,5,false),"")</f>
        <v/>
      </c>
      <c r="D949" s="23" t="str">
        <f>IF(A949&lt;&gt;"",VLOOKUP(A949,'📦 ชื่อสินค้า'!A:F,6,false),"")</f>
        <v/>
      </c>
      <c r="E949" s="16" t="str">
        <f>IFERROR(IF(VLOOKUP(A949,'📦 ชื่อสินค้า'!A:G,7,false)="InActive","InActive",IF(A949&lt;&gt;"",IF(B949&lt;=0,"สินค้าหมด",IF(B949&lt;=C949,"ควรเติมทันที","OK")),"")),)</f>
        <v/>
      </c>
      <c r="F949" s="24" t="str">
        <f>IFERROR(IF(A949&lt;&gt;"", SUMIF('💸 Transaction ซื้อ'!B:B,A949,'💸 Transaction ซื้อ'!G:G)/SUMIF('💸 Transaction ซื้อ'!B:B,A949,'💸 Transaction ซื้อ'!E:E),""),"-")</f>
        <v/>
      </c>
      <c r="G949" s="24" t="str">
        <f t="shared" si="1"/>
        <v/>
      </c>
      <c r="H949" s="25"/>
      <c r="I949" s="26"/>
      <c r="J949" s="26"/>
      <c r="K949" s="27" t="str">
        <f>IF(A949&lt;&gt;"",IF(E949="InActive","-",SUMIFS('💰 Transaction ขาย'!E:E,'💰 Transaction ขาย'!B:B,A949,'💰 Transaction ขาย'!A:A,"&gt;"&amp;'⚙️ Config'!$H$1-'⚙️ Config'!$H$2)),)</f>
        <v/>
      </c>
      <c r="L949" s="28" t="str">
        <f>IF(E949="InActive","-",IF(A949&lt;&gt;"",K949/'⚙️ Config'!$H$2,))</f>
        <v/>
      </c>
      <c r="M949" s="28" t="str">
        <f t="shared" si="2"/>
        <v/>
      </c>
      <c r="N949" s="28" t="str">
        <f>IF(A949&lt;&gt;"", SUMIFS('💰 Transaction ขาย'!F:F,'💰 Transaction ขาย'!B:B,A949,'💰 Transaction ขาย'!A:A,"&gt;="&amp;DATE(YEAR('⚙️ Config'!$H$1),1,1),'💰 Transaction ขาย'!A:A,"&lt;="&amp;DATE(YEAR('⚙️ Config'!$H$1),12,31)),)</f>
        <v/>
      </c>
    </row>
    <row r="950">
      <c r="A950" s="22"/>
      <c r="B950" s="22" t="str">
        <f>IF(A950&lt;&gt;"",SUMIFS('💸 Transaction ซื้อ'!E:E,'💸 Transaction ซื้อ'!B:B,A950)-SUMIFS('💰 Transaction ขาย'!E:E,'💰 Transaction ขาย'!B:B,A950),"")</f>
        <v/>
      </c>
      <c r="C950" s="23" t="str">
        <f>IF(A950&lt;&gt;"",vlookup(A950,'📦 ชื่อสินค้า'!A:E,5,false),"")</f>
        <v/>
      </c>
      <c r="D950" s="23" t="str">
        <f>IF(A950&lt;&gt;"",VLOOKUP(A950,'📦 ชื่อสินค้า'!A:F,6,false),"")</f>
        <v/>
      </c>
      <c r="E950" s="16" t="str">
        <f>IFERROR(IF(VLOOKUP(A950,'📦 ชื่อสินค้า'!A:G,7,false)="InActive","InActive",IF(A950&lt;&gt;"",IF(B950&lt;=0,"สินค้าหมด",IF(B950&lt;=C950,"ควรเติมทันที","OK")),"")),)</f>
        <v/>
      </c>
      <c r="F950" s="24" t="str">
        <f>IFERROR(IF(A950&lt;&gt;"", SUMIF('💸 Transaction ซื้อ'!B:B,A950,'💸 Transaction ซื้อ'!G:G)/SUMIF('💸 Transaction ซื้อ'!B:B,A950,'💸 Transaction ซื้อ'!E:E),""),"-")</f>
        <v/>
      </c>
      <c r="G950" s="24" t="str">
        <f t="shared" si="1"/>
        <v/>
      </c>
      <c r="H950" s="25"/>
      <c r="I950" s="26"/>
      <c r="J950" s="26"/>
      <c r="K950" s="27" t="str">
        <f>IF(A950&lt;&gt;"",IF(E950="InActive","-",SUMIFS('💰 Transaction ขาย'!E:E,'💰 Transaction ขาย'!B:B,A950,'💰 Transaction ขาย'!A:A,"&gt;"&amp;'⚙️ Config'!$H$1-'⚙️ Config'!$H$2)),)</f>
        <v/>
      </c>
      <c r="L950" s="28" t="str">
        <f>IF(E950="InActive","-",IF(A950&lt;&gt;"",K950/'⚙️ Config'!$H$2,))</f>
        <v/>
      </c>
      <c r="M950" s="28" t="str">
        <f t="shared" si="2"/>
        <v/>
      </c>
      <c r="N950" s="28" t="str">
        <f>IF(A950&lt;&gt;"", SUMIFS('💰 Transaction ขาย'!F:F,'💰 Transaction ขาย'!B:B,A950,'💰 Transaction ขาย'!A:A,"&gt;="&amp;DATE(YEAR('⚙️ Config'!$H$1),1,1),'💰 Transaction ขาย'!A:A,"&lt;="&amp;DATE(YEAR('⚙️ Config'!$H$1),12,31)),)</f>
        <v/>
      </c>
    </row>
    <row r="951">
      <c r="A951" s="22"/>
      <c r="B951" s="22" t="str">
        <f>IF(A951&lt;&gt;"",SUMIFS('💸 Transaction ซื้อ'!E:E,'💸 Transaction ซื้อ'!B:B,A951)-SUMIFS('💰 Transaction ขาย'!E:E,'💰 Transaction ขาย'!B:B,A951),"")</f>
        <v/>
      </c>
      <c r="C951" s="23" t="str">
        <f>IF(A951&lt;&gt;"",vlookup(A951,'📦 ชื่อสินค้า'!A:E,5,false),"")</f>
        <v/>
      </c>
      <c r="D951" s="23" t="str">
        <f>IF(A951&lt;&gt;"",VLOOKUP(A951,'📦 ชื่อสินค้า'!A:F,6,false),"")</f>
        <v/>
      </c>
      <c r="E951" s="16" t="str">
        <f>IFERROR(IF(VLOOKUP(A951,'📦 ชื่อสินค้า'!A:G,7,false)="InActive","InActive",IF(A951&lt;&gt;"",IF(B951&lt;=0,"สินค้าหมด",IF(B951&lt;=C951,"ควรเติมทันที","OK")),"")),)</f>
        <v/>
      </c>
      <c r="F951" s="24" t="str">
        <f>IFERROR(IF(A951&lt;&gt;"", SUMIF('💸 Transaction ซื้อ'!B:B,A951,'💸 Transaction ซื้อ'!G:G)/SUMIF('💸 Transaction ซื้อ'!B:B,A951,'💸 Transaction ซื้อ'!E:E),""),"-")</f>
        <v/>
      </c>
      <c r="G951" s="24" t="str">
        <f t="shared" si="1"/>
        <v/>
      </c>
      <c r="H951" s="25"/>
      <c r="I951" s="26"/>
      <c r="J951" s="26"/>
      <c r="K951" s="27" t="str">
        <f>IF(A951&lt;&gt;"",IF(E951="InActive","-",SUMIFS('💰 Transaction ขาย'!E:E,'💰 Transaction ขาย'!B:B,A951,'💰 Transaction ขาย'!A:A,"&gt;"&amp;'⚙️ Config'!$H$1-'⚙️ Config'!$H$2)),)</f>
        <v/>
      </c>
      <c r="L951" s="28" t="str">
        <f>IF(E951="InActive","-",IF(A951&lt;&gt;"",K951/'⚙️ Config'!$H$2,))</f>
        <v/>
      </c>
      <c r="M951" s="28" t="str">
        <f t="shared" si="2"/>
        <v/>
      </c>
      <c r="N951" s="28" t="str">
        <f>IF(A951&lt;&gt;"", SUMIFS('💰 Transaction ขาย'!F:F,'💰 Transaction ขาย'!B:B,A951,'💰 Transaction ขาย'!A:A,"&gt;="&amp;DATE(YEAR('⚙️ Config'!$H$1),1,1),'💰 Transaction ขาย'!A:A,"&lt;="&amp;DATE(YEAR('⚙️ Config'!$H$1),12,31)),)</f>
        <v/>
      </c>
    </row>
    <row r="952">
      <c r="A952" s="22"/>
      <c r="B952" s="22" t="str">
        <f>IF(A952&lt;&gt;"",SUMIFS('💸 Transaction ซื้อ'!E:E,'💸 Transaction ซื้อ'!B:B,A952)-SUMIFS('💰 Transaction ขาย'!E:E,'💰 Transaction ขาย'!B:B,A952),"")</f>
        <v/>
      </c>
      <c r="C952" s="23" t="str">
        <f>IF(A952&lt;&gt;"",vlookup(A952,'📦 ชื่อสินค้า'!A:E,5,false),"")</f>
        <v/>
      </c>
      <c r="D952" s="23" t="str">
        <f>IF(A952&lt;&gt;"",VLOOKUP(A952,'📦 ชื่อสินค้า'!A:F,6,false),"")</f>
        <v/>
      </c>
      <c r="E952" s="16" t="str">
        <f>IFERROR(IF(VLOOKUP(A952,'📦 ชื่อสินค้า'!A:G,7,false)="InActive","InActive",IF(A952&lt;&gt;"",IF(B952&lt;=0,"สินค้าหมด",IF(B952&lt;=C952,"ควรเติมทันที","OK")),"")),)</f>
        <v/>
      </c>
      <c r="F952" s="24" t="str">
        <f>IFERROR(IF(A952&lt;&gt;"", SUMIF('💸 Transaction ซื้อ'!B:B,A952,'💸 Transaction ซื้อ'!G:G)/SUMIF('💸 Transaction ซื้อ'!B:B,A952,'💸 Transaction ซื้อ'!E:E),""),"-")</f>
        <v/>
      </c>
      <c r="G952" s="24" t="str">
        <f t="shared" si="1"/>
        <v/>
      </c>
      <c r="H952" s="25"/>
      <c r="I952" s="26"/>
      <c r="J952" s="26"/>
      <c r="K952" s="27" t="str">
        <f>IF(A952&lt;&gt;"",IF(E952="InActive","-",SUMIFS('💰 Transaction ขาย'!E:E,'💰 Transaction ขาย'!B:B,A952,'💰 Transaction ขาย'!A:A,"&gt;"&amp;'⚙️ Config'!$H$1-'⚙️ Config'!$H$2)),)</f>
        <v/>
      </c>
      <c r="L952" s="28" t="str">
        <f>IF(E952="InActive","-",IF(A952&lt;&gt;"",K952/'⚙️ Config'!$H$2,))</f>
        <v/>
      </c>
      <c r="M952" s="28" t="str">
        <f t="shared" si="2"/>
        <v/>
      </c>
      <c r="N952" s="28" t="str">
        <f>IF(A952&lt;&gt;"", SUMIFS('💰 Transaction ขาย'!F:F,'💰 Transaction ขาย'!B:B,A952,'💰 Transaction ขาย'!A:A,"&gt;="&amp;DATE(YEAR('⚙️ Config'!$H$1),1,1),'💰 Transaction ขาย'!A:A,"&lt;="&amp;DATE(YEAR('⚙️ Config'!$H$1),12,31)),)</f>
        <v/>
      </c>
    </row>
    <row r="953">
      <c r="A953" s="22"/>
      <c r="B953" s="22" t="str">
        <f>IF(A953&lt;&gt;"",SUMIFS('💸 Transaction ซื้อ'!E:E,'💸 Transaction ซื้อ'!B:B,A953)-SUMIFS('💰 Transaction ขาย'!E:E,'💰 Transaction ขาย'!B:B,A953),"")</f>
        <v/>
      </c>
      <c r="C953" s="23" t="str">
        <f>IF(A953&lt;&gt;"",vlookup(A953,'📦 ชื่อสินค้า'!A:E,5,false),"")</f>
        <v/>
      </c>
      <c r="D953" s="23" t="str">
        <f>IF(A953&lt;&gt;"",VLOOKUP(A953,'📦 ชื่อสินค้า'!A:F,6,false),"")</f>
        <v/>
      </c>
      <c r="E953" s="16" t="str">
        <f>IFERROR(IF(VLOOKUP(A953,'📦 ชื่อสินค้า'!A:G,7,false)="InActive","InActive",IF(A953&lt;&gt;"",IF(B953&lt;=0,"สินค้าหมด",IF(B953&lt;=C953,"ควรเติมทันที","OK")),"")),)</f>
        <v/>
      </c>
      <c r="F953" s="24" t="str">
        <f>IFERROR(IF(A953&lt;&gt;"", SUMIF('💸 Transaction ซื้อ'!B:B,A953,'💸 Transaction ซื้อ'!G:G)/SUMIF('💸 Transaction ซื้อ'!B:B,A953,'💸 Transaction ซื้อ'!E:E),""),"-")</f>
        <v/>
      </c>
      <c r="G953" s="24" t="str">
        <f t="shared" si="1"/>
        <v/>
      </c>
      <c r="H953" s="25"/>
      <c r="I953" s="26"/>
      <c r="J953" s="26"/>
      <c r="K953" s="27" t="str">
        <f>IF(A953&lt;&gt;"",IF(E953="InActive","-",SUMIFS('💰 Transaction ขาย'!E:E,'💰 Transaction ขาย'!B:B,A953,'💰 Transaction ขาย'!A:A,"&gt;"&amp;'⚙️ Config'!$H$1-'⚙️ Config'!$H$2)),)</f>
        <v/>
      </c>
      <c r="L953" s="28" t="str">
        <f>IF(E953="InActive","-",IF(A953&lt;&gt;"",K953/'⚙️ Config'!$H$2,))</f>
        <v/>
      </c>
      <c r="M953" s="28" t="str">
        <f t="shared" si="2"/>
        <v/>
      </c>
      <c r="N953" s="28" t="str">
        <f>IF(A953&lt;&gt;"", SUMIFS('💰 Transaction ขาย'!F:F,'💰 Transaction ขาย'!B:B,A953,'💰 Transaction ขาย'!A:A,"&gt;="&amp;DATE(YEAR('⚙️ Config'!$H$1),1,1),'💰 Transaction ขาย'!A:A,"&lt;="&amp;DATE(YEAR('⚙️ Config'!$H$1),12,31)),)</f>
        <v/>
      </c>
    </row>
    <row r="954">
      <c r="A954" s="22"/>
      <c r="B954" s="22" t="str">
        <f>IF(A954&lt;&gt;"",SUMIFS('💸 Transaction ซื้อ'!E:E,'💸 Transaction ซื้อ'!B:B,A954)-SUMIFS('💰 Transaction ขาย'!E:E,'💰 Transaction ขาย'!B:B,A954),"")</f>
        <v/>
      </c>
      <c r="C954" s="23" t="str">
        <f>IF(A954&lt;&gt;"",vlookup(A954,'📦 ชื่อสินค้า'!A:E,5,false),"")</f>
        <v/>
      </c>
      <c r="D954" s="23" t="str">
        <f>IF(A954&lt;&gt;"",VLOOKUP(A954,'📦 ชื่อสินค้า'!A:F,6,false),"")</f>
        <v/>
      </c>
      <c r="E954" s="16" t="str">
        <f>IFERROR(IF(VLOOKUP(A954,'📦 ชื่อสินค้า'!A:G,7,false)="InActive","InActive",IF(A954&lt;&gt;"",IF(B954&lt;=0,"สินค้าหมด",IF(B954&lt;=C954,"ควรเติมทันที","OK")),"")),)</f>
        <v/>
      </c>
      <c r="F954" s="24" t="str">
        <f>IFERROR(IF(A954&lt;&gt;"", SUMIF('💸 Transaction ซื้อ'!B:B,A954,'💸 Transaction ซื้อ'!G:G)/SUMIF('💸 Transaction ซื้อ'!B:B,A954,'💸 Transaction ซื้อ'!E:E),""),"-")</f>
        <v/>
      </c>
      <c r="G954" s="24" t="str">
        <f t="shared" si="1"/>
        <v/>
      </c>
      <c r="H954" s="25"/>
      <c r="I954" s="26"/>
      <c r="J954" s="26"/>
      <c r="K954" s="27" t="str">
        <f>IF(A954&lt;&gt;"",IF(E954="InActive","-",SUMIFS('💰 Transaction ขาย'!E:E,'💰 Transaction ขาย'!B:B,A954,'💰 Transaction ขาย'!A:A,"&gt;"&amp;'⚙️ Config'!$H$1-'⚙️ Config'!$H$2)),)</f>
        <v/>
      </c>
      <c r="L954" s="28" t="str">
        <f>IF(E954="InActive","-",IF(A954&lt;&gt;"",K954/'⚙️ Config'!$H$2,))</f>
        <v/>
      </c>
      <c r="M954" s="28" t="str">
        <f t="shared" si="2"/>
        <v/>
      </c>
      <c r="N954" s="28" t="str">
        <f>IF(A954&lt;&gt;"", SUMIFS('💰 Transaction ขาย'!F:F,'💰 Transaction ขาย'!B:B,A954,'💰 Transaction ขาย'!A:A,"&gt;="&amp;DATE(YEAR('⚙️ Config'!$H$1),1,1),'💰 Transaction ขาย'!A:A,"&lt;="&amp;DATE(YEAR('⚙️ Config'!$H$1),12,31)),)</f>
        <v/>
      </c>
    </row>
    <row r="955">
      <c r="A955" s="22"/>
      <c r="B955" s="22" t="str">
        <f>IF(A955&lt;&gt;"",SUMIFS('💸 Transaction ซื้อ'!E:E,'💸 Transaction ซื้อ'!B:B,A955)-SUMIFS('💰 Transaction ขาย'!E:E,'💰 Transaction ขาย'!B:B,A955),"")</f>
        <v/>
      </c>
      <c r="C955" s="23" t="str">
        <f>IF(A955&lt;&gt;"",vlookup(A955,'📦 ชื่อสินค้า'!A:E,5,false),"")</f>
        <v/>
      </c>
      <c r="D955" s="23" t="str">
        <f>IF(A955&lt;&gt;"",VLOOKUP(A955,'📦 ชื่อสินค้า'!A:F,6,false),"")</f>
        <v/>
      </c>
      <c r="E955" s="16" t="str">
        <f>IFERROR(IF(VLOOKUP(A955,'📦 ชื่อสินค้า'!A:G,7,false)="InActive","InActive",IF(A955&lt;&gt;"",IF(B955&lt;=0,"สินค้าหมด",IF(B955&lt;=C955,"ควรเติมทันที","OK")),"")),)</f>
        <v/>
      </c>
      <c r="F955" s="24" t="str">
        <f>IFERROR(IF(A955&lt;&gt;"", SUMIF('💸 Transaction ซื้อ'!B:B,A955,'💸 Transaction ซื้อ'!G:G)/SUMIF('💸 Transaction ซื้อ'!B:B,A955,'💸 Transaction ซื้อ'!E:E),""),"-")</f>
        <v/>
      </c>
      <c r="G955" s="24" t="str">
        <f t="shared" si="1"/>
        <v/>
      </c>
      <c r="H955" s="25"/>
      <c r="I955" s="26"/>
      <c r="J955" s="26"/>
      <c r="K955" s="27" t="str">
        <f>IF(A955&lt;&gt;"",IF(E955="InActive","-",SUMIFS('💰 Transaction ขาย'!E:E,'💰 Transaction ขาย'!B:B,A955,'💰 Transaction ขาย'!A:A,"&gt;"&amp;'⚙️ Config'!$H$1-'⚙️ Config'!$H$2)),)</f>
        <v/>
      </c>
      <c r="L955" s="28" t="str">
        <f>IF(E955="InActive","-",IF(A955&lt;&gt;"",K955/'⚙️ Config'!$H$2,))</f>
        <v/>
      </c>
      <c r="M955" s="28" t="str">
        <f t="shared" si="2"/>
        <v/>
      </c>
      <c r="N955" s="28" t="str">
        <f>IF(A955&lt;&gt;"", SUMIFS('💰 Transaction ขาย'!F:F,'💰 Transaction ขาย'!B:B,A955,'💰 Transaction ขาย'!A:A,"&gt;="&amp;DATE(YEAR('⚙️ Config'!$H$1),1,1),'💰 Transaction ขาย'!A:A,"&lt;="&amp;DATE(YEAR('⚙️ Config'!$H$1),12,31)),)</f>
        <v/>
      </c>
    </row>
    <row r="956">
      <c r="A956" s="22"/>
      <c r="B956" s="22" t="str">
        <f>IF(A956&lt;&gt;"",SUMIFS('💸 Transaction ซื้อ'!E:E,'💸 Transaction ซื้อ'!B:B,A956)-SUMIFS('💰 Transaction ขาย'!E:E,'💰 Transaction ขาย'!B:B,A956),"")</f>
        <v/>
      </c>
      <c r="C956" s="23" t="str">
        <f>IF(A956&lt;&gt;"",vlookup(A956,'📦 ชื่อสินค้า'!A:E,5,false),"")</f>
        <v/>
      </c>
      <c r="D956" s="23" t="str">
        <f>IF(A956&lt;&gt;"",VLOOKUP(A956,'📦 ชื่อสินค้า'!A:F,6,false),"")</f>
        <v/>
      </c>
      <c r="E956" s="16" t="str">
        <f>IFERROR(IF(VLOOKUP(A956,'📦 ชื่อสินค้า'!A:G,7,false)="InActive","InActive",IF(A956&lt;&gt;"",IF(B956&lt;=0,"สินค้าหมด",IF(B956&lt;=C956,"ควรเติมทันที","OK")),"")),)</f>
        <v/>
      </c>
      <c r="F956" s="24" t="str">
        <f>IFERROR(IF(A956&lt;&gt;"", SUMIF('💸 Transaction ซื้อ'!B:B,A956,'💸 Transaction ซื้อ'!G:G)/SUMIF('💸 Transaction ซื้อ'!B:B,A956,'💸 Transaction ซื้อ'!E:E),""),"-")</f>
        <v/>
      </c>
      <c r="G956" s="24" t="str">
        <f t="shared" si="1"/>
        <v/>
      </c>
      <c r="H956" s="25"/>
      <c r="I956" s="26"/>
      <c r="J956" s="26"/>
      <c r="K956" s="27" t="str">
        <f>IF(A956&lt;&gt;"",IF(E956="InActive","-",SUMIFS('💰 Transaction ขาย'!E:E,'💰 Transaction ขาย'!B:B,A956,'💰 Transaction ขาย'!A:A,"&gt;"&amp;'⚙️ Config'!$H$1-'⚙️ Config'!$H$2)),)</f>
        <v/>
      </c>
      <c r="L956" s="28" t="str">
        <f>IF(E956="InActive","-",IF(A956&lt;&gt;"",K956/'⚙️ Config'!$H$2,))</f>
        <v/>
      </c>
      <c r="M956" s="28" t="str">
        <f t="shared" si="2"/>
        <v/>
      </c>
      <c r="N956" s="28" t="str">
        <f>IF(A956&lt;&gt;"", SUMIFS('💰 Transaction ขาย'!F:F,'💰 Transaction ขาย'!B:B,A956,'💰 Transaction ขาย'!A:A,"&gt;="&amp;DATE(YEAR('⚙️ Config'!$H$1),1,1),'💰 Transaction ขาย'!A:A,"&lt;="&amp;DATE(YEAR('⚙️ Config'!$H$1),12,31)),)</f>
        <v/>
      </c>
    </row>
    <row r="957">
      <c r="A957" s="22"/>
      <c r="B957" s="22" t="str">
        <f>IF(A957&lt;&gt;"",SUMIFS('💸 Transaction ซื้อ'!E:E,'💸 Transaction ซื้อ'!B:B,A957)-SUMIFS('💰 Transaction ขาย'!E:E,'💰 Transaction ขาย'!B:B,A957),"")</f>
        <v/>
      </c>
      <c r="C957" s="23" t="str">
        <f>IF(A957&lt;&gt;"",vlookup(A957,'📦 ชื่อสินค้า'!A:E,5,false),"")</f>
        <v/>
      </c>
      <c r="D957" s="23" t="str">
        <f>IF(A957&lt;&gt;"",VLOOKUP(A957,'📦 ชื่อสินค้า'!A:F,6,false),"")</f>
        <v/>
      </c>
      <c r="E957" s="16" t="str">
        <f>IFERROR(IF(VLOOKUP(A957,'📦 ชื่อสินค้า'!A:G,7,false)="InActive","InActive",IF(A957&lt;&gt;"",IF(B957&lt;=0,"สินค้าหมด",IF(B957&lt;=C957,"ควรเติมทันที","OK")),"")),)</f>
        <v/>
      </c>
      <c r="F957" s="24" t="str">
        <f>IFERROR(IF(A957&lt;&gt;"", SUMIF('💸 Transaction ซื้อ'!B:B,A957,'💸 Transaction ซื้อ'!G:G)/SUMIF('💸 Transaction ซื้อ'!B:B,A957,'💸 Transaction ซื้อ'!E:E),""),"-")</f>
        <v/>
      </c>
      <c r="G957" s="24" t="str">
        <f t="shared" si="1"/>
        <v/>
      </c>
      <c r="H957" s="25"/>
      <c r="I957" s="26"/>
      <c r="J957" s="26"/>
      <c r="K957" s="27" t="str">
        <f>IF(A957&lt;&gt;"",IF(E957="InActive","-",SUMIFS('💰 Transaction ขาย'!E:E,'💰 Transaction ขาย'!B:B,A957,'💰 Transaction ขาย'!A:A,"&gt;"&amp;'⚙️ Config'!$H$1-'⚙️ Config'!$H$2)),)</f>
        <v/>
      </c>
      <c r="L957" s="28" t="str">
        <f>IF(E957="InActive","-",IF(A957&lt;&gt;"",K957/'⚙️ Config'!$H$2,))</f>
        <v/>
      </c>
      <c r="M957" s="28" t="str">
        <f t="shared" si="2"/>
        <v/>
      </c>
      <c r="N957" s="28" t="str">
        <f>IF(A957&lt;&gt;"", SUMIFS('💰 Transaction ขาย'!F:F,'💰 Transaction ขาย'!B:B,A957,'💰 Transaction ขาย'!A:A,"&gt;="&amp;DATE(YEAR('⚙️ Config'!$H$1),1,1),'💰 Transaction ขาย'!A:A,"&lt;="&amp;DATE(YEAR('⚙️ Config'!$H$1),12,31)),)</f>
        <v/>
      </c>
    </row>
    <row r="958">
      <c r="A958" s="22"/>
      <c r="B958" s="22" t="str">
        <f>IF(A958&lt;&gt;"",SUMIFS('💸 Transaction ซื้อ'!E:E,'💸 Transaction ซื้อ'!B:B,A958)-SUMIFS('💰 Transaction ขาย'!E:E,'💰 Transaction ขาย'!B:B,A958),"")</f>
        <v/>
      </c>
      <c r="C958" s="23" t="str">
        <f>IF(A958&lt;&gt;"",vlookup(A958,'📦 ชื่อสินค้า'!A:E,5,false),"")</f>
        <v/>
      </c>
      <c r="D958" s="23" t="str">
        <f>IF(A958&lt;&gt;"",VLOOKUP(A958,'📦 ชื่อสินค้า'!A:F,6,false),"")</f>
        <v/>
      </c>
      <c r="E958" s="16" t="str">
        <f>IFERROR(IF(VLOOKUP(A958,'📦 ชื่อสินค้า'!A:G,7,false)="InActive","InActive",IF(A958&lt;&gt;"",IF(B958&lt;=0,"สินค้าหมด",IF(B958&lt;=C958,"ควรเติมทันที","OK")),"")),)</f>
        <v/>
      </c>
      <c r="F958" s="24" t="str">
        <f>IFERROR(IF(A958&lt;&gt;"", SUMIF('💸 Transaction ซื้อ'!B:B,A958,'💸 Transaction ซื้อ'!G:G)/SUMIF('💸 Transaction ซื้อ'!B:B,A958,'💸 Transaction ซื้อ'!E:E),""),"-")</f>
        <v/>
      </c>
      <c r="G958" s="24" t="str">
        <f t="shared" si="1"/>
        <v/>
      </c>
      <c r="H958" s="25"/>
      <c r="I958" s="26"/>
      <c r="J958" s="26"/>
      <c r="K958" s="27" t="str">
        <f>IF(A958&lt;&gt;"",IF(E958="InActive","-",SUMIFS('💰 Transaction ขาย'!E:E,'💰 Transaction ขาย'!B:B,A958,'💰 Transaction ขาย'!A:A,"&gt;"&amp;'⚙️ Config'!$H$1-'⚙️ Config'!$H$2)),)</f>
        <v/>
      </c>
      <c r="L958" s="28" t="str">
        <f>IF(E958="InActive","-",IF(A958&lt;&gt;"",K958/'⚙️ Config'!$H$2,))</f>
        <v/>
      </c>
      <c r="M958" s="28" t="str">
        <f t="shared" si="2"/>
        <v/>
      </c>
      <c r="N958" s="28" t="str">
        <f>IF(A958&lt;&gt;"", SUMIFS('💰 Transaction ขาย'!F:F,'💰 Transaction ขาย'!B:B,A958,'💰 Transaction ขาย'!A:A,"&gt;="&amp;DATE(YEAR('⚙️ Config'!$H$1),1,1),'💰 Transaction ขาย'!A:A,"&lt;="&amp;DATE(YEAR('⚙️ Config'!$H$1),12,31)),)</f>
        <v/>
      </c>
    </row>
    <row r="959">
      <c r="A959" s="22"/>
      <c r="B959" s="22" t="str">
        <f>IF(A959&lt;&gt;"",SUMIFS('💸 Transaction ซื้อ'!E:E,'💸 Transaction ซื้อ'!B:B,A959)-SUMIFS('💰 Transaction ขาย'!E:E,'💰 Transaction ขาย'!B:B,A959),"")</f>
        <v/>
      </c>
      <c r="C959" s="23" t="str">
        <f>IF(A959&lt;&gt;"",vlookup(A959,'📦 ชื่อสินค้า'!A:E,5,false),"")</f>
        <v/>
      </c>
      <c r="D959" s="23" t="str">
        <f>IF(A959&lt;&gt;"",VLOOKUP(A959,'📦 ชื่อสินค้า'!A:F,6,false),"")</f>
        <v/>
      </c>
      <c r="E959" s="16" t="str">
        <f>IFERROR(IF(VLOOKUP(A959,'📦 ชื่อสินค้า'!A:G,7,false)="InActive","InActive",IF(A959&lt;&gt;"",IF(B959&lt;=0,"สินค้าหมด",IF(B959&lt;=C959,"ควรเติมทันที","OK")),"")),)</f>
        <v/>
      </c>
      <c r="F959" s="24" t="str">
        <f>IFERROR(IF(A959&lt;&gt;"", SUMIF('💸 Transaction ซื้อ'!B:B,A959,'💸 Transaction ซื้อ'!G:G)/SUMIF('💸 Transaction ซื้อ'!B:B,A959,'💸 Transaction ซื้อ'!E:E),""),"-")</f>
        <v/>
      </c>
      <c r="G959" s="24" t="str">
        <f t="shared" si="1"/>
        <v/>
      </c>
      <c r="H959" s="25"/>
      <c r="I959" s="26"/>
      <c r="J959" s="26"/>
      <c r="K959" s="27" t="str">
        <f>IF(A959&lt;&gt;"",IF(E959="InActive","-",SUMIFS('💰 Transaction ขาย'!E:E,'💰 Transaction ขาย'!B:B,A959,'💰 Transaction ขาย'!A:A,"&gt;"&amp;'⚙️ Config'!$H$1-'⚙️ Config'!$H$2)),)</f>
        <v/>
      </c>
      <c r="L959" s="28" t="str">
        <f>IF(E959="InActive","-",IF(A959&lt;&gt;"",K959/'⚙️ Config'!$H$2,))</f>
        <v/>
      </c>
      <c r="M959" s="28" t="str">
        <f t="shared" si="2"/>
        <v/>
      </c>
      <c r="N959" s="28" t="str">
        <f>IF(A959&lt;&gt;"", SUMIFS('💰 Transaction ขาย'!F:F,'💰 Transaction ขาย'!B:B,A959,'💰 Transaction ขาย'!A:A,"&gt;="&amp;DATE(YEAR('⚙️ Config'!$H$1),1,1),'💰 Transaction ขาย'!A:A,"&lt;="&amp;DATE(YEAR('⚙️ Config'!$H$1),12,31)),)</f>
        <v/>
      </c>
    </row>
    <row r="960">
      <c r="A960" s="22"/>
      <c r="B960" s="22" t="str">
        <f>IF(A960&lt;&gt;"",SUMIFS('💸 Transaction ซื้อ'!E:E,'💸 Transaction ซื้อ'!B:B,A960)-SUMIFS('💰 Transaction ขาย'!E:E,'💰 Transaction ขาย'!B:B,A960),"")</f>
        <v/>
      </c>
      <c r="C960" s="23" t="str">
        <f>IF(A960&lt;&gt;"",vlookup(A960,'📦 ชื่อสินค้า'!A:E,5,false),"")</f>
        <v/>
      </c>
      <c r="D960" s="23" t="str">
        <f>IF(A960&lt;&gt;"",VLOOKUP(A960,'📦 ชื่อสินค้า'!A:F,6,false),"")</f>
        <v/>
      </c>
      <c r="E960" s="16" t="str">
        <f>IFERROR(IF(VLOOKUP(A960,'📦 ชื่อสินค้า'!A:G,7,false)="InActive","InActive",IF(A960&lt;&gt;"",IF(B960&lt;=0,"สินค้าหมด",IF(B960&lt;=C960,"ควรเติมทันที","OK")),"")),)</f>
        <v/>
      </c>
      <c r="F960" s="24" t="str">
        <f>IFERROR(IF(A960&lt;&gt;"", SUMIF('💸 Transaction ซื้อ'!B:B,A960,'💸 Transaction ซื้อ'!G:G)/SUMIF('💸 Transaction ซื้อ'!B:B,A960,'💸 Transaction ซื้อ'!E:E),""),"-")</f>
        <v/>
      </c>
      <c r="G960" s="24" t="str">
        <f t="shared" si="1"/>
        <v/>
      </c>
      <c r="H960" s="25"/>
      <c r="I960" s="26"/>
      <c r="J960" s="26"/>
      <c r="K960" s="27" t="str">
        <f>IF(A960&lt;&gt;"",IF(E960="InActive","-",SUMIFS('💰 Transaction ขาย'!E:E,'💰 Transaction ขาย'!B:B,A960,'💰 Transaction ขาย'!A:A,"&gt;"&amp;'⚙️ Config'!$H$1-'⚙️ Config'!$H$2)),)</f>
        <v/>
      </c>
      <c r="L960" s="28" t="str">
        <f>IF(E960="InActive","-",IF(A960&lt;&gt;"",K960/'⚙️ Config'!$H$2,))</f>
        <v/>
      </c>
      <c r="M960" s="28" t="str">
        <f t="shared" si="2"/>
        <v/>
      </c>
      <c r="N960" s="28" t="str">
        <f>IF(A960&lt;&gt;"", SUMIFS('💰 Transaction ขาย'!F:F,'💰 Transaction ขาย'!B:B,A960,'💰 Transaction ขาย'!A:A,"&gt;="&amp;DATE(YEAR('⚙️ Config'!$H$1),1,1),'💰 Transaction ขาย'!A:A,"&lt;="&amp;DATE(YEAR('⚙️ Config'!$H$1),12,31)),)</f>
        <v/>
      </c>
    </row>
    <row r="961">
      <c r="A961" s="22"/>
      <c r="B961" s="22" t="str">
        <f>IF(A961&lt;&gt;"",SUMIFS('💸 Transaction ซื้อ'!E:E,'💸 Transaction ซื้อ'!B:B,A961)-SUMIFS('💰 Transaction ขาย'!E:E,'💰 Transaction ขาย'!B:B,A961),"")</f>
        <v/>
      </c>
      <c r="C961" s="23" t="str">
        <f>IF(A961&lt;&gt;"",vlookup(A961,'📦 ชื่อสินค้า'!A:E,5,false),"")</f>
        <v/>
      </c>
      <c r="D961" s="23" t="str">
        <f>IF(A961&lt;&gt;"",VLOOKUP(A961,'📦 ชื่อสินค้า'!A:F,6,false),"")</f>
        <v/>
      </c>
      <c r="E961" s="16" t="str">
        <f>IFERROR(IF(VLOOKUP(A961,'📦 ชื่อสินค้า'!A:G,7,false)="InActive","InActive",IF(A961&lt;&gt;"",IF(B961&lt;=0,"สินค้าหมด",IF(B961&lt;=C961,"ควรเติมทันที","OK")),"")),)</f>
        <v/>
      </c>
      <c r="F961" s="24" t="str">
        <f>IFERROR(IF(A961&lt;&gt;"", SUMIF('💸 Transaction ซื้อ'!B:B,A961,'💸 Transaction ซื้อ'!G:G)/SUMIF('💸 Transaction ซื้อ'!B:B,A961,'💸 Transaction ซื้อ'!E:E),""),"-")</f>
        <v/>
      </c>
      <c r="G961" s="24" t="str">
        <f t="shared" si="1"/>
        <v/>
      </c>
      <c r="H961" s="25"/>
      <c r="I961" s="26"/>
      <c r="J961" s="26"/>
      <c r="K961" s="27" t="str">
        <f>IF(A961&lt;&gt;"",IF(E961="InActive","-",SUMIFS('💰 Transaction ขาย'!E:E,'💰 Transaction ขาย'!B:B,A961,'💰 Transaction ขาย'!A:A,"&gt;"&amp;'⚙️ Config'!$H$1-'⚙️ Config'!$H$2)),)</f>
        <v/>
      </c>
      <c r="L961" s="28" t="str">
        <f>IF(E961="InActive","-",IF(A961&lt;&gt;"",K961/'⚙️ Config'!$H$2,))</f>
        <v/>
      </c>
      <c r="M961" s="28" t="str">
        <f t="shared" si="2"/>
        <v/>
      </c>
      <c r="N961" s="28" t="str">
        <f>IF(A961&lt;&gt;"", SUMIFS('💰 Transaction ขาย'!F:F,'💰 Transaction ขาย'!B:B,A961,'💰 Transaction ขาย'!A:A,"&gt;="&amp;DATE(YEAR('⚙️ Config'!$H$1),1,1),'💰 Transaction ขาย'!A:A,"&lt;="&amp;DATE(YEAR('⚙️ Config'!$H$1),12,31)),)</f>
        <v/>
      </c>
    </row>
    <row r="962">
      <c r="A962" s="22"/>
      <c r="B962" s="22" t="str">
        <f>IF(A962&lt;&gt;"",SUMIFS('💸 Transaction ซื้อ'!E:E,'💸 Transaction ซื้อ'!B:B,A962)-SUMIFS('💰 Transaction ขาย'!E:E,'💰 Transaction ขาย'!B:B,A962),"")</f>
        <v/>
      </c>
      <c r="C962" s="23" t="str">
        <f>IF(A962&lt;&gt;"",vlookup(A962,'📦 ชื่อสินค้า'!A:E,5,false),"")</f>
        <v/>
      </c>
      <c r="D962" s="23" t="str">
        <f>IF(A962&lt;&gt;"",VLOOKUP(A962,'📦 ชื่อสินค้า'!A:F,6,false),"")</f>
        <v/>
      </c>
      <c r="E962" s="16" t="str">
        <f>IFERROR(IF(VLOOKUP(A962,'📦 ชื่อสินค้า'!A:G,7,false)="InActive","InActive",IF(A962&lt;&gt;"",IF(B962&lt;=0,"สินค้าหมด",IF(B962&lt;=C962,"ควรเติมทันที","OK")),"")),)</f>
        <v/>
      </c>
      <c r="F962" s="24" t="str">
        <f>IFERROR(IF(A962&lt;&gt;"", SUMIF('💸 Transaction ซื้อ'!B:B,A962,'💸 Transaction ซื้อ'!G:G)/SUMIF('💸 Transaction ซื้อ'!B:B,A962,'💸 Transaction ซื้อ'!E:E),""),"-")</f>
        <v/>
      </c>
      <c r="G962" s="24" t="str">
        <f t="shared" si="1"/>
        <v/>
      </c>
      <c r="H962" s="25"/>
      <c r="I962" s="26"/>
      <c r="J962" s="26"/>
      <c r="K962" s="27" t="str">
        <f>IF(A962&lt;&gt;"",IF(E962="InActive","-",SUMIFS('💰 Transaction ขาย'!E:E,'💰 Transaction ขาย'!B:B,A962,'💰 Transaction ขาย'!A:A,"&gt;"&amp;'⚙️ Config'!$H$1-'⚙️ Config'!$H$2)),)</f>
        <v/>
      </c>
      <c r="L962" s="28" t="str">
        <f>IF(E962="InActive","-",IF(A962&lt;&gt;"",K962/'⚙️ Config'!$H$2,))</f>
        <v/>
      </c>
      <c r="M962" s="28" t="str">
        <f t="shared" si="2"/>
        <v/>
      </c>
      <c r="N962" s="28" t="str">
        <f>IF(A962&lt;&gt;"", SUMIFS('💰 Transaction ขาย'!F:F,'💰 Transaction ขาย'!B:B,A962,'💰 Transaction ขาย'!A:A,"&gt;="&amp;DATE(YEAR('⚙️ Config'!$H$1),1,1),'💰 Transaction ขาย'!A:A,"&lt;="&amp;DATE(YEAR('⚙️ Config'!$H$1),12,31)),)</f>
        <v/>
      </c>
    </row>
    <row r="963">
      <c r="A963" s="22"/>
      <c r="B963" s="22" t="str">
        <f>IF(A963&lt;&gt;"",SUMIFS('💸 Transaction ซื้อ'!E:E,'💸 Transaction ซื้อ'!B:B,A963)-SUMIFS('💰 Transaction ขาย'!E:E,'💰 Transaction ขาย'!B:B,A963),"")</f>
        <v/>
      </c>
      <c r="C963" s="23" t="str">
        <f>IF(A963&lt;&gt;"",vlookup(A963,'📦 ชื่อสินค้า'!A:E,5,false),"")</f>
        <v/>
      </c>
      <c r="D963" s="23" t="str">
        <f>IF(A963&lt;&gt;"",VLOOKUP(A963,'📦 ชื่อสินค้า'!A:F,6,false),"")</f>
        <v/>
      </c>
      <c r="E963" s="16" t="str">
        <f>IFERROR(IF(VLOOKUP(A963,'📦 ชื่อสินค้า'!A:G,7,false)="InActive","InActive",IF(A963&lt;&gt;"",IF(B963&lt;=0,"สินค้าหมด",IF(B963&lt;=C963,"ควรเติมทันที","OK")),"")),)</f>
        <v/>
      </c>
      <c r="F963" s="24" t="str">
        <f>IFERROR(IF(A963&lt;&gt;"", SUMIF('💸 Transaction ซื้อ'!B:B,A963,'💸 Transaction ซื้อ'!G:G)/SUMIF('💸 Transaction ซื้อ'!B:B,A963,'💸 Transaction ซื้อ'!E:E),""),"-")</f>
        <v/>
      </c>
      <c r="G963" s="24" t="str">
        <f t="shared" si="1"/>
        <v/>
      </c>
      <c r="H963" s="25"/>
      <c r="I963" s="26"/>
      <c r="J963" s="26"/>
      <c r="K963" s="27" t="str">
        <f>IF(A963&lt;&gt;"",IF(E963="InActive","-",SUMIFS('💰 Transaction ขาย'!E:E,'💰 Transaction ขาย'!B:B,A963,'💰 Transaction ขาย'!A:A,"&gt;"&amp;'⚙️ Config'!$H$1-'⚙️ Config'!$H$2)),)</f>
        <v/>
      </c>
      <c r="L963" s="28" t="str">
        <f>IF(E963="InActive","-",IF(A963&lt;&gt;"",K963/'⚙️ Config'!$H$2,))</f>
        <v/>
      </c>
      <c r="M963" s="28" t="str">
        <f t="shared" si="2"/>
        <v/>
      </c>
      <c r="N963" s="28" t="str">
        <f>IF(A963&lt;&gt;"", SUMIFS('💰 Transaction ขาย'!F:F,'💰 Transaction ขาย'!B:B,A963,'💰 Transaction ขาย'!A:A,"&gt;="&amp;DATE(YEAR('⚙️ Config'!$H$1),1,1),'💰 Transaction ขาย'!A:A,"&lt;="&amp;DATE(YEAR('⚙️ Config'!$H$1),12,31)),)</f>
        <v/>
      </c>
    </row>
    <row r="964">
      <c r="A964" s="22"/>
      <c r="B964" s="22" t="str">
        <f>IF(A964&lt;&gt;"",SUMIFS('💸 Transaction ซื้อ'!E:E,'💸 Transaction ซื้อ'!B:B,A964)-SUMIFS('💰 Transaction ขาย'!E:E,'💰 Transaction ขาย'!B:B,A964),"")</f>
        <v/>
      </c>
      <c r="C964" s="23" t="str">
        <f>IF(A964&lt;&gt;"",vlookup(A964,'📦 ชื่อสินค้า'!A:E,5,false),"")</f>
        <v/>
      </c>
      <c r="D964" s="23" t="str">
        <f>IF(A964&lt;&gt;"",VLOOKUP(A964,'📦 ชื่อสินค้า'!A:F,6,false),"")</f>
        <v/>
      </c>
      <c r="E964" s="16" t="str">
        <f>IFERROR(IF(VLOOKUP(A964,'📦 ชื่อสินค้า'!A:G,7,false)="InActive","InActive",IF(A964&lt;&gt;"",IF(B964&lt;=0,"สินค้าหมด",IF(B964&lt;=C964,"ควรเติมทันที","OK")),"")),)</f>
        <v/>
      </c>
      <c r="F964" s="24" t="str">
        <f>IFERROR(IF(A964&lt;&gt;"", SUMIF('💸 Transaction ซื้อ'!B:B,A964,'💸 Transaction ซื้อ'!G:G)/SUMIF('💸 Transaction ซื้อ'!B:B,A964,'💸 Transaction ซื้อ'!E:E),""),"-")</f>
        <v/>
      </c>
      <c r="G964" s="24" t="str">
        <f t="shared" si="1"/>
        <v/>
      </c>
      <c r="H964" s="25"/>
      <c r="I964" s="26"/>
      <c r="J964" s="26"/>
      <c r="K964" s="27" t="str">
        <f>IF(A964&lt;&gt;"",IF(E964="InActive","-",SUMIFS('💰 Transaction ขาย'!E:E,'💰 Transaction ขาย'!B:B,A964,'💰 Transaction ขาย'!A:A,"&gt;"&amp;'⚙️ Config'!$H$1-'⚙️ Config'!$H$2)),)</f>
        <v/>
      </c>
      <c r="L964" s="28" t="str">
        <f>IF(E964="InActive","-",IF(A964&lt;&gt;"",K964/'⚙️ Config'!$H$2,))</f>
        <v/>
      </c>
      <c r="M964" s="28" t="str">
        <f t="shared" si="2"/>
        <v/>
      </c>
      <c r="N964" s="28" t="str">
        <f>IF(A964&lt;&gt;"", SUMIFS('💰 Transaction ขาย'!F:F,'💰 Transaction ขาย'!B:B,A964,'💰 Transaction ขาย'!A:A,"&gt;="&amp;DATE(YEAR('⚙️ Config'!$H$1),1,1),'💰 Transaction ขาย'!A:A,"&lt;="&amp;DATE(YEAR('⚙️ Config'!$H$1),12,31)),)</f>
        <v/>
      </c>
    </row>
    <row r="965">
      <c r="A965" s="22"/>
      <c r="B965" s="22" t="str">
        <f>IF(A965&lt;&gt;"",SUMIFS('💸 Transaction ซื้อ'!E:E,'💸 Transaction ซื้อ'!B:B,A965)-SUMIFS('💰 Transaction ขาย'!E:E,'💰 Transaction ขาย'!B:B,A965),"")</f>
        <v/>
      </c>
      <c r="C965" s="23" t="str">
        <f>IF(A965&lt;&gt;"",vlookup(A965,'📦 ชื่อสินค้า'!A:E,5,false),"")</f>
        <v/>
      </c>
      <c r="D965" s="23" t="str">
        <f>IF(A965&lt;&gt;"",VLOOKUP(A965,'📦 ชื่อสินค้า'!A:F,6,false),"")</f>
        <v/>
      </c>
      <c r="E965" s="16" t="str">
        <f>IFERROR(IF(VLOOKUP(A965,'📦 ชื่อสินค้า'!A:G,7,false)="InActive","InActive",IF(A965&lt;&gt;"",IF(B965&lt;=0,"สินค้าหมด",IF(B965&lt;=C965,"ควรเติมทันที","OK")),"")),)</f>
        <v/>
      </c>
      <c r="F965" s="24" t="str">
        <f>IFERROR(IF(A965&lt;&gt;"", SUMIF('💸 Transaction ซื้อ'!B:B,A965,'💸 Transaction ซื้อ'!G:G)/SUMIF('💸 Transaction ซื้อ'!B:B,A965,'💸 Transaction ซื้อ'!E:E),""),"-")</f>
        <v/>
      </c>
      <c r="G965" s="24" t="str">
        <f t="shared" si="1"/>
        <v/>
      </c>
      <c r="H965" s="25"/>
      <c r="I965" s="26"/>
      <c r="J965" s="26"/>
      <c r="K965" s="27" t="str">
        <f>IF(A965&lt;&gt;"",IF(E965="InActive","-",SUMIFS('💰 Transaction ขาย'!E:E,'💰 Transaction ขาย'!B:B,A965,'💰 Transaction ขาย'!A:A,"&gt;"&amp;'⚙️ Config'!$H$1-'⚙️ Config'!$H$2)),)</f>
        <v/>
      </c>
      <c r="L965" s="28" t="str">
        <f>IF(E965="InActive","-",IF(A965&lt;&gt;"",K965/'⚙️ Config'!$H$2,))</f>
        <v/>
      </c>
      <c r="M965" s="28" t="str">
        <f t="shared" si="2"/>
        <v/>
      </c>
      <c r="N965" s="28" t="str">
        <f>IF(A965&lt;&gt;"", SUMIFS('💰 Transaction ขาย'!F:F,'💰 Transaction ขาย'!B:B,A965,'💰 Transaction ขาย'!A:A,"&gt;="&amp;DATE(YEAR('⚙️ Config'!$H$1),1,1),'💰 Transaction ขาย'!A:A,"&lt;="&amp;DATE(YEAR('⚙️ Config'!$H$1),12,31)),)</f>
        <v/>
      </c>
    </row>
    <row r="966">
      <c r="A966" s="22"/>
      <c r="B966" s="22" t="str">
        <f>IF(A966&lt;&gt;"",SUMIFS('💸 Transaction ซื้อ'!E:E,'💸 Transaction ซื้อ'!B:B,A966)-SUMIFS('💰 Transaction ขาย'!E:E,'💰 Transaction ขาย'!B:B,A966),"")</f>
        <v/>
      </c>
      <c r="C966" s="23" t="str">
        <f>IF(A966&lt;&gt;"",vlookup(A966,'📦 ชื่อสินค้า'!A:E,5,false),"")</f>
        <v/>
      </c>
      <c r="D966" s="23" t="str">
        <f>IF(A966&lt;&gt;"",VLOOKUP(A966,'📦 ชื่อสินค้า'!A:F,6,false),"")</f>
        <v/>
      </c>
      <c r="E966" s="16" t="str">
        <f>IFERROR(IF(VLOOKUP(A966,'📦 ชื่อสินค้า'!A:G,7,false)="InActive","InActive",IF(A966&lt;&gt;"",IF(B966&lt;=0,"สินค้าหมด",IF(B966&lt;=C966,"ควรเติมทันที","OK")),"")),)</f>
        <v/>
      </c>
      <c r="F966" s="24" t="str">
        <f>IFERROR(IF(A966&lt;&gt;"", SUMIF('💸 Transaction ซื้อ'!B:B,A966,'💸 Transaction ซื้อ'!G:G)/SUMIF('💸 Transaction ซื้อ'!B:B,A966,'💸 Transaction ซื้อ'!E:E),""),"-")</f>
        <v/>
      </c>
      <c r="G966" s="24" t="str">
        <f t="shared" si="1"/>
        <v/>
      </c>
      <c r="H966" s="25"/>
      <c r="I966" s="26"/>
      <c r="J966" s="26"/>
      <c r="K966" s="27" t="str">
        <f>IF(A966&lt;&gt;"",IF(E966="InActive","-",SUMIFS('💰 Transaction ขาย'!E:E,'💰 Transaction ขาย'!B:B,A966,'💰 Transaction ขาย'!A:A,"&gt;"&amp;'⚙️ Config'!$H$1-'⚙️ Config'!$H$2)),)</f>
        <v/>
      </c>
      <c r="L966" s="28" t="str">
        <f>IF(E966="InActive","-",IF(A966&lt;&gt;"",K966/'⚙️ Config'!$H$2,))</f>
        <v/>
      </c>
      <c r="M966" s="28" t="str">
        <f t="shared" si="2"/>
        <v/>
      </c>
      <c r="N966" s="28" t="str">
        <f>IF(A966&lt;&gt;"", SUMIFS('💰 Transaction ขาย'!F:F,'💰 Transaction ขาย'!B:B,A966,'💰 Transaction ขาย'!A:A,"&gt;="&amp;DATE(YEAR('⚙️ Config'!$H$1),1,1),'💰 Transaction ขาย'!A:A,"&lt;="&amp;DATE(YEAR('⚙️ Config'!$H$1),12,31)),)</f>
        <v/>
      </c>
    </row>
    <row r="967">
      <c r="A967" s="22"/>
      <c r="B967" s="22" t="str">
        <f>IF(A967&lt;&gt;"",SUMIFS('💸 Transaction ซื้อ'!E:E,'💸 Transaction ซื้อ'!B:B,A967)-SUMIFS('💰 Transaction ขาย'!E:E,'💰 Transaction ขาย'!B:B,A967),"")</f>
        <v/>
      </c>
      <c r="C967" s="23" t="str">
        <f>IF(A967&lt;&gt;"",vlookup(A967,'📦 ชื่อสินค้า'!A:E,5,false),"")</f>
        <v/>
      </c>
      <c r="D967" s="23" t="str">
        <f>IF(A967&lt;&gt;"",VLOOKUP(A967,'📦 ชื่อสินค้า'!A:F,6,false),"")</f>
        <v/>
      </c>
      <c r="E967" s="16" t="str">
        <f>IFERROR(IF(VLOOKUP(A967,'📦 ชื่อสินค้า'!A:G,7,false)="InActive","InActive",IF(A967&lt;&gt;"",IF(B967&lt;=0,"สินค้าหมด",IF(B967&lt;=C967,"ควรเติมทันที","OK")),"")),)</f>
        <v/>
      </c>
      <c r="F967" s="24" t="str">
        <f>IFERROR(IF(A967&lt;&gt;"", SUMIF('💸 Transaction ซื้อ'!B:B,A967,'💸 Transaction ซื้อ'!G:G)/SUMIF('💸 Transaction ซื้อ'!B:B,A967,'💸 Transaction ซื้อ'!E:E),""),"-")</f>
        <v/>
      </c>
      <c r="G967" s="24" t="str">
        <f t="shared" si="1"/>
        <v/>
      </c>
      <c r="H967" s="25"/>
      <c r="I967" s="26"/>
      <c r="J967" s="26"/>
      <c r="K967" s="27" t="str">
        <f>IF(A967&lt;&gt;"",IF(E967="InActive","-",SUMIFS('💰 Transaction ขาย'!E:E,'💰 Transaction ขาย'!B:B,A967,'💰 Transaction ขาย'!A:A,"&gt;"&amp;'⚙️ Config'!$H$1-'⚙️ Config'!$H$2)),)</f>
        <v/>
      </c>
      <c r="L967" s="28" t="str">
        <f>IF(E967="InActive","-",IF(A967&lt;&gt;"",K967/'⚙️ Config'!$H$2,))</f>
        <v/>
      </c>
      <c r="M967" s="28" t="str">
        <f t="shared" si="2"/>
        <v/>
      </c>
      <c r="N967" s="28" t="str">
        <f>IF(A967&lt;&gt;"", SUMIFS('💰 Transaction ขาย'!F:F,'💰 Transaction ขาย'!B:B,A967,'💰 Transaction ขาย'!A:A,"&gt;="&amp;DATE(YEAR('⚙️ Config'!$H$1),1,1),'💰 Transaction ขาย'!A:A,"&lt;="&amp;DATE(YEAR('⚙️ Config'!$H$1),12,31)),)</f>
        <v/>
      </c>
    </row>
    <row r="968">
      <c r="A968" s="22"/>
      <c r="B968" s="22" t="str">
        <f>IF(A968&lt;&gt;"",SUMIFS('💸 Transaction ซื้อ'!E:E,'💸 Transaction ซื้อ'!B:B,A968)-SUMIFS('💰 Transaction ขาย'!E:E,'💰 Transaction ขาย'!B:B,A968),"")</f>
        <v/>
      </c>
      <c r="C968" s="23" t="str">
        <f>IF(A968&lt;&gt;"",vlookup(A968,'📦 ชื่อสินค้า'!A:E,5,false),"")</f>
        <v/>
      </c>
      <c r="D968" s="23" t="str">
        <f>IF(A968&lt;&gt;"",VLOOKUP(A968,'📦 ชื่อสินค้า'!A:F,6,false),"")</f>
        <v/>
      </c>
      <c r="E968" s="16" t="str">
        <f>IFERROR(IF(VLOOKUP(A968,'📦 ชื่อสินค้า'!A:G,7,false)="InActive","InActive",IF(A968&lt;&gt;"",IF(B968&lt;=0,"สินค้าหมด",IF(B968&lt;=C968,"ควรเติมทันที","OK")),"")),)</f>
        <v/>
      </c>
      <c r="F968" s="24" t="str">
        <f>IFERROR(IF(A968&lt;&gt;"", SUMIF('💸 Transaction ซื้อ'!B:B,A968,'💸 Transaction ซื้อ'!G:G)/SUMIF('💸 Transaction ซื้อ'!B:B,A968,'💸 Transaction ซื้อ'!E:E),""),"-")</f>
        <v/>
      </c>
      <c r="G968" s="24" t="str">
        <f t="shared" si="1"/>
        <v/>
      </c>
      <c r="H968" s="25"/>
      <c r="I968" s="26"/>
      <c r="J968" s="26"/>
      <c r="K968" s="27" t="str">
        <f>IF(A968&lt;&gt;"",IF(E968="InActive","-",SUMIFS('💰 Transaction ขาย'!E:E,'💰 Transaction ขาย'!B:B,A968,'💰 Transaction ขาย'!A:A,"&gt;"&amp;'⚙️ Config'!$H$1-'⚙️ Config'!$H$2)),)</f>
        <v/>
      </c>
      <c r="L968" s="28" t="str">
        <f>IF(E968="InActive","-",IF(A968&lt;&gt;"",K968/'⚙️ Config'!$H$2,))</f>
        <v/>
      </c>
      <c r="M968" s="28" t="str">
        <f t="shared" si="2"/>
        <v/>
      </c>
      <c r="N968" s="28" t="str">
        <f>IF(A968&lt;&gt;"", SUMIFS('💰 Transaction ขาย'!F:F,'💰 Transaction ขาย'!B:B,A968,'💰 Transaction ขาย'!A:A,"&gt;="&amp;DATE(YEAR('⚙️ Config'!$H$1),1,1),'💰 Transaction ขาย'!A:A,"&lt;="&amp;DATE(YEAR('⚙️ Config'!$H$1),12,31)),)</f>
        <v/>
      </c>
    </row>
    <row r="969">
      <c r="A969" s="22"/>
      <c r="B969" s="22" t="str">
        <f>IF(A969&lt;&gt;"",SUMIFS('💸 Transaction ซื้อ'!E:E,'💸 Transaction ซื้อ'!B:B,A969)-SUMIFS('💰 Transaction ขาย'!E:E,'💰 Transaction ขาย'!B:B,A969),"")</f>
        <v/>
      </c>
      <c r="C969" s="23" t="str">
        <f>IF(A969&lt;&gt;"",vlookup(A969,'📦 ชื่อสินค้า'!A:E,5,false),"")</f>
        <v/>
      </c>
      <c r="D969" s="23" t="str">
        <f>IF(A969&lt;&gt;"",VLOOKUP(A969,'📦 ชื่อสินค้า'!A:F,6,false),"")</f>
        <v/>
      </c>
      <c r="E969" s="16" t="str">
        <f>IFERROR(IF(VLOOKUP(A969,'📦 ชื่อสินค้า'!A:G,7,false)="InActive","InActive",IF(A969&lt;&gt;"",IF(B969&lt;=0,"สินค้าหมด",IF(B969&lt;=C969,"ควรเติมทันที","OK")),"")),)</f>
        <v/>
      </c>
      <c r="F969" s="24" t="str">
        <f>IFERROR(IF(A969&lt;&gt;"", SUMIF('💸 Transaction ซื้อ'!B:B,A969,'💸 Transaction ซื้อ'!G:G)/SUMIF('💸 Transaction ซื้อ'!B:B,A969,'💸 Transaction ซื้อ'!E:E),""),"-")</f>
        <v/>
      </c>
      <c r="G969" s="24" t="str">
        <f t="shared" si="1"/>
        <v/>
      </c>
      <c r="H969" s="25"/>
      <c r="I969" s="26"/>
      <c r="J969" s="26"/>
      <c r="K969" s="27" t="str">
        <f>IF(A969&lt;&gt;"",IF(E969="InActive","-",SUMIFS('💰 Transaction ขาย'!E:E,'💰 Transaction ขาย'!B:B,A969,'💰 Transaction ขาย'!A:A,"&gt;"&amp;'⚙️ Config'!$H$1-'⚙️ Config'!$H$2)),)</f>
        <v/>
      </c>
      <c r="L969" s="28" t="str">
        <f>IF(E969="InActive","-",IF(A969&lt;&gt;"",K969/'⚙️ Config'!$H$2,))</f>
        <v/>
      </c>
      <c r="M969" s="28" t="str">
        <f t="shared" si="2"/>
        <v/>
      </c>
      <c r="N969" s="28" t="str">
        <f>IF(A969&lt;&gt;"", SUMIFS('💰 Transaction ขาย'!F:F,'💰 Transaction ขาย'!B:B,A969,'💰 Transaction ขาย'!A:A,"&gt;="&amp;DATE(YEAR('⚙️ Config'!$H$1),1,1),'💰 Transaction ขาย'!A:A,"&lt;="&amp;DATE(YEAR('⚙️ Config'!$H$1),12,31)),)</f>
        <v/>
      </c>
    </row>
    <row r="970">
      <c r="A970" s="22"/>
      <c r="B970" s="22" t="str">
        <f>IF(A970&lt;&gt;"",SUMIFS('💸 Transaction ซื้อ'!E:E,'💸 Transaction ซื้อ'!B:B,A970)-SUMIFS('💰 Transaction ขาย'!E:E,'💰 Transaction ขาย'!B:B,A970),"")</f>
        <v/>
      </c>
      <c r="C970" s="23" t="str">
        <f>IF(A970&lt;&gt;"",vlookup(A970,'📦 ชื่อสินค้า'!A:E,5,false),"")</f>
        <v/>
      </c>
      <c r="D970" s="23" t="str">
        <f>IF(A970&lt;&gt;"",VLOOKUP(A970,'📦 ชื่อสินค้า'!A:F,6,false),"")</f>
        <v/>
      </c>
      <c r="E970" s="16" t="str">
        <f>IFERROR(IF(VLOOKUP(A970,'📦 ชื่อสินค้า'!A:G,7,false)="InActive","InActive",IF(A970&lt;&gt;"",IF(B970&lt;=0,"สินค้าหมด",IF(B970&lt;=C970,"ควรเติมทันที","OK")),"")),)</f>
        <v/>
      </c>
      <c r="F970" s="24" t="str">
        <f>IFERROR(IF(A970&lt;&gt;"", SUMIF('💸 Transaction ซื้อ'!B:B,A970,'💸 Transaction ซื้อ'!G:G)/SUMIF('💸 Transaction ซื้อ'!B:B,A970,'💸 Transaction ซื้อ'!E:E),""),"-")</f>
        <v/>
      </c>
      <c r="G970" s="24" t="str">
        <f t="shared" si="1"/>
        <v/>
      </c>
      <c r="H970" s="25"/>
      <c r="I970" s="26"/>
      <c r="J970" s="26"/>
      <c r="K970" s="27" t="str">
        <f>IF(A970&lt;&gt;"",IF(E970="InActive","-",SUMIFS('💰 Transaction ขาย'!E:E,'💰 Transaction ขาย'!B:B,A970,'💰 Transaction ขาย'!A:A,"&gt;"&amp;'⚙️ Config'!$H$1-'⚙️ Config'!$H$2)),)</f>
        <v/>
      </c>
      <c r="L970" s="28" t="str">
        <f>IF(E970="InActive","-",IF(A970&lt;&gt;"",K970/'⚙️ Config'!$H$2,))</f>
        <v/>
      </c>
      <c r="M970" s="28" t="str">
        <f t="shared" si="2"/>
        <v/>
      </c>
      <c r="N970" s="28" t="str">
        <f>IF(A970&lt;&gt;"", SUMIFS('💰 Transaction ขาย'!F:F,'💰 Transaction ขาย'!B:B,A970,'💰 Transaction ขาย'!A:A,"&gt;="&amp;DATE(YEAR('⚙️ Config'!$H$1),1,1),'💰 Transaction ขาย'!A:A,"&lt;="&amp;DATE(YEAR('⚙️ Config'!$H$1),12,31)),)</f>
        <v/>
      </c>
    </row>
    <row r="971">
      <c r="A971" s="22"/>
      <c r="B971" s="22" t="str">
        <f>IF(A971&lt;&gt;"",SUMIFS('💸 Transaction ซื้อ'!E:E,'💸 Transaction ซื้อ'!B:B,A971)-SUMIFS('💰 Transaction ขาย'!E:E,'💰 Transaction ขาย'!B:B,A971),"")</f>
        <v/>
      </c>
      <c r="C971" s="23" t="str">
        <f>IF(A971&lt;&gt;"",vlookup(A971,'📦 ชื่อสินค้า'!A:E,5,false),"")</f>
        <v/>
      </c>
      <c r="D971" s="23" t="str">
        <f>IF(A971&lt;&gt;"",VLOOKUP(A971,'📦 ชื่อสินค้า'!A:F,6,false),"")</f>
        <v/>
      </c>
      <c r="E971" s="16" t="str">
        <f>IFERROR(IF(VLOOKUP(A971,'📦 ชื่อสินค้า'!A:G,7,false)="InActive","InActive",IF(A971&lt;&gt;"",IF(B971&lt;=0,"สินค้าหมด",IF(B971&lt;=C971,"ควรเติมทันที","OK")),"")),)</f>
        <v/>
      </c>
      <c r="F971" s="24" t="str">
        <f>IFERROR(IF(A971&lt;&gt;"", SUMIF('💸 Transaction ซื้อ'!B:B,A971,'💸 Transaction ซื้อ'!G:G)/SUMIF('💸 Transaction ซื้อ'!B:B,A971,'💸 Transaction ซื้อ'!E:E),""),"-")</f>
        <v/>
      </c>
      <c r="G971" s="24" t="str">
        <f t="shared" si="1"/>
        <v/>
      </c>
      <c r="H971" s="25"/>
      <c r="I971" s="26"/>
      <c r="J971" s="26"/>
      <c r="K971" s="27" t="str">
        <f>IF(A971&lt;&gt;"",IF(E971="InActive","-",SUMIFS('💰 Transaction ขาย'!E:E,'💰 Transaction ขาย'!B:B,A971,'💰 Transaction ขาย'!A:A,"&gt;"&amp;'⚙️ Config'!$H$1-'⚙️ Config'!$H$2)),)</f>
        <v/>
      </c>
      <c r="L971" s="28" t="str">
        <f>IF(E971="InActive","-",IF(A971&lt;&gt;"",K971/'⚙️ Config'!$H$2,))</f>
        <v/>
      </c>
      <c r="M971" s="28" t="str">
        <f t="shared" si="2"/>
        <v/>
      </c>
      <c r="N971" s="28" t="str">
        <f>IF(A971&lt;&gt;"", SUMIFS('💰 Transaction ขาย'!F:F,'💰 Transaction ขาย'!B:B,A971,'💰 Transaction ขาย'!A:A,"&gt;="&amp;DATE(YEAR('⚙️ Config'!$H$1),1,1),'💰 Transaction ขาย'!A:A,"&lt;="&amp;DATE(YEAR('⚙️ Config'!$H$1),12,31)),)</f>
        <v/>
      </c>
    </row>
    <row r="972">
      <c r="A972" s="22"/>
      <c r="B972" s="22" t="str">
        <f>IF(A972&lt;&gt;"",SUMIFS('💸 Transaction ซื้อ'!E:E,'💸 Transaction ซื้อ'!B:B,A972)-SUMIFS('💰 Transaction ขาย'!E:E,'💰 Transaction ขาย'!B:B,A972),"")</f>
        <v/>
      </c>
      <c r="C972" s="23" t="str">
        <f>IF(A972&lt;&gt;"",vlookup(A972,'📦 ชื่อสินค้า'!A:E,5,false),"")</f>
        <v/>
      </c>
      <c r="D972" s="23" t="str">
        <f>IF(A972&lt;&gt;"",VLOOKUP(A972,'📦 ชื่อสินค้า'!A:F,6,false),"")</f>
        <v/>
      </c>
      <c r="E972" s="16" t="str">
        <f>IFERROR(IF(VLOOKUP(A972,'📦 ชื่อสินค้า'!A:G,7,false)="InActive","InActive",IF(A972&lt;&gt;"",IF(B972&lt;=0,"สินค้าหมด",IF(B972&lt;=C972,"ควรเติมทันที","OK")),"")),)</f>
        <v/>
      </c>
      <c r="F972" s="24" t="str">
        <f>IFERROR(IF(A972&lt;&gt;"", SUMIF('💸 Transaction ซื้อ'!B:B,A972,'💸 Transaction ซื้อ'!G:G)/SUMIF('💸 Transaction ซื้อ'!B:B,A972,'💸 Transaction ซื้อ'!E:E),""),"-")</f>
        <v/>
      </c>
      <c r="G972" s="24" t="str">
        <f t="shared" si="1"/>
        <v/>
      </c>
      <c r="H972" s="25"/>
      <c r="I972" s="26"/>
      <c r="J972" s="26"/>
      <c r="K972" s="27" t="str">
        <f>IF(A972&lt;&gt;"",IF(E972="InActive","-",SUMIFS('💰 Transaction ขาย'!E:E,'💰 Transaction ขาย'!B:B,A972,'💰 Transaction ขาย'!A:A,"&gt;"&amp;'⚙️ Config'!$H$1-'⚙️ Config'!$H$2)),)</f>
        <v/>
      </c>
      <c r="L972" s="28" t="str">
        <f>IF(E972="InActive","-",IF(A972&lt;&gt;"",K972/'⚙️ Config'!$H$2,))</f>
        <v/>
      </c>
      <c r="M972" s="28" t="str">
        <f t="shared" si="2"/>
        <v/>
      </c>
      <c r="N972" s="28" t="str">
        <f>IF(A972&lt;&gt;"", SUMIFS('💰 Transaction ขาย'!F:F,'💰 Transaction ขาย'!B:B,A972,'💰 Transaction ขาย'!A:A,"&gt;="&amp;DATE(YEAR('⚙️ Config'!$H$1),1,1),'💰 Transaction ขาย'!A:A,"&lt;="&amp;DATE(YEAR('⚙️ Config'!$H$1),12,31)),)</f>
        <v/>
      </c>
    </row>
    <row r="973">
      <c r="A973" s="22"/>
      <c r="B973" s="22" t="str">
        <f>IF(A973&lt;&gt;"",SUMIFS('💸 Transaction ซื้อ'!E:E,'💸 Transaction ซื้อ'!B:B,A973)-SUMIFS('💰 Transaction ขาย'!E:E,'💰 Transaction ขาย'!B:B,A973),"")</f>
        <v/>
      </c>
      <c r="C973" s="23" t="str">
        <f>IF(A973&lt;&gt;"",vlookup(A973,'📦 ชื่อสินค้า'!A:E,5,false),"")</f>
        <v/>
      </c>
      <c r="D973" s="23" t="str">
        <f>IF(A973&lt;&gt;"",VLOOKUP(A973,'📦 ชื่อสินค้า'!A:F,6,false),"")</f>
        <v/>
      </c>
      <c r="E973" s="16" t="str">
        <f>IFERROR(IF(VLOOKUP(A973,'📦 ชื่อสินค้า'!A:G,7,false)="InActive","InActive",IF(A973&lt;&gt;"",IF(B973&lt;=0,"สินค้าหมด",IF(B973&lt;=C973,"ควรเติมทันที","OK")),"")),)</f>
        <v/>
      </c>
      <c r="F973" s="24" t="str">
        <f>IFERROR(IF(A973&lt;&gt;"", SUMIF('💸 Transaction ซื้อ'!B:B,A973,'💸 Transaction ซื้อ'!G:G)/SUMIF('💸 Transaction ซื้อ'!B:B,A973,'💸 Transaction ซื้อ'!E:E),""),"-")</f>
        <v/>
      </c>
      <c r="G973" s="24" t="str">
        <f t="shared" si="1"/>
        <v/>
      </c>
      <c r="H973" s="25"/>
      <c r="I973" s="26"/>
      <c r="J973" s="26"/>
      <c r="K973" s="27" t="str">
        <f>IF(A973&lt;&gt;"",IF(E973="InActive","-",SUMIFS('💰 Transaction ขาย'!E:E,'💰 Transaction ขาย'!B:B,A973,'💰 Transaction ขาย'!A:A,"&gt;"&amp;'⚙️ Config'!$H$1-'⚙️ Config'!$H$2)),)</f>
        <v/>
      </c>
      <c r="L973" s="28" t="str">
        <f>IF(E973="InActive","-",IF(A973&lt;&gt;"",K973/'⚙️ Config'!$H$2,))</f>
        <v/>
      </c>
      <c r="M973" s="28" t="str">
        <f t="shared" si="2"/>
        <v/>
      </c>
      <c r="N973" s="28" t="str">
        <f>IF(A973&lt;&gt;"", SUMIFS('💰 Transaction ขาย'!F:F,'💰 Transaction ขาย'!B:B,A973,'💰 Transaction ขาย'!A:A,"&gt;="&amp;DATE(YEAR('⚙️ Config'!$H$1),1,1),'💰 Transaction ขาย'!A:A,"&lt;="&amp;DATE(YEAR('⚙️ Config'!$H$1),12,31)),)</f>
        <v/>
      </c>
    </row>
    <row r="974">
      <c r="A974" s="22"/>
      <c r="B974" s="22" t="str">
        <f>IF(A974&lt;&gt;"",SUMIFS('💸 Transaction ซื้อ'!E:E,'💸 Transaction ซื้อ'!B:B,A974)-SUMIFS('💰 Transaction ขาย'!E:E,'💰 Transaction ขาย'!B:B,A974),"")</f>
        <v/>
      </c>
      <c r="C974" s="23" t="str">
        <f>IF(A974&lt;&gt;"",vlookup(A974,'📦 ชื่อสินค้า'!A:E,5,false),"")</f>
        <v/>
      </c>
      <c r="D974" s="23" t="str">
        <f>IF(A974&lt;&gt;"",VLOOKUP(A974,'📦 ชื่อสินค้า'!A:F,6,false),"")</f>
        <v/>
      </c>
      <c r="E974" s="16" t="str">
        <f>IFERROR(IF(VLOOKUP(A974,'📦 ชื่อสินค้า'!A:G,7,false)="InActive","InActive",IF(A974&lt;&gt;"",IF(B974&lt;=0,"สินค้าหมด",IF(B974&lt;=C974,"ควรเติมทันที","OK")),"")),)</f>
        <v/>
      </c>
      <c r="F974" s="24" t="str">
        <f>IFERROR(IF(A974&lt;&gt;"", SUMIF('💸 Transaction ซื้อ'!B:B,A974,'💸 Transaction ซื้อ'!G:G)/SUMIF('💸 Transaction ซื้อ'!B:B,A974,'💸 Transaction ซื้อ'!E:E),""),"-")</f>
        <v/>
      </c>
      <c r="G974" s="24" t="str">
        <f t="shared" si="1"/>
        <v/>
      </c>
      <c r="H974" s="25"/>
      <c r="I974" s="26"/>
      <c r="J974" s="26"/>
      <c r="K974" s="27" t="str">
        <f>IF(A974&lt;&gt;"",IF(E974="InActive","-",SUMIFS('💰 Transaction ขาย'!E:E,'💰 Transaction ขาย'!B:B,A974,'💰 Transaction ขาย'!A:A,"&gt;"&amp;'⚙️ Config'!$H$1-'⚙️ Config'!$H$2)),)</f>
        <v/>
      </c>
      <c r="L974" s="28" t="str">
        <f>IF(E974="InActive","-",IF(A974&lt;&gt;"",K974/'⚙️ Config'!$H$2,))</f>
        <v/>
      </c>
      <c r="M974" s="28" t="str">
        <f t="shared" si="2"/>
        <v/>
      </c>
      <c r="N974" s="28" t="str">
        <f>IF(A974&lt;&gt;"", SUMIFS('💰 Transaction ขาย'!F:F,'💰 Transaction ขาย'!B:B,A974,'💰 Transaction ขาย'!A:A,"&gt;="&amp;DATE(YEAR('⚙️ Config'!$H$1),1,1),'💰 Transaction ขาย'!A:A,"&lt;="&amp;DATE(YEAR('⚙️ Config'!$H$1),12,31)),)</f>
        <v/>
      </c>
    </row>
    <row r="975">
      <c r="A975" s="22"/>
      <c r="B975" s="22" t="str">
        <f>IF(A975&lt;&gt;"",SUMIFS('💸 Transaction ซื้อ'!E:E,'💸 Transaction ซื้อ'!B:B,A975)-SUMIFS('💰 Transaction ขาย'!E:E,'💰 Transaction ขาย'!B:B,A975),"")</f>
        <v/>
      </c>
      <c r="C975" s="23" t="str">
        <f>IF(A975&lt;&gt;"",vlookup(A975,'📦 ชื่อสินค้า'!A:E,5,false),"")</f>
        <v/>
      </c>
      <c r="D975" s="23" t="str">
        <f>IF(A975&lt;&gt;"",VLOOKUP(A975,'📦 ชื่อสินค้า'!A:F,6,false),"")</f>
        <v/>
      </c>
      <c r="E975" s="16" t="str">
        <f>IFERROR(IF(VLOOKUP(A975,'📦 ชื่อสินค้า'!A:G,7,false)="InActive","InActive",IF(A975&lt;&gt;"",IF(B975&lt;=0,"สินค้าหมด",IF(B975&lt;=C975,"ควรเติมทันที","OK")),"")),)</f>
        <v/>
      </c>
      <c r="F975" s="24" t="str">
        <f>IFERROR(IF(A975&lt;&gt;"", SUMIF('💸 Transaction ซื้อ'!B:B,A975,'💸 Transaction ซื้อ'!G:G)/SUMIF('💸 Transaction ซื้อ'!B:B,A975,'💸 Transaction ซื้อ'!E:E),""),"-")</f>
        <v/>
      </c>
      <c r="G975" s="24" t="str">
        <f t="shared" si="1"/>
        <v/>
      </c>
      <c r="H975" s="25"/>
      <c r="I975" s="26"/>
      <c r="J975" s="26"/>
      <c r="K975" s="27" t="str">
        <f>IF(A975&lt;&gt;"",IF(E975="InActive","-",SUMIFS('💰 Transaction ขาย'!E:E,'💰 Transaction ขาย'!B:B,A975,'💰 Transaction ขาย'!A:A,"&gt;"&amp;'⚙️ Config'!$H$1-'⚙️ Config'!$H$2)),)</f>
        <v/>
      </c>
      <c r="L975" s="28" t="str">
        <f>IF(E975="InActive","-",IF(A975&lt;&gt;"",K975/'⚙️ Config'!$H$2,))</f>
        <v/>
      </c>
      <c r="M975" s="28" t="str">
        <f t="shared" si="2"/>
        <v/>
      </c>
      <c r="N975" s="28" t="str">
        <f>IF(A975&lt;&gt;"", SUMIFS('💰 Transaction ขาย'!F:F,'💰 Transaction ขาย'!B:B,A975,'💰 Transaction ขาย'!A:A,"&gt;="&amp;DATE(YEAR('⚙️ Config'!$H$1),1,1),'💰 Transaction ขาย'!A:A,"&lt;="&amp;DATE(YEAR('⚙️ Config'!$H$1),12,31)),)</f>
        <v/>
      </c>
    </row>
    <row r="976">
      <c r="A976" s="22"/>
      <c r="B976" s="22" t="str">
        <f>IF(A976&lt;&gt;"",SUMIFS('💸 Transaction ซื้อ'!E:E,'💸 Transaction ซื้อ'!B:B,A976)-SUMIFS('💰 Transaction ขาย'!E:E,'💰 Transaction ขาย'!B:B,A976),"")</f>
        <v/>
      </c>
      <c r="C976" s="23" t="str">
        <f>IF(A976&lt;&gt;"",vlookup(A976,'📦 ชื่อสินค้า'!A:E,5,false),"")</f>
        <v/>
      </c>
      <c r="D976" s="23" t="str">
        <f>IF(A976&lt;&gt;"",VLOOKUP(A976,'📦 ชื่อสินค้า'!A:F,6,false),"")</f>
        <v/>
      </c>
      <c r="E976" s="16" t="str">
        <f>IFERROR(IF(VLOOKUP(A976,'📦 ชื่อสินค้า'!A:G,7,false)="InActive","InActive",IF(A976&lt;&gt;"",IF(B976&lt;=0,"สินค้าหมด",IF(B976&lt;=C976,"ควรเติมทันที","OK")),"")),)</f>
        <v/>
      </c>
      <c r="F976" s="24" t="str">
        <f>IFERROR(IF(A976&lt;&gt;"", SUMIF('💸 Transaction ซื้อ'!B:B,A976,'💸 Transaction ซื้อ'!G:G)/SUMIF('💸 Transaction ซื้อ'!B:B,A976,'💸 Transaction ซื้อ'!E:E),""),"-")</f>
        <v/>
      </c>
      <c r="G976" s="24" t="str">
        <f t="shared" si="1"/>
        <v/>
      </c>
      <c r="H976" s="25"/>
      <c r="I976" s="26"/>
      <c r="J976" s="26"/>
      <c r="K976" s="27" t="str">
        <f>IF(A976&lt;&gt;"",IF(E976="InActive","-",SUMIFS('💰 Transaction ขาย'!E:E,'💰 Transaction ขาย'!B:B,A976,'💰 Transaction ขาย'!A:A,"&gt;"&amp;'⚙️ Config'!$H$1-'⚙️ Config'!$H$2)),)</f>
        <v/>
      </c>
      <c r="L976" s="28" t="str">
        <f>IF(E976="InActive","-",IF(A976&lt;&gt;"",K976/'⚙️ Config'!$H$2,))</f>
        <v/>
      </c>
      <c r="M976" s="28" t="str">
        <f t="shared" si="2"/>
        <v/>
      </c>
      <c r="N976" s="28" t="str">
        <f>IF(A976&lt;&gt;"", SUMIFS('💰 Transaction ขาย'!F:F,'💰 Transaction ขาย'!B:B,A976,'💰 Transaction ขาย'!A:A,"&gt;="&amp;DATE(YEAR('⚙️ Config'!$H$1),1,1),'💰 Transaction ขาย'!A:A,"&lt;="&amp;DATE(YEAR('⚙️ Config'!$H$1),12,31)),)</f>
        <v/>
      </c>
    </row>
    <row r="977">
      <c r="A977" s="22"/>
      <c r="B977" s="22" t="str">
        <f>IF(A977&lt;&gt;"",SUMIFS('💸 Transaction ซื้อ'!E:E,'💸 Transaction ซื้อ'!B:B,A977)-SUMIFS('💰 Transaction ขาย'!E:E,'💰 Transaction ขาย'!B:B,A977),"")</f>
        <v/>
      </c>
      <c r="C977" s="23" t="str">
        <f>IF(A977&lt;&gt;"",vlookup(A977,'📦 ชื่อสินค้า'!A:E,5,false),"")</f>
        <v/>
      </c>
      <c r="D977" s="23" t="str">
        <f>IF(A977&lt;&gt;"",VLOOKUP(A977,'📦 ชื่อสินค้า'!A:F,6,false),"")</f>
        <v/>
      </c>
      <c r="E977" s="16" t="str">
        <f>IFERROR(IF(VLOOKUP(A977,'📦 ชื่อสินค้า'!A:G,7,false)="InActive","InActive",IF(A977&lt;&gt;"",IF(B977&lt;=0,"สินค้าหมด",IF(B977&lt;=C977,"ควรเติมทันที","OK")),"")),)</f>
        <v/>
      </c>
      <c r="F977" s="24" t="str">
        <f>IFERROR(IF(A977&lt;&gt;"", SUMIF('💸 Transaction ซื้อ'!B:B,A977,'💸 Transaction ซื้อ'!G:G)/SUMIF('💸 Transaction ซื้อ'!B:B,A977,'💸 Transaction ซื้อ'!E:E),""),"-")</f>
        <v/>
      </c>
      <c r="G977" s="24" t="str">
        <f t="shared" si="1"/>
        <v/>
      </c>
      <c r="H977" s="25"/>
      <c r="I977" s="26"/>
      <c r="J977" s="26"/>
      <c r="K977" s="27" t="str">
        <f>IF(A977&lt;&gt;"",IF(E977="InActive","-",SUMIFS('💰 Transaction ขาย'!E:E,'💰 Transaction ขาย'!B:B,A977,'💰 Transaction ขาย'!A:A,"&gt;"&amp;'⚙️ Config'!$H$1-'⚙️ Config'!$H$2)),)</f>
        <v/>
      </c>
      <c r="L977" s="28" t="str">
        <f>IF(E977="InActive","-",IF(A977&lt;&gt;"",K977/'⚙️ Config'!$H$2,))</f>
        <v/>
      </c>
      <c r="M977" s="28" t="str">
        <f t="shared" si="2"/>
        <v/>
      </c>
      <c r="N977" s="28" t="str">
        <f>IF(A977&lt;&gt;"", SUMIFS('💰 Transaction ขาย'!F:F,'💰 Transaction ขาย'!B:B,A977,'💰 Transaction ขาย'!A:A,"&gt;="&amp;DATE(YEAR('⚙️ Config'!$H$1),1,1),'💰 Transaction ขาย'!A:A,"&lt;="&amp;DATE(YEAR('⚙️ Config'!$H$1),12,31)),)</f>
        <v/>
      </c>
    </row>
    <row r="978">
      <c r="A978" s="22"/>
      <c r="B978" s="22" t="str">
        <f>IF(A978&lt;&gt;"",SUMIFS('💸 Transaction ซื้อ'!E:E,'💸 Transaction ซื้อ'!B:B,A978)-SUMIFS('💰 Transaction ขาย'!E:E,'💰 Transaction ขาย'!B:B,A978),"")</f>
        <v/>
      </c>
      <c r="C978" s="23" t="str">
        <f>IF(A978&lt;&gt;"",vlookup(A978,'📦 ชื่อสินค้า'!A:E,5,false),"")</f>
        <v/>
      </c>
      <c r="D978" s="23" t="str">
        <f>IF(A978&lt;&gt;"",VLOOKUP(A978,'📦 ชื่อสินค้า'!A:F,6,false),"")</f>
        <v/>
      </c>
      <c r="E978" s="16" t="str">
        <f>IFERROR(IF(VLOOKUP(A978,'📦 ชื่อสินค้า'!A:G,7,false)="InActive","InActive",IF(A978&lt;&gt;"",IF(B978&lt;=0,"สินค้าหมด",IF(B978&lt;=C978,"ควรเติมทันที","OK")),"")),)</f>
        <v/>
      </c>
      <c r="F978" s="24" t="str">
        <f>IFERROR(IF(A978&lt;&gt;"", SUMIF('💸 Transaction ซื้อ'!B:B,A978,'💸 Transaction ซื้อ'!G:G)/SUMIF('💸 Transaction ซื้อ'!B:B,A978,'💸 Transaction ซื้อ'!E:E),""),"-")</f>
        <v/>
      </c>
      <c r="G978" s="24" t="str">
        <f t="shared" si="1"/>
        <v/>
      </c>
      <c r="H978" s="25"/>
      <c r="I978" s="26"/>
      <c r="J978" s="26"/>
      <c r="K978" s="27" t="str">
        <f>IF(A978&lt;&gt;"",IF(E978="InActive","-",SUMIFS('💰 Transaction ขาย'!E:E,'💰 Transaction ขาย'!B:B,A978,'💰 Transaction ขาย'!A:A,"&gt;"&amp;'⚙️ Config'!$H$1-'⚙️ Config'!$H$2)),)</f>
        <v/>
      </c>
      <c r="L978" s="28" t="str">
        <f>IF(E978="InActive","-",IF(A978&lt;&gt;"",K978/'⚙️ Config'!$H$2,))</f>
        <v/>
      </c>
      <c r="M978" s="28" t="str">
        <f t="shared" si="2"/>
        <v/>
      </c>
      <c r="N978" s="28" t="str">
        <f>IF(A978&lt;&gt;"", SUMIFS('💰 Transaction ขาย'!F:F,'💰 Transaction ขาย'!B:B,A978,'💰 Transaction ขาย'!A:A,"&gt;="&amp;DATE(YEAR('⚙️ Config'!$H$1),1,1),'💰 Transaction ขาย'!A:A,"&lt;="&amp;DATE(YEAR('⚙️ Config'!$H$1),12,31)),)</f>
        <v/>
      </c>
    </row>
    <row r="979">
      <c r="A979" s="22"/>
      <c r="B979" s="22" t="str">
        <f>IF(A979&lt;&gt;"",SUMIFS('💸 Transaction ซื้อ'!E:E,'💸 Transaction ซื้อ'!B:B,A979)-SUMIFS('💰 Transaction ขาย'!E:E,'💰 Transaction ขาย'!B:B,A979),"")</f>
        <v/>
      </c>
      <c r="C979" s="23" t="str">
        <f>IF(A979&lt;&gt;"",vlookup(A979,'📦 ชื่อสินค้า'!A:E,5,false),"")</f>
        <v/>
      </c>
      <c r="D979" s="23" t="str">
        <f>IF(A979&lt;&gt;"",VLOOKUP(A979,'📦 ชื่อสินค้า'!A:F,6,false),"")</f>
        <v/>
      </c>
      <c r="E979" s="16" t="str">
        <f>IFERROR(IF(VLOOKUP(A979,'📦 ชื่อสินค้า'!A:G,7,false)="InActive","InActive",IF(A979&lt;&gt;"",IF(B979&lt;=0,"สินค้าหมด",IF(B979&lt;=C979,"ควรเติมทันที","OK")),"")),)</f>
        <v/>
      </c>
      <c r="F979" s="24" t="str">
        <f>IFERROR(IF(A979&lt;&gt;"", SUMIF('💸 Transaction ซื้อ'!B:B,A979,'💸 Transaction ซื้อ'!G:G)/SUMIF('💸 Transaction ซื้อ'!B:B,A979,'💸 Transaction ซื้อ'!E:E),""),"-")</f>
        <v/>
      </c>
      <c r="G979" s="24" t="str">
        <f t="shared" si="1"/>
        <v/>
      </c>
      <c r="H979" s="25"/>
      <c r="I979" s="26"/>
      <c r="J979" s="26"/>
      <c r="K979" s="27" t="str">
        <f>IF(A979&lt;&gt;"",IF(E979="InActive","-",SUMIFS('💰 Transaction ขาย'!E:E,'💰 Transaction ขาย'!B:B,A979,'💰 Transaction ขาย'!A:A,"&gt;"&amp;'⚙️ Config'!$H$1-'⚙️ Config'!$H$2)),)</f>
        <v/>
      </c>
      <c r="L979" s="28" t="str">
        <f>IF(E979="InActive","-",IF(A979&lt;&gt;"",K979/'⚙️ Config'!$H$2,))</f>
        <v/>
      </c>
      <c r="M979" s="28" t="str">
        <f t="shared" si="2"/>
        <v/>
      </c>
      <c r="N979" s="28" t="str">
        <f>IF(A979&lt;&gt;"", SUMIFS('💰 Transaction ขาย'!F:F,'💰 Transaction ขาย'!B:B,A979,'💰 Transaction ขาย'!A:A,"&gt;="&amp;DATE(YEAR('⚙️ Config'!$H$1),1,1),'💰 Transaction ขาย'!A:A,"&lt;="&amp;DATE(YEAR('⚙️ Config'!$H$1),12,31)),)</f>
        <v/>
      </c>
    </row>
    <row r="980">
      <c r="A980" s="22"/>
      <c r="B980" s="22" t="str">
        <f>IF(A980&lt;&gt;"",SUMIFS('💸 Transaction ซื้อ'!E:E,'💸 Transaction ซื้อ'!B:B,A980)-SUMIFS('💰 Transaction ขาย'!E:E,'💰 Transaction ขาย'!B:B,A980),"")</f>
        <v/>
      </c>
      <c r="C980" s="23" t="str">
        <f>IF(A980&lt;&gt;"",vlookup(A980,'📦 ชื่อสินค้า'!A:E,5,false),"")</f>
        <v/>
      </c>
      <c r="D980" s="23" t="str">
        <f>IF(A980&lt;&gt;"",VLOOKUP(A980,'📦 ชื่อสินค้า'!A:F,6,false),"")</f>
        <v/>
      </c>
      <c r="E980" s="16" t="str">
        <f>IFERROR(IF(VLOOKUP(A980,'📦 ชื่อสินค้า'!A:G,7,false)="InActive","InActive",IF(A980&lt;&gt;"",IF(B980&lt;=0,"สินค้าหมด",IF(B980&lt;=C980,"ควรเติมทันที","OK")),"")),)</f>
        <v/>
      </c>
      <c r="F980" s="24" t="str">
        <f>IFERROR(IF(A980&lt;&gt;"", SUMIF('💸 Transaction ซื้อ'!B:B,A980,'💸 Transaction ซื้อ'!G:G)/SUMIF('💸 Transaction ซื้อ'!B:B,A980,'💸 Transaction ซื้อ'!E:E),""),"-")</f>
        <v/>
      </c>
      <c r="G980" s="24" t="str">
        <f t="shared" si="1"/>
        <v/>
      </c>
      <c r="H980" s="25"/>
      <c r="I980" s="26"/>
      <c r="J980" s="26"/>
      <c r="K980" s="27" t="str">
        <f>IF(A980&lt;&gt;"",IF(E980="InActive","-",SUMIFS('💰 Transaction ขาย'!E:E,'💰 Transaction ขาย'!B:B,A980,'💰 Transaction ขาย'!A:A,"&gt;"&amp;'⚙️ Config'!$H$1-'⚙️ Config'!$H$2)),)</f>
        <v/>
      </c>
      <c r="L980" s="28" t="str">
        <f>IF(E980="InActive","-",IF(A980&lt;&gt;"",K980/'⚙️ Config'!$H$2,))</f>
        <v/>
      </c>
      <c r="M980" s="28" t="str">
        <f t="shared" si="2"/>
        <v/>
      </c>
      <c r="N980" s="28" t="str">
        <f>IF(A980&lt;&gt;"", SUMIFS('💰 Transaction ขาย'!F:F,'💰 Transaction ขาย'!B:B,A980,'💰 Transaction ขาย'!A:A,"&gt;="&amp;DATE(YEAR('⚙️ Config'!$H$1),1,1),'💰 Transaction ขาย'!A:A,"&lt;="&amp;DATE(YEAR('⚙️ Config'!$H$1),12,31)),)</f>
        <v/>
      </c>
    </row>
    <row r="981">
      <c r="A981" s="22"/>
      <c r="B981" s="22" t="str">
        <f>IF(A981&lt;&gt;"",SUMIFS('💸 Transaction ซื้อ'!E:E,'💸 Transaction ซื้อ'!B:B,A981)-SUMIFS('💰 Transaction ขาย'!E:E,'💰 Transaction ขาย'!B:B,A981),"")</f>
        <v/>
      </c>
      <c r="C981" s="23" t="str">
        <f>IF(A981&lt;&gt;"",vlookup(A981,'📦 ชื่อสินค้า'!A:E,5,false),"")</f>
        <v/>
      </c>
      <c r="D981" s="23" t="str">
        <f>IF(A981&lt;&gt;"",VLOOKUP(A981,'📦 ชื่อสินค้า'!A:F,6,false),"")</f>
        <v/>
      </c>
      <c r="E981" s="16" t="str">
        <f>IFERROR(IF(VLOOKUP(A981,'📦 ชื่อสินค้า'!A:G,7,false)="InActive","InActive",IF(A981&lt;&gt;"",IF(B981&lt;=0,"สินค้าหมด",IF(B981&lt;=C981,"ควรเติมทันที","OK")),"")),)</f>
        <v/>
      </c>
      <c r="F981" s="24" t="str">
        <f>IFERROR(IF(A981&lt;&gt;"", SUMIF('💸 Transaction ซื้อ'!B:B,A981,'💸 Transaction ซื้อ'!G:G)/SUMIF('💸 Transaction ซื้อ'!B:B,A981,'💸 Transaction ซื้อ'!E:E),""),"-")</f>
        <v/>
      </c>
      <c r="G981" s="24" t="str">
        <f t="shared" si="1"/>
        <v/>
      </c>
      <c r="H981" s="25"/>
      <c r="I981" s="26"/>
      <c r="J981" s="26"/>
      <c r="K981" s="27" t="str">
        <f>IF(A981&lt;&gt;"",IF(E981="InActive","-",SUMIFS('💰 Transaction ขาย'!E:E,'💰 Transaction ขาย'!B:B,A981,'💰 Transaction ขาย'!A:A,"&gt;"&amp;'⚙️ Config'!$H$1-'⚙️ Config'!$H$2)),)</f>
        <v/>
      </c>
      <c r="L981" s="28" t="str">
        <f>IF(E981="InActive","-",IF(A981&lt;&gt;"",K981/'⚙️ Config'!$H$2,))</f>
        <v/>
      </c>
      <c r="M981" s="28" t="str">
        <f t="shared" si="2"/>
        <v/>
      </c>
      <c r="N981" s="28" t="str">
        <f>IF(A981&lt;&gt;"", SUMIFS('💰 Transaction ขาย'!F:F,'💰 Transaction ขาย'!B:B,A981,'💰 Transaction ขาย'!A:A,"&gt;="&amp;DATE(YEAR('⚙️ Config'!$H$1),1,1),'💰 Transaction ขาย'!A:A,"&lt;="&amp;DATE(YEAR('⚙️ Config'!$H$1),12,31)),)</f>
        <v/>
      </c>
    </row>
    <row r="982">
      <c r="A982" s="22"/>
      <c r="B982" s="22" t="str">
        <f>IF(A982&lt;&gt;"",SUMIFS('💸 Transaction ซื้อ'!E:E,'💸 Transaction ซื้อ'!B:B,A982)-SUMIFS('💰 Transaction ขาย'!E:E,'💰 Transaction ขาย'!B:B,A982),"")</f>
        <v/>
      </c>
      <c r="C982" s="23" t="str">
        <f>IF(A982&lt;&gt;"",vlookup(A982,'📦 ชื่อสินค้า'!A:E,5,false),"")</f>
        <v/>
      </c>
      <c r="D982" s="23" t="str">
        <f>IF(A982&lt;&gt;"",VLOOKUP(A982,'📦 ชื่อสินค้า'!A:F,6,false),"")</f>
        <v/>
      </c>
      <c r="E982" s="16" t="str">
        <f>IFERROR(IF(VLOOKUP(A982,'📦 ชื่อสินค้า'!A:G,7,false)="InActive","InActive",IF(A982&lt;&gt;"",IF(B982&lt;=0,"สินค้าหมด",IF(B982&lt;=C982,"ควรเติมทันที","OK")),"")),)</f>
        <v/>
      </c>
      <c r="F982" s="24" t="str">
        <f>IFERROR(IF(A982&lt;&gt;"", SUMIF('💸 Transaction ซื้อ'!B:B,A982,'💸 Transaction ซื้อ'!G:G)/SUMIF('💸 Transaction ซื้อ'!B:B,A982,'💸 Transaction ซื้อ'!E:E),""),"-")</f>
        <v/>
      </c>
      <c r="G982" s="24" t="str">
        <f t="shared" si="1"/>
        <v/>
      </c>
      <c r="H982" s="25"/>
      <c r="I982" s="26"/>
      <c r="J982" s="26"/>
      <c r="K982" s="27" t="str">
        <f>IF(A982&lt;&gt;"",IF(E982="InActive","-",SUMIFS('💰 Transaction ขาย'!E:E,'💰 Transaction ขาย'!B:B,A982,'💰 Transaction ขาย'!A:A,"&gt;"&amp;'⚙️ Config'!$H$1-'⚙️ Config'!$H$2)),)</f>
        <v/>
      </c>
      <c r="L982" s="28" t="str">
        <f>IF(E982="InActive","-",IF(A982&lt;&gt;"",K982/'⚙️ Config'!$H$2,))</f>
        <v/>
      </c>
      <c r="M982" s="28" t="str">
        <f t="shared" si="2"/>
        <v/>
      </c>
      <c r="N982" s="28" t="str">
        <f>IF(A982&lt;&gt;"", SUMIFS('💰 Transaction ขาย'!F:F,'💰 Transaction ขาย'!B:B,A982,'💰 Transaction ขาย'!A:A,"&gt;="&amp;DATE(YEAR('⚙️ Config'!$H$1),1,1),'💰 Transaction ขาย'!A:A,"&lt;="&amp;DATE(YEAR('⚙️ Config'!$H$1),12,31)),)</f>
        <v/>
      </c>
    </row>
    <row r="983">
      <c r="A983" s="22"/>
      <c r="B983" s="22" t="str">
        <f>IF(A983&lt;&gt;"",SUMIFS('💸 Transaction ซื้อ'!E:E,'💸 Transaction ซื้อ'!B:B,A983)-SUMIFS('💰 Transaction ขาย'!E:E,'💰 Transaction ขาย'!B:B,A983),"")</f>
        <v/>
      </c>
      <c r="C983" s="23" t="str">
        <f>IF(A983&lt;&gt;"",vlookup(A983,'📦 ชื่อสินค้า'!A:E,5,false),"")</f>
        <v/>
      </c>
      <c r="D983" s="23" t="str">
        <f>IF(A983&lt;&gt;"",VLOOKUP(A983,'📦 ชื่อสินค้า'!A:F,6,false),"")</f>
        <v/>
      </c>
      <c r="E983" s="16" t="str">
        <f>IFERROR(IF(VLOOKUP(A983,'📦 ชื่อสินค้า'!A:G,7,false)="InActive","InActive",IF(A983&lt;&gt;"",IF(B983&lt;=0,"สินค้าหมด",IF(B983&lt;=C983,"ควรเติมทันที","OK")),"")),)</f>
        <v/>
      </c>
      <c r="F983" s="24" t="str">
        <f>IFERROR(IF(A983&lt;&gt;"", SUMIF('💸 Transaction ซื้อ'!B:B,A983,'💸 Transaction ซื้อ'!G:G)/SUMIF('💸 Transaction ซื้อ'!B:B,A983,'💸 Transaction ซื้อ'!E:E),""),"-")</f>
        <v/>
      </c>
      <c r="G983" s="24" t="str">
        <f t="shared" si="1"/>
        <v/>
      </c>
      <c r="H983" s="25"/>
      <c r="I983" s="26"/>
      <c r="J983" s="26"/>
      <c r="K983" s="27" t="str">
        <f>IF(A983&lt;&gt;"",IF(E983="InActive","-",SUMIFS('💰 Transaction ขาย'!E:E,'💰 Transaction ขาย'!B:B,A983,'💰 Transaction ขาย'!A:A,"&gt;"&amp;'⚙️ Config'!$H$1-'⚙️ Config'!$H$2)),)</f>
        <v/>
      </c>
      <c r="L983" s="28" t="str">
        <f>IF(E983="InActive","-",IF(A983&lt;&gt;"",K983/'⚙️ Config'!$H$2,))</f>
        <v/>
      </c>
      <c r="M983" s="28" t="str">
        <f t="shared" si="2"/>
        <v/>
      </c>
      <c r="N983" s="28" t="str">
        <f>IF(A983&lt;&gt;"", SUMIFS('💰 Transaction ขาย'!F:F,'💰 Transaction ขาย'!B:B,A983,'💰 Transaction ขาย'!A:A,"&gt;="&amp;DATE(YEAR('⚙️ Config'!$H$1),1,1),'💰 Transaction ขาย'!A:A,"&lt;="&amp;DATE(YEAR('⚙️ Config'!$H$1),12,31)),)</f>
        <v/>
      </c>
    </row>
    <row r="984">
      <c r="A984" s="22"/>
      <c r="B984" s="22" t="str">
        <f>IF(A984&lt;&gt;"",SUMIFS('💸 Transaction ซื้อ'!E:E,'💸 Transaction ซื้อ'!B:B,A984)-SUMIFS('💰 Transaction ขาย'!E:E,'💰 Transaction ขาย'!B:B,A984),"")</f>
        <v/>
      </c>
      <c r="C984" s="23" t="str">
        <f>IF(A984&lt;&gt;"",vlookup(A984,'📦 ชื่อสินค้า'!A:E,5,false),"")</f>
        <v/>
      </c>
      <c r="D984" s="23" t="str">
        <f>IF(A984&lt;&gt;"",VLOOKUP(A984,'📦 ชื่อสินค้า'!A:F,6,false),"")</f>
        <v/>
      </c>
      <c r="E984" s="16" t="str">
        <f>IFERROR(IF(VLOOKUP(A984,'📦 ชื่อสินค้า'!A:G,7,false)="InActive","InActive",IF(A984&lt;&gt;"",IF(B984&lt;=0,"สินค้าหมด",IF(B984&lt;=C984,"ควรเติมทันที","OK")),"")),)</f>
        <v/>
      </c>
      <c r="F984" s="24" t="str">
        <f>IFERROR(IF(A984&lt;&gt;"", SUMIF('💸 Transaction ซื้อ'!B:B,A984,'💸 Transaction ซื้อ'!G:G)/SUMIF('💸 Transaction ซื้อ'!B:B,A984,'💸 Transaction ซื้อ'!E:E),""),"-")</f>
        <v/>
      </c>
      <c r="G984" s="24" t="str">
        <f t="shared" si="1"/>
        <v/>
      </c>
      <c r="H984" s="25"/>
      <c r="I984" s="26"/>
      <c r="J984" s="26"/>
      <c r="K984" s="27" t="str">
        <f>IF(A984&lt;&gt;"",IF(E984="InActive","-",SUMIFS('💰 Transaction ขาย'!E:E,'💰 Transaction ขาย'!B:B,A984,'💰 Transaction ขาย'!A:A,"&gt;"&amp;'⚙️ Config'!$H$1-'⚙️ Config'!$H$2)),)</f>
        <v/>
      </c>
      <c r="L984" s="28" t="str">
        <f>IF(E984="InActive","-",IF(A984&lt;&gt;"",K984/'⚙️ Config'!$H$2,))</f>
        <v/>
      </c>
      <c r="M984" s="28" t="str">
        <f t="shared" si="2"/>
        <v/>
      </c>
      <c r="N984" s="28" t="str">
        <f>IF(A984&lt;&gt;"", SUMIFS('💰 Transaction ขาย'!F:F,'💰 Transaction ขาย'!B:B,A984,'💰 Transaction ขาย'!A:A,"&gt;="&amp;DATE(YEAR('⚙️ Config'!$H$1),1,1),'💰 Transaction ขาย'!A:A,"&lt;="&amp;DATE(YEAR('⚙️ Config'!$H$1),12,31)),)</f>
        <v/>
      </c>
    </row>
    <row r="985">
      <c r="A985" s="22"/>
      <c r="B985" s="22" t="str">
        <f>IF(A985&lt;&gt;"",SUMIFS('💸 Transaction ซื้อ'!E:E,'💸 Transaction ซื้อ'!B:B,A985)-SUMIFS('💰 Transaction ขาย'!E:E,'💰 Transaction ขาย'!B:B,A985),"")</f>
        <v/>
      </c>
      <c r="C985" s="23" t="str">
        <f>IF(A985&lt;&gt;"",vlookup(A985,'📦 ชื่อสินค้า'!A:E,5,false),"")</f>
        <v/>
      </c>
      <c r="D985" s="23" t="str">
        <f>IF(A985&lt;&gt;"",VLOOKUP(A985,'📦 ชื่อสินค้า'!A:F,6,false),"")</f>
        <v/>
      </c>
      <c r="E985" s="16" t="str">
        <f>IFERROR(IF(VLOOKUP(A985,'📦 ชื่อสินค้า'!A:G,7,false)="InActive","InActive",IF(A985&lt;&gt;"",IF(B985&lt;=0,"สินค้าหมด",IF(B985&lt;=C985,"ควรเติมทันที","OK")),"")),)</f>
        <v/>
      </c>
      <c r="F985" s="24" t="str">
        <f>IFERROR(IF(A985&lt;&gt;"", SUMIF('💸 Transaction ซื้อ'!B:B,A985,'💸 Transaction ซื้อ'!G:G)/SUMIF('💸 Transaction ซื้อ'!B:B,A985,'💸 Transaction ซื้อ'!E:E),""),"-")</f>
        <v/>
      </c>
      <c r="G985" s="24" t="str">
        <f t="shared" si="1"/>
        <v/>
      </c>
      <c r="H985" s="25"/>
      <c r="I985" s="26"/>
      <c r="J985" s="26"/>
      <c r="K985" s="27" t="str">
        <f>IF(A985&lt;&gt;"",IF(E985="InActive","-",SUMIFS('💰 Transaction ขาย'!E:E,'💰 Transaction ขาย'!B:B,A985,'💰 Transaction ขาย'!A:A,"&gt;"&amp;'⚙️ Config'!$H$1-'⚙️ Config'!$H$2)),)</f>
        <v/>
      </c>
      <c r="L985" s="28" t="str">
        <f>IF(E985="InActive","-",IF(A985&lt;&gt;"",K985/'⚙️ Config'!$H$2,))</f>
        <v/>
      </c>
      <c r="M985" s="28" t="str">
        <f t="shared" si="2"/>
        <v/>
      </c>
      <c r="N985" s="28" t="str">
        <f>IF(A985&lt;&gt;"", SUMIFS('💰 Transaction ขาย'!F:F,'💰 Transaction ขาย'!B:B,A985,'💰 Transaction ขาย'!A:A,"&gt;="&amp;DATE(YEAR('⚙️ Config'!$H$1),1,1),'💰 Transaction ขาย'!A:A,"&lt;="&amp;DATE(YEAR('⚙️ Config'!$H$1),12,31)),)</f>
        <v/>
      </c>
    </row>
    <row r="986">
      <c r="A986" s="22"/>
      <c r="B986" s="22" t="str">
        <f>IF(A986&lt;&gt;"",SUMIFS('💸 Transaction ซื้อ'!E:E,'💸 Transaction ซื้อ'!B:B,A986)-SUMIFS('💰 Transaction ขาย'!E:E,'💰 Transaction ขาย'!B:B,A986),"")</f>
        <v/>
      </c>
      <c r="C986" s="23" t="str">
        <f>IF(A986&lt;&gt;"",vlookup(A986,'📦 ชื่อสินค้า'!A:E,5,false),"")</f>
        <v/>
      </c>
      <c r="D986" s="23" t="str">
        <f>IF(A986&lt;&gt;"",VLOOKUP(A986,'📦 ชื่อสินค้า'!A:F,6,false),"")</f>
        <v/>
      </c>
      <c r="E986" s="16" t="str">
        <f>IFERROR(IF(VLOOKUP(A986,'📦 ชื่อสินค้า'!A:G,7,false)="InActive","InActive",IF(A986&lt;&gt;"",IF(B986&lt;=0,"สินค้าหมด",IF(B986&lt;=C986,"ควรเติมทันที","OK")),"")),)</f>
        <v/>
      </c>
      <c r="F986" s="24" t="str">
        <f>IFERROR(IF(A986&lt;&gt;"", SUMIF('💸 Transaction ซื้อ'!B:B,A986,'💸 Transaction ซื้อ'!G:G)/SUMIF('💸 Transaction ซื้อ'!B:B,A986,'💸 Transaction ซื้อ'!E:E),""),"-")</f>
        <v/>
      </c>
      <c r="G986" s="24" t="str">
        <f t="shared" si="1"/>
        <v/>
      </c>
      <c r="H986" s="25"/>
      <c r="I986" s="26"/>
      <c r="J986" s="26"/>
      <c r="K986" s="27" t="str">
        <f>IF(A986&lt;&gt;"",IF(E986="InActive","-",SUMIFS('💰 Transaction ขาย'!E:E,'💰 Transaction ขาย'!B:B,A986,'💰 Transaction ขาย'!A:A,"&gt;"&amp;'⚙️ Config'!$H$1-'⚙️ Config'!$H$2)),)</f>
        <v/>
      </c>
      <c r="L986" s="28" t="str">
        <f>IF(E986="InActive","-",IF(A986&lt;&gt;"",K986/'⚙️ Config'!$H$2,))</f>
        <v/>
      </c>
      <c r="M986" s="28" t="str">
        <f t="shared" si="2"/>
        <v/>
      </c>
      <c r="N986" s="28" t="str">
        <f>IF(A986&lt;&gt;"", SUMIFS('💰 Transaction ขาย'!F:F,'💰 Transaction ขาย'!B:B,A986,'💰 Transaction ขาย'!A:A,"&gt;="&amp;DATE(YEAR('⚙️ Config'!$H$1),1,1),'💰 Transaction ขาย'!A:A,"&lt;="&amp;DATE(YEAR('⚙️ Config'!$H$1),12,31)),)</f>
        <v/>
      </c>
    </row>
    <row r="987">
      <c r="A987" s="22"/>
      <c r="B987" s="22" t="str">
        <f>IF(A987&lt;&gt;"",SUMIFS('💸 Transaction ซื้อ'!E:E,'💸 Transaction ซื้อ'!B:B,A987)-SUMIFS('💰 Transaction ขาย'!E:E,'💰 Transaction ขาย'!B:B,A987),"")</f>
        <v/>
      </c>
      <c r="C987" s="23" t="str">
        <f>IF(A987&lt;&gt;"",vlookup(A987,'📦 ชื่อสินค้า'!A:E,5,false),"")</f>
        <v/>
      </c>
      <c r="D987" s="23" t="str">
        <f>IF(A987&lt;&gt;"",VLOOKUP(A987,'📦 ชื่อสินค้า'!A:F,6,false),"")</f>
        <v/>
      </c>
      <c r="E987" s="16" t="str">
        <f>IFERROR(IF(VLOOKUP(A987,'📦 ชื่อสินค้า'!A:G,7,false)="InActive","InActive",IF(A987&lt;&gt;"",IF(B987&lt;=0,"สินค้าหมด",IF(B987&lt;=C987,"ควรเติมทันที","OK")),"")),)</f>
        <v/>
      </c>
      <c r="F987" s="24" t="str">
        <f>IFERROR(IF(A987&lt;&gt;"", SUMIF('💸 Transaction ซื้อ'!B:B,A987,'💸 Transaction ซื้อ'!G:G)/SUMIF('💸 Transaction ซื้อ'!B:B,A987,'💸 Transaction ซื้อ'!E:E),""),"-")</f>
        <v/>
      </c>
      <c r="G987" s="24" t="str">
        <f t="shared" si="1"/>
        <v/>
      </c>
      <c r="H987" s="25"/>
      <c r="I987" s="26"/>
      <c r="J987" s="26"/>
      <c r="K987" s="27" t="str">
        <f>IF(A987&lt;&gt;"",IF(E987="InActive","-",SUMIFS('💰 Transaction ขาย'!E:E,'💰 Transaction ขาย'!B:B,A987,'💰 Transaction ขาย'!A:A,"&gt;"&amp;'⚙️ Config'!$H$1-'⚙️ Config'!$H$2)),)</f>
        <v/>
      </c>
      <c r="L987" s="28" t="str">
        <f>IF(E987="InActive","-",IF(A987&lt;&gt;"",K987/'⚙️ Config'!$H$2,))</f>
        <v/>
      </c>
      <c r="M987" s="28" t="str">
        <f t="shared" si="2"/>
        <v/>
      </c>
      <c r="N987" s="28" t="str">
        <f>IF(A987&lt;&gt;"", SUMIFS('💰 Transaction ขาย'!F:F,'💰 Transaction ขาย'!B:B,A987,'💰 Transaction ขาย'!A:A,"&gt;="&amp;DATE(YEAR('⚙️ Config'!$H$1),1,1),'💰 Transaction ขาย'!A:A,"&lt;="&amp;DATE(YEAR('⚙️ Config'!$H$1),12,31)),)</f>
        <v/>
      </c>
    </row>
    <row r="988">
      <c r="A988" s="22"/>
      <c r="B988" s="22" t="str">
        <f>IF(A988&lt;&gt;"",SUMIFS('💸 Transaction ซื้อ'!E:E,'💸 Transaction ซื้อ'!B:B,A988)-SUMIFS('💰 Transaction ขาย'!E:E,'💰 Transaction ขาย'!B:B,A988),"")</f>
        <v/>
      </c>
      <c r="C988" s="23" t="str">
        <f>IF(A988&lt;&gt;"",vlookup(A988,'📦 ชื่อสินค้า'!A:E,5,false),"")</f>
        <v/>
      </c>
      <c r="D988" s="23" t="str">
        <f>IF(A988&lt;&gt;"",VLOOKUP(A988,'📦 ชื่อสินค้า'!A:F,6,false),"")</f>
        <v/>
      </c>
      <c r="E988" s="16" t="str">
        <f>IFERROR(IF(VLOOKUP(A988,'📦 ชื่อสินค้า'!A:G,7,false)="InActive","InActive",IF(A988&lt;&gt;"",IF(B988&lt;=0,"สินค้าหมด",IF(B988&lt;=C988,"ควรเติมทันที","OK")),"")),)</f>
        <v/>
      </c>
      <c r="F988" s="24" t="str">
        <f>IFERROR(IF(A988&lt;&gt;"", SUMIF('💸 Transaction ซื้อ'!B:B,A988,'💸 Transaction ซื้อ'!G:G)/SUMIF('💸 Transaction ซื้อ'!B:B,A988,'💸 Transaction ซื้อ'!E:E),""),"-")</f>
        <v/>
      </c>
      <c r="G988" s="24" t="str">
        <f t="shared" si="1"/>
        <v/>
      </c>
      <c r="H988" s="25"/>
      <c r="I988" s="26"/>
      <c r="J988" s="26"/>
      <c r="K988" s="27" t="str">
        <f>IF(A988&lt;&gt;"",IF(E988="InActive","-",SUMIFS('💰 Transaction ขาย'!E:E,'💰 Transaction ขาย'!B:B,A988,'💰 Transaction ขาย'!A:A,"&gt;"&amp;'⚙️ Config'!$H$1-'⚙️ Config'!$H$2)),)</f>
        <v/>
      </c>
      <c r="L988" s="28" t="str">
        <f>IF(E988="InActive","-",IF(A988&lt;&gt;"",K988/'⚙️ Config'!$H$2,))</f>
        <v/>
      </c>
      <c r="M988" s="28" t="str">
        <f t="shared" si="2"/>
        <v/>
      </c>
      <c r="N988" s="28" t="str">
        <f>IF(A988&lt;&gt;"", SUMIFS('💰 Transaction ขาย'!F:F,'💰 Transaction ขาย'!B:B,A988,'💰 Transaction ขาย'!A:A,"&gt;="&amp;DATE(YEAR('⚙️ Config'!$H$1),1,1),'💰 Transaction ขาย'!A:A,"&lt;="&amp;DATE(YEAR('⚙️ Config'!$H$1),12,31)),)</f>
        <v/>
      </c>
    </row>
    <row r="989">
      <c r="A989" s="22"/>
      <c r="B989" s="22" t="str">
        <f>IF(A989&lt;&gt;"",SUMIFS('💸 Transaction ซื้อ'!E:E,'💸 Transaction ซื้อ'!B:B,A989)-SUMIFS('💰 Transaction ขาย'!E:E,'💰 Transaction ขาย'!B:B,A989),"")</f>
        <v/>
      </c>
      <c r="C989" s="23" t="str">
        <f>IF(A989&lt;&gt;"",vlookup(A989,'📦 ชื่อสินค้า'!A:E,5,false),"")</f>
        <v/>
      </c>
      <c r="D989" s="23" t="str">
        <f>IF(A989&lt;&gt;"",VLOOKUP(A989,'📦 ชื่อสินค้า'!A:F,6,false),"")</f>
        <v/>
      </c>
      <c r="E989" s="16" t="str">
        <f>IFERROR(IF(VLOOKUP(A989,'📦 ชื่อสินค้า'!A:G,7,false)="InActive","InActive",IF(A989&lt;&gt;"",IF(B989&lt;=0,"สินค้าหมด",IF(B989&lt;=C989,"ควรเติมทันที","OK")),"")),)</f>
        <v/>
      </c>
      <c r="F989" s="24" t="str">
        <f>IFERROR(IF(A989&lt;&gt;"", SUMIF('💸 Transaction ซื้อ'!B:B,A989,'💸 Transaction ซื้อ'!G:G)/SUMIF('💸 Transaction ซื้อ'!B:B,A989,'💸 Transaction ซื้อ'!E:E),""),"-")</f>
        <v/>
      </c>
      <c r="G989" s="24" t="str">
        <f t="shared" si="1"/>
        <v/>
      </c>
      <c r="H989" s="25"/>
      <c r="I989" s="26"/>
      <c r="J989" s="26"/>
      <c r="K989" s="27" t="str">
        <f>IF(A989&lt;&gt;"",IF(E989="InActive","-",SUMIFS('💰 Transaction ขาย'!E:E,'💰 Transaction ขาย'!B:B,A989,'💰 Transaction ขาย'!A:A,"&gt;"&amp;'⚙️ Config'!$H$1-'⚙️ Config'!$H$2)),)</f>
        <v/>
      </c>
      <c r="L989" s="28" t="str">
        <f>IF(E989="InActive","-",IF(A989&lt;&gt;"",K989/'⚙️ Config'!$H$2,))</f>
        <v/>
      </c>
      <c r="M989" s="28" t="str">
        <f t="shared" si="2"/>
        <v/>
      </c>
      <c r="N989" s="28" t="str">
        <f>IF(A989&lt;&gt;"", SUMIFS('💰 Transaction ขาย'!F:F,'💰 Transaction ขาย'!B:B,A989,'💰 Transaction ขาย'!A:A,"&gt;="&amp;DATE(YEAR('⚙️ Config'!$H$1),1,1),'💰 Transaction ขาย'!A:A,"&lt;="&amp;DATE(YEAR('⚙️ Config'!$H$1),12,31)),)</f>
        <v/>
      </c>
    </row>
    <row r="990">
      <c r="A990" s="22"/>
      <c r="B990" s="22" t="str">
        <f>IF(A990&lt;&gt;"",SUMIFS('💸 Transaction ซื้อ'!E:E,'💸 Transaction ซื้อ'!B:B,A990)-SUMIFS('💰 Transaction ขาย'!E:E,'💰 Transaction ขาย'!B:B,A990),"")</f>
        <v/>
      </c>
      <c r="C990" s="23" t="str">
        <f>IF(A990&lt;&gt;"",vlookup(A990,'📦 ชื่อสินค้า'!A:E,5,false),"")</f>
        <v/>
      </c>
      <c r="D990" s="23" t="str">
        <f>IF(A990&lt;&gt;"",VLOOKUP(A990,'📦 ชื่อสินค้า'!A:F,6,false),"")</f>
        <v/>
      </c>
      <c r="E990" s="16" t="str">
        <f>IFERROR(IF(VLOOKUP(A990,'📦 ชื่อสินค้า'!A:G,7,false)="InActive","InActive",IF(A990&lt;&gt;"",IF(B990&lt;=0,"สินค้าหมด",IF(B990&lt;=C990,"ควรเติมทันที","OK")),"")),)</f>
        <v/>
      </c>
      <c r="F990" s="24" t="str">
        <f>IFERROR(IF(A990&lt;&gt;"", SUMIF('💸 Transaction ซื้อ'!B:B,A990,'💸 Transaction ซื้อ'!G:G)/SUMIF('💸 Transaction ซื้อ'!B:B,A990,'💸 Transaction ซื้อ'!E:E),""),"-")</f>
        <v/>
      </c>
      <c r="G990" s="24" t="str">
        <f t="shared" si="1"/>
        <v/>
      </c>
      <c r="H990" s="25"/>
      <c r="I990" s="26"/>
      <c r="J990" s="26"/>
      <c r="K990" s="27" t="str">
        <f>IF(A990&lt;&gt;"",IF(E990="InActive","-",SUMIFS('💰 Transaction ขาย'!E:E,'💰 Transaction ขาย'!B:B,A990,'💰 Transaction ขาย'!A:A,"&gt;"&amp;'⚙️ Config'!$H$1-'⚙️ Config'!$H$2)),)</f>
        <v/>
      </c>
      <c r="L990" s="28" t="str">
        <f>IF(E990="InActive","-",IF(A990&lt;&gt;"",K990/'⚙️ Config'!$H$2,))</f>
        <v/>
      </c>
      <c r="M990" s="28" t="str">
        <f t="shared" si="2"/>
        <v/>
      </c>
      <c r="N990" s="28" t="str">
        <f>IF(A990&lt;&gt;"", SUMIFS('💰 Transaction ขาย'!F:F,'💰 Transaction ขาย'!B:B,A990,'💰 Transaction ขาย'!A:A,"&gt;="&amp;DATE(YEAR('⚙️ Config'!$H$1),1,1),'💰 Transaction ขาย'!A:A,"&lt;="&amp;DATE(YEAR('⚙️ Config'!$H$1),12,31)),)</f>
        <v/>
      </c>
    </row>
    <row r="991">
      <c r="A991" s="22"/>
      <c r="B991" s="22" t="str">
        <f>IF(A991&lt;&gt;"",SUMIFS('💸 Transaction ซื้อ'!E:E,'💸 Transaction ซื้อ'!B:B,A991)-SUMIFS('💰 Transaction ขาย'!E:E,'💰 Transaction ขาย'!B:B,A991),"")</f>
        <v/>
      </c>
      <c r="C991" s="23" t="str">
        <f>IF(A991&lt;&gt;"",vlookup(A991,'📦 ชื่อสินค้า'!A:E,5,false),"")</f>
        <v/>
      </c>
      <c r="D991" s="23" t="str">
        <f>IF(A991&lt;&gt;"",VLOOKUP(A991,'📦 ชื่อสินค้า'!A:F,6,false),"")</f>
        <v/>
      </c>
      <c r="E991" s="16" t="str">
        <f>IFERROR(IF(VLOOKUP(A991,'📦 ชื่อสินค้า'!A:G,7,false)="InActive","InActive",IF(A991&lt;&gt;"",IF(B991&lt;=0,"สินค้าหมด",IF(B991&lt;=C991,"ควรเติมทันที","OK")),"")),)</f>
        <v/>
      </c>
      <c r="F991" s="24" t="str">
        <f>IFERROR(IF(A991&lt;&gt;"", SUMIF('💸 Transaction ซื้อ'!B:B,A991,'💸 Transaction ซื้อ'!G:G)/SUMIF('💸 Transaction ซื้อ'!B:B,A991,'💸 Transaction ซื้อ'!E:E),""),"-")</f>
        <v/>
      </c>
      <c r="G991" s="24" t="str">
        <f t="shared" si="1"/>
        <v/>
      </c>
      <c r="H991" s="25"/>
      <c r="I991" s="26"/>
      <c r="J991" s="26"/>
      <c r="K991" s="27" t="str">
        <f>IF(A991&lt;&gt;"",IF(E991="InActive","-",SUMIFS('💰 Transaction ขาย'!E:E,'💰 Transaction ขาย'!B:B,A991,'💰 Transaction ขาย'!A:A,"&gt;"&amp;'⚙️ Config'!$H$1-'⚙️ Config'!$H$2)),)</f>
        <v/>
      </c>
      <c r="L991" s="28" t="str">
        <f>IF(E991="InActive","-",IF(A991&lt;&gt;"",K991/'⚙️ Config'!$H$2,))</f>
        <v/>
      </c>
      <c r="M991" s="28" t="str">
        <f t="shared" si="2"/>
        <v/>
      </c>
      <c r="N991" s="28" t="str">
        <f>IF(A991&lt;&gt;"", SUMIFS('💰 Transaction ขาย'!F:F,'💰 Transaction ขาย'!B:B,A991,'💰 Transaction ขาย'!A:A,"&gt;="&amp;DATE(YEAR('⚙️ Config'!$H$1),1,1),'💰 Transaction ขาย'!A:A,"&lt;="&amp;DATE(YEAR('⚙️ Config'!$H$1),12,31)),)</f>
        <v/>
      </c>
    </row>
    <row r="992">
      <c r="A992" s="22"/>
      <c r="B992" s="22" t="str">
        <f>IF(A992&lt;&gt;"",SUMIFS('💸 Transaction ซื้อ'!E:E,'💸 Transaction ซื้อ'!B:B,A992)-SUMIFS('💰 Transaction ขาย'!E:E,'💰 Transaction ขาย'!B:B,A992),"")</f>
        <v/>
      </c>
      <c r="C992" s="23" t="str">
        <f>IF(A992&lt;&gt;"",vlookup(A992,'📦 ชื่อสินค้า'!A:E,5,false),"")</f>
        <v/>
      </c>
      <c r="D992" s="23" t="str">
        <f>IF(A992&lt;&gt;"",VLOOKUP(A992,'📦 ชื่อสินค้า'!A:F,6,false),"")</f>
        <v/>
      </c>
      <c r="E992" s="16" t="str">
        <f>IFERROR(IF(VLOOKUP(A992,'📦 ชื่อสินค้า'!A:G,7,false)="InActive","InActive",IF(A992&lt;&gt;"",IF(B992&lt;=0,"สินค้าหมด",IF(B992&lt;=C992,"ควรเติมทันที","OK")),"")),)</f>
        <v/>
      </c>
      <c r="F992" s="24" t="str">
        <f>IFERROR(IF(A992&lt;&gt;"", SUMIF('💸 Transaction ซื้อ'!B:B,A992,'💸 Transaction ซื้อ'!G:G)/SUMIF('💸 Transaction ซื้อ'!B:B,A992,'💸 Transaction ซื้อ'!E:E),""),"-")</f>
        <v/>
      </c>
      <c r="G992" s="24" t="str">
        <f t="shared" si="1"/>
        <v/>
      </c>
      <c r="H992" s="25"/>
      <c r="I992" s="26"/>
      <c r="J992" s="26"/>
      <c r="K992" s="27" t="str">
        <f>IF(A992&lt;&gt;"",IF(E992="InActive","-",SUMIFS('💰 Transaction ขาย'!E:E,'💰 Transaction ขาย'!B:B,A992,'💰 Transaction ขาย'!A:A,"&gt;"&amp;'⚙️ Config'!$H$1-'⚙️ Config'!$H$2)),)</f>
        <v/>
      </c>
      <c r="L992" s="28" t="str">
        <f>IF(E992="InActive","-",IF(A992&lt;&gt;"",K992/'⚙️ Config'!$H$2,))</f>
        <v/>
      </c>
      <c r="M992" s="28" t="str">
        <f t="shared" si="2"/>
        <v/>
      </c>
      <c r="N992" s="28" t="str">
        <f>IF(A992&lt;&gt;"", SUMIFS('💰 Transaction ขาย'!F:F,'💰 Transaction ขาย'!B:B,A992,'💰 Transaction ขาย'!A:A,"&gt;="&amp;DATE(YEAR('⚙️ Config'!$H$1),1,1),'💰 Transaction ขาย'!A:A,"&lt;="&amp;DATE(YEAR('⚙️ Config'!$H$1),12,31)),)</f>
        <v/>
      </c>
    </row>
    <row r="993">
      <c r="A993" s="22"/>
      <c r="B993" s="22" t="str">
        <f>IF(A993&lt;&gt;"",SUMIFS('💸 Transaction ซื้อ'!E:E,'💸 Transaction ซื้อ'!B:B,A993)-SUMIFS('💰 Transaction ขาย'!E:E,'💰 Transaction ขาย'!B:B,A993),"")</f>
        <v/>
      </c>
      <c r="C993" s="23" t="str">
        <f>IF(A993&lt;&gt;"",vlookup(A993,'📦 ชื่อสินค้า'!A:E,5,false),"")</f>
        <v/>
      </c>
      <c r="D993" s="23" t="str">
        <f>IF(A993&lt;&gt;"",VLOOKUP(A993,'📦 ชื่อสินค้า'!A:F,6,false),"")</f>
        <v/>
      </c>
      <c r="E993" s="16" t="str">
        <f>IFERROR(IF(VLOOKUP(A993,'📦 ชื่อสินค้า'!A:G,7,false)="InActive","InActive",IF(A993&lt;&gt;"",IF(B993&lt;=0,"สินค้าหมด",IF(B993&lt;=C993,"ควรเติมทันที","OK")),"")),)</f>
        <v/>
      </c>
      <c r="F993" s="24" t="str">
        <f>IFERROR(IF(A993&lt;&gt;"", SUMIF('💸 Transaction ซื้อ'!B:B,A993,'💸 Transaction ซื้อ'!G:G)/SUMIF('💸 Transaction ซื้อ'!B:B,A993,'💸 Transaction ซื้อ'!E:E),""),"-")</f>
        <v/>
      </c>
      <c r="G993" s="24" t="str">
        <f t="shared" si="1"/>
        <v/>
      </c>
      <c r="H993" s="25"/>
      <c r="I993" s="26"/>
      <c r="J993" s="26"/>
      <c r="K993" s="27" t="str">
        <f>IF(A993&lt;&gt;"",IF(E993="InActive","-",SUMIFS('💰 Transaction ขาย'!E:E,'💰 Transaction ขาย'!B:B,A993,'💰 Transaction ขาย'!A:A,"&gt;"&amp;'⚙️ Config'!$H$1-'⚙️ Config'!$H$2)),)</f>
        <v/>
      </c>
      <c r="L993" s="28" t="str">
        <f>IF(E993="InActive","-",IF(A993&lt;&gt;"",K993/'⚙️ Config'!$H$2,))</f>
        <v/>
      </c>
      <c r="M993" s="28" t="str">
        <f t="shared" si="2"/>
        <v/>
      </c>
      <c r="N993" s="28" t="str">
        <f>IF(A993&lt;&gt;"", SUMIFS('💰 Transaction ขาย'!F:F,'💰 Transaction ขาย'!B:B,A993,'💰 Transaction ขาย'!A:A,"&gt;="&amp;DATE(YEAR('⚙️ Config'!$H$1),1,1),'💰 Transaction ขาย'!A:A,"&lt;="&amp;DATE(YEAR('⚙️ Config'!$H$1),12,31)),)</f>
        <v/>
      </c>
    </row>
    <row r="994">
      <c r="A994" s="22"/>
      <c r="B994" s="22" t="str">
        <f>IF(A994&lt;&gt;"",SUMIFS('💸 Transaction ซื้อ'!E:E,'💸 Transaction ซื้อ'!B:B,A994)-SUMIFS('💰 Transaction ขาย'!E:E,'💰 Transaction ขาย'!B:B,A994),"")</f>
        <v/>
      </c>
      <c r="C994" s="23" t="str">
        <f>IF(A994&lt;&gt;"",vlookup(A994,'📦 ชื่อสินค้า'!A:E,5,false),"")</f>
        <v/>
      </c>
      <c r="D994" s="23" t="str">
        <f>IF(A994&lt;&gt;"",VLOOKUP(A994,'📦 ชื่อสินค้า'!A:F,6,false),"")</f>
        <v/>
      </c>
      <c r="E994" s="16" t="str">
        <f>IFERROR(IF(VLOOKUP(A994,'📦 ชื่อสินค้า'!A:G,7,false)="InActive","InActive",IF(A994&lt;&gt;"",IF(B994&lt;=0,"สินค้าหมด",IF(B994&lt;=C994,"ควรเติมทันที","OK")),"")),)</f>
        <v/>
      </c>
      <c r="F994" s="24" t="str">
        <f>IFERROR(IF(A994&lt;&gt;"", SUMIF('💸 Transaction ซื้อ'!B:B,A994,'💸 Transaction ซื้อ'!G:G)/SUMIF('💸 Transaction ซื้อ'!B:B,A994,'💸 Transaction ซื้อ'!E:E),""),"-")</f>
        <v/>
      </c>
      <c r="G994" s="24" t="str">
        <f t="shared" si="1"/>
        <v/>
      </c>
      <c r="H994" s="25"/>
      <c r="I994" s="26"/>
      <c r="J994" s="26"/>
      <c r="K994" s="27" t="str">
        <f>IF(A994&lt;&gt;"",IF(E994="InActive","-",SUMIFS('💰 Transaction ขาย'!E:E,'💰 Transaction ขาย'!B:B,A994,'💰 Transaction ขาย'!A:A,"&gt;"&amp;'⚙️ Config'!$H$1-'⚙️ Config'!$H$2)),)</f>
        <v/>
      </c>
      <c r="L994" s="28" t="str">
        <f>IF(E994="InActive","-",IF(A994&lt;&gt;"",K994/'⚙️ Config'!$H$2,))</f>
        <v/>
      </c>
      <c r="M994" s="28" t="str">
        <f t="shared" si="2"/>
        <v/>
      </c>
      <c r="N994" s="28" t="str">
        <f>IF(A994&lt;&gt;"", SUMIFS('💰 Transaction ขาย'!F:F,'💰 Transaction ขาย'!B:B,A994,'💰 Transaction ขาย'!A:A,"&gt;="&amp;DATE(YEAR('⚙️ Config'!$H$1),1,1),'💰 Transaction ขาย'!A:A,"&lt;="&amp;DATE(YEAR('⚙️ Config'!$H$1),12,31)),)</f>
        <v/>
      </c>
    </row>
    <row r="995">
      <c r="A995" s="22"/>
      <c r="B995" s="22" t="str">
        <f>IF(A995&lt;&gt;"",SUMIFS('💸 Transaction ซื้อ'!E:E,'💸 Transaction ซื้อ'!B:B,A995)-SUMIFS('💰 Transaction ขาย'!E:E,'💰 Transaction ขาย'!B:B,A995),"")</f>
        <v/>
      </c>
      <c r="C995" s="23" t="str">
        <f>IF(A995&lt;&gt;"",vlookup(A995,'📦 ชื่อสินค้า'!A:E,5,false),"")</f>
        <v/>
      </c>
      <c r="D995" s="23" t="str">
        <f>IF(A995&lt;&gt;"",VLOOKUP(A995,'📦 ชื่อสินค้า'!A:F,6,false),"")</f>
        <v/>
      </c>
      <c r="E995" s="16" t="str">
        <f>IFERROR(IF(VLOOKUP(A995,'📦 ชื่อสินค้า'!A:G,7,false)="InActive","InActive",IF(A995&lt;&gt;"",IF(B995&lt;=0,"สินค้าหมด",IF(B995&lt;=C995,"ควรเติมทันที","OK")),"")),)</f>
        <v/>
      </c>
      <c r="F995" s="24" t="str">
        <f>IFERROR(IF(A995&lt;&gt;"", SUMIF('💸 Transaction ซื้อ'!B:B,A995,'💸 Transaction ซื้อ'!G:G)/SUMIF('💸 Transaction ซื้อ'!B:B,A995,'💸 Transaction ซื้อ'!E:E),""),"-")</f>
        <v/>
      </c>
      <c r="G995" s="24" t="str">
        <f t="shared" si="1"/>
        <v/>
      </c>
      <c r="H995" s="25"/>
      <c r="I995" s="26"/>
      <c r="J995" s="26"/>
      <c r="K995" s="27" t="str">
        <f>IF(A995&lt;&gt;"",IF(E995="InActive","-",SUMIFS('💰 Transaction ขาย'!E:E,'💰 Transaction ขาย'!B:B,A995,'💰 Transaction ขาย'!A:A,"&gt;"&amp;'⚙️ Config'!$H$1-'⚙️ Config'!$H$2)),)</f>
        <v/>
      </c>
      <c r="L995" s="28" t="str">
        <f>IF(E995="InActive","-",IF(A995&lt;&gt;"",K995/'⚙️ Config'!$H$2,))</f>
        <v/>
      </c>
      <c r="M995" s="28" t="str">
        <f t="shared" si="2"/>
        <v/>
      </c>
      <c r="N995" s="28" t="str">
        <f>IF(A995&lt;&gt;"", SUMIFS('💰 Transaction ขาย'!F:F,'💰 Transaction ขาย'!B:B,A995,'💰 Transaction ขาย'!A:A,"&gt;="&amp;DATE(YEAR('⚙️ Config'!$H$1),1,1),'💰 Transaction ขาย'!A:A,"&lt;="&amp;DATE(YEAR('⚙️ Config'!$H$1),12,31)),)</f>
        <v/>
      </c>
    </row>
    <row r="996">
      <c r="A996" s="22"/>
      <c r="B996" s="22" t="str">
        <f>IF(A996&lt;&gt;"",SUMIFS('💸 Transaction ซื้อ'!E:E,'💸 Transaction ซื้อ'!B:B,A996)-SUMIFS('💰 Transaction ขาย'!E:E,'💰 Transaction ขาย'!B:B,A996),"")</f>
        <v/>
      </c>
      <c r="C996" s="23" t="str">
        <f>IF(A996&lt;&gt;"",vlookup(A996,'📦 ชื่อสินค้า'!A:E,5,false),"")</f>
        <v/>
      </c>
      <c r="D996" s="23" t="str">
        <f>IF(A996&lt;&gt;"",VLOOKUP(A996,'📦 ชื่อสินค้า'!A:F,6,false),"")</f>
        <v/>
      </c>
      <c r="E996" s="16" t="str">
        <f>IFERROR(IF(VLOOKUP(A996,'📦 ชื่อสินค้า'!A:G,7,false)="InActive","InActive",IF(A996&lt;&gt;"",IF(B996&lt;=0,"สินค้าหมด",IF(B996&lt;=C996,"ควรเติมทันที","OK")),"")),)</f>
        <v/>
      </c>
      <c r="F996" s="24" t="str">
        <f>IFERROR(IF(A996&lt;&gt;"", SUMIF('💸 Transaction ซื้อ'!B:B,A996,'💸 Transaction ซื้อ'!G:G)/SUMIF('💸 Transaction ซื้อ'!B:B,A996,'💸 Transaction ซื้อ'!E:E),""),"-")</f>
        <v/>
      </c>
      <c r="G996" s="24" t="str">
        <f t="shared" si="1"/>
        <v/>
      </c>
      <c r="H996" s="25"/>
      <c r="I996" s="26"/>
      <c r="J996" s="26"/>
      <c r="K996" s="27" t="str">
        <f>IF(A996&lt;&gt;"",IF(E996="InActive","-",SUMIFS('💰 Transaction ขาย'!E:E,'💰 Transaction ขาย'!B:B,A996,'💰 Transaction ขาย'!A:A,"&gt;"&amp;'⚙️ Config'!$H$1-'⚙️ Config'!$H$2)),)</f>
        <v/>
      </c>
      <c r="L996" s="28" t="str">
        <f>IF(E996="InActive","-",IF(A996&lt;&gt;"",K996/'⚙️ Config'!$H$2,))</f>
        <v/>
      </c>
      <c r="M996" s="28" t="str">
        <f t="shared" si="2"/>
        <v/>
      </c>
      <c r="N996" s="28" t="str">
        <f>IF(A996&lt;&gt;"", SUMIFS('💰 Transaction ขาย'!F:F,'💰 Transaction ขาย'!B:B,A996,'💰 Transaction ขาย'!A:A,"&gt;="&amp;DATE(YEAR('⚙️ Config'!$H$1),1,1),'💰 Transaction ขาย'!A:A,"&lt;="&amp;DATE(YEAR('⚙️ Config'!$H$1),12,31)),)</f>
        <v/>
      </c>
    </row>
    <row r="997">
      <c r="A997" s="22"/>
      <c r="B997" s="22" t="str">
        <f>IF(A997&lt;&gt;"",SUMIFS('💸 Transaction ซื้อ'!E:E,'💸 Transaction ซื้อ'!B:B,A997)-SUMIFS('💰 Transaction ขาย'!E:E,'💰 Transaction ขาย'!B:B,A997),"")</f>
        <v/>
      </c>
      <c r="C997" s="23" t="str">
        <f>IF(A997&lt;&gt;"",vlookup(A997,'📦 ชื่อสินค้า'!A:E,5,false),"")</f>
        <v/>
      </c>
      <c r="D997" s="23" t="str">
        <f>IF(A997&lt;&gt;"",VLOOKUP(A997,'📦 ชื่อสินค้า'!A:F,6,false),"")</f>
        <v/>
      </c>
      <c r="E997" s="16" t="str">
        <f>IFERROR(IF(VLOOKUP(A997,'📦 ชื่อสินค้า'!A:G,7,false)="InActive","InActive",IF(A997&lt;&gt;"",IF(B997&lt;=0,"สินค้าหมด",IF(B997&lt;=C997,"ควรเติมทันที","OK")),"")),)</f>
        <v/>
      </c>
      <c r="F997" s="24" t="str">
        <f>IFERROR(IF(A997&lt;&gt;"", SUMIF('💸 Transaction ซื้อ'!B:B,A997,'💸 Transaction ซื้อ'!G:G)/SUMIF('💸 Transaction ซื้อ'!B:B,A997,'💸 Transaction ซื้อ'!E:E),""),"-")</f>
        <v/>
      </c>
      <c r="G997" s="24" t="str">
        <f t="shared" si="1"/>
        <v/>
      </c>
      <c r="H997" s="25"/>
      <c r="I997" s="26"/>
      <c r="J997" s="26"/>
      <c r="K997" s="27" t="str">
        <f>IF(A997&lt;&gt;"",IF(E997="InActive","-",SUMIFS('💰 Transaction ขาย'!E:E,'💰 Transaction ขาย'!B:B,A997,'💰 Transaction ขาย'!A:A,"&gt;"&amp;'⚙️ Config'!$H$1-'⚙️ Config'!$H$2)),)</f>
        <v/>
      </c>
      <c r="L997" s="28" t="str">
        <f>IF(E997="InActive","-",IF(A997&lt;&gt;"",K997/'⚙️ Config'!$H$2,))</f>
        <v/>
      </c>
      <c r="M997" s="28" t="str">
        <f t="shared" si="2"/>
        <v/>
      </c>
      <c r="N997" s="28" t="str">
        <f>IF(A997&lt;&gt;"", SUMIFS('💰 Transaction ขาย'!F:F,'💰 Transaction ขาย'!B:B,A997,'💰 Transaction ขาย'!A:A,"&gt;="&amp;DATE(YEAR('⚙️ Config'!$H$1),1,1),'💰 Transaction ขาย'!A:A,"&lt;="&amp;DATE(YEAR('⚙️ Config'!$H$1),12,31)),)</f>
        <v/>
      </c>
    </row>
    <row r="998">
      <c r="A998" s="22"/>
      <c r="B998" s="22" t="str">
        <f>IF(A998&lt;&gt;"",SUMIFS('💸 Transaction ซื้อ'!E:E,'💸 Transaction ซื้อ'!B:B,A998)-SUMIFS('💰 Transaction ขาย'!E:E,'💰 Transaction ขาย'!B:B,A998),"")</f>
        <v/>
      </c>
      <c r="C998" s="23" t="str">
        <f>IF(A998&lt;&gt;"",vlookup(A998,'📦 ชื่อสินค้า'!A:E,5,false),"")</f>
        <v/>
      </c>
      <c r="D998" s="23" t="str">
        <f>IF(A998&lt;&gt;"",VLOOKUP(A998,'📦 ชื่อสินค้า'!A:F,6,false),"")</f>
        <v/>
      </c>
      <c r="E998" s="16" t="str">
        <f>IFERROR(IF(VLOOKUP(A998,'📦 ชื่อสินค้า'!A:G,7,false)="InActive","InActive",IF(A998&lt;&gt;"",IF(B998&lt;=0,"สินค้าหมด",IF(B998&lt;=C998,"ควรเติมทันที","OK")),"")),)</f>
        <v/>
      </c>
      <c r="F998" s="24" t="str">
        <f>IFERROR(IF(A998&lt;&gt;"", SUMIF('💸 Transaction ซื้อ'!B:B,A998,'💸 Transaction ซื้อ'!G:G)/SUMIF('💸 Transaction ซื้อ'!B:B,A998,'💸 Transaction ซื้อ'!E:E),""),"-")</f>
        <v/>
      </c>
      <c r="G998" s="24" t="str">
        <f t="shared" si="1"/>
        <v/>
      </c>
      <c r="H998" s="25"/>
      <c r="I998" s="26"/>
      <c r="J998" s="26"/>
      <c r="K998" s="27" t="str">
        <f>IF(A998&lt;&gt;"",IF(E998="InActive","-",SUMIFS('💰 Transaction ขาย'!E:E,'💰 Transaction ขาย'!B:B,A998,'💰 Transaction ขาย'!A:A,"&gt;"&amp;'⚙️ Config'!$H$1-'⚙️ Config'!$H$2)),)</f>
        <v/>
      </c>
      <c r="L998" s="28" t="str">
        <f>IF(E998="InActive","-",IF(A998&lt;&gt;"",K998/'⚙️ Config'!$H$2,))</f>
        <v/>
      </c>
      <c r="M998" s="28" t="str">
        <f t="shared" si="2"/>
        <v/>
      </c>
      <c r="N998" s="28" t="str">
        <f>IF(A998&lt;&gt;"", SUMIFS('💰 Transaction ขาย'!F:F,'💰 Transaction ขาย'!B:B,A998,'💰 Transaction ขาย'!A:A,"&gt;="&amp;DATE(YEAR('⚙️ Config'!$H$1),1,1),'💰 Transaction ขาย'!A:A,"&lt;="&amp;DATE(YEAR('⚙️ Config'!$H$1),12,31)),)</f>
        <v/>
      </c>
    </row>
    <row r="999">
      <c r="A999" s="22"/>
      <c r="B999" s="22" t="str">
        <f>IF(A999&lt;&gt;"",SUMIFS('💸 Transaction ซื้อ'!E:E,'💸 Transaction ซื้อ'!B:B,A999)-SUMIFS('💰 Transaction ขาย'!E:E,'💰 Transaction ขาย'!B:B,A999),"")</f>
        <v/>
      </c>
      <c r="C999" s="23" t="str">
        <f>IF(A999&lt;&gt;"",vlookup(A999,'📦 ชื่อสินค้า'!A:E,5,false),"")</f>
        <v/>
      </c>
      <c r="D999" s="23" t="str">
        <f>IF(A999&lt;&gt;"",VLOOKUP(A999,'📦 ชื่อสินค้า'!A:F,6,false),"")</f>
        <v/>
      </c>
      <c r="E999" s="16" t="str">
        <f>IFERROR(IF(VLOOKUP(A999,'📦 ชื่อสินค้า'!A:G,7,false)="InActive","InActive",IF(A999&lt;&gt;"",IF(B999&lt;=0,"สินค้าหมด",IF(B999&lt;=C999,"ควรเติมทันที","OK")),"")),)</f>
        <v/>
      </c>
      <c r="F999" s="24" t="str">
        <f>IFERROR(IF(A999&lt;&gt;"", SUMIF('💸 Transaction ซื้อ'!B:B,A999,'💸 Transaction ซื้อ'!G:G)/SUMIF('💸 Transaction ซื้อ'!B:B,A999,'💸 Transaction ซื้อ'!E:E),""),"-")</f>
        <v/>
      </c>
      <c r="G999" s="24" t="str">
        <f t="shared" si="1"/>
        <v/>
      </c>
      <c r="H999" s="25"/>
      <c r="I999" s="26"/>
      <c r="J999" s="26"/>
      <c r="K999" s="27" t="str">
        <f>IF(A999&lt;&gt;"",IF(E999="InActive","-",SUMIFS('💰 Transaction ขาย'!E:E,'💰 Transaction ขาย'!B:B,A999,'💰 Transaction ขาย'!A:A,"&gt;"&amp;'⚙️ Config'!$H$1-'⚙️ Config'!$H$2)),)</f>
        <v/>
      </c>
      <c r="L999" s="28" t="str">
        <f>IF(E999="InActive","-",IF(A999&lt;&gt;"",K999/'⚙️ Config'!$H$2,))</f>
        <v/>
      </c>
      <c r="M999" s="28" t="str">
        <f t="shared" si="2"/>
        <v/>
      </c>
      <c r="N999" s="28" t="str">
        <f>IF(A999&lt;&gt;"", SUMIFS('💰 Transaction ขาย'!F:F,'💰 Transaction ขาย'!B:B,A999,'💰 Transaction ขาย'!A:A,"&gt;="&amp;DATE(YEAR('⚙️ Config'!$H$1),1,1),'💰 Transaction ขาย'!A:A,"&lt;="&amp;DATE(YEAR('⚙️ Config'!$H$1),12,31)),)</f>
        <v/>
      </c>
    </row>
    <row r="1000">
      <c r="A1000" s="22"/>
      <c r="B1000" s="22" t="str">
        <f>IF(A1000&lt;&gt;"",SUMIFS('💸 Transaction ซื้อ'!E:E,'💸 Transaction ซื้อ'!B:B,A1000)-SUMIFS('💰 Transaction ขาย'!E:E,'💰 Transaction ขาย'!B:B,A1000),"")</f>
        <v/>
      </c>
      <c r="C1000" s="23" t="str">
        <f>IF(A1000&lt;&gt;"",vlookup(A1000,'📦 ชื่อสินค้า'!A:E,5,false),"")</f>
        <v/>
      </c>
      <c r="D1000" s="23" t="str">
        <f>IF(A1000&lt;&gt;"",VLOOKUP(A1000,'📦 ชื่อสินค้า'!A:F,6,false),"")</f>
        <v/>
      </c>
      <c r="E1000" s="16" t="str">
        <f>IFERROR(IF(VLOOKUP(A1000,'📦 ชื่อสินค้า'!A:G,7,false)="InActive","InActive",IF(A1000&lt;&gt;"",IF(B1000&lt;=0,"สินค้าหมด",IF(B1000&lt;=C1000,"ควรเติมทันที","OK")),"")),)</f>
        <v/>
      </c>
      <c r="F1000" s="24" t="str">
        <f>IFERROR(IF(A1000&lt;&gt;"", SUMIF('💸 Transaction ซื้อ'!B:B,A1000,'💸 Transaction ซื้อ'!G:G)/SUMIF('💸 Transaction ซื้อ'!B:B,A1000,'💸 Transaction ซื้อ'!E:E),""),"-")</f>
        <v/>
      </c>
      <c r="G1000" s="24" t="str">
        <f t="shared" si="1"/>
        <v/>
      </c>
      <c r="H1000" s="25"/>
      <c r="I1000" s="26"/>
      <c r="J1000" s="26"/>
      <c r="K1000" s="27" t="str">
        <f>IF(A1000&lt;&gt;"",IF(E1000="InActive","-",SUMIFS('💰 Transaction ขาย'!E:E,'💰 Transaction ขาย'!B:B,A1000,'💰 Transaction ขาย'!A:A,"&gt;"&amp;'⚙️ Config'!$H$1-'⚙️ Config'!$H$2)),)</f>
        <v/>
      </c>
      <c r="L1000" s="28" t="str">
        <f>IF(E1000="InActive","-",IF(A1000&lt;&gt;"",K1000/'⚙️ Config'!$H$2,))</f>
        <v/>
      </c>
      <c r="M1000" s="28" t="str">
        <f t="shared" si="2"/>
        <v/>
      </c>
      <c r="N1000" s="28" t="str">
        <f>IF(A1000&lt;&gt;"", SUMIFS('💰 Transaction ขาย'!F:F,'💰 Transaction ขาย'!B:B,A1000,'💰 Transaction ขาย'!A:A,"&gt;="&amp;DATE(YEAR('⚙️ Config'!$H$1),1,1),'💰 Transaction ขาย'!A:A,"&lt;="&amp;DATE(YEAR('⚙️ Config'!$H$1),12,31)),)</f>
        <v/>
      </c>
    </row>
  </sheetData>
  <conditionalFormatting sqref="J2:N1000">
    <cfRule type="cellIs" dxfId="1" priority="1" operator="equal">
      <formula>"Fast Moving"</formula>
    </cfRule>
  </conditionalFormatting>
  <conditionalFormatting sqref="J2:N1000">
    <cfRule type="cellIs" dxfId="2" priority="2" operator="equal">
      <formula>"Normal Moving"</formula>
    </cfRule>
  </conditionalFormatting>
  <conditionalFormatting sqref="J2:N1000">
    <cfRule type="cellIs" dxfId="3" priority="3" operator="equal">
      <formula>"Slow Moving"</formula>
    </cfRule>
  </conditionalFormatting>
  <conditionalFormatting sqref="J2:N1000">
    <cfRule type="cellIs" dxfId="4" priority="4" operator="equal">
      <formula>"Very Slow Moving"</formula>
    </cfRule>
  </conditionalFormatting>
  <conditionalFormatting sqref="J2:N1000">
    <cfRule type="cellIs" dxfId="5" priority="5" operator="equal">
      <formula>"Deadstock"</formula>
    </cfRule>
  </conditionalFormatting>
  <conditionalFormatting sqref="E2:N1000">
    <cfRule type="containsText" dxfId="3" priority="6" operator="containsText" text="ควรเติม">
      <formula>NOT(ISERROR(SEARCH(("ควรเติม"),(E2))))</formula>
    </cfRule>
  </conditionalFormatting>
  <conditionalFormatting sqref="E2:N1000">
    <cfRule type="containsText" dxfId="1" priority="7" operator="containsText" text="OK">
      <formula>NOT(ISERROR(SEARCH(("OK"),(E2))))</formula>
    </cfRule>
  </conditionalFormatting>
  <conditionalFormatting sqref="E2:N1000">
    <cfRule type="cellIs" dxfId="6" priority="8" operator="equal">
      <formula>"สินค้าหมด"</formula>
    </cfRule>
  </conditionalFormatting>
  <conditionalFormatting sqref="E2:N1000">
    <cfRule type="cellIs" dxfId="7" priority="9" operator="equal">
      <formula>"InActive"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5"/>
    <col customWidth="1" min="2" max="2" width="10.13"/>
    <col customWidth="1" min="4" max="4" width="9.5"/>
    <col customWidth="1" min="5" max="5" width="11.0"/>
    <col customWidth="1" min="6" max="6" width="6.0"/>
  </cols>
  <sheetData>
    <row r="1" ht="22.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>
      <c r="A3" s="29"/>
      <c r="B3" s="29"/>
      <c r="C3" s="29"/>
      <c r="D3" s="30" t="s">
        <v>55</v>
      </c>
      <c r="E3" s="31">
        <v>2024.0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>
      <c r="A4" s="29"/>
      <c r="B4" s="29"/>
      <c r="C4" s="29"/>
      <c r="D4" s="30" t="s">
        <v>56</v>
      </c>
      <c r="E4" s="31">
        <v>1.0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32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</sheetData>
  <dataValidations>
    <dataValidation type="list" allowBlank="1" sqref="E3">
      <formula1>"2022,2023,2024,2025"</formula1>
    </dataValidation>
    <dataValidation type="list" allowBlank="1" showErrorMessage="1" sqref="E4">
      <formula1>"1,2,3,4,5,6,7,8,9,10,11,12"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31.75"/>
    <col customWidth="1" min="4" max="4" width="9.25"/>
    <col customWidth="1" min="5" max="5" width="11.0"/>
    <col customWidth="1" min="6" max="6" width="10.25"/>
    <col customWidth="1" min="8" max="8" width="9.88"/>
    <col customWidth="1" min="9" max="9" width="10.75"/>
    <col customWidth="1" min="11" max="11" width="12.63"/>
    <col customWidth="1" min="12" max="12" width="12.25"/>
    <col customWidth="1" min="13" max="13" width="15.13"/>
    <col customWidth="1" min="14" max="14" width="11.75"/>
    <col customWidth="1" min="15" max="15" width="4.5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>
      <c r="A5" s="29"/>
      <c r="B5" s="33" t="s">
        <v>1</v>
      </c>
      <c r="C5" s="31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>
      <c r="A6" s="29"/>
      <c r="B6" s="33" t="s">
        <v>47</v>
      </c>
      <c r="C6" s="31" t="s">
        <v>57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>
      <c r="A7" s="29"/>
      <c r="B7" s="33" t="s">
        <v>58</v>
      </c>
      <c r="C7" s="31" t="s">
        <v>57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>
      <c r="A8" s="29"/>
      <c r="B8" s="33" t="s">
        <v>10</v>
      </c>
      <c r="C8" s="31" t="s">
        <v>57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>
      <c r="A9" s="29"/>
      <c r="B9" s="34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>
      <c r="A10" s="29"/>
      <c r="B10" s="35" t="str">
        <f>IFERROR(__xludf.DUMMYFUNCTION("QUERY('📊 รายงานสินค้าคงเหลือ'!A:N,""select A,B,D,E,F,G,H,I,J,K,L,M,N where A like '%""&amp;C5&amp;""%' ""&amp;IF(C6=""เลือกทั้งหมด"","""",""AND E = '""&amp;C6&amp;""'"")&amp;IF(C7=""เลือกทั้งหมด"","""",""AND J = '""&amp;C7&amp;""'"")&amp;IF(C8=""เลือกทั้งหมด"","""",""AND D = '""&amp;C8&amp;""'"")&amp;"&amp;"""order by N desc"",1)"),"ชื่อสินค้า")</f>
        <v>ชื่อสินค้า</v>
      </c>
      <c r="C10" s="35" t="str">
        <f>IFERROR(__xludf.DUMMYFUNCTION("""COMPUTED_VALUE"""),"จำนวนสินค้าคงเหลือ")</f>
        <v>จำนวนสินค้าคงเหลือ</v>
      </c>
      <c r="D10" s="35" t="str">
        <f>IFERROR(__xludf.DUMMYFUNCTION("""COMPUTED_VALUE"""),"กลุ่มสินค้า")</f>
        <v>กลุ่มสินค้า</v>
      </c>
      <c r="E10" s="35" t="str">
        <f>IFERROR(__xludf.DUMMYFUNCTION("""COMPUTED_VALUE"""),"สถานะการเติมสินค้า")</f>
        <v>สถานะการเติมสินค้า</v>
      </c>
      <c r="F10" s="35" t="str">
        <f>IFERROR(__xludf.DUMMYFUNCTION("""COMPUTED_VALUE"""),"ต้นทุนเฉลี่ยต่อชิ้น")</f>
        <v>ต้นทุนเฉลี่ยต่อชิ้น</v>
      </c>
      <c r="G10" s="35" t="str">
        <f>IFERROR(__xludf.DUMMYFUNCTION("""COMPUTED_VALUE"""),"ต้นทุนรวมปัจจุบัน")</f>
        <v>ต้นทุนรวมปัจจุบัน</v>
      </c>
      <c r="H10" s="35" t="str">
        <f>IFERROR(__xludf.DUMMYFUNCTION("""COMPUTED_VALUE"""),"วันที่ขายล่าสุด")</f>
        <v>วันที่ขายล่าสุด</v>
      </c>
      <c r="I10" s="35" t="str">
        <f>IFERROR(__xludf.DUMMYFUNCTION("""COMPUTED_VALUE"""),"จำนวนวันที่ไม่เคลื่อนไหว")</f>
        <v>จำนวนวันที่ไม่เคลื่อนไหว</v>
      </c>
      <c r="J10" s="35" t="str">
        <f>IFERROR(__xludf.DUMMYFUNCTION("""COMPUTED_VALUE"""),"ประเภทการเคลื่อนไหวสินค้า")</f>
        <v>ประเภทการเคลื่อนไหวสินค้า</v>
      </c>
      <c r="K10" s="35" t="str">
        <f>IFERROR(__xludf.DUMMYFUNCTION("""COMPUTED_VALUE"""),"อัตราขายเฉลี่ยใน 30 วัน ที่ผ่านมา")</f>
        <v>อัตราขายเฉลี่ยใน 30 วัน ที่ผ่านมา</v>
      </c>
      <c r="L10" s="35" t="str">
        <f>IFERROR(__xludf.DUMMYFUNCTION("""COMPUTED_VALUE"""),"อัตราขายเฉลี่ยต่อวัน")</f>
        <v>อัตราขายเฉลี่ยต่อวัน</v>
      </c>
      <c r="M10" s="35" t="str">
        <f>IFERROR(__xludf.DUMMYFUNCTION("""COMPUTED_VALUE"""),"จำนวนเดือนที่คาดว่าจะขายสินค้าหมด
(MOS)")</f>
        <v>จำนวนเดือนที่คาดว่าจะขายสินค้าหมด
(MOS)</v>
      </c>
      <c r="N10" s="35" t="str">
        <f>IFERROR(__xludf.DUMMYFUNCTION("""COMPUTED_VALUE"""),"ยอดขายรวมของปีนี้")</f>
        <v>ยอดขายรวมของปีนี้</v>
      </c>
      <c r="O10" s="29"/>
    </row>
    <row r="11">
      <c r="A11" s="29"/>
      <c r="B11" s="36" t="str">
        <f>IFERROR(__xludf.DUMMYFUNCTION("""COMPUTED_VALUE"""),"510 ขาวธรรมชาติ")</f>
        <v>510 ขาวธรรมชาติ</v>
      </c>
      <c r="C11" s="37">
        <f>IFERROR(__xludf.DUMMYFUNCTION("""COMPUTED_VALUE"""),885.0)</f>
        <v>885</v>
      </c>
      <c r="D11" s="37" t="str">
        <f>IFERROR(__xludf.DUMMYFUNCTION("""COMPUTED_VALUE"""),"รุ่นสีอ่อน")</f>
        <v>รุ่นสีอ่อน</v>
      </c>
      <c r="E11" s="37" t="str">
        <f>IFERROR(__xludf.DUMMYFUNCTION("""COMPUTED_VALUE"""),"OK")</f>
        <v>OK</v>
      </c>
      <c r="F11" s="38">
        <f>IFERROR(__xludf.DUMMYFUNCTION("""COMPUTED_VALUE"""),84.39779005524862)</f>
        <v>84.39779006</v>
      </c>
      <c r="G11" s="38">
        <f>IFERROR(__xludf.DUMMYFUNCTION("""COMPUTED_VALUE"""),74692.04419889503)</f>
        <v>74692.0442</v>
      </c>
      <c r="H11" s="39">
        <f>IFERROR(__xludf.DUMMYFUNCTION("""COMPUTED_VALUE"""),45430.0)</f>
        <v>45430</v>
      </c>
      <c r="I11" s="40">
        <f>IFERROR(__xludf.DUMMYFUNCTION("""COMPUTED_VALUE"""),692.0)</f>
        <v>692</v>
      </c>
      <c r="J11" s="37" t="str">
        <f>IFERROR(__xludf.DUMMYFUNCTION("""COMPUTED_VALUE"""),"Deadstock")</f>
        <v>Deadstock</v>
      </c>
      <c r="K11" s="40">
        <f>IFERROR(__xludf.DUMMYFUNCTION("""COMPUTED_VALUE"""),0.0)</f>
        <v>0</v>
      </c>
      <c r="L11" s="41">
        <f>IFERROR(__xludf.DUMMYFUNCTION("""COMPUTED_VALUE"""),0.0)</f>
        <v>0</v>
      </c>
      <c r="M11" s="37" t="str">
        <f>IFERROR(__xludf.DUMMYFUNCTION("""COMPUTED_VALUE"""),"#DIV/0!")</f>
        <v>#DIV/0!</v>
      </c>
      <c r="N11" s="41">
        <f>IFERROR(__xludf.DUMMYFUNCTION("""COMPUTED_VALUE"""),0.0)</f>
        <v>0</v>
      </c>
      <c r="O11" s="29"/>
    </row>
    <row r="12">
      <c r="A12" s="29"/>
      <c r="B12" s="36" t="str">
        <f>IFERROR(__xludf.DUMMYFUNCTION("""COMPUTED_VALUE"""),"861 ฟ้าอ่อน")</f>
        <v>861 ฟ้าอ่อน</v>
      </c>
      <c r="C12" s="37">
        <f>IFERROR(__xludf.DUMMYFUNCTION("""COMPUTED_VALUE"""),114.0)</f>
        <v>114</v>
      </c>
      <c r="D12" s="37" t="str">
        <f>IFERROR(__xludf.DUMMYFUNCTION("""COMPUTED_VALUE"""),"รุ่นสีอ่อน")</f>
        <v>รุ่นสีอ่อน</v>
      </c>
      <c r="E12" s="37" t="str">
        <f>IFERROR(__xludf.DUMMYFUNCTION("""COMPUTED_VALUE"""),"OK")</f>
        <v>OK</v>
      </c>
      <c r="F12" s="38">
        <f>IFERROR(__xludf.DUMMYFUNCTION("""COMPUTED_VALUE"""),90.0)</f>
        <v>90</v>
      </c>
      <c r="G12" s="38">
        <f>IFERROR(__xludf.DUMMYFUNCTION("""COMPUTED_VALUE"""),10260.0)</f>
        <v>10260</v>
      </c>
      <c r="H12" s="39"/>
      <c r="I12" s="40"/>
      <c r="J12" s="37" t="str">
        <f>IFERROR(__xludf.DUMMYFUNCTION("""COMPUTED_VALUE"""),"-")</f>
        <v>-</v>
      </c>
      <c r="K12" s="40">
        <f>IFERROR(__xludf.DUMMYFUNCTION("""COMPUTED_VALUE"""),0.0)</f>
        <v>0</v>
      </c>
      <c r="L12" s="41">
        <f>IFERROR(__xludf.DUMMYFUNCTION("""COMPUTED_VALUE"""),0.0)</f>
        <v>0</v>
      </c>
      <c r="M12" s="37" t="str">
        <f>IFERROR(__xludf.DUMMYFUNCTION("""COMPUTED_VALUE"""),"#DIV/0!")</f>
        <v>#DIV/0!</v>
      </c>
      <c r="N12" s="41">
        <f>IFERROR(__xludf.DUMMYFUNCTION("""COMPUTED_VALUE"""),0.0)</f>
        <v>0</v>
      </c>
      <c r="O12" s="29"/>
    </row>
    <row r="13">
      <c r="A13" s="29"/>
      <c r="B13" s="36" t="str">
        <f>IFERROR(__xludf.DUMMYFUNCTION("""COMPUTED_VALUE"""),"831 สีโอรส")</f>
        <v>831 สีโอรส</v>
      </c>
      <c r="C13" s="37">
        <f>IFERROR(__xludf.DUMMYFUNCTION("""COMPUTED_VALUE"""),105.0)</f>
        <v>105</v>
      </c>
      <c r="D13" s="37" t="str">
        <f>IFERROR(__xludf.DUMMYFUNCTION("""COMPUTED_VALUE"""),"รุ่นสีอ่อน")</f>
        <v>รุ่นสีอ่อน</v>
      </c>
      <c r="E13" s="37" t="str">
        <f>IFERROR(__xludf.DUMMYFUNCTION("""COMPUTED_VALUE"""),"OK")</f>
        <v>OK</v>
      </c>
      <c r="F13" s="38">
        <f>IFERROR(__xludf.DUMMYFUNCTION("""COMPUTED_VALUE"""),80.0)</f>
        <v>80</v>
      </c>
      <c r="G13" s="38">
        <f>IFERROR(__xludf.DUMMYFUNCTION("""COMPUTED_VALUE"""),8400.0)</f>
        <v>8400</v>
      </c>
      <c r="H13" s="39">
        <f>IFERROR(__xludf.DUMMYFUNCTION("""COMPUTED_VALUE"""),45437.0)</f>
        <v>45437</v>
      </c>
      <c r="I13" s="40">
        <f>IFERROR(__xludf.DUMMYFUNCTION("""COMPUTED_VALUE"""),685.0)</f>
        <v>685</v>
      </c>
      <c r="J13" s="37" t="str">
        <f>IFERROR(__xludf.DUMMYFUNCTION("""COMPUTED_VALUE"""),"Deadstock")</f>
        <v>Deadstock</v>
      </c>
      <c r="K13" s="40">
        <f>IFERROR(__xludf.DUMMYFUNCTION("""COMPUTED_VALUE"""),0.0)</f>
        <v>0</v>
      </c>
      <c r="L13" s="41">
        <f>IFERROR(__xludf.DUMMYFUNCTION("""COMPUTED_VALUE"""),0.0)</f>
        <v>0</v>
      </c>
      <c r="M13" s="37" t="str">
        <f>IFERROR(__xludf.DUMMYFUNCTION("""COMPUTED_VALUE"""),"#DIV/0!")</f>
        <v>#DIV/0!</v>
      </c>
      <c r="N13" s="41">
        <f>IFERROR(__xludf.DUMMYFUNCTION("""COMPUTED_VALUE"""),0.0)</f>
        <v>0</v>
      </c>
      <c r="O13" s="29"/>
    </row>
    <row r="14">
      <c r="A14" s="29"/>
      <c r="B14" s="36" t="str">
        <f>IFERROR(__xludf.DUMMYFUNCTION("""COMPUTED_VALUE"""),"552 ชมพูเข้ม")</f>
        <v>552 ชมพูเข้ม</v>
      </c>
      <c r="C14" s="37">
        <f>IFERROR(__xludf.DUMMYFUNCTION("""COMPUTED_VALUE"""),150.0)</f>
        <v>150</v>
      </c>
      <c r="D14" s="37" t="str">
        <f>IFERROR(__xludf.DUMMYFUNCTION("""COMPUTED_VALUE"""),"รุ่นสีอ่อน")</f>
        <v>รุ่นสีอ่อน</v>
      </c>
      <c r="E14" s="37" t="str">
        <f>IFERROR(__xludf.DUMMYFUNCTION("""COMPUTED_VALUE"""),"OK")</f>
        <v>OK</v>
      </c>
      <c r="F14" s="38">
        <f>IFERROR(__xludf.DUMMYFUNCTION("""COMPUTED_VALUE"""),80.0)</f>
        <v>80</v>
      </c>
      <c r="G14" s="38">
        <f>IFERROR(__xludf.DUMMYFUNCTION("""COMPUTED_VALUE"""),12000.0)</f>
        <v>12000</v>
      </c>
      <c r="H14" s="39">
        <f>IFERROR(__xludf.DUMMYFUNCTION("""COMPUTED_VALUE"""),45430.0)</f>
        <v>45430</v>
      </c>
      <c r="I14" s="40">
        <f>IFERROR(__xludf.DUMMYFUNCTION("""COMPUTED_VALUE"""),692.0)</f>
        <v>692</v>
      </c>
      <c r="J14" s="37" t="str">
        <f>IFERROR(__xludf.DUMMYFUNCTION("""COMPUTED_VALUE"""),"Deadstock")</f>
        <v>Deadstock</v>
      </c>
      <c r="K14" s="40">
        <f>IFERROR(__xludf.DUMMYFUNCTION("""COMPUTED_VALUE"""),0.0)</f>
        <v>0</v>
      </c>
      <c r="L14" s="41">
        <f>IFERROR(__xludf.DUMMYFUNCTION("""COMPUTED_VALUE"""),0.0)</f>
        <v>0</v>
      </c>
      <c r="M14" s="37" t="str">
        <f>IFERROR(__xludf.DUMMYFUNCTION("""COMPUTED_VALUE"""),"#DIV/0!")</f>
        <v>#DIV/0!</v>
      </c>
      <c r="N14" s="41">
        <f>IFERROR(__xludf.DUMMYFUNCTION("""COMPUTED_VALUE"""),0.0)</f>
        <v>0</v>
      </c>
      <c r="O14" s="29"/>
    </row>
    <row r="15">
      <c r="A15" s="29"/>
      <c r="B15" s="36" t="str">
        <f>IFERROR(__xludf.DUMMYFUNCTION("""COMPUTED_VALUE"""),"551 ชมพูอ่อน")</f>
        <v>551 ชมพูอ่อน</v>
      </c>
      <c r="C15" s="37">
        <f>IFERROR(__xludf.DUMMYFUNCTION("""COMPUTED_VALUE"""),473.0)</f>
        <v>473</v>
      </c>
      <c r="D15" s="37" t="str">
        <f>IFERROR(__xludf.DUMMYFUNCTION("""COMPUTED_VALUE"""),"รุ่นสีอ่อน")</f>
        <v>รุ่นสีอ่อน</v>
      </c>
      <c r="E15" s="37" t="str">
        <f>IFERROR(__xludf.DUMMYFUNCTION("""COMPUTED_VALUE"""),"OK")</f>
        <v>OK</v>
      </c>
      <c r="F15" s="38">
        <f>IFERROR(__xludf.DUMMYFUNCTION("""COMPUTED_VALUE"""),80.0)</f>
        <v>80</v>
      </c>
      <c r="G15" s="38">
        <f>IFERROR(__xludf.DUMMYFUNCTION("""COMPUTED_VALUE"""),37840.0)</f>
        <v>37840</v>
      </c>
      <c r="H15" s="39"/>
      <c r="I15" s="40"/>
      <c r="J15" s="37" t="str">
        <f>IFERROR(__xludf.DUMMYFUNCTION("""COMPUTED_VALUE"""),"-")</f>
        <v>-</v>
      </c>
      <c r="K15" s="40">
        <f>IFERROR(__xludf.DUMMYFUNCTION("""COMPUTED_VALUE"""),0.0)</f>
        <v>0</v>
      </c>
      <c r="L15" s="41">
        <f>IFERROR(__xludf.DUMMYFUNCTION("""COMPUTED_VALUE"""),0.0)</f>
        <v>0</v>
      </c>
      <c r="M15" s="37" t="str">
        <f>IFERROR(__xludf.DUMMYFUNCTION("""COMPUTED_VALUE"""),"#DIV/0!")</f>
        <v>#DIV/0!</v>
      </c>
      <c r="N15" s="41">
        <f>IFERROR(__xludf.DUMMYFUNCTION("""COMPUTED_VALUE"""),0.0)</f>
        <v>0</v>
      </c>
      <c r="O15" s="29"/>
    </row>
    <row r="16">
      <c r="A16" s="29"/>
      <c r="B16" s="36" t="str">
        <f>IFERROR(__xludf.DUMMYFUNCTION("""COMPUTED_VALUE"""),"860 ม่วงอ่อน")</f>
        <v>860 ม่วงอ่อน</v>
      </c>
      <c r="C16" s="37">
        <f>IFERROR(__xludf.DUMMYFUNCTION("""COMPUTED_VALUE"""),188.0)</f>
        <v>188</v>
      </c>
      <c r="D16" s="37" t="str">
        <f>IFERROR(__xludf.DUMMYFUNCTION("""COMPUTED_VALUE"""),"รุ่นสีอ่อน")</f>
        <v>รุ่นสีอ่อน</v>
      </c>
      <c r="E16" s="37" t="str">
        <f>IFERROR(__xludf.DUMMYFUNCTION("""COMPUTED_VALUE"""),"OK")</f>
        <v>OK</v>
      </c>
      <c r="F16" s="38">
        <f>IFERROR(__xludf.DUMMYFUNCTION("""COMPUTED_VALUE"""),80.0)</f>
        <v>80</v>
      </c>
      <c r="G16" s="38">
        <f>IFERROR(__xludf.DUMMYFUNCTION("""COMPUTED_VALUE"""),15040.0)</f>
        <v>15040</v>
      </c>
      <c r="H16" s="39">
        <f>IFERROR(__xludf.DUMMYFUNCTION("""COMPUTED_VALUE"""),45430.0)</f>
        <v>45430</v>
      </c>
      <c r="I16" s="40">
        <f>IFERROR(__xludf.DUMMYFUNCTION("""COMPUTED_VALUE"""),692.0)</f>
        <v>692</v>
      </c>
      <c r="J16" s="37" t="str">
        <f>IFERROR(__xludf.DUMMYFUNCTION("""COMPUTED_VALUE"""),"Deadstock")</f>
        <v>Deadstock</v>
      </c>
      <c r="K16" s="40">
        <f>IFERROR(__xludf.DUMMYFUNCTION("""COMPUTED_VALUE"""),0.0)</f>
        <v>0</v>
      </c>
      <c r="L16" s="41">
        <f>IFERROR(__xludf.DUMMYFUNCTION("""COMPUTED_VALUE"""),0.0)</f>
        <v>0</v>
      </c>
      <c r="M16" s="37" t="str">
        <f>IFERROR(__xludf.DUMMYFUNCTION("""COMPUTED_VALUE"""),"#DIV/0!")</f>
        <v>#DIV/0!</v>
      </c>
      <c r="N16" s="41">
        <f>IFERROR(__xludf.DUMMYFUNCTION("""COMPUTED_VALUE"""),0.0)</f>
        <v>0</v>
      </c>
      <c r="O16" s="29"/>
    </row>
    <row r="17">
      <c r="A17" s="29"/>
      <c r="B17" s="36" t="str">
        <f>IFERROR(__xludf.DUMMYFUNCTION("""COMPUTED_VALUE"""),"591 เทาอ่อน")</f>
        <v>591 เทาอ่อน</v>
      </c>
      <c r="C17" s="37">
        <f>IFERROR(__xludf.DUMMYFUNCTION("""COMPUTED_VALUE"""),130.0)</f>
        <v>130</v>
      </c>
      <c r="D17" s="37" t="str">
        <f>IFERROR(__xludf.DUMMYFUNCTION("""COMPUTED_VALUE"""),"รุ่นสีอ่อน")</f>
        <v>รุ่นสีอ่อน</v>
      </c>
      <c r="E17" s="37" t="str">
        <f>IFERROR(__xludf.DUMMYFUNCTION("""COMPUTED_VALUE"""),"OK")</f>
        <v>OK</v>
      </c>
      <c r="F17" s="38">
        <f>IFERROR(__xludf.DUMMYFUNCTION("""COMPUTED_VALUE"""),70.0)</f>
        <v>70</v>
      </c>
      <c r="G17" s="38">
        <f>IFERROR(__xludf.DUMMYFUNCTION("""COMPUTED_VALUE"""),9100.0)</f>
        <v>9100</v>
      </c>
      <c r="H17" s="39"/>
      <c r="I17" s="40"/>
      <c r="J17" s="37" t="str">
        <f>IFERROR(__xludf.DUMMYFUNCTION("""COMPUTED_VALUE"""),"-")</f>
        <v>-</v>
      </c>
      <c r="K17" s="40">
        <f>IFERROR(__xludf.DUMMYFUNCTION("""COMPUTED_VALUE"""),0.0)</f>
        <v>0</v>
      </c>
      <c r="L17" s="41">
        <f>IFERROR(__xludf.DUMMYFUNCTION("""COMPUTED_VALUE"""),0.0)</f>
        <v>0</v>
      </c>
      <c r="M17" s="37" t="str">
        <f>IFERROR(__xludf.DUMMYFUNCTION("""COMPUTED_VALUE"""),"#DIV/0!")</f>
        <v>#DIV/0!</v>
      </c>
      <c r="N17" s="41">
        <f>IFERROR(__xludf.DUMMYFUNCTION("""COMPUTED_VALUE"""),0.0)</f>
        <v>0</v>
      </c>
      <c r="O17" s="29"/>
    </row>
    <row r="18">
      <c r="A18" s="29"/>
      <c r="B18" s="36" t="str">
        <f>IFERROR(__xludf.DUMMYFUNCTION("""COMPUTED_VALUE"""),"561 ฟ้าเข้ม")</f>
        <v>561 ฟ้าเข้ม</v>
      </c>
      <c r="C18" s="37">
        <f>IFERROR(__xludf.DUMMYFUNCTION("""COMPUTED_VALUE"""),84.0)</f>
        <v>84</v>
      </c>
      <c r="D18" s="37" t="str">
        <f>IFERROR(__xludf.DUMMYFUNCTION("""COMPUTED_VALUE"""),"รุ่นสีอ่อน")</f>
        <v>รุ่นสีอ่อน</v>
      </c>
      <c r="E18" s="37" t="str">
        <f>IFERROR(__xludf.DUMMYFUNCTION("""COMPUTED_VALUE"""),"OK")</f>
        <v>OK</v>
      </c>
      <c r="F18" s="38">
        <f>IFERROR(__xludf.DUMMYFUNCTION("""COMPUTED_VALUE"""),80.0)</f>
        <v>80</v>
      </c>
      <c r="G18" s="38">
        <f>IFERROR(__xludf.DUMMYFUNCTION("""COMPUTED_VALUE"""),6720.0)</f>
        <v>6720</v>
      </c>
      <c r="H18" s="39">
        <f>IFERROR(__xludf.DUMMYFUNCTION("""COMPUTED_VALUE"""),45430.0)</f>
        <v>45430</v>
      </c>
      <c r="I18" s="40">
        <f>IFERROR(__xludf.DUMMYFUNCTION("""COMPUTED_VALUE"""),692.0)</f>
        <v>692</v>
      </c>
      <c r="J18" s="37" t="str">
        <f>IFERROR(__xludf.DUMMYFUNCTION("""COMPUTED_VALUE"""),"Deadstock")</f>
        <v>Deadstock</v>
      </c>
      <c r="K18" s="40">
        <f>IFERROR(__xludf.DUMMYFUNCTION("""COMPUTED_VALUE"""),0.0)</f>
        <v>0</v>
      </c>
      <c r="L18" s="41">
        <f>IFERROR(__xludf.DUMMYFUNCTION("""COMPUTED_VALUE"""),0.0)</f>
        <v>0</v>
      </c>
      <c r="M18" s="37" t="str">
        <f>IFERROR(__xludf.DUMMYFUNCTION("""COMPUTED_VALUE"""),"#DIV/0!")</f>
        <v>#DIV/0!</v>
      </c>
      <c r="N18" s="41">
        <f>IFERROR(__xludf.DUMMYFUNCTION("""COMPUTED_VALUE"""),0.0)</f>
        <v>0</v>
      </c>
      <c r="O18" s="29"/>
    </row>
    <row r="19">
      <c r="A19" s="29"/>
      <c r="B19" s="36" t="str">
        <f>IFERROR(__xludf.DUMMYFUNCTION("""COMPUTED_VALUE"""),"521 ครีม")</f>
        <v>521 ครีม</v>
      </c>
      <c r="C19" s="37">
        <f>IFERROR(__xludf.DUMMYFUNCTION("""COMPUTED_VALUE"""),927.0)</f>
        <v>927</v>
      </c>
      <c r="D19" s="37" t="str">
        <f>IFERROR(__xludf.DUMMYFUNCTION("""COMPUTED_VALUE"""),"รุ่นสีอ่อน")</f>
        <v>รุ่นสีอ่อน</v>
      </c>
      <c r="E19" s="37" t="str">
        <f>IFERROR(__xludf.DUMMYFUNCTION("""COMPUTED_VALUE"""),"OK")</f>
        <v>OK</v>
      </c>
      <c r="F19" s="38">
        <f>IFERROR(__xludf.DUMMYFUNCTION("""COMPUTED_VALUE"""),80.0)</f>
        <v>80</v>
      </c>
      <c r="G19" s="38">
        <f>IFERROR(__xludf.DUMMYFUNCTION("""COMPUTED_VALUE"""),74160.0)</f>
        <v>74160</v>
      </c>
      <c r="H19" s="39">
        <f>IFERROR(__xludf.DUMMYFUNCTION("""COMPUTED_VALUE"""),45430.0)</f>
        <v>45430</v>
      </c>
      <c r="I19" s="40">
        <f>IFERROR(__xludf.DUMMYFUNCTION("""COMPUTED_VALUE"""),692.0)</f>
        <v>692</v>
      </c>
      <c r="J19" s="37" t="str">
        <f>IFERROR(__xludf.DUMMYFUNCTION("""COMPUTED_VALUE"""),"Deadstock")</f>
        <v>Deadstock</v>
      </c>
      <c r="K19" s="40">
        <f>IFERROR(__xludf.DUMMYFUNCTION("""COMPUTED_VALUE"""),0.0)</f>
        <v>0</v>
      </c>
      <c r="L19" s="41">
        <f>IFERROR(__xludf.DUMMYFUNCTION("""COMPUTED_VALUE"""),0.0)</f>
        <v>0</v>
      </c>
      <c r="M19" s="37" t="str">
        <f>IFERROR(__xludf.DUMMYFUNCTION("""COMPUTED_VALUE"""),"#DIV/0!")</f>
        <v>#DIV/0!</v>
      </c>
      <c r="N19" s="41">
        <f>IFERROR(__xludf.DUMMYFUNCTION("""COMPUTED_VALUE"""),0.0)</f>
        <v>0</v>
      </c>
      <c r="O19" s="29"/>
    </row>
    <row r="20">
      <c r="A20" s="29"/>
      <c r="B20" s="36" t="str">
        <f>IFERROR(__xludf.DUMMYFUNCTION("""COMPUTED_VALUE"""),"111 เงินเงา")</f>
        <v>111 เงินเงา</v>
      </c>
      <c r="C20" s="37">
        <f>IFERROR(__xludf.DUMMYFUNCTION("""COMPUTED_VALUE"""),335.0)</f>
        <v>335</v>
      </c>
      <c r="D20" s="37" t="str">
        <f>IFERROR(__xludf.DUMMYFUNCTION("""COMPUTED_VALUE"""),"รุ่นสีพิเศษ A")</f>
        <v>รุ่นสีพิเศษ A</v>
      </c>
      <c r="E20" s="37" t="str">
        <f>IFERROR(__xludf.DUMMYFUNCTION("""COMPUTED_VALUE"""),"OK")</f>
        <v>OK</v>
      </c>
      <c r="F20" s="38">
        <f>IFERROR(__xludf.DUMMYFUNCTION("""COMPUTED_VALUE"""),250.0)</f>
        <v>250</v>
      </c>
      <c r="G20" s="38">
        <f>IFERROR(__xludf.DUMMYFUNCTION("""COMPUTED_VALUE"""),83750.0)</f>
        <v>83750</v>
      </c>
      <c r="H20" s="39"/>
      <c r="I20" s="40"/>
      <c r="J20" s="37" t="str">
        <f>IFERROR(__xludf.DUMMYFUNCTION("""COMPUTED_VALUE"""),"-")</f>
        <v>-</v>
      </c>
      <c r="K20" s="40">
        <f>IFERROR(__xludf.DUMMYFUNCTION("""COMPUTED_VALUE"""),0.0)</f>
        <v>0</v>
      </c>
      <c r="L20" s="41">
        <f>IFERROR(__xludf.DUMMYFUNCTION("""COMPUTED_VALUE"""),0.0)</f>
        <v>0</v>
      </c>
      <c r="M20" s="37" t="str">
        <f>IFERROR(__xludf.DUMMYFUNCTION("""COMPUTED_VALUE"""),"#DIV/0!")</f>
        <v>#DIV/0!</v>
      </c>
      <c r="N20" s="41">
        <f>IFERROR(__xludf.DUMMYFUNCTION("""COMPUTED_VALUE"""),0.0)</f>
        <v>0</v>
      </c>
      <c r="O20" s="29"/>
    </row>
    <row r="21">
      <c r="A21" s="29"/>
      <c r="B21" s="36" t="str">
        <f>IFERROR(__xludf.DUMMYFUNCTION("""COMPUTED_VALUE"""),"112 เงินด้าน")</f>
        <v>112 เงินด้าน</v>
      </c>
      <c r="C21" s="37">
        <f>IFERROR(__xludf.DUMMYFUNCTION("""COMPUTED_VALUE"""),335.0)</f>
        <v>335</v>
      </c>
      <c r="D21" s="37" t="str">
        <f>IFERROR(__xludf.DUMMYFUNCTION("""COMPUTED_VALUE"""),"รุ่นสีพิเศษ A")</f>
        <v>รุ่นสีพิเศษ A</v>
      </c>
      <c r="E21" s="37" t="str">
        <f>IFERROR(__xludf.DUMMYFUNCTION("""COMPUTED_VALUE"""),"OK")</f>
        <v>OK</v>
      </c>
      <c r="F21" s="38">
        <f>IFERROR(__xludf.DUMMYFUNCTION("""COMPUTED_VALUE"""),250.0)</f>
        <v>250</v>
      </c>
      <c r="G21" s="38">
        <f>IFERROR(__xludf.DUMMYFUNCTION("""COMPUTED_VALUE"""),83750.0)</f>
        <v>83750</v>
      </c>
      <c r="H21" s="39"/>
      <c r="I21" s="40"/>
      <c r="J21" s="37" t="str">
        <f>IFERROR(__xludf.DUMMYFUNCTION("""COMPUTED_VALUE"""),"-")</f>
        <v>-</v>
      </c>
      <c r="K21" s="40">
        <f>IFERROR(__xludf.DUMMYFUNCTION("""COMPUTED_VALUE"""),0.0)</f>
        <v>0</v>
      </c>
      <c r="L21" s="41">
        <f>IFERROR(__xludf.DUMMYFUNCTION("""COMPUTED_VALUE"""),0.0)</f>
        <v>0</v>
      </c>
      <c r="M21" s="37" t="str">
        <f>IFERROR(__xludf.DUMMYFUNCTION("""COMPUTED_VALUE"""),"#DIV/0!")</f>
        <v>#DIV/0!</v>
      </c>
      <c r="N21" s="41">
        <f>IFERROR(__xludf.DUMMYFUNCTION("""COMPUTED_VALUE"""),0.0)</f>
        <v>0</v>
      </c>
      <c r="O21" s="29"/>
    </row>
    <row r="22">
      <c r="A22" s="29"/>
      <c r="B22" s="36" t="str">
        <f>IFERROR(__xludf.DUMMYFUNCTION("""COMPUTED_VALUE"""),"881 เปลือกไม้")</f>
        <v>881 เปลือกไม้</v>
      </c>
      <c r="C22" s="37">
        <f>IFERROR(__xludf.DUMMYFUNCTION("""COMPUTED_VALUE"""),414.0)</f>
        <v>414</v>
      </c>
      <c r="D22" s="37" t="str">
        <f>IFERROR(__xludf.DUMMYFUNCTION("""COMPUTED_VALUE"""),"รุ่นสีอ่อน")</f>
        <v>รุ่นสีอ่อน</v>
      </c>
      <c r="E22" s="37" t="str">
        <f>IFERROR(__xludf.DUMMYFUNCTION("""COMPUTED_VALUE"""),"OK")</f>
        <v>OK</v>
      </c>
      <c r="F22" s="38">
        <f>IFERROR(__xludf.DUMMYFUNCTION("""COMPUTED_VALUE"""),80.0)</f>
        <v>80</v>
      </c>
      <c r="G22" s="38">
        <f>IFERROR(__xludf.DUMMYFUNCTION("""COMPUTED_VALUE"""),33120.0)</f>
        <v>33120</v>
      </c>
      <c r="H22" s="39">
        <f>IFERROR(__xludf.DUMMYFUNCTION("""COMPUTED_VALUE"""),45430.0)</f>
        <v>45430</v>
      </c>
      <c r="I22" s="40">
        <f>IFERROR(__xludf.DUMMYFUNCTION("""COMPUTED_VALUE"""),692.0)</f>
        <v>692</v>
      </c>
      <c r="J22" s="37" t="str">
        <f>IFERROR(__xludf.DUMMYFUNCTION("""COMPUTED_VALUE"""),"Deadstock")</f>
        <v>Deadstock</v>
      </c>
      <c r="K22" s="40">
        <f>IFERROR(__xludf.DUMMYFUNCTION("""COMPUTED_VALUE"""),0.0)</f>
        <v>0</v>
      </c>
      <c r="L22" s="41">
        <f>IFERROR(__xludf.DUMMYFUNCTION("""COMPUTED_VALUE"""),0.0)</f>
        <v>0</v>
      </c>
      <c r="M22" s="37" t="str">
        <f>IFERROR(__xludf.DUMMYFUNCTION("""COMPUTED_VALUE"""),"#DIV/0!")</f>
        <v>#DIV/0!</v>
      </c>
      <c r="N22" s="41">
        <f>IFERROR(__xludf.DUMMYFUNCTION("""COMPUTED_VALUE"""),0.0)</f>
        <v>0</v>
      </c>
      <c r="O22" s="29"/>
    </row>
    <row r="23">
      <c r="A23" s="29"/>
      <c r="B23" s="36" t="str">
        <f>IFERROR(__xludf.DUMMYFUNCTION("""COMPUTED_VALUE"""),"863 ฟ้าพาสเทลเข้ม")</f>
        <v>863 ฟ้าพาสเทลเข้ม</v>
      </c>
      <c r="C23" s="37">
        <f>IFERROR(__xludf.DUMMYFUNCTION("""COMPUTED_VALUE"""),68.0)</f>
        <v>68</v>
      </c>
      <c r="D23" s="37" t="str">
        <f>IFERROR(__xludf.DUMMYFUNCTION("""COMPUTED_VALUE"""),"รุ่นสีอ่อน")</f>
        <v>รุ่นสีอ่อน</v>
      </c>
      <c r="E23" s="37" t="str">
        <f>IFERROR(__xludf.DUMMYFUNCTION("""COMPUTED_VALUE"""),"ควรเติมทันที")</f>
        <v>ควรเติมทันที</v>
      </c>
      <c r="F23" s="38">
        <f>IFERROR(__xludf.DUMMYFUNCTION("""COMPUTED_VALUE"""),80.0)</f>
        <v>80</v>
      </c>
      <c r="G23" s="38">
        <f>IFERROR(__xludf.DUMMYFUNCTION("""COMPUTED_VALUE"""),5440.0)</f>
        <v>5440</v>
      </c>
      <c r="H23" s="39"/>
      <c r="I23" s="40"/>
      <c r="J23" s="37" t="str">
        <f>IFERROR(__xludf.DUMMYFUNCTION("""COMPUTED_VALUE"""),"-")</f>
        <v>-</v>
      </c>
      <c r="K23" s="40">
        <f>IFERROR(__xludf.DUMMYFUNCTION("""COMPUTED_VALUE"""),0.0)</f>
        <v>0</v>
      </c>
      <c r="L23" s="41">
        <f>IFERROR(__xludf.DUMMYFUNCTION("""COMPUTED_VALUE"""),0.0)</f>
        <v>0</v>
      </c>
      <c r="M23" s="37" t="str">
        <f>IFERROR(__xludf.DUMMYFUNCTION("""COMPUTED_VALUE"""),"#DIV/0!")</f>
        <v>#DIV/0!</v>
      </c>
      <c r="N23" s="41">
        <f>IFERROR(__xludf.DUMMYFUNCTION("""COMPUTED_VALUE"""),0.0)</f>
        <v>0</v>
      </c>
      <c r="O23" s="29"/>
    </row>
    <row r="24">
      <c r="A24" s="29"/>
      <c r="B24" s="36" t="str">
        <f>IFERROR(__xludf.DUMMYFUNCTION("""COMPUTED_VALUE"""),"881 เปลือกไม้ รุ่นหยัก")</f>
        <v>881 เปลือกไม้ รุ่นหยัก</v>
      </c>
      <c r="C24" s="37">
        <f>IFERROR(__xludf.DUMMYFUNCTION("""COMPUTED_VALUE"""),-1.0)</f>
        <v>-1</v>
      </c>
      <c r="D24" s="37" t="str">
        <f>IFERROR(__xludf.DUMMYFUNCTION("""COMPUTED_VALUE"""),"รุ่นหยัก")</f>
        <v>รุ่นหยัก</v>
      </c>
      <c r="E24" s="37" t="str">
        <f>IFERROR(__xludf.DUMMYFUNCTION("""COMPUTED_VALUE"""),"สินค้าหมด")</f>
        <v>สินค้าหมด</v>
      </c>
      <c r="F24" s="38"/>
      <c r="G24" s="38"/>
      <c r="H24" s="39">
        <f>IFERROR(__xludf.DUMMYFUNCTION("""COMPUTED_VALUE"""),45411.0)</f>
        <v>45411</v>
      </c>
      <c r="I24" s="40">
        <f>IFERROR(__xludf.DUMMYFUNCTION("""COMPUTED_VALUE"""),711.0)</f>
        <v>711</v>
      </c>
      <c r="J24" s="37" t="str">
        <f>IFERROR(__xludf.DUMMYFUNCTION("""COMPUTED_VALUE"""),"Deadstock")</f>
        <v>Deadstock</v>
      </c>
      <c r="K24" s="40">
        <f>IFERROR(__xludf.DUMMYFUNCTION("""COMPUTED_VALUE"""),0.0)</f>
        <v>0</v>
      </c>
      <c r="L24" s="41">
        <f>IFERROR(__xludf.DUMMYFUNCTION("""COMPUTED_VALUE"""),0.0)</f>
        <v>0</v>
      </c>
      <c r="M24" s="37" t="str">
        <f>IFERROR(__xludf.DUMMYFUNCTION("""COMPUTED_VALUE"""),"#DIV/0!")</f>
        <v>#DIV/0!</v>
      </c>
      <c r="N24" s="41">
        <f>IFERROR(__xludf.DUMMYFUNCTION("""COMPUTED_VALUE"""),0.0)</f>
        <v>0</v>
      </c>
      <c r="O24" s="29"/>
    </row>
    <row r="25">
      <c r="A25" s="29"/>
      <c r="B25" s="36" t="str">
        <f>IFERROR(__xludf.DUMMYFUNCTION("""COMPUTED_VALUE"""),"853 ชมพูพาสเทล")</f>
        <v>853 ชมพูพาสเทล</v>
      </c>
      <c r="C25" s="37">
        <f>IFERROR(__xludf.DUMMYFUNCTION("""COMPUTED_VALUE"""),-11.0)</f>
        <v>-11</v>
      </c>
      <c r="D25" s="37" t="str">
        <f>IFERROR(__xludf.DUMMYFUNCTION("""COMPUTED_VALUE"""),"รุ่นสีอ่อน")</f>
        <v>รุ่นสีอ่อน</v>
      </c>
      <c r="E25" s="37" t="str">
        <f>IFERROR(__xludf.DUMMYFUNCTION("""COMPUTED_VALUE"""),"สินค้าหมด")</f>
        <v>สินค้าหมด</v>
      </c>
      <c r="F25" s="38"/>
      <c r="G25" s="38"/>
      <c r="H25" s="39">
        <f>IFERROR(__xludf.DUMMYFUNCTION("""COMPUTED_VALUE"""),45430.0)</f>
        <v>45430</v>
      </c>
      <c r="I25" s="40">
        <f>IFERROR(__xludf.DUMMYFUNCTION("""COMPUTED_VALUE"""),692.0)</f>
        <v>692</v>
      </c>
      <c r="J25" s="37" t="str">
        <f>IFERROR(__xludf.DUMMYFUNCTION("""COMPUTED_VALUE"""),"Deadstock")</f>
        <v>Deadstock</v>
      </c>
      <c r="K25" s="40">
        <f>IFERROR(__xludf.DUMMYFUNCTION("""COMPUTED_VALUE"""),0.0)</f>
        <v>0</v>
      </c>
      <c r="L25" s="41">
        <f>IFERROR(__xludf.DUMMYFUNCTION("""COMPUTED_VALUE"""),0.0)</f>
        <v>0</v>
      </c>
      <c r="M25" s="37" t="str">
        <f>IFERROR(__xludf.DUMMYFUNCTION("""COMPUTED_VALUE"""),"#DIV/0!")</f>
        <v>#DIV/0!</v>
      </c>
      <c r="N25" s="41">
        <f>IFERROR(__xludf.DUMMYFUNCTION("""COMPUTED_VALUE"""),0.0)</f>
        <v>0</v>
      </c>
      <c r="O25" s="29"/>
    </row>
    <row r="26">
      <c r="A26" s="29"/>
      <c r="B26" s="36" t="str">
        <f>IFERROR(__xludf.DUMMYFUNCTION("""COMPUTED_VALUE"""),"862 ฟ้า PT อ่อน")</f>
        <v>862 ฟ้า PT อ่อน</v>
      </c>
      <c r="C26" s="37">
        <f>IFERROR(__xludf.DUMMYFUNCTION("""COMPUTED_VALUE"""),-14.0)</f>
        <v>-14</v>
      </c>
      <c r="D26" s="37" t="str">
        <f>IFERROR(__xludf.DUMMYFUNCTION("""COMPUTED_VALUE"""),"รุ่นสีอ่อน")</f>
        <v>รุ่นสีอ่อน</v>
      </c>
      <c r="E26" s="37" t="str">
        <f>IFERROR(__xludf.DUMMYFUNCTION("""COMPUTED_VALUE"""),"สินค้าหมด")</f>
        <v>สินค้าหมด</v>
      </c>
      <c r="F26" s="38"/>
      <c r="G26" s="38"/>
      <c r="H26" s="39">
        <f>IFERROR(__xludf.DUMMYFUNCTION("""COMPUTED_VALUE"""),45430.0)</f>
        <v>45430</v>
      </c>
      <c r="I26" s="40">
        <f>IFERROR(__xludf.DUMMYFUNCTION("""COMPUTED_VALUE"""),692.0)</f>
        <v>692</v>
      </c>
      <c r="J26" s="37" t="str">
        <f>IFERROR(__xludf.DUMMYFUNCTION("""COMPUTED_VALUE"""),"Deadstock")</f>
        <v>Deadstock</v>
      </c>
      <c r="K26" s="40">
        <f>IFERROR(__xludf.DUMMYFUNCTION("""COMPUTED_VALUE"""),0.0)</f>
        <v>0</v>
      </c>
      <c r="L26" s="41">
        <f>IFERROR(__xludf.DUMMYFUNCTION("""COMPUTED_VALUE"""),0.0)</f>
        <v>0</v>
      </c>
      <c r="M26" s="37" t="str">
        <f>IFERROR(__xludf.DUMMYFUNCTION("""COMPUTED_VALUE"""),"#DIV/0!")</f>
        <v>#DIV/0!</v>
      </c>
      <c r="N26" s="41">
        <f>IFERROR(__xludf.DUMMYFUNCTION("""COMPUTED_VALUE"""),0.0)</f>
        <v>0</v>
      </c>
      <c r="O26" s="29"/>
    </row>
    <row r="27">
      <c r="A27" s="29"/>
      <c r="B27" s="36" t="str">
        <f>IFERROR(__xludf.DUMMYFUNCTION("""COMPUTED_VALUE"""),"863 ฟ้า PT เข้ม")</f>
        <v>863 ฟ้า PT เข้ม</v>
      </c>
      <c r="C27" s="37">
        <f>IFERROR(__xludf.DUMMYFUNCTION("""COMPUTED_VALUE"""),0.0)</f>
        <v>0</v>
      </c>
      <c r="D27" s="37" t="str">
        <f>IFERROR(__xludf.DUMMYFUNCTION("""COMPUTED_VALUE"""),"รุ่นสีอ่อน")</f>
        <v>รุ่นสีอ่อน</v>
      </c>
      <c r="E27" s="37" t="str">
        <f>IFERROR(__xludf.DUMMYFUNCTION("""COMPUTED_VALUE"""),"สินค้าหมด")</f>
        <v>สินค้าหมด</v>
      </c>
      <c r="F27" s="38"/>
      <c r="G27" s="38"/>
      <c r="H27" s="39"/>
      <c r="I27" s="40"/>
      <c r="J27" s="37" t="str">
        <f>IFERROR(__xludf.DUMMYFUNCTION("""COMPUTED_VALUE"""),"-")</f>
        <v>-</v>
      </c>
      <c r="K27" s="40">
        <f>IFERROR(__xludf.DUMMYFUNCTION("""COMPUTED_VALUE"""),0.0)</f>
        <v>0</v>
      </c>
      <c r="L27" s="41">
        <f>IFERROR(__xludf.DUMMYFUNCTION("""COMPUTED_VALUE"""),0.0)</f>
        <v>0</v>
      </c>
      <c r="M27" s="37" t="str">
        <f>IFERROR(__xludf.DUMMYFUNCTION("""COMPUTED_VALUE"""),"#DIV/0!")</f>
        <v>#DIV/0!</v>
      </c>
      <c r="N27" s="41">
        <f>IFERROR(__xludf.DUMMYFUNCTION("""COMPUTED_VALUE"""),0.0)</f>
        <v>0</v>
      </c>
      <c r="O27" s="29"/>
    </row>
    <row r="28">
      <c r="A28" s="29"/>
      <c r="B28" s="36" t="str">
        <f>IFERROR(__xludf.DUMMYFUNCTION("""COMPUTED_VALUE"""),"522 เหลืองอ่อน")</f>
        <v>522 เหลืองอ่อน</v>
      </c>
      <c r="C28" s="37">
        <f>IFERROR(__xludf.DUMMYFUNCTION("""COMPUTED_VALUE"""),-10.0)</f>
        <v>-10</v>
      </c>
      <c r="D28" s="37" t="str">
        <f>IFERROR(__xludf.DUMMYFUNCTION("""COMPUTED_VALUE"""),"รุ่นสีอ่อน")</f>
        <v>รุ่นสีอ่อน</v>
      </c>
      <c r="E28" s="37" t="str">
        <f>IFERROR(__xludf.DUMMYFUNCTION("""COMPUTED_VALUE"""),"สินค้าหมด")</f>
        <v>สินค้าหมด</v>
      </c>
      <c r="F28" s="38"/>
      <c r="G28" s="38"/>
      <c r="H28" s="39">
        <f>IFERROR(__xludf.DUMMYFUNCTION("""COMPUTED_VALUE"""),45430.0)</f>
        <v>45430</v>
      </c>
      <c r="I28" s="40">
        <f>IFERROR(__xludf.DUMMYFUNCTION("""COMPUTED_VALUE"""),692.0)</f>
        <v>692</v>
      </c>
      <c r="J28" s="37" t="str">
        <f>IFERROR(__xludf.DUMMYFUNCTION("""COMPUTED_VALUE"""),"Deadstock")</f>
        <v>Deadstock</v>
      </c>
      <c r="K28" s="40">
        <f>IFERROR(__xludf.DUMMYFUNCTION("""COMPUTED_VALUE"""),0.0)</f>
        <v>0</v>
      </c>
      <c r="L28" s="41">
        <f>IFERROR(__xludf.DUMMYFUNCTION("""COMPUTED_VALUE"""),0.0)</f>
        <v>0</v>
      </c>
      <c r="M28" s="37" t="str">
        <f>IFERROR(__xludf.DUMMYFUNCTION("""COMPUTED_VALUE"""),"#DIV/0!")</f>
        <v>#DIV/0!</v>
      </c>
      <c r="N28" s="41">
        <f>IFERROR(__xludf.DUMMYFUNCTION("""COMPUTED_VALUE"""),0.0)</f>
        <v>0</v>
      </c>
      <c r="O28" s="29"/>
    </row>
    <row r="29">
      <c r="A29" s="29"/>
      <c r="B29" s="36" t="str">
        <f>IFERROR(__xludf.DUMMYFUNCTION("""COMPUTED_VALUE"""),"571 เขียวหยก")</f>
        <v>571 เขียวหยก</v>
      </c>
      <c r="C29" s="37">
        <f>IFERROR(__xludf.DUMMYFUNCTION("""COMPUTED_VALUE"""),-10.0)</f>
        <v>-10</v>
      </c>
      <c r="D29" s="37" t="str">
        <f>IFERROR(__xludf.DUMMYFUNCTION("""COMPUTED_VALUE"""),"รุ่นสีอ่อน")</f>
        <v>รุ่นสีอ่อน</v>
      </c>
      <c r="E29" s="37" t="str">
        <f>IFERROR(__xludf.DUMMYFUNCTION("""COMPUTED_VALUE"""),"สินค้าหมด")</f>
        <v>สินค้าหมด</v>
      </c>
      <c r="F29" s="38"/>
      <c r="G29" s="38"/>
      <c r="H29" s="39">
        <f>IFERROR(__xludf.DUMMYFUNCTION("""COMPUTED_VALUE"""),45430.0)</f>
        <v>45430</v>
      </c>
      <c r="I29" s="40">
        <f>IFERROR(__xludf.DUMMYFUNCTION("""COMPUTED_VALUE"""),692.0)</f>
        <v>692</v>
      </c>
      <c r="J29" s="37" t="str">
        <f>IFERROR(__xludf.DUMMYFUNCTION("""COMPUTED_VALUE"""),"Deadstock")</f>
        <v>Deadstock</v>
      </c>
      <c r="K29" s="40">
        <f>IFERROR(__xludf.DUMMYFUNCTION("""COMPUTED_VALUE"""),0.0)</f>
        <v>0</v>
      </c>
      <c r="L29" s="41">
        <f>IFERROR(__xludf.DUMMYFUNCTION("""COMPUTED_VALUE"""),0.0)</f>
        <v>0</v>
      </c>
      <c r="M29" s="37" t="str">
        <f>IFERROR(__xludf.DUMMYFUNCTION("""COMPUTED_VALUE"""),"#DIV/0!")</f>
        <v>#DIV/0!</v>
      </c>
      <c r="N29" s="41">
        <f>IFERROR(__xludf.DUMMYFUNCTION("""COMPUTED_VALUE"""),0.0)</f>
        <v>0</v>
      </c>
      <c r="O29" s="29"/>
    </row>
    <row r="30">
      <c r="A30" s="29"/>
      <c r="B30" s="36" t="str">
        <f>IFERROR(__xludf.DUMMYFUNCTION("""COMPUTED_VALUE"""),"882 กาแฟ")</f>
        <v>882 กาแฟ</v>
      </c>
      <c r="C30" s="37">
        <f>IFERROR(__xludf.DUMMYFUNCTION("""COMPUTED_VALUE"""),-10.0)</f>
        <v>-10</v>
      </c>
      <c r="D30" s="37" t="str">
        <f>IFERROR(__xludf.DUMMYFUNCTION("""COMPUTED_VALUE"""),"รุ่นสีอ่อน")</f>
        <v>รุ่นสีอ่อน</v>
      </c>
      <c r="E30" s="37" t="str">
        <f>IFERROR(__xludf.DUMMYFUNCTION("""COMPUTED_VALUE"""),"สินค้าหมด")</f>
        <v>สินค้าหมด</v>
      </c>
      <c r="F30" s="38"/>
      <c r="G30" s="38"/>
      <c r="H30" s="39">
        <f>IFERROR(__xludf.DUMMYFUNCTION("""COMPUTED_VALUE"""),45430.0)</f>
        <v>45430</v>
      </c>
      <c r="I30" s="40">
        <f>IFERROR(__xludf.DUMMYFUNCTION("""COMPUTED_VALUE"""),692.0)</f>
        <v>692</v>
      </c>
      <c r="J30" s="37" t="str">
        <f>IFERROR(__xludf.DUMMYFUNCTION("""COMPUTED_VALUE"""),"Deadstock")</f>
        <v>Deadstock</v>
      </c>
      <c r="K30" s="40">
        <f>IFERROR(__xludf.DUMMYFUNCTION("""COMPUTED_VALUE"""),0.0)</f>
        <v>0</v>
      </c>
      <c r="L30" s="41">
        <f>IFERROR(__xludf.DUMMYFUNCTION("""COMPUTED_VALUE"""),0.0)</f>
        <v>0</v>
      </c>
      <c r="M30" s="37" t="str">
        <f>IFERROR(__xludf.DUMMYFUNCTION("""COMPUTED_VALUE"""),"#DIV/0!")</f>
        <v>#DIV/0!</v>
      </c>
      <c r="N30" s="41">
        <f>IFERROR(__xludf.DUMMYFUNCTION("""COMPUTED_VALUE"""),0.0)</f>
        <v>0</v>
      </c>
      <c r="O30" s="29"/>
    </row>
    <row r="31">
      <c r="A31" s="29"/>
      <c r="B31" s="36" t="str">
        <f>IFERROR(__xludf.DUMMYFUNCTION("""COMPUTED_VALUE"""),"511 กรีนรีด")</f>
        <v>511 กรีนรีด</v>
      </c>
      <c r="C31" s="37">
        <f>IFERROR(__xludf.DUMMYFUNCTION("""COMPUTED_VALUE"""),0.0)</f>
        <v>0</v>
      </c>
      <c r="D31" s="37" t="str">
        <f>IFERROR(__xludf.DUMMYFUNCTION("""COMPUTED_VALUE"""),"รุ่นสีอ่อน")</f>
        <v>รุ่นสีอ่อน</v>
      </c>
      <c r="E31" s="37" t="str">
        <f>IFERROR(__xludf.DUMMYFUNCTION("""COMPUTED_VALUE"""),"สินค้าหมด")</f>
        <v>สินค้าหมด</v>
      </c>
      <c r="F31" s="38"/>
      <c r="G31" s="38"/>
      <c r="H31" s="39"/>
      <c r="I31" s="40"/>
      <c r="J31" s="37" t="str">
        <f>IFERROR(__xludf.DUMMYFUNCTION("""COMPUTED_VALUE"""),"-")</f>
        <v>-</v>
      </c>
      <c r="K31" s="40">
        <f>IFERROR(__xludf.DUMMYFUNCTION("""COMPUTED_VALUE"""),0.0)</f>
        <v>0</v>
      </c>
      <c r="L31" s="41">
        <f>IFERROR(__xludf.DUMMYFUNCTION("""COMPUTED_VALUE"""),0.0)</f>
        <v>0</v>
      </c>
      <c r="M31" s="37" t="str">
        <f>IFERROR(__xludf.DUMMYFUNCTION("""COMPUTED_VALUE"""),"#DIV/0!")</f>
        <v>#DIV/0!</v>
      </c>
      <c r="N31" s="41">
        <f>IFERROR(__xludf.DUMMYFUNCTION("""COMPUTED_VALUE"""),0.0)</f>
        <v>0</v>
      </c>
      <c r="O31" s="29"/>
    </row>
    <row r="32">
      <c r="A32" s="29"/>
      <c r="B32" s="36"/>
      <c r="C32" s="37"/>
      <c r="D32" s="37"/>
      <c r="E32" s="37"/>
      <c r="F32" s="38"/>
      <c r="G32" s="38"/>
      <c r="H32" s="39"/>
      <c r="I32" s="40"/>
      <c r="J32" s="37"/>
      <c r="K32" s="40"/>
      <c r="L32" s="41"/>
      <c r="M32" s="37"/>
      <c r="N32" s="41"/>
      <c r="O32" s="29"/>
    </row>
    <row r="33">
      <c r="A33" s="29"/>
      <c r="B33" s="36"/>
      <c r="C33" s="37"/>
      <c r="D33" s="37"/>
      <c r="E33" s="37"/>
      <c r="F33" s="38"/>
      <c r="G33" s="38"/>
      <c r="H33" s="39"/>
      <c r="I33" s="40"/>
      <c r="J33" s="37"/>
      <c r="K33" s="40"/>
      <c r="L33" s="41"/>
      <c r="M33" s="37"/>
      <c r="N33" s="41"/>
      <c r="O33" s="29"/>
    </row>
    <row r="34">
      <c r="A34" s="29"/>
      <c r="B34" s="36"/>
      <c r="C34" s="37"/>
      <c r="D34" s="37"/>
      <c r="E34" s="37"/>
      <c r="F34" s="38"/>
      <c r="G34" s="38"/>
      <c r="H34" s="39"/>
      <c r="I34" s="40"/>
      <c r="J34" s="37"/>
      <c r="K34" s="40"/>
      <c r="L34" s="41"/>
      <c r="M34" s="37"/>
      <c r="N34" s="41"/>
      <c r="O34" s="29"/>
    </row>
    <row r="35">
      <c r="A35" s="29"/>
      <c r="B35" s="36"/>
      <c r="C35" s="37"/>
      <c r="D35" s="37"/>
      <c r="E35" s="37"/>
      <c r="F35" s="38"/>
      <c r="G35" s="38"/>
      <c r="H35" s="39"/>
      <c r="I35" s="40"/>
      <c r="J35" s="37"/>
      <c r="K35" s="40"/>
      <c r="L35" s="41"/>
      <c r="M35" s="37"/>
      <c r="N35" s="41"/>
      <c r="O35" s="29"/>
    </row>
    <row r="36">
      <c r="A36" s="29"/>
      <c r="B36" s="36"/>
      <c r="C36" s="37"/>
      <c r="D36" s="37"/>
      <c r="E36" s="37"/>
      <c r="F36" s="38"/>
      <c r="G36" s="38"/>
      <c r="H36" s="39"/>
      <c r="I36" s="40"/>
      <c r="J36" s="37"/>
      <c r="K36" s="40"/>
      <c r="L36" s="41"/>
      <c r="M36" s="37"/>
      <c r="N36" s="41"/>
      <c r="O36" s="29"/>
    </row>
    <row r="37">
      <c r="A37" s="29"/>
      <c r="B37" s="36"/>
      <c r="C37" s="37"/>
      <c r="D37" s="37"/>
      <c r="E37" s="37"/>
      <c r="F37" s="38"/>
      <c r="G37" s="38"/>
      <c r="H37" s="39"/>
      <c r="I37" s="40"/>
      <c r="J37" s="37"/>
      <c r="K37" s="40"/>
      <c r="L37" s="41"/>
      <c r="M37" s="37"/>
      <c r="N37" s="41"/>
      <c r="O37" s="29"/>
    </row>
    <row r="38">
      <c r="A38" s="29"/>
      <c r="B38" s="36"/>
      <c r="C38" s="37"/>
      <c r="D38" s="37"/>
      <c r="E38" s="37"/>
      <c r="F38" s="38"/>
      <c r="G38" s="38"/>
      <c r="H38" s="39"/>
      <c r="I38" s="40"/>
      <c r="J38" s="37"/>
      <c r="K38" s="40"/>
      <c r="L38" s="41"/>
      <c r="M38" s="37"/>
      <c r="N38" s="41"/>
      <c r="O38" s="29"/>
    </row>
    <row r="39">
      <c r="A39" s="29"/>
      <c r="B39" s="36"/>
      <c r="C39" s="37"/>
      <c r="D39" s="37"/>
      <c r="E39" s="37"/>
      <c r="F39" s="38"/>
      <c r="G39" s="38"/>
      <c r="H39" s="39"/>
      <c r="I39" s="40"/>
      <c r="J39" s="37"/>
      <c r="K39" s="40"/>
      <c r="L39" s="41"/>
      <c r="M39" s="37"/>
      <c r="N39" s="41"/>
      <c r="O39" s="29"/>
    </row>
    <row r="40">
      <c r="A40" s="29"/>
      <c r="B40" s="36"/>
      <c r="C40" s="37"/>
      <c r="D40" s="37"/>
      <c r="E40" s="37"/>
      <c r="F40" s="38"/>
      <c r="G40" s="38"/>
      <c r="H40" s="39"/>
      <c r="I40" s="40"/>
      <c r="J40" s="37"/>
      <c r="K40" s="40"/>
      <c r="L40" s="41"/>
      <c r="M40" s="37"/>
      <c r="N40" s="41"/>
      <c r="O40" s="29"/>
    </row>
    <row r="41">
      <c r="A41" s="29"/>
      <c r="B41" s="36"/>
      <c r="C41" s="37"/>
      <c r="D41" s="37"/>
      <c r="E41" s="37"/>
      <c r="F41" s="38"/>
      <c r="G41" s="38"/>
      <c r="H41" s="39"/>
      <c r="I41" s="40"/>
      <c r="J41" s="37"/>
      <c r="K41" s="40"/>
      <c r="L41" s="41"/>
      <c r="M41" s="37"/>
      <c r="N41" s="41"/>
      <c r="O41" s="29"/>
    </row>
    <row r="42">
      <c r="A42" s="29"/>
      <c r="B42" s="36"/>
      <c r="C42" s="37"/>
      <c r="D42" s="37"/>
      <c r="E42" s="37"/>
      <c r="F42" s="38"/>
      <c r="G42" s="38"/>
      <c r="H42" s="39"/>
      <c r="I42" s="40"/>
      <c r="J42" s="37"/>
      <c r="K42" s="40"/>
      <c r="L42" s="41"/>
      <c r="M42" s="37"/>
      <c r="N42" s="41"/>
      <c r="O42" s="29"/>
    </row>
    <row r="43">
      <c r="A43" s="29"/>
      <c r="B43" s="36"/>
      <c r="C43" s="37"/>
      <c r="D43" s="37"/>
      <c r="E43" s="37"/>
      <c r="F43" s="38"/>
      <c r="G43" s="38"/>
      <c r="H43" s="39"/>
      <c r="I43" s="40"/>
      <c r="J43" s="37"/>
      <c r="K43" s="40"/>
      <c r="L43" s="41"/>
      <c r="M43" s="37"/>
      <c r="N43" s="41"/>
      <c r="O43" s="29"/>
    </row>
    <row r="44">
      <c r="A44" s="29"/>
      <c r="B44" s="36"/>
      <c r="C44" s="37"/>
      <c r="D44" s="37"/>
      <c r="E44" s="37"/>
      <c r="F44" s="38"/>
      <c r="G44" s="38"/>
      <c r="H44" s="39"/>
      <c r="I44" s="40"/>
      <c r="J44" s="37"/>
      <c r="K44" s="40"/>
      <c r="L44" s="41"/>
      <c r="M44" s="37"/>
      <c r="N44" s="41"/>
      <c r="O44" s="29"/>
    </row>
    <row r="45">
      <c r="A45" s="29"/>
      <c r="B45" s="36"/>
      <c r="C45" s="37"/>
      <c r="D45" s="37"/>
      <c r="E45" s="37"/>
      <c r="F45" s="38"/>
      <c r="G45" s="38"/>
      <c r="H45" s="39"/>
      <c r="I45" s="40"/>
      <c r="J45" s="37"/>
      <c r="K45" s="40"/>
      <c r="L45" s="41"/>
      <c r="M45" s="37"/>
      <c r="N45" s="41"/>
      <c r="O45" s="29"/>
    </row>
    <row r="46">
      <c r="A46" s="29"/>
      <c r="B46" s="36"/>
      <c r="C46" s="37"/>
      <c r="D46" s="37"/>
      <c r="E46" s="37"/>
      <c r="F46" s="38"/>
      <c r="G46" s="38"/>
      <c r="H46" s="39"/>
      <c r="I46" s="40"/>
      <c r="J46" s="37"/>
      <c r="K46" s="40"/>
      <c r="L46" s="41"/>
      <c r="M46" s="37"/>
      <c r="N46" s="41"/>
      <c r="O46" s="29"/>
    </row>
    <row r="47">
      <c r="A47" s="29"/>
      <c r="B47" s="36"/>
      <c r="C47" s="37"/>
      <c r="D47" s="37"/>
      <c r="E47" s="37"/>
      <c r="F47" s="38"/>
      <c r="G47" s="38"/>
      <c r="H47" s="39"/>
      <c r="I47" s="40"/>
      <c r="J47" s="37"/>
      <c r="K47" s="40"/>
      <c r="L47" s="41"/>
      <c r="M47" s="37"/>
      <c r="N47" s="41"/>
      <c r="O47" s="29"/>
    </row>
    <row r="48">
      <c r="A48" s="29"/>
      <c r="B48" s="36"/>
      <c r="C48" s="37"/>
      <c r="D48" s="37"/>
      <c r="E48" s="37"/>
      <c r="F48" s="38"/>
      <c r="G48" s="38"/>
      <c r="H48" s="39"/>
      <c r="I48" s="40"/>
      <c r="J48" s="37"/>
      <c r="K48" s="40"/>
      <c r="L48" s="41"/>
      <c r="M48" s="37"/>
      <c r="N48" s="41"/>
      <c r="O48" s="29"/>
    </row>
    <row r="49">
      <c r="A49" s="29"/>
      <c r="B49" s="36"/>
      <c r="C49" s="37"/>
      <c r="D49" s="37"/>
      <c r="E49" s="37"/>
      <c r="F49" s="38"/>
      <c r="G49" s="38"/>
      <c r="H49" s="39"/>
      <c r="I49" s="40"/>
      <c r="J49" s="37"/>
      <c r="K49" s="40"/>
      <c r="L49" s="41"/>
      <c r="M49" s="37"/>
      <c r="N49" s="41"/>
      <c r="O49" s="29"/>
    </row>
    <row r="50">
      <c r="A50" s="29"/>
      <c r="B50" s="36"/>
      <c r="C50" s="37"/>
      <c r="D50" s="37"/>
      <c r="E50" s="37"/>
      <c r="F50" s="38"/>
      <c r="G50" s="38"/>
      <c r="H50" s="39"/>
      <c r="I50" s="40"/>
      <c r="J50" s="37"/>
      <c r="K50" s="40"/>
      <c r="L50" s="41"/>
      <c r="M50" s="37"/>
      <c r="N50" s="41"/>
      <c r="O50" s="29"/>
    </row>
    <row r="51">
      <c r="A51" s="29"/>
      <c r="B51" s="36"/>
      <c r="C51" s="37"/>
      <c r="D51" s="37"/>
      <c r="E51" s="37"/>
      <c r="F51" s="38"/>
      <c r="G51" s="38"/>
      <c r="H51" s="39"/>
      <c r="I51" s="40"/>
      <c r="J51" s="37"/>
      <c r="K51" s="40"/>
      <c r="L51" s="41"/>
      <c r="M51" s="37"/>
      <c r="N51" s="41"/>
      <c r="O51" s="29"/>
    </row>
    <row r="52">
      <c r="A52" s="29"/>
      <c r="B52" s="36"/>
      <c r="C52" s="37"/>
      <c r="D52" s="37"/>
      <c r="E52" s="37"/>
      <c r="F52" s="38"/>
      <c r="G52" s="38"/>
      <c r="H52" s="39"/>
      <c r="I52" s="40"/>
      <c r="J52" s="37"/>
      <c r="K52" s="40"/>
      <c r="L52" s="41"/>
      <c r="M52" s="37"/>
      <c r="N52" s="41"/>
      <c r="O52" s="29"/>
    </row>
    <row r="53">
      <c r="A53" s="29"/>
      <c r="B53" s="36"/>
      <c r="C53" s="37"/>
      <c r="D53" s="37"/>
      <c r="E53" s="37"/>
      <c r="F53" s="38"/>
      <c r="G53" s="38"/>
      <c r="H53" s="39"/>
      <c r="I53" s="40"/>
      <c r="J53" s="37"/>
      <c r="K53" s="40"/>
      <c r="L53" s="41"/>
      <c r="M53" s="37"/>
      <c r="N53" s="41"/>
      <c r="O53" s="29"/>
    </row>
    <row r="54">
      <c r="A54" s="29"/>
      <c r="B54" s="36"/>
      <c r="C54" s="37"/>
      <c r="D54" s="37"/>
      <c r="E54" s="37"/>
      <c r="F54" s="38"/>
      <c r="G54" s="38"/>
      <c r="H54" s="39"/>
      <c r="I54" s="40"/>
      <c r="J54" s="37"/>
      <c r="K54" s="40"/>
      <c r="L54" s="41"/>
      <c r="M54" s="37"/>
      <c r="N54" s="41"/>
      <c r="O54" s="29"/>
    </row>
    <row r="55">
      <c r="A55" s="29"/>
      <c r="B55" s="36"/>
      <c r="C55" s="37"/>
      <c r="D55" s="37"/>
      <c r="E55" s="37"/>
      <c r="F55" s="38"/>
      <c r="G55" s="38"/>
      <c r="H55" s="39"/>
      <c r="I55" s="40"/>
      <c r="J55" s="37"/>
      <c r="K55" s="40"/>
      <c r="L55" s="41"/>
      <c r="M55" s="37"/>
      <c r="N55" s="41"/>
      <c r="O55" s="29"/>
    </row>
    <row r="56">
      <c r="A56" s="29"/>
      <c r="B56" s="36"/>
      <c r="C56" s="37"/>
      <c r="D56" s="37"/>
      <c r="E56" s="37"/>
      <c r="F56" s="38"/>
      <c r="G56" s="38"/>
      <c r="H56" s="39"/>
      <c r="I56" s="40"/>
      <c r="J56" s="37"/>
      <c r="K56" s="40"/>
      <c r="L56" s="41"/>
      <c r="M56" s="37"/>
      <c r="N56" s="41"/>
      <c r="O56" s="29"/>
    </row>
    <row r="57">
      <c r="A57" s="29"/>
      <c r="B57" s="36"/>
      <c r="C57" s="37"/>
      <c r="D57" s="37"/>
      <c r="E57" s="37"/>
      <c r="F57" s="38"/>
      <c r="G57" s="38"/>
      <c r="H57" s="39"/>
      <c r="I57" s="40"/>
      <c r="J57" s="37"/>
      <c r="K57" s="40"/>
      <c r="L57" s="41"/>
      <c r="M57" s="37"/>
      <c r="N57" s="41"/>
      <c r="O57" s="29"/>
    </row>
    <row r="58">
      <c r="A58" s="29"/>
      <c r="B58" s="36"/>
      <c r="C58" s="37"/>
      <c r="D58" s="37"/>
      <c r="E58" s="37"/>
      <c r="F58" s="38"/>
      <c r="G58" s="38"/>
      <c r="H58" s="39"/>
      <c r="I58" s="40"/>
      <c r="J58" s="37"/>
      <c r="K58" s="40"/>
      <c r="L58" s="41"/>
      <c r="M58" s="37"/>
      <c r="N58" s="41"/>
      <c r="O58" s="29"/>
    </row>
    <row r="59">
      <c r="A59" s="29"/>
      <c r="B59" s="36"/>
      <c r="C59" s="37"/>
      <c r="D59" s="37"/>
      <c r="E59" s="37"/>
      <c r="F59" s="38"/>
      <c r="G59" s="38"/>
      <c r="H59" s="39"/>
      <c r="I59" s="40"/>
      <c r="J59" s="37"/>
      <c r="K59" s="40"/>
      <c r="L59" s="41"/>
      <c r="M59" s="37"/>
      <c r="N59" s="41"/>
      <c r="O59" s="29"/>
    </row>
    <row r="60">
      <c r="A60" s="29"/>
      <c r="B60" s="36"/>
      <c r="C60" s="37"/>
      <c r="D60" s="37"/>
      <c r="E60" s="37"/>
      <c r="F60" s="38"/>
      <c r="G60" s="38"/>
      <c r="H60" s="39"/>
      <c r="I60" s="40"/>
      <c r="J60" s="37"/>
      <c r="K60" s="40"/>
      <c r="L60" s="41"/>
      <c r="M60" s="37"/>
      <c r="N60" s="41"/>
      <c r="O60" s="29"/>
    </row>
    <row r="61">
      <c r="A61" s="29"/>
      <c r="B61" s="36"/>
      <c r="C61" s="37"/>
      <c r="D61" s="37"/>
      <c r="E61" s="37"/>
      <c r="F61" s="38"/>
      <c r="G61" s="38"/>
      <c r="H61" s="39"/>
      <c r="I61" s="40"/>
      <c r="J61" s="37"/>
      <c r="K61" s="40"/>
      <c r="L61" s="41"/>
      <c r="M61" s="37"/>
      <c r="N61" s="41"/>
      <c r="O61" s="29"/>
    </row>
    <row r="62">
      <c r="A62" s="29"/>
      <c r="B62" s="36"/>
      <c r="C62" s="37"/>
      <c r="D62" s="37"/>
      <c r="E62" s="37"/>
      <c r="F62" s="38"/>
      <c r="G62" s="38"/>
      <c r="H62" s="39"/>
      <c r="I62" s="40"/>
      <c r="J62" s="37"/>
      <c r="K62" s="40"/>
      <c r="L62" s="41"/>
      <c r="M62" s="37"/>
      <c r="N62" s="41"/>
      <c r="O62" s="29"/>
    </row>
    <row r="63">
      <c r="A63" s="29"/>
      <c r="B63" s="36"/>
      <c r="C63" s="37"/>
      <c r="D63" s="37"/>
      <c r="E63" s="37"/>
      <c r="F63" s="38"/>
      <c r="G63" s="38"/>
      <c r="H63" s="39"/>
      <c r="I63" s="40"/>
      <c r="J63" s="37"/>
      <c r="K63" s="40"/>
      <c r="L63" s="41"/>
      <c r="M63" s="37"/>
      <c r="N63" s="41"/>
      <c r="O63" s="29"/>
    </row>
    <row r="64">
      <c r="A64" s="29"/>
      <c r="B64" s="36"/>
      <c r="C64" s="37"/>
      <c r="D64" s="37"/>
      <c r="E64" s="37"/>
      <c r="F64" s="38"/>
      <c r="G64" s="38"/>
      <c r="H64" s="39"/>
      <c r="I64" s="40"/>
      <c r="J64" s="37"/>
      <c r="K64" s="40"/>
      <c r="L64" s="41"/>
      <c r="M64" s="37"/>
      <c r="N64" s="41"/>
      <c r="O64" s="29"/>
    </row>
    <row r="65">
      <c r="A65" s="29"/>
      <c r="B65" s="36"/>
      <c r="C65" s="37"/>
      <c r="D65" s="37"/>
      <c r="E65" s="37"/>
      <c r="F65" s="38"/>
      <c r="G65" s="38"/>
      <c r="H65" s="39"/>
      <c r="I65" s="40"/>
      <c r="J65" s="37"/>
      <c r="K65" s="40"/>
      <c r="L65" s="41"/>
      <c r="M65" s="37"/>
      <c r="N65" s="41"/>
      <c r="O65" s="29"/>
    </row>
    <row r="66">
      <c r="A66" s="29"/>
      <c r="B66" s="36"/>
      <c r="C66" s="37"/>
      <c r="D66" s="37"/>
      <c r="E66" s="37"/>
      <c r="F66" s="38"/>
      <c r="G66" s="38"/>
      <c r="H66" s="39"/>
      <c r="I66" s="40"/>
      <c r="J66" s="37"/>
      <c r="K66" s="40"/>
      <c r="L66" s="41"/>
      <c r="M66" s="37"/>
      <c r="N66" s="41"/>
      <c r="O66" s="29"/>
    </row>
    <row r="67">
      <c r="A67" s="29"/>
      <c r="B67" s="36"/>
      <c r="C67" s="37"/>
      <c r="D67" s="37"/>
      <c r="E67" s="37"/>
      <c r="F67" s="38"/>
      <c r="G67" s="38"/>
      <c r="H67" s="39"/>
      <c r="I67" s="40"/>
      <c r="J67" s="37"/>
      <c r="K67" s="40"/>
      <c r="L67" s="41"/>
      <c r="M67" s="37"/>
      <c r="N67" s="41"/>
      <c r="O67" s="29"/>
    </row>
    <row r="68">
      <c r="A68" s="29"/>
      <c r="B68" s="36"/>
      <c r="C68" s="37"/>
      <c r="D68" s="37"/>
      <c r="E68" s="37"/>
      <c r="F68" s="38"/>
      <c r="G68" s="38"/>
      <c r="H68" s="39"/>
      <c r="I68" s="40"/>
      <c r="J68" s="37"/>
      <c r="K68" s="40"/>
      <c r="L68" s="41"/>
      <c r="M68" s="37"/>
      <c r="N68" s="41"/>
      <c r="O68" s="29"/>
    </row>
    <row r="69">
      <c r="A69" s="29"/>
      <c r="B69" s="36"/>
      <c r="C69" s="37"/>
      <c r="D69" s="37"/>
      <c r="E69" s="37"/>
      <c r="F69" s="38"/>
      <c r="G69" s="38"/>
      <c r="H69" s="39"/>
      <c r="I69" s="40"/>
      <c r="J69" s="37"/>
      <c r="K69" s="40"/>
      <c r="L69" s="41"/>
      <c r="M69" s="37"/>
      <c r="N69" s="41"/>
      <c r="O69" s="29"/>
    </row>
    <row r="70">
      <c r="A70" s="29"/>
      <c r="B70" s="36"/>
      <c r="C70" s="37"/>
      <c r="D70" s="37"/>
      <c r="E70" s="37"/>
      <c r="F70" s="38"/>
      <c r="G70" s="38"/>
      <c r="H70" s="39"/>
      <c r="I70" s="40"/>
      <c r="J70" s="37"/>
      <c r="K70" s="40"/>
      <c r="L70" s="41"/>
      <c r="M70" s="37"/>
      <c r="N70" s="41"/>
      <c r="O70" s="29"/>
    </row>
    <row r="71">
      <c r="A71" s="29"/>
      <c r="B71" s="36"/>
      <c r="C71" s="37"/>
      <c r="D71" s="37"/>
      <c r="E71" s="37"/>
      <c r="F71" s="38"/>
      <c r="G71" s="38"/>
      <c r="H71" s="39"/>
      <c r="I71" s="40"/>
      <c r="J71" s="37"/>
      <c r="K71" s="40"/>
      <c r="L71" s="41"/>
      <c r="M71" s="37"/>
      <c r="N71" s="41"/>
      <c r="O71" s="29"/>
    </row>
    <row r="72">
      <c r="A72" s="29"/>
      <c r="B72" s="36"/>
      <c r="C72" s="37"/>
      <c r="D72" s="37"/>
      <c r="E72" s="37"/>
      <c r="F72" s="38"/>
      <c r="G72" s="38"/>
      <c r="H72" s="39"/>
      <c r="I72" s="40"/>
      <c r="J72" s="37"/>
      <c r="K72" s="40"/>
      <c r="L72" s="41"/>
      <c r="M72" s="37"/>
      <c r="N72" s="41"/>
      <c r="O72" s="29"/>
    </row>
    <row r="73">
      <c r="A73" s="29"/>
      <c r="B73" s="36"/>
      <c r="C73" s="37"/>
      <c r="D73" s="37"/>
      <c r="E73" s="37"/>
      <c r="F73" s="38"/>
      <c r="G73" s="38"/>
      <c r="H73" s="39"/>
      <c r="I73" s="40"/>
      <c r="J73" s="37"/>
      <c r="K73" s="40"/>
      <c r="L73" s="41"/>
      <c r="M73" s="37"/>
      <c r="N73" s="41"/>
      <c r="O73" s="29"/>
    </row>
    <row r="74">
      <c r="A74" s="29"/>
      <c r="B74" s="36"/>
      <c r="C74" s="37"/>
      <c r="D74" s="37"/>
      <c r="E74" s="37"/>
      <c r="F74" s="38"/>
      <c r="G74" s="38"/>
      <c r="H74" s="39"/>
      <c r="I74" s="40"/>
      <c r="J74" s="37"/>
      <c r="K74" s="40"/>
      <c r="L74" s="41"/>
      <c r="M74" s="37"/>
      <c r="N74" s="41"/>
      <c r="O74" s="29"/>
    </row>
    <row r="75">
      <c r="A75" s="29"/>
      <c r="B75" s="36"/>
      <c r="C75" s="37"/>
      <c r="D75" s="37"/>
      <c r="E75" s="37"/>
      <c r="F75" s="38"/>
      <c r="G75" s="38"/>
      <c r="H75" s="39"/>
      <c r="I75" s="40"/>
      <c r="J75" s="37"/>
      <c r="K75" s="40"/>
      <c r="L75" s="41"/>
      <c r="M75" s="37"/>
      <c r="N75" s="41"/>
      <c r="O75" s="29"/>
    </row>
    <row r="76">
      <c r="A76" s="29"/>
      <c r="B76" s="36"/>
      <c r="C76" s="37"/>
      <c r="D76" s="37"/>
      <c r="E76" s="37"/>
      <c r="F76" s="38"/>
      <c r="G76" s="38"/>
      <c r="H76" s="39"/>
      <c r="I76" s="40"/>
      <c r="J76" s="37"/>
      <c r="K76" s="40"/>
      <c r="L76" s="41"/>
      <c r="M76" s="37"/>
      <c r="N76" s="41"/>
      <c r="O76" s="29"/>
    </row>
    <row r="77">
      <c r="A77" s="29"/>
      <c r="B77" s="36"/>
      <c r="C77" s="37"/>
      <c r="D77" s="37"/>
      <c r="E77" s="37"/>
      <c r="F77" s="38"/>
      <c r="G77" s="38"/>
      <c r="H77" s="39"/>
      <c r="I77" s="40"/>
      <c r="J77" s="37"/>
      <c r="K77" s="40"/>
      <c r="L77" s="41"/>
      <c r="M77" s="37"/>
      <c r="N77" s="41"/>
      <c r="O77" s="29"/>
    </row>
    <row r="78">
      <c r="A78" s="29"/>
      <c r="B78" s="36"/>
      <c r="C78" s="37"/>
      <c r="D78" s="37"/>
      <c r="E78" s="37"/>
      <c r="F78" s="38"/>
      <c r="G78" s="38"/>
      <c r="H78" s="39"/>
      <c r="I78" s="40"/>
      <c r="J78" s="37"/>
      <c r="K78" s="40"/>
      <c r="L78" s="41"/>
      <c r="M78" s="37"/>
      <c r="N78" s="41"/>
      <c r="O78" s="29"/>
    </row>
    <row r="79">
      <c r="A79" s="29"/>
      <c r="B79" s="36"/>
      <c r="C79" s="37"/>
      <c r="D79" s="37"/>
      <c r="E79" s="37"/>
      <c r="F79" s="38"/>
      <c r="G79" s="38"/>
      <c r="H79" s="39"/>
      <c r="I79" s="40"/>
      <c r="J79" s="37"/>
      <c r="K79" s="40"/>
      <c r="L79" s="41"/>
      <c r="M79" s="37"/>
      <c r="N79" s="41"/>
      <c r="O79" s="29"/>
    </row>
    <row r="80">
      <c r="A80" s="29"/>
      <c r="B80" s="36"/>
      <c r="C80" s="37"/>
      <c r="D80" s="37"/>
      <c r="E80" s="37"/>
      <c r="F80" s="38"/>
      <c r="G80" s="38"/>
      <c r="H80" s="39"/>
      <c r="I80" s="40"/>
      <c r="J80" s="37"/>
      <c r="K80" s="40"/>
      <c r="L80" s="41"/>
      <c r="M80" s="37"/>
      <c r="N80" s="41"/>
      <c r="O80" s="29"/>
    </row>
    <row r="81">
      <c r="A81" s="29"/>
      <c r="B81" s="36"/>
      <c r="C81" s="37"/>
      <c r="D81" s="37"/>
      <c r="E81" s="37"/>
      <c r="F81" s="38"/>
      <c r="G81" s="38"/>
      <c r="H81" s="39"/>
      <c r="I81" s="40"/>
      <c r="J81" s="37"/>
      <c r="K81" s="40"/>
      <c r="L81" s="41"/>
      <c r="M81" s="37"/>
      <c r="N81" s="41"/>
      <c r="O81" s="29"/>
    </row>
    <row r="82">
      <c r="A82" s="29"/>
      <c r="B82" s="36"/>
      <c r="C82" s="37"/>
      <c r="D82" s="37"/>
      <c r="E82" s="37"/>
      <c r="F82" s="38"/>
      <c r="G82" s="38"/>
      <c r="H82" s="39"/>
      <c r="I82" s="40"/>
      <c r="J82" s="37"/>
      <c r="K82" s="40"/>
      <c r="L82" s="41"/>
      <c r="M82" s="37"/>
      <c r="N82" s="41"/>
      <c r="O82" s="29"/>
    </row>
    <row r="83">
      <c r="A83" s="29"/>
      <c r="B83" s="36"/>
      <c r="C83" s="37"/>
      <c r="D83" s="37"/>
      <c r="E83" s="37"/>
      <c r="F83" s="38"/>
      <c r="G83" s="38"/>
      <c r="H83" s="39"/>
      <c r="I83" s="40"/>
      <c r="J83" s="37"/>
      <c r="K83" s="40"/>
      <c r="L83" s="41"/>
      <c r="M83" s="37"/>
      <c r="N83" s="41"/>
      <c r="O83" s="29"/>
    </row>
    <row r="84">
      <c r="A84" s="29"/>
      <c r="B84" s="36"/>
      <c r="C84" s="37"/>
      <c r="D84" s="37"/>
      <c r="E84" s="37"/>
      <c r="F84" s="38"/>
      <c r="G84" s="38"/>
      <c r="H84" s="39"/>
      <c r="I84" s="40"/>
      <c r="J84" s="37"/>
      <c r="K84" s="40"/>
      <c r="L84" s="41"/>
      <c r="M84" s="37"/>
      <c r="N84" s="41"/>
      <c r="O84" s="29"/>
    </row>
    <row r="85">
      <c r="A85" s="29"/>
      <c r="B85" s="36"/>
      <c r="C85" s="37"/>
      <c r="D85" s="37"/>
      <c r="E85" s="37"/>
      <c r="F85" s="38"/>
      <c r="G85" s="38"/>
      <c r="H85" s="39"/>
      <c r="I85" s="40"/>
      <c r="J85" s="37"/>
      <c r="K85" s="40"/>
      <c r="L85" s="41"/>
      <c r="M85" s="37"/>
      <c r="N85" s="41"/>
      <c r="O85" s="29"/>
    </row>
    <row r="86">
      <c r="A86" s="29"/>
      <c r="B86" s="36"/>
      <c r="C86" s="37"/>
      <c r="D86" s="37"/>
      <c r="E86" s="37"/>
      <c r="F86" s="38"/>
      <c r="G86" s="38"/>
      <c r="H86" s="39"/>
      <c r="I86" s="40"/>
      <c r="J86" s="37"/>
      <c r="K86" s="40"/>
      <c r="L86" s="41"/>
      <c r="M86" s="37"/>
      <c r="N86" s="41"/>
      <c r="O86" s="29"/>
    </row>
    <row r="87">
      <c r="A87" s="29"/>
      <c r="B87" s="36"/>
      <c r="C87" s="37"/>
      <c r="D87" s="37"/>
      <c r="E87" s="37"/>
      <c r="F87" s="38"/>
      <c r="G87" s="38"/>
      <c r="H87" s="39"/>
      <c r="I87" s="40"/>
      <c r="J87" s="37"/>
      <c r="K87" s="40"/>
      <c r="L87" s="41"/>
      <c r="M87" s="37"/>
      <c r="N87" s="41"/>
      <c r="O87" s="29"/>
    </row>
    <row r="88">
      <c r="A88" s="29"/>
      <c r="B88" s="36"/>
      <c r="C88" s="37"/>
      <c r="D88" s="37"/>
      <c r="E88" s="37"/>
      <c r="F88" s="38"/>
      <c r="G88" s="38"/>
      <c r="H88" s="39"/>
      <c r="I88" s="40"/>
      <c r="J88" s="37"/>
      <c r="K88" s="40"/>
      <c r="L88" s="41"/>
      <c r="M88" s="37"/>
      <c r="N88" s="41"/>
      <c r="O88" s="29"/>
    </row>
    <row r="89">
      <c r="A89" s="29"/>
      <c r="B89" s="36"/>
      <c r="C89" s="37"/>
      <c r="D89" s="37"/>
      <c r="E89" s="37"/>
      <c r="F89" s="38"/>
      <c r="G89" s="38"/>
      <c r="H89" s="39"/>
      <c r="I89" s="40"/>
      <c r="J89" s="37"/>
      <c r="K89" s="40"/>
      <c r="L89" s="41"/>
      <c r="M89" s="37"/>
      <c r="N89" s="41"/>
      <c r="O89" s="29"/>
    </row>
    <row r="90">
      <c r="A90" s="29"/>
      <c r="B90" s="36"/>
      <c r="C90" s="37"/>
      <c r="D90" s="37"/>
      <c r="E90" s="37"/>
      <c r="F90" s="38"/>
      <c r="G90" s="38"/>
      <c r="H90" s="39"/>
      <c r="I90" s="40"/>
      <c r="J90" s="37"/>
      <c r="K90" s="40"/>
      <c r="L90" s="41"/>
      <c r="M90" s="37"/>
      <c r="N90" s="41"/>
      <c r="O90" s="29"/>
    </row>
    <row r="91">
      <c r="A91" s="29"/>
      <c r="B91" s="36"/>
      <c r="C91" s="37"/>
      <c r="D91" s="37"/>
      <c r="E91" s="37"/>
      <c r="F91" s="38"/>
      <c r="G91" s="38"/>
      <c r="H91" s="39"/>
      <c r="I91" s="40"/>
      <c r="J91" s="37"/>
      <c r="K91" s="40"/>
      <c r="L91" s="41"/>
      <c r="M91" s="37"/>
      <c r="N91" s="41"/>
      <c r="O91" s="29"/>
    </row>
    <row r="92">
      <c r="A92" s="29"/>
      <c r="B92" s="36"/>
      <c r="C92" s="37"/>
      <c r="D92" s="37"/>
      <c r="E92" s="37"/>
      <c r="F92" s="38"/>
      <c r="G92" s="38"/>
      <c r="H92" s="39"/>
      <c r="I92" s="40"/>
      <c r="J92" s="37"/>
      <c r="K92" s="40"/>
      <c r="L92" s="41"/>
      <c r="M92" s="37"/>
      <c r="N92" s="41"/>
      <c r="O92" s="29"/>
    </row>
    <row r="93">
      <c r="A93" s="29"/>
      <c r="B93" s="36"/>
      <c r="C93" s="37"/>
      <c r="D93" s="37"/>
      <c r="E93" s="37"/>
      <c r="F93" s="38"/>
      <c r="G93" s="38"/>
      <c r="H93" s="39"/>
      <c r="I93" s="40"/>
      <c r="J93" s="37"/>
      <c r="K93" s="40"/>
      <c r="L93" s="41"/>
      <c r="M93" s="37"/>
      <c r="N93" s="41"/>
      <c r="O93" s="29"/>
    </row>
    <row r="94">
      <c r="A94" s="29"/>
      <c r="B94" s="36"/>
      <c r="C94" s="37"/>
      <c r="D94" s="37"/>
      <c r="E94" s="37"/>
      <c r="F94" s="38"/>
      <c r="G94" s="38"/>
      <c r="H94" s="39"/>
      <c r="I94" s="40"/>
      <c r="J94" s="37"/>
      <c r="K94" s="40"/>
      <c r="L94" s="41"/>
      <c r="M94" s="37"/>
      <c r="N94" s="41"/>
      <c r="O94" s="29"/>
    </row>
    <row r="95">
      <c r="A95" s="29"/>
      <c r="B95" s="36"/>
      <c r="C95" s="37"/>
      <c r="D95" s="37"/>
      <c r="E95" s="37"/>
      <c r="F95" s="38"/>
      <c r="G95" s="38"/>
      <c r="H95" s="39"/>
      <c r="I95" s="40"/>
      <c r="J95" s="37"/>
      <c r="K95" s="40"/>
      <c r="L95" s="41"/>
      <c r="M95" s="37"/>
      <c r="N95" s="41"/>
      <c r="O95" s="29"/>
    </row>
    <row r="96">
      <c r="A96" s="29"/>
      <c r="B96" s="36"/>
      <c r="C96" s="37"/>
      <c r="D96" s="37"/>
      <c r="E96" s="37"/>
      <c r="F96" s="38"/>
      <c r="G96" s="38"/>
      <c r="H96" s="39"/>
      <c r="I96" s="40"/>
      <c r="J96" s="37"/>
      <c r="K96" s="40"/>
      <c r="L96" s="41"/>
      <c r="M96" s="37"/>
      <c r="N96" s="41"/>
      <c r="O96" s="29"/>
    </row>
    <row r="97">
      <c r="A97" s="29"/>
      <c r="B97" s="36"/>
      <c r="C97" s="37"/>
      <c r="D97" s="37"/>
      <c r="E97" s="37"/>
      <c r="F97" s="38"/>
      <c r="G97" s="38"/>
      <c r="H97" s="39"/>
      <c r="I97" s="40"/>
      <c r="J97" s="37"/>
      <c r="K97" s="40"/>
      <c r="L97" s="41"/>
      <c r="M97" s="37"/>
      <c r="N97" s="41"/>
      <c r="O97" s="29"/>
    </row>
    <row r="98">
      <c r="A98" s="29"/>
      <c r="B98" s="36"/>
      <c r="C98" s="37"/>
      <c r="D98" s="37"/>
      <c r="E98" s="37"/>
      <c r="F98" s="38"/>
      <c r="G98" s="38"/>
      <c r="H98" s="39"/>
      <c r="I98" s="40"/>
      <c r="J98" s="37"/>
      <c r="K98" s="40"/>
      <c r="L98" s="41"/>
      <c r="M98" s="37"/>
      <c r="N98" s="41"/>
      <c r="O98" s="29"/>
    </row>
    <row r="99">
      <c r="A99" s="29"/>
      <c r="B99" s="36"/>
      <c r="C99" s="37"/>
      <c r="D99" s="37"/>
      <c r="E99" s="37"/>
      <c r="F99" s="38"/>
      <c r="G99" s="38"/>
      <c r="H99" s="39"/>
      <c r="I99" s="40"/>
      <c r="J99" s="37"/>
      <c r="K99" s="40"/>
      <c r="L99" s="41"/>
      <c r="M99" s="37"/>
      <c r="N99" s="41"/>
      <c r="O99" s="29"/>
    </row>
    <row r="100">
      <c r="A100" s="29"/>
      <c r="B100" s="36"/>
      <c r="C100" s="37"/>
      <c r="D100" s="37"/>
      <c r="E100" s="37"/>
      <c r="F100" s="38"/>
      <c r="G100" s="38"/>
      <c r="H100" s="39"/>
      <c r="I100" s="40"/>
      <c r="J100" s="37"/>
      <c r="K100" s="40"/>
      <c r="L100" s="41"/>
      <c r="M100" s="37"/>
      <c r="N100" s="41"/>
      <c r="O100" s="29"/>
    </row>
    <row r="101">
      <c r="A101" s="29"/>
      <c r="B101" s="36"/>
      <c r="C101" s="37"/>
      <c r="D101" s="37"/>
      <c r="E101" s="37"/>
      <c r="F101" s="38"/>
      <c r="G101" s="38"/>
      <c r="H101" s="39"/>
      <c r="I101" s="40"/>
      <c r="J101" s="37"/>
      <c r="K101" s="40"/>
      <c r="L101" s="41"/>
      <c r="M101" s="37"/>
      <c r="N101" s="41"/>
      <c r="O101" s="29"/>
    </row>
    <row r="102">
      <c r="A102" s="29"/>
      <c r="B102" s="36"/>
      <c r="C102" s="37"/>
      <c r="D102" s="37"/>
      <c r="E102" s="37"/>
      <c r="F102" s="38"/>
      <c r="G102" s="38"/>
      <c r="H102" s="39"/>
      <c r="I102" s="40"/>
      <c r="J102" s="37"/>
      <c r="K102" s="40"/>
      <c r="L102" s="41"/>
      <c r="M102" s="37"/>
      <c r="N102" s="41"/>
      <c r="O102" s="29"/>
    </row>
    <row r="103">
      <c r="A103" s="29"/>
      <c r="B103" s="36"/>
      <c r="C103" s="37"/>
      <c r="D103" s="37"/>
      <c r="E103" s="37"/>
      <c r="F103" s="38"/>
      <c r="G103" s="38"/>
      <c r="H103" s="39"/>
      <c r="I103" s="40"/>
      <c r="J103" s="37"/>
      <c r="K103" s="40"/>
      <c r="L103" s="41"/>
      <c r="M103" s="37"/>
      <c r="N103" s="41"/>
      <c r="O103" s="29"/>
    </row>
    <row r="104">
      <c r="A104" s="29"/>
      <c r="B104" s="36"/>
      <c r="C104" s="37"/>
      <c r="D104" s="37"/>
      <c r="E104" s="37"/>
      <c r="F104" s="38"/>
      <c r="G104" s="38"/>
      <c r="H104" s="39"/>
      <c r="I104" s="40"/>
      <c r="J104" s="37"/>
      <c r="K104" s="40"/>
      <c r="L104" s="41"/>
      <c r="M104" s="37"/>
      <c r="N104" s="41"/>
      <c r="O104" s="29"/>
    </row>
    <row r="105">
      <c r="A105" s="29"/>
      <c r="B105" s="36"/>
      <c r="C105" s="37"/>
      <c r="D105" s="37"/>
      <c r="E105" s="37"/>
      <c r="F105" s="38"/>
      <c r="G105" s="38"/>
      <c r="H105" s="39"/>
      <c r="I105" s="40"/>
      <c r="J105" s="37"/>
      <c r="K105" s="40"/>
      <c r="L105" s="41"/>
      <c r="M105" s="37"/>
      <c r="N105" s="41"/>
      <c r="O105" s="29"/>
    </row>
    <row r="106">
      <c r="A106" s="29"/>
      <c r="B106" s="36"/>
      <c r="C106" s="37"/>
      <c r="D106" s="37"/>
      <c r="E106" s="37"/>
      <c r="F106" s="38"/>
      <c r="G106" s="38"/>
      <c r="H106" s="39"/>
      <c r="I106" s="40"/>
      <c r="J106" s="37"/>
      <c r="K106" s="40"/>
      <c r="L106" s="41"/>
      <c r="M106" s="37"/>
      <c r="N106" s="41"/>
      <c r="O106" s="29"/>
    </row>
    <row r="107">
      <c r="A107" s="29"/>
      <c r="B107" s="36"/>
      <c r="C107" s="37"/>
      <c r="D107" s="37"/>
      <c r="E107" s="37"/>
      <c r="F107" s="38"/>
      <c r="G107" s="38"/>
      <c r="H107" s="39"/>
      <c r="I107" s="40"/>
      <c r="J107" s="37"/>
      <c r="K107" s="40"/>
      <c r="L107" s="41"/>
      <c r="M107" s="37"/>
      <c r="N107" s="41"/>
      <c r="O107" s="29"/>
    </row>
    <row r="108">
      <c r="A108" s="29"/>
      <c r="B108" s="36"/>
      <c r="C108" s="37"/>
      <c r="D108" s="37"/>
      <c r="E108" s="37"/>
      <c r="F108" s="38"/>
      <c r="G108" s="38"/>
      <c r="H108" s="39"/>
      <c r="I108" s="40"/>
      <c r="J108" s="37"/>
      <c r="K108" s="40"/>
      <c r="L108" s="41"/>
      <c r="M108" s="37"/>
      <c r="N108" s="41"/>
      <c r="O108" s="29"/>
    </row>
    <row r="109">
      <c r="A109" s="29"/>
      <c r="B109" s="36"/>
      <c r="C109" s="37"/>
      <c r="D109" s="37"/>
      <c r="E109" s="37"/>
      <c r="F109" s="38"/>
      <c r="G109" s="38"/>
      <c r="H109" s="39"/>
      <c r="I109" s="40"/>
      <c r="J109" s="37"/>
      <c r="K109" s="40"/>
      <c r="L109" s="41"/>
      <c r="M109" s="37"/>
      <c r="N109" s="41"/>
      <c r="O109" s="29"/>
    </row>
    <row r="110">
      <c r="A110" s="29"/>
      <c r="B110" s="36"/>
      <c r="C110" s="37"/>
      <c r="D110" s="37"/>
      <c r="E110" s="37"/>
      <c r="F110" s="38"/>
      <c r="G110" s="38"/>
      <c r="H110" s="39"/>
      <c r="I110" s="40"/>
      <c r="J110" s="37"/>
      <c r="K110" s="40"/>
      <c r="L110" s="41"/>
      <c r="M110" s="37"/>
      <c r="N110" s="41"/>
      <c r="O110" s="29"/>
    </row>
    <row r="111">
      <c r="A111" s="29"/>
      <c r="B111" s="36"/>
      <c r="C111" s="37"/>
      <c r="D111" s="37"/>
      <c r="E111" s="37"/>
      <c r="F111" s="38"/>
      <c r="G111" s="38"/>
      <c r="H111" s="39"/>
      <c r="I111" s="40"/>
      <c r="J111" s="37"/>
      <c r="K111" s="40"/>
      <c r="L111" s="41"/>
      <c r="M111" s="37"/>
      <c r="N111" s="41"/>
      <c r="O111" s="29"/>
    </row>
    <row r="112">
      <c r="A112" s="29"/>
      <c r="B112" s="36"/>
      <c r="C112" s="37"/>
      <c r="D112" s="37"/>
      <c r="E112" s="37"/>
      <c r="F112" s="38"/>
      <c r="G112" s="38"/>
      <c r="H112" s="39"/>
      <c r="I112" s="40"/>
      <c r="J112" s="37"/>
      <c r="K112" s="40"/>
      <c r="L112" s="41"/>
      <c r="M112" s="37"/>
      <c r="N112" s="41"/>
      <c r="O112" s="29"/>
    </row>
    <row r="113">
      <c r="A113" s="29"/>
      <c r="B113" s="36"/>
      <c r="C113" s="37"/>
      <c r="D113" s="37"/>
      <c r="E113" s="37"/>
      <c r="F113" s="38"/>
      <c r="G113" s="38"/>
      <c r="H113" s="39"/>
      <c r="I113" s="40"/>
      <c r="J113" s="37"/>
      <c r="K113" s="40"/>
      <c r="L113" s="41"/>
      <c r="M113" s="37"/>
      <c r="N113" s="41"/>
      <c r="O113" s="29"/>
    </row>
    <row r="114">
      <c r="A114" s="29"/>
      <c r="B114" s="36"/>
      <c r="C114" s="37"/>
      <c r="D114" s="37"/>
      <c r="E114" s="37"/>
      <c r="F114" s="38"/>
      <c r="G114" s="38"/>
      <c r="H114" s="39"/>
      <c r="I114" s="40"/>
      <c r="J114" s="37"/>
      <c r="K114" s="40"/>
      <c r="L114" s="41"/>
      <c r="M114" s="37"/>
      <c r="N114" s="41"/>
      <c r="O114" s="29"/>
    </row>
    <row r="115">
      <c r="A115" s="29"/>
      <c r="B115" s="36"/>
      <c r="C115" s="37"/>
      <c r="D115" s="37"/>
      <c r="E115" s="37"/>
      <c r="F115" s="38"/>
      <c r="G115" s="38"/>
      <c r="H115" s="39"/>
      <c r="I115" s="40"/>
      <c r="J115" s="37"/>
      <c r="K115" s="40"/>
      <c r="L115" s="41"/>
      <c r="M115" s="37"/>
      <c r="N115" s="41"/>
      <c r="O115" s="29"/>
    </row>
    <row r="116">
      <c r="A116" s="29"/>
      <c r="B116" s="36"/>
      <c r="C116" s="37"/>
      <c r="D116" s="37"/>
      <c r="E116" s="37"/>
      <c r="F116" s="38"/>
      <c r="G116" s="38"/>
      <c r="H116" s="39"/>
      <c r="I116" s="40"/>
      <c r="J116" s="37"/>
      <c r="K116" s="40"/>
      <c r="L116" s="41"/>
      <c r="M116" s="37"/>
      <c r="N116" s="41"/>
      <c r="O116" s="29"/>
    </row>
    <row r="117">
      <c r="A117" s="29"/>
      <c r="B117" s="36"/>
      <c r="C117" s="37"/>
      <c r="D117" s="37"/>
      <c r="E117" s="37"/>
      <c r="F117" s="38"/>
      <c r="G117" s="38"/>
      <c r="H117" s="39"/>
      <c r="I117" s="40"/>
      <c r="J117" s="37"/>
      <c r="K117" s="40"/>
      <c r="L117" s="41"/>
      <c r="M117" s="37"/>
      <c r="N117" s="41"/>
      <c r="O117" s="29"/>
    </row>
    <row r="118">
      <c r="A118" s="29"/>
      <c r="B118" s="36"/>
      <c r="C118" s="37"/>
      <c r="D118" s="37"/>
      <c r="E118" s="37"/>
      <c r="F118" s="38"/>
      <c r="G118" s="38"/>
      <c r="H118" s="39"/>
      <c r="I118" s="40"/>
      <c r="J118" s="37"/>
      <c r="K118" s="40"/>
      <c r="L118" s="41"/>
      <c r="M118" s="37"/>
      <c r="N118" s="41"/>
      <c r="O118" s="29"/>
    </row>
    <row r="119">
      <c r="A119" s="29"/>
      <c r="B119" s="36"/>
      <c r="C119" s="37"/>
      <c r="D119" s="37"/>
      <c r="E119" s="37"/>
      <c r="F119" s="38"/>
      <c r="G119" s="38"/>
      <c r="H119" s="39"/>
      <c r="I119" s="40"/>
      <c r="J119" s="37"/>
      <c r="K119" s="40"/>
      <c r="L119" s="41"/>
      <c r="M119" s="37"/>
      <c r="N119" s="41"/>
      <c r="O119" s="29"/>
    </row>
    <row r="120">
      <c r="A120" s="29"/>
      <c r="B120" s="36"/>
      <c r="C120" s="37"/>
      <c r="D120" s="37"/>
      <c r="E120" s="37"/>
      <c r="F120" s="38"/>
      <c r="G120" s="38"/>
      <c r="H120" s="39"/>
      <c r="I120" s="40"/>
      <c r="J120" s="37"/>
      <c r="K120" s="40"/>
      <c r="L120" s="41"/>
      <c r="M120" s="37"/>
      <c r="N120" s="41"/>
      <c r="O120" s="29"/>
    </row>
    <row r="121">
      <c r="A121" s="29"/>
      <c r="B121" s="36"/>
      <c r="C121" s="37"/>
      <c r="D121" s="37"/>
      <c r="E121" s="37"/>
      <c r="F121" s="38"/>
      <c r="G121" s="38"/>
      <c r="H121" s="39"/>
      <c r="I121" s="40"/>
      <c r="J121" s="37"/>
      <c r="K121" s="40"/>
      <c r="L121" s="41"/>
      <c r="M121" s="37"/>
      <c r="N121" s="41"/>
      <c r="O121" s="29"/>
    </row>
    <row r="122">
      <c r="A122" s="29"/>
      <c r="B122" s="36"/>
      <c r="C122" s="37"/>
      <c r="D122" s="37"/>
      <c r="E122" s="37"/>
      <c r="F122" s="38"/>
      <c r="G122" s="38"/>
      <c r="H122" s="39"/>
      <c r="I122" s="40"/>
      <c r="J122" s="37"/>
      <c r="K122" s="40"/>
      <c r="L122" s="41"/>
      <c r="M122" s="37"/>
      <c r="N122" s="41"/>
      <c r="O122" s="29"/>
    </row>
    <row r="123">
      <c r="A123" s="29"/>
      <c r="B123" s="36"/>
      <c r="C123" s="37"/>
      <c r="D123" s="37"/>
      <c r="E123" s="37"/>
      <c r="F123" s="38"/>
      <c r="G123" s="38"/>
      <c r="H123" s="39"/>
      <c r="I123" s="40"/>
      <c r="J123" s="37"/>
      <c r="K123" s="40"/>
      <c r="L123" s="41"/>
      <c r="M123" s="37"/>
      <c r="N123" s="41"/>
      <c r="O123" s="29"/>
    </row>
    <row r="124">
      <c r="A124" s="29"/>
      <c r="B124" s="36"/>
      <c r="C124" s="37"/>
      <c r="D124" s="37"/>
      <c r="E124" s="37"/>
      <c r="F124" s="38"/>
      <c r="G124" s="38"/>
      <c r="H124" s="39"/>
      <c r="I124" s="40"/>
      <c r="J124" s="37"/>
      <c r="K124" s="40"/>
      <c r="L124" s="41"/>
      <c r="M124" s="37"/>
      <c r="N124" s="41"/>
      <c r="O124" s="29"/>
    </row>
    <row r="125">
      <c r="A125" s="29"/>
      <c r="B125" s="36"/>
      <c r="C125" s="37"/>
      <c r="D125" s="37"/>
      <c r="E125" s="37"/>
      <c r="F125" s="38"/>
      <c r="G125" s="38"/>
      <c r="H125" s="39"/>
      <c r="I125" s="40"/>
      <c r="J125" s="37"/>
      <c r="K125" s="40"/>
      <c r="L125" s="41"/>
      <c r="M125" s="37"/>
      <c r="N125" s="41"/>
      <c r="O125" s="29"/>
    </row>
    <row r="126">
      <c r="A126" s="29"/>
      <c r="B126" s="36"/>
      <c r="C126" s="37"/>
      <c r="D126" s="37"/>
      <c r="E126" s="37"/>
      <c r="F126" s="38"/>
      <c r="G126" s="38"/>
      <c r="H126" s="39"/>
      <c r="I126" s="40"/>
      <c r="J126" s="37"/>
      <c r="K126" s="40"/>
      <c r="L126" s="41"/>
      <c r="M126" s="37"/>
      <c r="N126" s="41"/>
      <c r="O126" s="29"/>
    </row>
    <row r="127">
      <c r="A127" s="29"/>
      <c r="B127" s="36"/>
      <c r="C127" s="37"/>
      <c r="D127" s="37"/>
      <c r="E127" s="37"/>
      <c r="F127" s="38"/>
      <c r="G127" s="38"/>
      <c r="H127" s="39"/>
      <c r="I127" s="40"/>
      <c r="J127" s="37"/>
      <c r="K127" s="40"/>
      <c r="L127" s="41"/>
      <c r="M127" s="37"/>
      <c r="N127" s="41"/>
      <c r="O127" s="29"/>
    </row>
    <row r="128">
      <c r="A128" s="29"/>
      <c r="B128" s="36"/>
      <c r="C128" s="37"/>
      <c r="D128" s="37"/>
      <c r="E128" s="37"/>
      <c r="F128" s="38"/>
      <c r="G128" s="38"/>
      <c r="H128" s="39"/>
      <c r="I128" s="40"/>
      <c r="J128" s="37"/>
      <c r="K128" s="40"/>
      <c r="L128" s="41"/>
      <c r="M128" s="37"/>
      <c r="N128" s="41"/>
      <c r="O128" s="29"/>
    </row>
    <row r="129">
      <c r="A129" s="29"/>
      <c r="B129" s="36"/>
      <c r="C129" s="37"/>
      <c r="D129" s="37"/>
      <c r="E129" s="37"/>
      <c r="F129" s="38"/>
      <c r="G129" s="38"/>
      <c r="H129" s="39"/>
      <c r="I129" s="40"/>
      <c r="J129" s="37"/>
      <c r="K129" s="40"/>
      <c r="L129" s="41"/>
      <c r="M129" s="37"/>
      <c r="N129" s="41"/>
      <c r="O129" s="29"/>
    </row>
    <row r="130">
      <c r="A130" s="29"/>
      <c r="B130" s="36"/>
      <c r="C130" s="37"/>
      <c r="D130" s="37"/>
      <c r="E130" s="37"/>
      <c r="F130" s="38"/>
      <c r="G130" s="38"/>
      <c r="H130" s="39"/>
      <c r="I130" s="40"/>
      <c r="J130" s="37"/>
      <c r="K130" s="40"/>
      <c r="L130" s="41"/>
      <c r="M130" s="37"/>
      <c r="N130" s="41"/>
      <c r="O130" s="29"/>
    </row>
    <row r="131">
      <c r="A131" s="29"/>
      <c r="B131" s="36"/>
      <c r="C131" s="37"/>
      <c r="D131" s="37"/>
      <c r="E131" s="37"/>
      <c r="F131" s="38"/>
      <c r="G131" s="38"/>
      <c r="H131" s="39"/>
      <c r="I131" s="40"/>
      <c r="J131" s="37"/>
      <c r="K131" s="40"/>
      <c r="L131" s="41"/>
      <c r="M131" s="37"/>
      <c r="N131" s="41"/>
      <c r="O131" s="29"/>
    </row>
    <row r="132">
      <c r="A132" s="29"/>
      <c r="B132" s="36"/>
      <c r="C132" s="37"/>
      <c r="D132" s="37"/>
      <c r="E132" s="37"/>
      <c r="F132" s="38"/>
      <c r="G132" s="38"/>
      <c r="H132" s="39"/>
      <c r="I132" s="40"/>
      <c r="J132" s="37"/>
      <c r="K132" s="40"/>
      <c r="L132" s="41"/>
      <c r="M132" s="37"/>
      <c r="N132" s="41"/>
      <c r="O132" s="29"/>
    </row>
    <row r="133">
      <c r="A133" s="29"/>
      <c r="B133" s="36"/>
      <c r="C133" s="37"/>
      <c r="D133" s="37"/>
      <c r="E133" s="37"/>
      <c r="F133" s="38"/>
      <c r="G133" s="38"/>
      <c r="H133" s="39"/>
      <c r="I133" s="40"/>
      <c r="J133" s="37"/>
      <c r="K133" s="40"/>
      <c r="L133" s="41"/>
      <c r="M133" s="37"/>
      <c r="N133" s="41"/>
      <c r="O133" s="29"/>
    </row>
    <row r="134">
      <c r="A134" s="29"/>
      <c r="B134" s="36"/>
      <c r="C134" s="37"/>
      <c r="D134" s="37"/>
      <c r="E134" s="37"/>
      <c r="F134" s="38"/>
      <c r="G134" s="38"/>
      <c r="H134" s="39"/>
      <c r="I134" s="40"/>
      <c r="J134" s="37"/>
      <c r="K134" s="40"/>
      <c r="L134" s="41"/>
      <c r="M134" s="37"/>
      <c r="N134" s="41"/>
      <c r="O134" s="29"/>
    </row>
    <row r="135">
      <c r="A135" s="29"/>
      <c r="B135" s="36"/>
      <c r="C135" s="37"/>
      <c r="D135" s="37"/>
      <c r="E135" s="37"/>
      <c r="F135" s="38"/>
      <c r="G135" s="38"/>
      <c r="H135" s="39"/>
      <c r="I135" s="40"/>
      <c r="J135" s="37"/>
      <c r="K135" s="40"/>
      <c r="L135" s="41"/>
      <c r="M135" s="37"/>
      <c r="N135" s="41"/>
      <c r="O135" s="29"/>
    </row>
    <row r="136">
      <c r="A136" s="29"/>
      <c r="B136" s="36"/>
      <c r="C136" s="37"/>
      <c r="D136" s="37"/>
      <c r="E136" s="37"/>
      <c r="F136" s="38"/>
      <c r="G136" s="38"/>
      <c r="H136" s="39"/>
      <c r="I136" s="40"/>
      <c r="J136" s="37"/>
      <c r="K136" s="40"/>
      <c r="L136" s="41"/>
      <c r="M136" s="37"/>
      <c r="N136" s="41"/>
      <c r="O136" s="29"/>
    </row>
    <row r="137">
      <c r="A137" s="29"/>
      <c r="B137" s="36"/>
      <c r="C137" s="37"/>
      <c r="D137" s="37"/>
      <c r="E137" s="37"/>
      <c r="F137" s="38"/>
      <c r="G137" s="38"/>
      <c r="H137" s="39"/>
      <c r="I137" s="40"/>
      <c r="J137" s="37"/>
      <c r="K137" s="40"/>
      <c r="L137" s="41"/>
      <c r="M137" s="37"/>
      <c r="N137" s="41"/>
      <c r="O137" s="29"/>
    </row>
    <row r="138">
      <c r="A138" s="29"/>
      <c r="B138" s="36"/>
      <c r="C138" s="37"/>
      <c r="D138" s="37"/>
      <c r="E138" s="37"/>
      <c r="F138" s="38"/>
      <c r="G138" s="38"/>
      <c r="H138" s="39"/>
      <c r="I138" s="40"/>
      <c r="J138" s="37"/>
      <c r="K138" s="40"/>
      <c r="L138" s="41"/>
      <c r="M138" s="37"/>
      <c r="N138" s="41"/>
      <c r="O138" s="29"/>
    </row>
    <row r="139">
      <c r="A139" s="29"/>
      <c r="B139" s="36"/>
      <c r="C139" s="37"/>
      <c r="D139" s="37"/>
      <c r="E139" s="37"/>
      <c r="F139" s="38"/>
      <c r="G139" s="38"/>
      <c r="H139" s="39"/>
      <c r="I139" s="40"/>
      <c r="J139" s="37"/>
      <c r="K139" s="40"/>
      <c r="L139" s="41"/>
      <c r="M139" s="37"/>
      <c r="N139" s="41"/>
      <c r="O139" s="29"/>
    </row>
    <row r="140">
      <c r="A140" s="29"/>
      <c r="B140" s="36"/>
      <c r="C140" s="37"/>
      <c r="D140" s="37"/>
      <c r="E140" s="37"/>
      <c r="F140" s="38"/>
      <c r="G140" s="38"/>
      <c r="H140" s="39"/>
      <c r="I140" s="40"/>
      <c r="J140" s="37"/>
      <c r="K140" s="40"/>
      <c r="L140" s="41"/>
      <c r="M140" s="37"/>
      <c r="N140" s="41"/>
      <c r="O140" s="29"/>
    </row>
    <row r="141">
      <c r="A141" s="29"/>
      <c r="B141" s="36"/>
      <c r="C141" s="37"/>
      <c r="D141" s="37"/>
      <c r="E141" s="37"/>
      <c r="F141" s="38"/>
      <c r="G141" s="38"/>
      <c r="H141" s="39"/>
      <c r="I141" s="40"/>
      <c r="J141" s="37"/>
      <c r="K141" s="40"/>
      <c r="L141" s="41"/>
      <c r="M141" s="37"/>
      <c r="N141" s="41"/>
      <c r="O141" s="29"/>
    </row>
    <row r="142">
      <c r="A142" s="29"/>
      <c r="B142" s="36"/>
      <c r="C142" s="37"/>
      <c r="D142" s="37"/>
      <c r="E142" s="37"/>
      <c r="F142" s="38"/>
      <c r="G142" s="38"/>
      <c r="H142" s="39"/>
      <c r="I142" s="40"/>
      <c r="J142" s="37"/>
      <c r="K142" s="40"/>
      <c r="L142" s="41"/>
      <c r="M142" s="37"/>
      <c r="N142" s="41"/>
      <c r="O142" s="29"/>
    </row>
    <row r="143">
      <c r="A143" s="29"/>
      <c r="B143" s="36"/>
      <c r="C143" s="37"/>
      <c r="D143" s="37"/>
      <c r="E143" s="37"/>
      <c r="F143" s="38"/>
      <c r="G143" s="38"/>
      <c r="H143" s="39"/>
      <c r="I143" s="40"/>
      <c r="J143" s="37"/>
      <c r="K143" s="40"/>
      <c r="L143" s="41"/>
      <c r="M143" s="37"/>
      <c r="N143" s="41"/>
      <c r="O143" s="29"/>
    </row>
    <row r="144">
      <c r="A144" s="29"/>
      <c r="B144" s="36"/>
      <c r="C144" s="37"/>
      <c r="D144" s="37"/>
      <c r="E144" s="37"/>
      <c r="F144" s="38"/>
      <c r="G144" s="38"/>
      <c r="H144" s="39"/>
      <c r="I144" s="40"/>
      <c r="J144" s="37"/>
      <c r="K144" s="40"/>
      <c r="L144" s="41"/>
      <c r="M144" s="37"/>
      <c r="N144" s="41"/>
      <c r="O144" s="29"/>
    </row>
    <row r="145">
      <c r="A145" s="29"/>
      <c r="B145" s="36"/>
      <c r="C145" s="37"/>
      <c r="D145" s="37"/>
      <c r="E145" s="37"/>
      <c r="F145" s="38"/>
      <c r="G145" s="38"/>
      <c r="H145" s="39"/>
      <c r="I145" s="40"/>
      <c r="J145" s="37"/>
      <c r="K145" s="40"/>
      <c r="L145" s="41"/>
      <c r="M145" s="37"/>
      <c r="N145" s="41"/>
      <c r="O145" s="29"/>
    </row>
    <row r="146">
      <c r="A146" s="29"/>
      <c r="B146" s="36"/>
      <c r="C146" s="37"/>
      <c r="D146" s="37"/>
      <c r="E146" s="37"/>
      <c r="F146" s="38"/>
      <c r="G146" s="38"/>
      <c r="H146" s="39"/>
      <c r="I146" s="40"/>
      <c r="J146" s="37"/>
      <c r="K146" s="40"/>
      <c r="L146" s="41"/>
      <c r="M146" s="37"/>
      <c r="N146" s="41"/>
      <c r="O146" s="29"/>
    </row>
    <row r="147">
      <c r="A147" s="29"/>
      <c r="B147" s="36"/>
      <c r="C147" s="37"/>
      <c r="D147" s="37"/>
      <c r="E147" s="37"/>
      <c r="F147" s="38"/>
      <c r="G147" s="38"/>
      <c r="H147" s="39"/>
      <c r="I147" s="40"/>
      <c r="J147" s="37"/>
      <c r="K147" s="40"/>
      <c r="L147" s="41"/>
      <c r="M147" s="37"/>
      <c r="N147" s="41"/>
      <c r="O147" s="29"/>
    </row>
    <row r="148">
      <c r="A148" s="29"/>
      <c r="B148" s="36"/>
      <c r="C148" s="37"/>
      <c r="D148" s="37"/>
      <c r="E148" s="37"/>
      <c r="F148" s="38"/>
      <c r="G148" s="38"/>
      <c r="H148" s="39"/>
      <c r="I148" s="40"/>
      <c r="J148" s="37"/>
      <c r="K148" s="40"/>
      <c r="L148" s="41"/>
      <c r="M148" s="37"/>
      <c r="N148" s="41"/>
      <c r="O148" s="29"/>
    </row>
    <row r="149">
      <c r="A149" s="29"/>
      <c r="B149" s="36"/>
      <c r="C149" s="37"/>
      <c r="D149" s="37"/>
      <c r="E149" s="37"/>
      <c r="F149" s="38"/>
      <c r="G149" s="38"/>
      <c r="H149" s="39"/>
      <c r="I149" s="40"/>
      <c r="J149" s="37"/>
      <c r="K149" s="40"/>
      <c r="L149" s="41"/>
      <c r="M149" s="37"/>
      <c r="N149" s="41"/>
      <c r="O149" s="29"/>
    </row>
    <row r="150">
      <c r="A150" s="29"/>
      <c r="B150" s="36"/>
      <c r="C150" s="37"/>
      <c r="D150" s="37"/>
      <c r="E150" s="37"/>
      <c r="F150" s="38"/>
      <c r="G150" s="38"/>
      <c r="H150" s="39"/>
      <c r="I150" s="40"/>
      <c r="J150" s="37"/>
      <c r="K150" s="40"/>
      <c r="L150" s="41"/>
      <c r="M150" s="37"/>
      <c r="N150" s="41"/>
      <c r="O150" s="29"/>
    </row>
    <row r="151">
      <c r="A151" s="29"/>
      <c r="B151" s="36"/>
      <c r="C151" s="37"/>
      <c r="D151" s="37"/>
      <c r="E151" s="37"/>
      <c r="F151" s="38"/>
      <c r="G151" s="38"/>
      <c r="H151" s="39"/>
      <c r="I151" s="40"/>
      <c r="J151" s="37"/>
      <c r="K151" s="40"/>
      <c r="L151" s="41"/>
      <c r="M151" s="37"/>
      <c r="N151" s="41"/>
      <c r="O151" s="29"/>
    </row>
    <row r="152">
      <c r="A152" s="29"/>
      <c r="B152" s="36"/>
      <c r="C152" s="37"/>
      <c r="D152" s="37"/>
      <c r="E152" s="37"/>
      <c r="F152" s="38"/>
      <c r="G152" s="38"/>
      <c r="H152" s="39"/>
      <c r="I152" s="40"/>
      <c r="J152" s="37"/>
      <c r="K152" s="40"/>
      <c r="L152" s="41"/>
      <c r="M152" s="37"/>
      <c r="N152" s="41"/>
      <c r="O152" s="29"/>
    </row>
    <row r="153">
      <c r="A153" s="29"/>
      <c r="B153" s="36"/>
      <c r="C153" s="37"/>
      <c r="D153" s="37"/>
      <c r="E153" s="37"/>
      <c r="F153" s="38"/>
      <c r="G153" s="38"/>
      <c r="H153" s="39"/>
      <c r="I153" s="40"/>
      <c r="J153" s="37"/>
      <c r="K153" s="40"/>
      <c r="L153" s="41"/>
      <c r="M153" s="37"/>
      <c r="N153" s="41"/>
      <c r="O153" s="29"/>
    </row>
    <row r="154">
      <c r="A154" s="29"/>
      <c r="B154" s="36"/>
      <c r="C154" s="37"/>
      <c r="D154" s="37"/>
      <c r="E154" s="37"/>
      <c r="F154" s="38"/>
      <c r="G154" s="38"/>
      <c r="H154" s="39"/>
      <c r="I154" s="40"/>
      <c r="J154" s="37"/>
      <c r="K154" s="40"/>
      <c r="L154" s="41"/>
      <c r="M154" s="37"/>
      <c r="N154" s="41"/>
      <c r="O154" s="29"/>
    </row>
    <row r="155">
      <c r="A155" s="29"/>
      <c r="B155" s="36"/>
      <c r="C155" s="37"/>
      <c r="D155" s="37"/>
      <c r="E155" s="37"/>
      <c r="F155" s="38"/>
      <c r="G155" s="38"/>
      <c r="H155" s="39"/>
      <c r="I155" s="40"/>
      <c r="J155" s="37"/>
      <c r="K155" s="40"/>
      <c r="L155" s="41"/>
      <c r="M155" s="37"/>
      <c r="N155" s="41"/>
      <c r="O155" s="29"/>
    </row>
    <row r="156">
      <c r="A156" s="29"/>
      <c r="B156" s="36"/>
      <c r="C156" s="37"/>
      <c r="D156" s="37"/>
      <c r="E156" s="37"/>
      <c r="F156" s="38"/>
      <c r="G156" s="38"/>
      <c r="H156" s="39"/>
      <c r="I156" s="40"/>
      <c r="J156" s="37"/>
      <c r="K156" s="40"/>
      <c r="L156" s="41"/>
      <c r="M156" s="37"/>
      <c r="N156" s="41"/>
      <c r="O156" s="29"/>
    </row>
    <row r="157">
      <c r="A157" s="29"/>
      <c r="B157" s="36"/>
      <c r="C157" s="37"/>
      <c r="D157" s="37"/>
      <c r="E157" s="37"/>
      <c r="F157" s="38"/>
      <c r="G157" s="38"/>
      <c r="H157" s="39"/>
      <c r="I157" s="40"/>
      <c r="J157" s="37"/>
      <c r="K157" s="40"/>
      <c r="L157" s="41"/>
      <c r="M157" s="37"/>
      <c r="N157" s="41"/>
      <c r="O157" s="29"/>
    </row>
    <row r="158">
      <c r="A158" s="29"/>
      <c r="B158" s="36"/>
      <c r="C158" s="37"/>
      <c r="D158" s="37"/>
      <c r="E158" s="37"/>
      <c r="F158" s="38"/>
      <c r="G158" s="38"/>
      <c r="H158" s="39"/>
      <c r="I158" s="40"/>
      <c r="J158" s="37"/>
      <c r="K158" s="40"/>
      <c r="L158" s="41"/>
      <c r="M158" s="37"/>
      <c r="N158" s="41"/>
      <c r="O158" s="29"/>
    </row>
    <row r="159">
      <c r="A159" s="29"/>
      <c r="B159" s="36"/>
      <c r="C159" s="37"/>
      <c r="D159" s="37"/>
      <c r="E159" s="37"/>
      <c r="F159" s="38"/>
      <c r="G159" s="38"/>
      <c r="H159" s="39"/>
      <c r="I159" s="40"/>
      <c r="J159" s="37"/>
      <c r="K159" s="40"/>
      <c r="L159" s="41"/>
      <c r="M159" s="37"/>
      <c r="N159" s="41"/>
      <c r="O159" s="29"/>
    </row>
    <row r="160">
      <c r="A160" s="29"/>
      <c r="B160" s="36"/>
      <c r="C160" s="37"/>
      <c r="D160" s="37"/>
      <c r="E160" s="37"/>
      <c r="F160" s="38"/>
      <c r="G160" s="38"/>
      <c r="H160" s="39"/>
      <c r="I160" s="40"/>
      <c r="J160" s="37"/>
      <c r="K160" s="40"/>
      <c r="L160" s="41"/>
      <c r="M160" s="37"/>
      <c r="N160" s="41"/>
      <c r="O160" s="29"/>
    </row>
    <row r="161">
      <c r="A161" s="29"/>
      <c r="B161" s="36"/>
      <c r="C161" s="37"/>
      <c r="D161" s="37"/>
      <c r="E161" s="37"/>
      <c r="F161" s="38"/>
      <c r="G161" s="38"/>
      <c r="H161" s="39"/>
      <c r="I161" s="40"/>
      <c r="J161" s="37"/>
      <c r="K161" s="40"/>
      <c r="L161" s="41"/>
      <c r="M161" s="37"/>
      <c r="N161" s="41"/>
      <c r="O161" s="29"/>
    </row>
    <row r="162">
      <c r="A162" s="29"/>
      <c r="B162" s="36"/>
      <c r="C162" s="37"/>
      <c r="D162" s="37"/>
      <c r="E162" s="37"/>
      <c r="F162" s="38"/>
      <c r="G162" s="38"/>
      <c r="H162" s="39"/>
      <c r="I162" s="40"/>
      <c r="J162" s="37"/>
      <c r="K162" s="40"/>
      <c r="L162" s="41"/>
      <c r="M162" s="37"/>
      <c r="N162" s="41"/>
      <c r="O162" s="29"/>
    </row>
    <row r="163">
      <c r="A163" s="29"/>
      <c r="B163" s="36"/>
      <c r="C163" s="37"/>
      <c r="D163" s="37"/>
      <c r="E163" s="37"/>
      <c r="F163" s="38"/>
      <c r="G163" s="38"/>
      <c r="H163" s="39"/>
      <c r="I163" s="40"/>
      <c r="J163" s="37"/>
      <c r="K163" s="40"/>
      <c r="L163" s="41"/>
      <c r="M163" s="37"/>
      <c r="N163" s="41"/>
      <c r="O163" s="29"/>
    </row>
    <row r="164">
      <c r="A164" s="29"/>
      <c r="B164" s="36"/>
      <c r="C164" s="37"/>
      <c r="D164" s="37"/>
      <c r="E164" s="37"/>
      <c r="F164" s="38"/>
      <c r="G164" s="38"/>
      <c r="H164" s="39"/>
      <c r="I164" s="40"/>
      <c r="J164" s="37"/>
      <c r="K164" s="40"/>
      <c r="L164" s="41"/>
      <c r="M164" s="37"/>
      <c r="N164" s="41"/>
      <c r="O164" s="29"/>
    </row>
    <row r="165">
      <c r="A165" s="29"/>
      <c r="B165" s="36"/>
      <c r="C165" s="37"/>
      <c r="D165" s="37"/>
      <c r="E165" s="37"/>
      <c r="F165" s="38"/>
      <c r="G165" s="38"/>
      <c r="H165" s="39"/>
      <c r="I165" s="40"/>
      <c r="J165" s="37"/>
      <c r="K165" s="40"/>
      <c r="L165" s="41"/>
      <c r="M165" s="37"/>
      <c r="N165" s="41"/>
      <c r="O165" s="29"/>
    </row>
    <row r="166">
      <c r="A166" s="29"/>
      <c r="B166" s="36"/>
      <c r="C166" s="37"/>
      <c r="D166" s="37"/>
      <c r="E166" s="37"/>
      <c r="F166" s="38"/>
      <c r="G166" s="38"/>
      <c r="H166" s="39"/>
      <c r="I166" s="40"/>
      <c r="J166" s="37"/>
      <c r="K166" s="40"/>
      <c r="L166" s="41"/>
      <c r="M166" s="37"/>
      <c r="N166" s="41"/>
      <c r="O166" s="29"/>
    </row>
    <row r="167">
      <c r="A167" s="29"/>
      <c r="B167" s="36"/>
      <c r="C167" s="37"/>
      <c r="D167" s="37"/>
      <c r="E167" s="37"/>
      <c r="F167" s="38"/>
      <c r="G167" s="38"/>
      <c r="H167" s="39"/>
      <c r="I167" s="40"/>
      <c r="J167" s="37"/>
      <c r="K167" s="40"/>
      <c r="L167" s="41"/>
      <c r="M167" s="37"/>
      <c r="N167" s="41"/>
      <c r="O167" s="29"/>
    </row>
    <row r="168">
      <c r="A168" s="29"/>
      <c r="B168" s="36"/>
      <c r="C168" s="37"/>
      <c r="D168" s="37"/>
      <c r="E168" s="37"/>
      <c r="F168" s="38"/>
      <c r="G168" s="38"/>
      <c r="H168" s="39"/>
      <c r="I168" s="40"/>
      <c r="J168" s="37"/>
      <c r="K168" s="40"/>
      <c r="L168" s="41"/>
      <c r="M168" s="37"/>
      <c r="N168" s="41"/>
      <c r="O168" s="29"/>
    </row>
    <row r="169">
      <c r="A169" s="29"/>
      <c r="B169" s="36"/>
      <c r="C169" s="37"/>
      <c r="D169" s="37"/>
      <c r="E169" s="37"/>
      <c r="F169" s="38"/>
      <c r="G169" s="38"/>
      <c r="H169" s="39"/>
      <c r="I169" s="40"/>
      <c r="J169" s="37"/>
      <c r="K169" s="40"/>
      <c r="L169" s="41"/>
      <c r="M169" s="37"/>
      <c r="N169" s="41"/>
      <c r="O169" s="29"/>
    </row>
    <row r="170">
      <c r="A170" s="29"/>
      <c r="B170" s="36"/>
      <c r="C170" s="37"/>
      <c r="D170" s="37"/>
      <c r="E170" s="37"/>
      <c r="F170" s="38"/>
      <c r="G170" s="38"/>
      <c r="H170" s="39"/>
      <c r="I170" s="40"/>
      <c r="J170" s="37"/>
      <c r="K170" s="40"/>
      <c r="L170" s="41"/>
      <c r="M170" s="37"/>
      <c r="N170" s="41"/>
      <c r="O170" s="29"/>
    </row>
    <row r="171">
      <c r="A171" s="29"/>
      <c r="B171" s="36"/>
      <c r="C171" s="37"/>
      <c r="D171" s="37"/>
      <c r="E171" s="37"/>
      <c r="F171" s="38"/>
      <c r="G171" s="38"/>
      <c r="H171" s="39"/>
      <c r="I171" s="40"/>
      <c r="J171" s="37"/>
      <c r="K171" s="40"/>
      <c r="L171" s="41"/>
      <c r="M171" s="37"/>
      <c r="N171" s="41"/>
      <c r="O171" s="29"/>
    </row>
    <row r="172">
      <c r="A172" s="29"/>
      <c r="B172" s="36"/>
      <c r="C172" s="37"/>
      <c r="D172" s="37"/>
      <c r="E172" s="37"/>
      <c r="F172" s="38"/>
      <c r="G172" s="38"/>
      <c r="H172" s="39"/>
      <c r="I172" s="40"/>
      <c r="J172" s="37"/>
      <c r="K172" s="40"/>
      <c r="L172" s="41"/>
      <c r="M172" s="37"/>
      <c r="N172" s="41"/>
      <c r="O172" s="29"/>
    </row>
    <row r="173">
      <c r="A173" s="29"/>
      <c r="B173" s="36"/>
      <c r="C173" s="37"/>
      <c r="D173" s="37"/>
      <c r="E173" s="37"/>
      <c r="F173" s="38"/>
      <c r="G173" s="38"/>
      <c r="H173" s="39"/>
      <c r="I173" s="40"/>
      <c r="J173" s="37"/>
      <c r="K173" s="40"/>
      <c r="L173" s="41"/>
      <c r="M173" s="37"/>
      <c r="N173" s="41"/>
      <c r="O173" s="29"/>
    </row>
    <row r="174">
      <c r="A174" s="29"/>
      <c r="B174" s="36"/>
      <c r="C174" s="37"/>
      <c r="D174" s="37"/>
      <c r="E174" s="37"/>
      <c r="F174" s="38"/>
      <c r="G174" s="38"/>
      <c r="H174" s="39"/>
      <c r="I174" s="40"/>
      <c r="J174" s="37"/>
      <c r="K174" s="40"/>
      <c r="L174" s="41"/>
      <c r="M174" s="37"/>
      <c r="N174" s="41"/>
      <c r="O174" s="29"/>
    </row>
    <row r="175">
      <c r="A175" s="29"/>
      <c r="B175" s="36"/>
      <c r="C175" s="37"/>
      <c r="D175" s="37"/>
      <c r="E175" s="37"/>
      <c r="F175" s="38"/>
      <c r="G175" s="38"/>
      <c r="H175" s="39"/>
      <c r="I175" s="40"/>
      <c r="J175" s="37"/>
      <c r="K175" s="40"/>
      <c r="L175" s="41"/>
      <c r="M175" s="37"/>
      <c r="N175" s="41"/>
      <c r="O175" s="29"/>
    </row>
    <row r="176">
      <c r="A176" s="29"/>
      <c r="B176" s="36"/>
      <c r="C176" s="37"/>
      <c r="D176" s="37"/>
      <c r="E176" s="37"/>
      <c r="F176" s="38"/>
      <c r="G176" s="38"/>
      <c r="H176" s="39"/>
      <c r="I176" s="40"/>
      <c r="J176" s="37"/>
      <c r="K176" s="40"/>
      <c r="L176" s="41"/>
      <c r="M176" s="37"/>
      <c r="N176" s="41"/>
      <c r="O176" s="29"/>
    </row>
    <row r="177">
      <c r="A177" s="29"/>
      <c r="B177" s="36"/>
      <c r="C177" s="37"/>
      <c r="D177" s="37"/>
      <c r="E177" s="37"/>
      <c r="F177" s="38"/>
      <c r="G177" s="38"/>
      <c r="H177" s="39"/>
      <c r="I177" s="40"/>
      <c r="J177" s="37"/>
      <c r="K177" s="40"/>
      <c r="L177" s="41"/>
      <c r="M177" s="37"/>
      <c r="N177" s="41"/>
      <c r="O177" s="29"/>
    </row>
    <row r="178">
      <c r="A178" s="29"/>
      <c r="B178" s="36"/>
      <c r="C178" s="37"/>
      <c r="D178" s="37"/>
      <c r="E178" s="37"/>
      <c r="F178" s="38"/>
      <c r="G178" s="38"/>
      <c r="H178" s="39"/>
      <c r="I178" s="40"/>
      <c r="J178" s="37"/>
      <c r="K178" s="40"/>
      <c r="L178" s="41"/>
      <c r="M178" s="37"/>
      <c r="N178" s="41"/>
      <c r="O178" s="29"/>
    </row>
    <row r="179">
      <c r="A179" s="29"/>
      <c r="B179" s="36"/>
      <c r="C179" s="37"/>
      <c r="D179" s="37"/>
      <c r="E179" s="37"/>
      <c r="F179" s="38"/>
      <c r="G179" s="38"/>
      <c r="H179" s="39"/>
      <c r="I179" s="40"/>
      <c r="J179" s="37"/>
      <c r="K179" s="40"/>
      <c r="L179" s="41"/>
      <c r="M179" s="37"/>
      <c r="N179" s="41"/>
      <c r="O179" s="29"/>
    </row>
    <row r="180">
      <c r="A180" s="29"/>
      <c r="B180" s="36"/>
      <c r="C180" s="37"/>
      <c r="D180" s="37"/>
      <c r="E180" s="37"/>
      <c r="F180" s="38"/>
      <c r="G180" s="38"/>
      <c r="H180" s="39"/>
      <c r="I180" s="40"/>
      <c r="J180" s="37"/>
      <c r="K180" s="40"/>
      <c r="L180" s="41"/>
      <c r="M180" s="37"/>
      <c r="N180" s="41"/>
      <c r="O180" s="29"/>
    </row>
    <row r="181">
      <c r="A181" s="29"/>
      <c r="B181" s="36"/>
      <c r="C181" s="37"/>
      <c r="D181" s="37"/>
      <c r="E181" s="37"/>
      <c r="F181" s="38"/>
      <c r="G181" s="38"/>
      <c r="H181" s="39"/>
      <c r="I181" s="40"/>
      <c r="J181" s="37"/>
      <c r="K181" s="40"/>
      <c r="L181" s="41"/>
      <c r="M181" s="37"/>
      <c r="N181" s="41"/>
      <c r="O181" s="29"/>
    </row>
    <row r="182">
      <c r="A182" s="29"/>
      <c r="B182" s="36"/>
      <c r="C182" s="37"/>
      <c r="D182" s="37"/>
      <c r="E182" s="37"/>
      <c r="F182" s="38"/>
      <c r="G182" s="38"/>
      <c r="H182" s="39"/>
      <c r="I182" s="40"/>
      <c r="J182" s="37"/>
      <c r="K182" s="40"/>
      <c r="L182" s="41"/>
      <c r="M182" s="37"/>
      <c r="N182" s="41"/>
      <c r="O182" s="29"/>
    </row>
    <row r="183">
      <c r="A183" s="29"/>
      <c r="B183" s="36"/>
      <c r="C183" s="37"/>
      <c r="D183" s="37"/>
      <c r="E183" s="37"/>
      <c r="F183" s="38"/>
      <c r="G183" s="38"/>
      <c r="H183" s="39"/>
      <c r="I183" s="40"/>
      <c r="J183" s="37"/>
      <c r="K183" s="40"/>
      <c r="L183" s="41"/>
      <c r="M183" s="37"/>
      <c r="N183" s="41"/>
      <c r="O183" s="29"/>
    </row>
    <row r="184">
      <c r="A184" s="29"/>
      <c r="B184" s="36"/>
      <c r="C184" s="37"/>
      <c r="D184" s="37"/>
      <c r="E184" s="37"/>
      <c r="F184" s="38"/>
      <c r="G184" s="38"/>
      <c r="H184" s="39"/>
      <c r="I184" s="40"/>
      <c r="J184" s="37"/>
      <c r="K184" s="40"/>
      <c r="L184" s="41"/>
      <c r="M184" s="37"/>
      <c r="N184" s="41"/>
      <c r="O184" s="29"/>
    </row>
    <row r="185">
      <c r="A185" s="29"/>
      <c r="B185" s="36"/>
      <c r="C185" s="37"/>
      <c r="D185" s="37"/>
      <c r="E185" s="37"/>
      <c r="F185" s="38"/>
      <c r="G185" s="38"/>
      <c r="H185" s="39"/>
      <c r="I185" s="40"/>
      <c r="J185" s="37"/>
      <c r="K185" s="40"/>
      <c r="L185" s="41"/>
      <c r="M185" s="37"/>
      <c r="N185" s="41"/>
      <c r="O185" s="29"/>
    </row>
    <row r="186">
      <c r="A186" s="29"/>
      <c r="B186" s="36"/>
      <c r="C186" s="37"/>
      <c r="D186" s="37"/>
      <c r="E186" s="37"/>
      <c r="F186" s="38"/>
      <c r="G186" s="38"/>
      <c r="H186" s="39"/>
      <c r="I186" s="40"/>
      <c r="J186" s="37"/>
      <c r="K186" s="40"/>
      <c r="L186" s="41"/>
      <c r="M186" s="37"/>
      <c r="N186" s="41"/>
      <c r="O186" s="29"/>
    </row>
    <row r="187">
      <c r="A187" s="29"/>
      <c r="B187" s="36"/>
      <c r="C187" s="37"/>
      <c r="D187" s="37"/>
      <c r="E187" s="37"/>
      <c r="F187" s="38"/>
      <c r="G187" s="38"/>
      <c r="H187" s="39"/>
      <c r="I187" s="40"/>
      <c r="J187" s="37"/>
      <c r="K187" s="40"/>
      <c r="L187" s="41"/>
      <c r="M187" s="37"/>
      <c r="N187" s="41"/>
      <c r="O187" s="29"/>
    </row>
    <row r="188">
      <c r="A188" s="29"/>
      <c r="B188" s="36"/>
      <c r="C188" s="37"/>
      <c r="D188" s="37"/>
      <c r="E188" s="37"/>
      <c r="F188" s="38"/>
      <c r="G188" s="38"/>
      <c r="H188" s="39"/>
      <c r="I188" s="40"/>
      <c r="J188" s="37"/>
      <c r="K188" s="40"/>
      <c r="L188" s="41"/>
      <c r="M188" s="37"/>
      <c r="N188" s="41"/>
      <c r="O188" s="29"/>
    </row>
    <row r="189">
      <c r="A189" s="29"/>
      <c r="B189" s="36"/>
      <c r="C189" s="37"/>
      <c r="D189" s="37"/>
      <c r="E189" s="37"/>
      <c r="F189" s="38"/>
      <c r="G189" s="38"/>
      <c r="H189" s="39"/>
      <c r="I189" s="40"/>
      <c r="J189" s="37"/>
      <c r="K189" s="40"/>
      <c r="L189" s="41"/>
      <c r="M189" s="37"/>
      <c r="N189" s="41"/>
      <c r="O189" s="29"/>
    </row>
    <row r="190">
      <c r="A190" s="29"/>
      <c r="B190" s="36"/>
      <c r="C190" s="37"/>
      <c r="D190" s="37"/>
      <c r="E190" s="37"/>
      <c r="F190" s="38"/>
      <c r="G190" s="38"/>
      <c r="H190" s="39"/>
      <c r="I190" s="40"/>
      <c r="J190" s="37"/>
      <c r="K190" s="40"/>
      <c r="L190" s="41"/>
      <c r="M190" s="37"/>
      <c r="N190" s="41"/>
      <c r="O190" s="29"/>
    </row>
    <row r="191">
      <c r="A191" s="29"/>
      <c r="B191" s="36"/>
      <c r="C191" s="37"/>
      <c r="D191" s="37"/>
      <c r="E191" s="37"/>
      <c r="F191" s="38"/>
      <c r="G191" s="38"/>
      <c r="H191" s="39"/>
      <c r="I191" s="40"/>
      <c r="J191" s="37"/>
      <c r="K191" s="40"/>
      <c r="L191" s="41"/>
      <c r="M191" s="37"/>
      <c r="N191" s="41"/>
      <c r="O191" s="29"/>
    </row>
    <row r="192">
      <c r="A192" s="29"/>
      <c r="B192" s="36"/>
      <c r="C192" s="37"/>
      <c r="D192" s="37"/>
      <c r="E192" s="37"/>
      <c r="F192" s="38"/>
      <c r="G192" s="38"/>
      <c r="H192" s="39"/>
      <c r="I192" s="40"/>
      <c r="J192" s="37"/>
      <c r="K192" s="40"/>
      <c r="L192" s="41"/>
      <c r="M192" s="37"/>
      <c r="N192" s="41"/>
      <c r="O192" s="29"/>
    </row>
    <row r="193">
      <c r="A193" s="29"/>
      <c r="B193" s="36"/>
      <c r="C193" s="37"/>
      <c r="D193" s="37"/>
      <c r="E193" s="37"/>
      <c r="F193" s="38"/>
      <c r="G193" s="38"/>
      <c r="H193" s="39"/>
      <c r="I193" s="40"/>
      <c r="J193" s="37"/>
      <c r="K193" s="40"/>
      <c r="L193" s="41"/>
      <c r="M193" s="37"/>
      <c r="N193" s="41"/>
      <c r="O193" s="29"/>
    </row>
    <row r="194">
      <c r="A194" s="29"/>
      <c r="B194" s="36"/>
      <c r="C194" s="37"/>
      <c r="D194" s="37"/>
      <c r="E194" s="37"/>
      <c r="F194" s="38"/>
      <c r="G194" s="38"/>
      <c r="H194" s="39"/>
      <c r="I194" s="40"/>
      <c r="J194" s="37"/>
      <c r="K194" s="40"/>
      <c r="L194" s="41"/>
      <c r="M194" s="37"/>
      <c r="N194" s="41"/>
      <c r="O194" s="29"/>
    </row>
    <row r="195">
      <c r="A195" s="29"/>
      <c r="B195" s="36"/>
      <c r="C195" s="37"/>
      <c r="D195" s="37"/>
      <c r="E195" s="37"/>
      <c r="F195" s="38"/>
      <c r="G195" s="38"/>
      <c r="H195" s="39"/>
      <c r="I195" s="40"/>
      <c r="J195" s="37"/>
      <c r="K195" s="40"/>
      <c r="L195" s="41"/>
      <c r="M195" s="37"/>
      <c r="N195" s="41"/>
      <c r="O195" s="29"/>
    </row>
    <row r="196">
      <c r="A196" s="29"/>
      <c r="B196" s="36"/>
      <c r="C196" s="37"/>
      <c r="D196" s="37"/>
      <c r="E196" s="37"/>
      <c r="F196" s="38"/>
      <c r="G196" s="38"/>
      <c r="H196" s="39"/>
      <c r="I196" s="40"/>
      <c r="J196" s="37"/>
      <c r="K196" s="40"/>
      <c r="L196" s="41"/>
      <c r="M196" s="37"/>
      <c r="N196" s="41"/>
      <c r="O196" s="29"/>
    </row>
    <row r="197">
      <c r="A197" s="29"/>
      <c r="B197" s="36"/>
      <c r="C197" s="37"/>
      <c r="D197" s="37"/>
      <c r="E197" s="37"/>
      <c r="F197" s="38"/>
      <c r="G197" s="38"/>
      <c r="H197" s="39"/>
      <c r="I197" s="40"/>
      <c r="J197" s="37"/>
      <c r="K197" s="40"/>
      <c r="L197" s="41"/>
      <c r="M197" s="37"/>
      <c r="N197" s="41"/>
      <c r="O197" s="29"/>
    </row>
    <row r="198">
      <c r="A198" s="29"/>
      <c r="B198" s="36"/>
      <c r="C198" s="37"/>
      <c r="D198" s="37"/>
      <c r="E198" s="37"/>
      <c r="F198" s="38"/>
      <c r="G198" s="38"/>
      <c r="H198" s="39"/>
      <c r="I198" s="40"/>
      <c r="J198" s="37"/>
      <c r="K198" s="40"/>
      <c r="L198" s="41"/>
      <c r="M198" s="37"/>
      <c r="N198" s="41"/>
      <c r="O198" s="29"/>
    </row>
    <row r="199">
      <c r="A199" s="29"/>
      <c r="B199" s="36"/>
      <c r="C199" s="37"/>
      <c r="D199" s="37"/>
      <c r="E199" s="37"/>
      <c r="F199" s="38"/>
      <c r="G199" s="38"/>
      <c r="H199" s="39"/>
      <c r="I199" s="40"/>
      <c r="J199" s="37"/>
      <c r="K199" s="40"/>
      <c r="L199" s="41"/>
      <c r="M199" s="37"/>
      <c r="N199" s="41"/>
      <c r="O199" s="29"/>
    </row>
    <row r="200">
      <c r="A200" s="29"/>
      <c r="B200" s="36"/>
      <c r="C200" s="37"/>
      <c r="D200" s="37"/>
      <c r="E200" s="37"/>
      <c r="F200" s="38"/>
      <c r="G200" s="38"/>
      <c r="H200" s="39"/>
      <c r="I200" s="40"/>
      <c r="J200" s="37"/>
      <c r="K200" s="40"/>
      <c r="L200" s="41"/>
      <c r="M200" s="37"/>
      <c r="N200" s="41"/>
      <c r="O200" s="29"/>
    </row>
    <row r="201">
      <c r="A201" s="29"/>
      <c r="B201" s="36"/>
      <c r="C201" s="37"/>
      <c r="D201" s="37"/>
      <c r="E201" s="37"/>
      <c r="F201" s="38"/>
      <c r="G201" s="38"/>
      <c r="H201" s="39"/>
      <c r="I201" s="40"/>
      <c r="J201" s="37"/>
      <c r="K201" s="40"/>
      <c r="L201" s="41"/>
      <c r="M201" s="37"/>
      <c r="N201" s="41"/>
      <c r="O201" s="29"/>
    </row>
    <row r="202">
      <c r="A202" s="29"/>
      <c r="B202" s="36"/>
      <c r="C202" s="37"/>
      <c r="D202" s="37"/>
      <c r="E202" s="37"/>
      <c r="F202" s="38"/>
      <c r="G202" s="38"/>
      <c r="H202" s="39"/>
      <c r="I202" s="40"/>
      <c r="J202" s="37"/>
      <c r="K202" s="40"/>
      <c r="L202" s="41"/>
      <c r="M202" s="37"/>
      <c r="N202" s="41"/>
      <c r="O202" s="29"/>
    </row>
    <row r="203">
      <c r="A203" s="29"/>
      <c r="B203" s="36"/>
      <c r="C203" s="37"/>
      <c r="D203" s="37"/>
      <c r="E203" s="37"/>
      <c r="F203" s="38"/>
      <c r="G203" s="38"/>
      <c r="H203" s="39"/>
      <c r="I203" s="40"/>
      <c r="J203" s="37"/>
      <c r="K203" s="40"/>
      <c r="L203" s="41"/>
      <c r="M203" s="37"/>
      <c r="N203" s="41"/>
      <c r="O203" s="29"/>
    </row>
    <row r="204">
      <c r="A204" s="29"/>
      <c r="B204" s="36"/>
      <c r="C204" s="37"/>
      <c r="D204" s="37"/>
      <c r="E204" s="37"/>
      <c r="F204" s="38"/>
      <c r="G204" s="38"/>
      <c r="H204" s="39"/>
      <c r="I204" s="40"/>
      <c r="J204" s="37"/>
      <c r="K204" s="40"/>
      <c r="L204" s="41"/>
      <c r="M204" s="37"/>
      <c r="N204" s="41"/>
      <c r="O204" s="29"/>
    </row>
    <row r="205">
      <c r="A205" s="29"/>
      <c r="B205" s="36"/>
      <c r="C205" s="37"/>
      <c r="D205" s="37"/>
      <c r="E205" s="37"/>
      <c r="F205" s="38"/>
      <c r="G205" s="38"/>
      <c r="H205" s="39"/>
      <c r="I205" s="40"/>
      <c r="J205" s="37"/>
      <c r="K205" s="40"/>
      <c r="L205" s="41"/>
      <c r="M205" s="37"/>
      <c r="N205" s="41"/>
      <c r="O205" s="29"/>
    </row>
    <row r="206">
      <c r="A206" s="29"/>
      <c r="B206" s="36"/>
      <c r="C206" s="37"/>
      <c r="D206" s="37"/>
      <c r="E206" s="37"/>
      <c r="F206" s="38"/>
      <c r="G206" s="38"/>
      <c r="H206" s="39"/>
      <c r="I206" s="40"/>
      <c r="J206" s="37"/>
      <c r="K206" s="40"/>
      <c r="L206" s="41"/>
      <c r="M206" s="37"/>
      <c r="N206" s="41"/>
      <c r="O206" s="29"/>
    </row>
    <row r="207">
      <c r="A207" s="29"/>
      <c r="B207" s="36"/>
      <c r="C207" s="37"/>
      <c r="D207" s="37"/>
      <c r="E207" s="37"/>
      <c r="F207" s="38"/>
      <c r="G207" s="38"/>
      <c r="H207" s="39"/>
      <c r="I207" s="40"/>
      <c r="J207" s="37"/>
      <c r="K207" s="40"/>
      <c r="L207" s="41"/>
      <c r="M207" s="37"/>
      <c r="N207" s="41"/>
      <c r="O207" s="29"/>
    </row>
    <row r="208">
      <c r="A208" s="29"/>
      <c r="B208" s="36"/>
      <c r="C208" s="37"/>
      <c r="D208" s="37"/>
      <c r="E208" s="37"/>
      <c r="F208" s="38"/>
      <c r="G208" s="38"/>
      <c r="H208" s="39"/>
      <c r="I208" s="40"/>
      <c r="J208" s="37"/>
      <c r="K208" s="40"/>
      <c r="L208" s="41"/>
      <c r="M208" s="37"/>
      <c r="N208" s="41"/>
      <c r="O208" s="29"/>
    </row>
    <row r="209">
      <c r="A209" s="29"/>
      <c r="B209" s="36"/>
      <c r="C209" s="37"/>
      <c r="D209" s="37"/>
      <c r="E209" s="37"/>
      <c r="F209" s="38"/>
      <c r="G209" s="38"/>
      <c r="H209" s="39"/>
      <c r="I209" s="40"/>
      <c r="J209" s="37"/>
      <c r="K209" s="40"/>
      <c r="L209" s="41"/>
      <c r="M209" s="37"/>
      <c r="N209" s="41"/>
      <c r="O209" s="29"/>
    </row>
    <row r="210">
      <c r="A210" s="29"/>
      <c r="B210" s="36"/>
      <c r="C210" s="37"/>
      <c r="D210" s="37"/>
      <c r="E210" s="37"/>
      <c r="F210" s="38"/>
      <c r="G210" s="38"/>
      <c r="H210" s="39"/>
      <c r="I210" s="40"/>
      <c r="J210" s="37"/>
      <c r="K210" s="40"/>
      <c r="L210" s="41"/>
      <c r="M210" s="37"/>
      <c r="N210" s="41"/>
      <c r="O210" s="29"/>
    </row>
    <row r="211">
      <c r="A211" s="29"/>
      <c r="B211" s="36"/>
      <c r="C211" s="37"/>
      <c r="D211" s="37"/>
      <c r="E211" s="37"/>
      <c r="F211" s="38"/>
      <c r="G211" s="38"/>
      <c r="H211" s="39"/>
      <c r="I211" s="40"/>
      <c r="J211" s="37"/>
      <c r="K211" s="40"/>
      <c r="L211" s="41"/>
      <c r="M211" s="37"/>
      <c r="N211" s="41"/>
      <c r="O211" s="29"/>
    </row>
    <row r="212">
      <c r="A212" s="29"/>
      <c r="B212" s="36"/>
      <c r="C212" s="37"/>
      <c r="D212" s="37"/>
      <c r="E212" s="37"/>
      <c r="F212" s="38"/>
      <c r="G212" s="38"/>
      <c r="H212" s="39"/>
      <c r="I212" s="40"/>
      <c r="J212" s="37"/>
      <c r="K212" s="40"/>
      <c r="L212" s="41"/>
      <c r="M212" s="37"/>
      <c r="N212" s="41"/>
      <c r="O212" s="29"/>
    </row>
    <row r="213">
      <c r="A213" s="29"/>
      <c r="B213" s="36"/>
      <c r="C213" s="37"/>
      <c r="D213" s="37"/>
      <c r="E213" s="37"/>
      <c r="F213" s="38"/>
      <c r="G213" s="38"/>
      <c r="H213" s="39"/>
      <c r="I213" s="40"/>
      <c r="J213" s="37"/>
      <c r="K213" s="40"/>
      <c r="L213" s="41"/>
      <c r="M213" s="37"/>
      <c r="N213" s="41"/>
      <c r="O213" s="29"/>
    </row>
    <row r="214">
      <c r="A214" s="29"/>
      <c r="B214" s="36"/>
      <c r="C214" s="37"/>
      <c r="D214" s="37"/>
      <c r="E214" s="37"/>
      <c r="F214" s="38"/>
      <c r="G214" s="38"/>
      <c r="H214" s="39"/>
      <c r="I214" s="40"/>
      <c r="J214" s="37"/>
      <c r="K214" s="40"/>
      <c r="L214" s="41"/>
      <c r="M214" s="37"/>
      <c r="N214" s="41"/>
      <c r="O214" s="29"/>
    </row>
    <row r="215">
      <c r="A215" s="29"/>
      <c r="B215" s="36"/>
      <c r="C215" s="37"/>
      <c r="D215" s="37"/>
      <c r="E215" s="37"/>
      <c r="F215" s="38"/>
      <c r="G215" s="38"/>
      <c r="H215" s="39"/>
      <c r="I215" s="40"/>
      <c r="J215" s="37"/>
      <c r="K215" s="40"/>
      <c r="L215" s="41"/>
      <c r="M215" s="37"/>
      <c r="N215" s="41"/>
      <c r="O215" s="29"/>
    </row>
    <row r="216">
      <c r="A216" s="29"/>
      <c r="B216" s="36"/>
      <c r="C216" s="37"/>
      <c r="D216" s="37"/>
      <c r="E216" s="37"/>
      <c r="F216" s="38"/>
      <c r="G216" s="38"/>
      <c r="H216" s="39"/>
      <c r="I216" s="40"/>
      <c r="J216" s="37"/>
      <c r="K216" s="40"/>
      <c r="L216" s="41"/>
      <c r="M216" s="37"/>
      <c r="N216" s="41"/>
      <c r="O216" s="29"/>
    </row>
    <row r="217">
      <c r="A217" s="29"/>
      <c r="B217" s="36"/>
      <c r="C217" s="37"/>
      <c r="D217" s="37"/>
      <c r="E217" s="37"/>
      <c r="F217" s="38"/>
      <c r="G217" s="38"/>
      <c r="H217" s="39"/>
      <c r="I217" s="40"/>
      <c r="J217" s="37"/>
      <c r="K217" s="40"/>
      <c r="L217" s="41"/>
      <c r="M217" s="37"/>
      <c r="N217" s="41"/>
      <c r="O217" s="29"/>
    </row>
    <row r="218">
      <c r="A218" s="29"/>
      <c r="B218" s="36"/>
      <c r="C218" s="37"/>
      <c r="D218" s="37"/>
      <c r="E218" s="37"/>
      <c r="F218" s="38"/>
      <c r="G218" s="38"/>
      <c r="H218" s="39"/>
      <c r="I218" s="40"/>
      <c r="J218" s="37"/>
      <c r="K218" s="40"/>
      <c r="L218" s="41"/>
      <c r="M218" s="37"/>
      <c r="N218" s="41"/>
      <c r="O218" s="29"/>
    </row>
    <row r="219">
      <c r="A219" s="29"/>
      <c r="B219" s="36"/>
      <c r="C219" s="37"/>
      <c r="D219" s="37"/>
      <c r="E219" s="37"/>
      <c r="F219" s="38"/>
      <c r="G219" s="38"/>
      <c r="H219" s="39"/>
      <c r="I219" s="40"/>
      <c r="J219" s="37"/>
      <c r="K219" s="40"/>
      <c r="L219" s="41"/>
      <c r="M219" s="37"/>
      <c r="N219" s="41"/>
      <c r="O219" s="29"/>
    </row>
    <row r="220">
      <c r="A220" s="29"/>
      <c r="B220" s="36"/>
      <c r="C220" s="37"/>
      <c r="D220" s="37"/>
      <c r="E220" s="37"/>
      <c r="F220" s="38"/>
      <c r="G220" s="38"/>
      <c r="H220" s="39"/>
      <c r="I220" s="40"/>
      <c r="J220" s="37"/>
      <c r="K220" s="40"/>
      <c r="L220" s="41"/>
      <c r="M220" s="37"/>
      <c r="N220" s="41"/>
      <c r="O220" s="29"/>
    </row>
    <row r="221">
      <c r="A221" s="29"/>
      <c r="B221" s="36"/>
      <c r="C221" s="37"/>
      <c r="D221" s="37"/>
      <c r="E221" s="37"/>
      <c r="F221" s="38"/>
      <c r="G221" s="38"/>
      <c r="H221" s="39"/>
      <c r="I221" s="40"/>
      <c r="J221" s="37"/>
      <c r="K221" s="40"/>
      <c r="L221" s="41"/>
      <c r="M221" s="37"/>
      <c r="N221" s="41"/>
      <c r="O221" s="29"/>
    </row>
    <row r="222">
      <c r="A222" s="29"/>
      <c r="B222" s="36"/>
      <c r="C222" s="37"/>
      <c r="D222" s="37"/>
      <c r="E222" s="37"/>
      <c r="F222" s="38"/>
      <c r="G222" s="38"/>
      <c r="H222" s="39"/>
      <c r="I222" s="40"/>
      <c r="J222" s="37"/>
      <c r="K222" s="40"/>
      <c r="L222" s="41"/>
      <c r="M222" s="37"/>
      <c r="N222" s="41"/>
      <c r="O222" s="29"/>
    </row>
    <row r="223">
      <c r="A223" s="29"/>
      <c r="B223" s="36"/>
      <c r="C223" s="37"/>
      <c r="D223" s="37"/>
      <c r="E223" s="37"/>
      <c r="F223" s="38"/>
      <c r="G223" s="38"/>
      <c r="H223" s="39"/>
      <c r="I223" s="40"/>
      <c r="J223" s="37"/>
      <c r="K223" s="40"/>
      <c r="L223" s="41"/>
      <c r="M223" s="37"/>
      <c r="N223" s="41"/>
      <c r="O223" s="29"/>
    </row>
    <row r="224">
      <c r="A224" s="29"/>
      <c r="B224" s="36"/>
      <c r="C224" s="37"/>
      <c r="D224" s="37"/>
      <c r="E224" s="37"/>
      <c r="F224" s="38"/>
      <c r="G224" s="38"/>
      <c r="H224" s="39"/>
      <c r="I224" s="40"/>
      <c r="J224" s="37"/>
      <c r="K224" s="40"/>
      <c r="L224" s="41"/>
      <c r="M224" s="37"/>
      <c r="N224" s="41"/>
      <c r="O224" s="29"/>
    </row>
    <row r="225">
      <c r="A225" s="29"/>
      <c r="B225" s="36"/>
      <c r="C225" s="37"/>
      <c r="D225" s="37"/>
      <c r="E225" s="37"/>
      <c r="F225" s="38"/>
      <c r="G225" s="38"/>
      <c r="H225" s="39"/>
      <c r="I225" s="40"/>
      <c r="J225" s="37"/>
      <c r="K225" s="40"/>
      <c r="L225" s="41"/>
      <c r="M225" s="37"/>
      <c r="N225" s="41"/>
      <c r="O225" s="29"/>
    </row>
    <row r="226">
      <c r="A226" s="29"/>
      <c r="B226" s="36"/>
      <c r="C226" s="37"/>
      <c r="D226" s="37"/>
      <c r="E226" s="37"/>
      <c r="F226" s="38"/>
      <c r="G226" s="38"/>
      <c r="H226" s="39"/>
      <c r="I226" s="40"/>
      <c r="J226" s="37"/>
      <c r="K226" s="40"/>
      <c r="L226" s="41"/>
      <c r="M226" s="37"/>
      <c r="N226" s="41"/>
      <c r="O226" s="29"/>
    </row>
    <row r="227">
      <c r="A227" s="29"/>
      <c r="B227" s="36"/>
      <c r="C227" s="37"/>
      <c r="D227" s="37"/>
      <c r="E227" s="37"/>
      <c r="F227" s="38"/>
      <c r="G227" s="38"/>
      <c r="H227" s="39"/>
      <c r="I227" s="40"/>
      <c r="J227" s="37"/>
      <c r="K227" s="40"/>
      <c r="L227" s="41"/>
      <c r="M227" s="37"/>
      <c r="N227" s="41"/>
      <c r="O227" s="29"/>
    </row>
    <row r="228">
      <c r="A228" s="29"/>
      <c r="B228" s="36"/>
      <c r="C228" s="37"/>
      <c r="D228" s="37"/>
      <c r="E228" s="37"/>
      <c r="F228" s="38"/>
      <c r="G228" s="38"/>
      <c r="H228" s="39"/>
      <c r="I228" s="40"/>
      <c r="J228" s="37"/>
      <c r="K228" s="40"/>
      <c r="L228" s="41"/>
      <c r="M228" s="37"/>
      <c r="N228" s="41"/>
      <c r="O228" s="29"/>
    </row>
    <row r="229">
      <c r="A229" s="29"/>
      <c r="B229" s="36"/>
      <c r="C229" s="37"/>
      <c r="D229" s="37"/>
      <c r="E229" s="37"/>
      <c r="F229" s="38"/>
      <c r="G229" s="38"/>
      <c r="H229" s="39"/>
      <c r="I229" s="40"/>
      <c r="J229" s="37"/>
      <c r="K229" s="40"/>
      <c r="L229" s="41"/>
      <c r="M229" s="37"/>
      <c r="N229" s="41"/>
      <c r="O229" s="29"/>
    </row>
    <row r="230">
      <c r="A230" s="29"/>
      <c r="B230" s="36"/>
      <c r="C230" s="37"/>
      <c r="D230" s="37"/>
      <c r="E230" s="37"/>
      <c r="F230" s="38"/>
      <c r="G230" s="38"/>
      <c r="H230" s="39"/>
      <c r="I230" s="40"/>
      <c r="J230" s="37"/>
      <c r="K230" s="40"/>
      <c r="L230" s="41"/>
      <c r="M230" s="37"/>
      <c r="N230" s="41"/>
      <c r="O230" s="29"/>
    </row>
    <row r="231">
      <c r="A231" s="29"/>
      <c r="B231" s="36"/>
      <c r="C231" s="37"/>
      <c r="D231" s="37"/>
      <c r="E231" s="37"/>
      <c r="F231" s="38"/>
      <c r="G231" s="38"/>
      <c r="H231" s="39"/>
      <c r="I231" s="40"/>
      <c r="J231" s="37"/>
      <c r="K231" s="40"/>
      <c r="L231" s="41"/>
      <c r="M231" s="37"/>
      <c r="N231" s="41"/>
      <c r="O231" s="29"/>
    </row>
    <row r="232">
      <c r="A232" s="29"/>
      <c r="B232" s="36"/>
      <c r="C232" s="37"/>
      <c r="D232" s="37"/>
      <c r="E232" s="37"/>
      <c r="F232" s="38"/>
      <c r="G232" s="38"/>
      <c r="H232" s="39"/>
      <c r="I232" s="40"/>
      <c r="J232" s="37"/>
      <c r="K232" s="40"/>
      <c r="L232" s="41"/>
      <c r="M232" s="37"/>
      <c r="N232" s="41"/>
      <c r="O232" s="29"/>
    </row>
    <row r="233">
      <c r="A233" s="29"/>
      <c r="B233" s="36"/>
      <c r="C233" s="37"/>
      <c r="D233" s="37"/>
      <c r="E233" s="37"/>
      <c r="F233" s="38"/>
      <c r="G233" s="38"/>
      <c r="H233" s="39"/>
      <c r="I233" s="40"/>
      <c r="J233" s="37"/>
      <c r="K233" s="40"/>
      <c r="L233" s="41"/>
      <c r="M233" s="37"/>
      <c r="N233" s="41"/>
      <c r="O233" s="29"/>
    </row>
    <row r="234">
      <c r="A234" s="29"/>
      <c r="B234" s="36"/>
      <c r="C234" s="37"/>
      <c r="D234" s="37"/>
      <c r="E234" s="37"/>
      <c r="F234" s="38"/>
      <c r="G234" s="38"/>
      <c r="H234" s="39"/>
      <c r="I234" s="40"/>
      <c r="J234" s="37"/>
      <c r="K234" s="40"/>
      <c r="L234" s="41"/>
      <c r="M234" s="37"/>
      <c r="N234" s="41"/>
      <c r="O234" s="29"/>
    </row>
    <row r="235">
      <c r="A235" s="29"/>
      <c r="B235" s="36"/>
      <c r="C235" s="37"/>
      <c r="D235" s="37"/>
      <c r="E235" s="37"/>
      <c r="F235" s="38"/>
      <c r="G235" s="38"/>
      <c r="H235" s="39"/>
      <c r="I235" s="40"/>
      <c r="J235" s="37"/>
      <c r="K235" s="40"/>
      <c r="L235" s="41"/>
      <c r="M235" s="37"/>
      <c r="N235" s="41"/>
      <c r="O235" s="29"/>
    </row>
    <row r="236">
      <c r="A236" s="29"/>
      <c r="B236" s="36"/>
      <c r="C236" s="37"/>
      <c r="D236" s="37"/>
      <c r="E236" s="37"/>
      <c r="F236" s="38"/>
      <c r="G236" s="38"/>
      <c r="H236" s="39"/>
      <c r="I236" s="40"/>
      <c r="J236" s="37"/>
      <c r="K236" s="40"/>
      <c r="L236" s="41"/>
      <c r="M236" s="37"/>
      <c r="N236" s="41"/>
      <c r="O236" s="29"/>
    </row>
    <row r="237">
      <c r="A237" s="29"/>
      <c r="B237" s="36"/>
      <c r="C237" s="37"/>
      <c r="D237" s="37"/>
      <c r="E237" s="37"/>
      <c r="F237" s="38"/>
      <c r="G237" s="38"/>
      <c r="H237" s="39"/>
      <c r="I237" s="40"/>
      <c r="J237" s="37"/>
      <c r="K237" s="40"/>
      <c r="L237" s="41"/>
      <c r="M237" s="37"/>
      <c r="N237" s="41"/>
      <c r="O237" s="29"/>
    </row>
    <row r="238">
      <c r="A238" s="29"/>
      <c r="B238" s="36"/>
      <c r="C238" s="37"/>
      <c r="D238" s="37"/>
      <c r="E238" s="37"/>
      <c r="F238" s="38"/>
      <c r="G238" s="38"/>
      <c r="H238" s="39"/>
      <c r="I238" s="40"/>
      <c r="J238" s="37"/>
      <c r="K238" s="40"/>
      <c r="L238" s="41"/>
      <c r="M238" s="37"/>
      <c r="N238" s="41"/>
      <c r="O238" s="29"/>
    </row>
    <row r="239">
      <c r="A239" s="29"/>
      <c r="B239" s="36"/>
      <c r="C239" s="37"/>
      <c r="D239" s="37"/>
      <c r="E239" s="37"/>
      <c r="F239" s="38"/>
      <c r="G239" s="38"/>
      <c r="H239" s="39"/>
      <c r="I239" s="40"/>
      <c r="J239" s="37"/>
      <c r="K239" s="40"/>
      <c r="L239" s="41"/>
      <c r="M239" s="37"/>
      <c r="N239" s="41"/>
      <c r="O239" s="29"/>
    </row>
    <row r="240">
      <c r="A240" s="29"/>
      <c r="B240" s="36"/>
      <c r="C240" s="37"/>
      <c r="D240" s="37"/>
      <c r="E240" s="37"/>
      <c r="F240" s="38"/>
      <c r="G240" s="38"/>
      <c r="H240" s="39"/>
      <c r="I240" s="40"/>
      <c r="J240" s="37"/>
      <c r="K240" s="40"/>
      <c r="L240" s="41"/>
      <c r="M240" s="37"/>
      <c r="N240" s="41"/>
      <c r="O240" s="29"/>
    </row>
    <row r="241">
      <c r="A241" s="29"/>
      <c r="B241" s="36"/>
      <c r="C241" s="37"/>
      <c r="D241" s="37"/>
      <c r="E241" s="37"/>
      <c r="F241" s="38"/>
      <c r="G241" s="38"/>
      <c r="H241" s="39"/>
      <c r="I241" s="40"/>
      <c r="J241" s="37"/>
      <c r="K241" s="40"/>
      <c r="L241" s="41"/>
      <c r="M241" s="37"/>
      <c r="N241" s="41"/>
      <c r="O241" s="29"/>
    </row>
    <row r="242">
      <c r="A242" s="29"/>
      <c r="B242" s="36"/>
      <c r="C242" s="37"/>
      <c r="D242" s="37"/>
      <c r="E242" s="37"/>
      <c r="F242" s="38"/>
      <c r="G242" s="38"/>
      <c r="H242" s="39"/>
      <c r="I242" s="40"/>
      <c r="J242" s="37"/>
      <c r="K242" s="40"/>
      <c r="L242" s="41"/>
      <c r="M242" s="37"/>
      <c r="N242" s="41"/>
      <c r="O242" s="29"/>
    </row>
    <row r="243">
      <c r="A243" s="29"/>
      <c r="B243" s="36"/>
      <c r="C243" s="37"/>
      <c r="D243" s="37"/>
      <c r="E243" s="37"/>
      <c r="F243" s="38"/>
      <c r="G243" s="38"/>
      <c r="H243" s="39"/>
      <c r="I243" s="40"/>
      <c r="J243" s="37"/>
      <c r="K243" s="40"/>
      <c r="L243" s="41"/>
      <c r="M243" s="37"/>
      <c r="N243" s="41"/>
      <c r="O243" s="29"/>
    </row>
    <row r="244">
      <c r="A244" s="29"/>
      <c r="B244" s="36"/>
      <c r="C244" s="37"/>
      <c r="D244" s="37"/>
      <c r="E244" s="37"/>
      <c r="F244" s="38"/>
      <c r="G244" s="38"/>
      <c r="H244" s="39"/>
      <c r="I244" s="40"/>
      <c r="J244" s="37"/>
      <c r="K244" s="40"/>
      <c r="L244" s="41"/>
      <c r="M244" s="37"/>
      <c r="N244" s="41"/>
      <c r="O244" s="29"/>
    </row>
    <row r="245">
      <c r="A245" s="29"/>
      <c r="B245" s="36"/>
      <c r="C245" s="37"/>
      <c r="D245" s="37"/>
      <c r="E245" s="37"/>
      <c r="F245" s="38"/>
      <c r="G245" s="38"/>
      <c r="H245" s="39"/>
      <c r="I245" s="40"/>
      <c r="J245" s="37"/>
      <c r="K245" s="40"/>
      <c r="L245" s="41"/>
      <c r="M245" s="37"/>
      <c r="N245" s="41"/>
      <c r="O245" s="29"/>
    </row>
    <row r="246">
      <c r="A246" s="29"/>
      <c r="B246" s="36"/>
      <c r="C246" s="37"/>
      <c r="D246" s="37"/>
      <c r="E246" s="37"/>
      <c r="F246" s="38"/>
      <c r="G246" s="38"/>
      <c r="H246" s="39"/>
      <c r="I246" s="40"/>
      <c r="J246" s="37"/>
      <c r="K246" s="40"/>
      <c r="L246" s="41"/>
      <c r="M246" s="37"/>
      <c r="N246" s="41"/>
      <c r="O246" s="29"/>
    </row>
    <row r="247">
      <c r="A247" s="29"/>
      <c r="B247" s="36"/>
      <c r="C247" s="37"/>
      <c r="D247" s="37"/>
      <c r="E247" s="37"/>
      <c r="F247" s="38"/>
      <c r="G247" s="38"/>
      <c r="H247" s="39"/>
      <c r="I247" s="40"/>
      <c r="J247" s="37"/>
      <c r="K247" s="40"/>
      <c r="L247" s="41"/>
      <c r="M247" s="37"/>
      <c r="N247" s="41"/>
      <c r="O247" s="29"/>
    </row>
    <row r="248">
      <c r="A248" s="29"/>
      <c r="B248" s="36"/>
      <c r="C248" s="37"/>
      <c r="D248" s="37"/>
      <c r="E248" s="37"/>
      <c r="F248" s="38"/>
      <c r="G248" s="38"/>
      <c r="H248" s="39"/>
      <c r="I248" s="40"/>
      <c r="J248" s="37"/>
      <c r="K248" s="40"/>
      <c r="L248" s="41"/>
      <c r="M248" s="37"/>
      <c r="N248" s="41"/>
      <c r="O248" s="29"/>
    </row>
    <row r="249">
      <c r="A249" s="29"/>
      <c r="B249" s="36"/>
      <c r="C249" s="37"/>
      <c r="D249" s="37"/>
      <c r="E249" s="37"/>
      <c r="F249" s="38"/>
      <c r="G249" s="38"/>
      <c r="H249" s="39"/>
      <c r="I249" s="40"/>
      <c r="J249" s="37"/>
      <c r="K249" s="40"/>
      <c r="L249" s="41"/>
      <c r="M249" s="37"/>
      <c r="N249" s="41"/>
      <c r="O249" s="29"/>
    </row>
    <row r="250">
      <c r="A250" s="29"/>
      <c r="B250" s="36"/>
      <c r="C250" s="37"/>
      <c r="D250" s="37"/>
      <c r="E250" s="37"/>
      <c r="F250" s="38"/>
      <c r="G250" s="38"/>
      <c r="H250" s="39"/>
      <c r="I250" s="40"/>
      <c r="J250" s="37"/>
      <c r="K250" s="40"/>
      <c r="L250" s="41"/>
      <c r="M250" s="37"/>
      <c r="N250" s="41"/>
      <c r="O250" s="29"/>
    </row>
    <row r="251">
      <c r="A251" s="29"/>
      <c r="B251" s="36"/>
      <c r="C251" s="37"/>
      <c r="D251" s="37"/>
      <c r="E251" s="37"/>
      <c r="F251" s="38"/>
      <c r="G251" s="38"/>
      <c r="H251" s="39"/>
      <c r="I251" s="40"/>
      <c r="J251" s="37"/>
      <c r="K251" s="40"/>
      <c r="L251" s="41"/>
      <c r="M251" s="37"/>
      <c r="N251" s="41"/>
      <c r="O251" s="29"/>
    </row>
    <row r="252">
      <c r="A252" s="29"/>
      <c r="B252" s="36"/>
      <c r="C252" s="37"/>
      <c r="D252" s="37"/>
      <c r="E252" s="37"/>
      <c r="F252" s="38"/>
      <c r="G252" s="38"/>
      <c r="H252" s="39"/>
      <c r="I252" s="40"/>
      <c r="J252" s="37"/>
      <c r="K252" s="40"/>
      <c r="L252" s="41"/>
      <c r="M252" s="37"/>
      <c r="N252" s="41"/>
      <c r="O252" s="29"/>
    </row>
    <row r="253">
      <c r="A253" s="29"/>
      <c r="B253" s="36"/>
      <c r="C253" s="37"/>
      <c r="D253" s="37"/>
      <c r="E253" s="37"/>
      <c r="F253" s="38"/>
      <c r="G253" s="38"/>
      <c r="H253" s="39"/>
      <c r="I253" s="40"/>
      <c r="J253" s="37"/>
      <c r="K253" s="40"/>
      <c r="L253" s="41"/>
      <c r="M253" s="37"/>
      <c r="N253" s="41"/>
      <c r="O253" s="29"/>
    </row>
    <row r="254">
      <c r="A254" s="29"/>
      <c r="B254" s="36"/>
      <c r="C254" s="37"/>
      <c r="D254" s="37"/>
      <c r="E254" s="37"/>
      <c r="F254" s="38"/>
      <c r="G254" s="38"/>
      <c r="H254" s="39"/>
      <c r="I254" s="40"/>
      <c r="J254" s="37"/>
      <c r="K254" s="40"/>
      <c r="L254" s="41"/>
      <c r="M254" s="37"/>
      <c r="N254" s="41"/>
      <c r="O254" s="29"/>
    </row>
    <row r="255">
      <c r="A255" s="29"/>
      <c r="B255" s="36"/>
      <c r="C255" s="37"/>
      <c r="D255" s="37"/>
      <c r="E255" s="37"/>
      <c r="F255" s="38"/>
      <c r="G255" s="38"/>
      <c r="H255" s="39"/>
      <c r="I255" s="40"/>
      <c r="J255" s="37"/>
      <c r="K255" s="40"/>
      <c r="L255" s="41"/>
      <c r="M255" s="37"/>
      <c r="N255" s="41"/>
      <c r="O255" s="29"/>
    </row>
    <row r="256">
      <c r="A256" s="29"/>
      <c r="B256" s="36"/>
      <c r="C256" s="37"/>
      <c r="D256" s="37"/>
      <c r="E256" s="37"/>
      <c r="F256" s="38"/>
      <c r="G256" s="38"/>
      <c r="H256" s="39"/>
      <c r="I256" s="40"/>
      <c r="J256" s="37"/>
      <c r="K256" s="40"/>
      <c r="L256" s="41"/>
      <c r="M256" s="37"/>
      <c r="N256" s="41"/>
      <c r="O256" s="29"/>
    </row>
    <row r="257">
      <c r="A257" s="29"/>
      <c r="B257" s="36"/>
      <c r="C257" s="37"/>
      <c r="D257" s="37"/>
      <c r="E257" s="37"/>
      <c r="F257" s="38"/>
      <c r="G257" s="38"/>
      <c r="H257" s="39"/>
      <c r="I257" s="40"/>
      <c r="J257" s="37"/>
      <c r="K257" s="40"/>
      <c r="L257" s="41"/>
      <c r="M257" s="37"/>
      <c r="N257" s="41"/>
      <c r="O257" s="29"/>
    </row>
    <row r="258">
      <c r="A258" s="29"/>
      <c r="B258" s="36"/>
      <c r="C258" s="37"/>
      <c r="D258" s="37"/>
      <c r="E258" s="37"/>
      <c r="F258" s="38"/>
      <c r="G258" s="38"/>
      <c r="H258" s="39"/>
      <c r="I258" s="40"/>
      <c r="J258" s="37"/>
      <c r="K258" s="40"/>
      <c r="L258" s="41"/>
      <c r="M258" s="37"/>
      <c r="N258" s="41"/>
      <c r="O258" s="29"/>
    </row>
    <row r="259">
      <c r="A259" s="29"/>
      <c r="B259" s="36"/>
      <c r="C259" s="37"/>
      <c r="D259" s="37"/>
      <c r="E259" s="37"/>
      <c r="F259" s="38"/>
      <c r="G259" s="38"/>
      <c r="H259" s="39"/>
      <c r="I259" s="40"/>
      <c r="J259" s="37"/>
      <c r="K259" s="40"/>
      <c r="L259" s="41"/>
      <c r="M259" s="37"/>
      <c r="N259" s="41"/>
      <c r="O259" s="29"/>
    </row>
    <row r="260">
      <c r="A260" s="29"/>
      <c r="B260" s="36"/>
      <c r="C260" s="37"/>
      <c r="D260" s="37"/>
      <c r="E260" s="37"/>
      <c r="F260" s="38"/>
      <c r="G260" s="38"/>
      <c r="H260" s="39"/>
      <c r="I260" s="40"/>
      <c r="J260" s="37"/>
      <c r="K260" s="40"/>
      <c r="L260" s="41"/>
      <c r="M260" s="37"/>
      <c r="N260" s="41"/>
      <c r="O260" s="29"/>
    </row>
    <row r="261">
      <c r="A261" s="29"/>
      <c r="B261" s="36"/>
      <c r="C261" s="37"/>
      <c r="D261" s="37"/>
      <c r="E261" s="37"/>
      <c r="F261" s="38"/>
      <c r="G261" s="38"/>
      <c r="H261" s="39"/>
      <c r="I261" s="40"/>
      <c r="J261" s="37"/>
      <c r="K261" s="40"/>
      <c r="L261" s="41"/>
      <c r="M261" s="37"/>
      <c r="N261" s="41"/>
      <c r="O261" s="29"/>
    </row>
    <row r="262">
      <c r="A262" s="29"/>
      <c r="B262" s="36"/>
      <c r="C262" s="37"/>
      <c r="D262" s="37"/>
      <c r="E262" s="37"/>
      <c r="F262" s="38"/>
      <c r="G262" s="38"/>
      <c r="H262" s="39"/>
      <c r="I262" s="40"/>
      <c r="J262" s="37"/>
      <c r="K262" s="40"/>
      <c r="L262" s="41"/>
      <c r="M262" s="37"/>
      <c r="N262" s="41"/>
      <c r="O262" s="29"/>
    </row>
    <row r="263">
      <c r="A263" s="29"/>
      <c r="B263" s="36"/>
      <c r="C263" s="37"/>
      <c r="D263" s="37"/>
      <c r="E263" s="37"/>
      <c r="F263" s="38"/>
      <c r="G263" s="38"/>
      <c r="H263" s="39"/>
      <c r="I263" s="40"/>
      <c r="J263" s="37"/>
      <c r="K263" s="40"/>
      <c r="L263" s="41"/>
      <c r="M263" s="37"/>
      <c r="N263" s="41"/>
      <c r="O263" s="29"/>
    </row>
    <row r="264">
      <c r="A264" s="29"/>
      <c r="B264" s="36"/>
      <c r="C264" s="37"/>
      <c r="D264" s="37"/>
      <c r="E264" s="37"/>
      <c r="F264" s="38"/>
      <c r="G264" s="38"/>
      <c r="H264" s="39"/>
      <c r="I264" s="40"/>
      <c r="J264" s="37"/>
      <c r="K264" s="40"/>
      <c r="L264" s="41"/>
      <c r="M264" s="37"/>
      <c r="N264" s="41"/>
      <c r="O264" s="29"/>
    </row>
    <row r="265">
      <c r="A265" s="29"/>
      <c r="B265" s="36"/>
      <c r="C265" s="37"/>
      <c r="D265" s="37"/>
      <c r="E265" s="37"/>
      <c r="F265" s="38"/>
      <c r="G265" s="38"/>
      <c r="H265" s="39"/>
      <c r="I265" s="40"/>
      <c r="J265" s="37"/>
      <c r="K265" s="40"/>
      <c r="L265" s="41"/>
      <c r="M265" s="37"/>
      <c r="N265" s="41"/>
      <c r="O265" s="29"/>
    </row>
    <row r="266">
      <c r="A266" s="29"/>
      <c r="B266" s="36"/>
      <c r="C266" s="37"/>
      <c r="D266" s="37"/>
      <c r="E266" s="37"/>
      <c r="F266" s="38"/>
      <c r="G266" s="38"/>
      <c r="H266" s="39"/>
      <c r="I266" s="40"/>
      <c r="J266" s="37"/>
      <c r="K266" s="40"/>
      <c r="L266" s="41"/>
      <c r="M266" s="37"/>
      <c r="N266" s="41"/>
      <c r="O266" s="29"/>
    </row>
    <row r="267">
      <c r="A267" s="29"/>
      <c r="B267" s="36"/>
      <c r="C267" s="37"/>
      <c r="D267" s="37"/>
      <c r="E267" s="37"/>
      <c r="F267" s="38"/>
      <c r="G267" s="38"/>
      <c r="H267" s="39"/>
      <c r="I267" s="40"/>
      <c r="J267" s="37"/>
      <c r="K267" s="40"/>
      <c r="L267" s="41"/>
      <c r="M267" s="37"/>
      <c r="N267" s="41"/>
      <c r="O267" s="29"/>
    </row>
    <row r="268">
      <c r="A268" s="29"/>
      <c r="B268" s="36"/>
      <c r="C268" s="37"/>
      <c r="D268" s="37"/>
      <c r="E268" s="37"/>
      <c r="F268" s="38"/>
      <c r="G268" s="38"/>
      <c r="H268" s="39"/>
      <c r="I268" s="40"/>
      <c r="J268" s="37"/>
      <c r="K268" s="40"/>
      <c r="L268" s="41"/>
      <c r="M268" s="37"/>
      <c r="N268" s="41"/>
      <c r="O268" s="29"/>
    </row>
    <row r="269">
      <c r="A269" s="29"/>
      <c r="B269" s="36"/>
      <c r="C269" s="37"/>
      <c r="D269" s="37"/>
      <c r="E269" s="37"/>
      <c r="F269" s="38"/>
      <c r="G269" s="38"/>
      <c r="H269" s="39"/>
      <c r="I269" s="40"/>
      <c r="J269" s="37"/>
      <c r="K269" s="40"/>
      <c r="L269" s="41"/>
      <c r="M269" s="37"/>
      <c r="N269" s="41"/>
      <c r="O269" s="29"/>
    </row>
    <row r="270">
      <c r="A270" s="29"/>
      <c r="B270" s="36"/>
      <c r="C270" s="37"/>
      <c r="D270" s="37"/>
      <c r="E270" s="37"/>
      <c r="F270" s="38"/>
      <c r="G270" s="38"/>
      <c r="H270" s="39"/>
      <c r="I270" s="40"/>
      <c r="J270" s="37"/>
      <c r="K270" s="40"/>
      <c r="L270" s="41"/>
      <c r="M270" s="37"/>
      <c r="N270" s="41"/>
      <c r="O270" s="29"/>
    </row>
    <row r="271">
      <c r="A271" s="29"/>
      <c r="B271" s="36"/>
      <c r="C271" s="37"/>
      <c r="D271" s="37"/>
      <c r="E271" s="37"/>
      <c r="F271" s="38"/>
      <c r="G271" s="38"/>
      <c r="H271" s="39"/>
      <c r="I271" s="40"/>
      <c r="J271" s="37"/>
      <c r="K271" s="40"/>
      <c r="L271" s="41"/>
      <c r="M271" s="37"/>
      <c r="N271" s="41"/>
      <c r="O271" s="29"/>
    </row>
    <row r="272">
      <c r="A272" s="29"/>
      <c r="B272" s="36"/>
      <c r="C272" s="37"/>
      <c r="D272" s="37"/>
      <c r="E272" s="37"/>
      <c r="F272" s="38"/>
      <c r="G272" s="38"/>
      <c r="H272" s="39"/>
      <c r="I272" s="40"/>
      <c r="J272" s="37"/>
      <c r="K272" s="40"/>
      <c r="L272" s="41"/>
      <c r="M272" s="37"/>
      <c r="N272" s="41"/>
      <c r="O272" s="29"/>
    </row>
    <row r="273">
      <c r="A273" s="29"/>
      <c r="B273" s="36"/>
      <c r="C273" s="37"/>
      <c r="D273" s="37"/>
      <c r="E273" s="37"/>
      <c r="F273" s="38"/>
      <c r="G273" s="38"/>
      <c r="H273" s="39"/>
      <c r="I273" s="40"/>
      <c r="J273" s="37"/>
      <c r="K273" s="40"/>
      <c r="L273" s="41"/>
      <c r="M273" s="37"/>
      <c r="N273" s="41"/>
      <c r="O273" s="29"/>
    </row>
    <row r="274">
      <c r="A274" s="29"/>
      <c r="B274" s="36"/>
      <c r="C274" s="37"/>
      <c r="D274" s="37"/>
      <c r="E274" s="37"/>
      <c r="F274" s="38"/>
      <c r="G274" s="38"/>
      <c r="H274" s="39"/>
      <c r="I274" s="40"/>
      <c r="J274" s="37"/>
      <c r="K274" s="40"/>
      <c r="L274" s="41"/>
      <c r="M274" s="37"/>
      <c r="N274" s="41"/>
      <c r="O274" s="29"/>
    </row>
    <row r="275">
      <c r="A275" s="29"/>
      <c r="B275" s="36"/>
      <c r="C275" s="37"/>
      <c r="D275" s="37"/>
      <c r="E275" s="37"/>
      <c r="F275" s="38"/>
      <c r="G275" s="38"/>
      <c r="H275" s="39"/>
      <c r="I275" s="40"/>
      <c r="J275" s="37"/>
      <c r="K275" s="40"/>
      <c r="L275" s="41"/>
      <c r="M275" s="37"/>
      <c r="N275" s="41"/>
      <c r="O275" s="29"/>
    </row>
    <row r="276">
      <c r="A276" s="29"/>
      <c r="B276" s="36"/>
      <c r="C276" s="37"/>
      <c r="D276" s="37"/>
      <c r="E276" s="37"/>
      <c r="F276" s="38"/>
      <c r="G276" s="38"/>
      <c r="H276" s="39"/>
      <c r="I276" s="40"/>
      <c r="J276" s="37"/>
      <c r="K276" s="40"/>
      <c r="L276" s="41"/>
      <c r="M276" s="37"/>
      <c r="N276" s="41"/>
      <c r="O276" s="29"/>
    </row>
    <row r="277">
      <c r="A277" s="29"/>
      <c r="B277" s="36"/>
      <c r="C277" s="37"/>
      <c r="D277" s="37"/>
      <c r="E277" s="37"/>
      <c r="F277" s="38"/>
      <c r="G277" s="38"/>
      <c r="H277" s="39"/>
      <c r="I277" s="40"/>
      <c r="J277" s="37"/>
      <c r="K277" s="40"/>
      <c r="L277" s="41"/>
      <c r="M277" s="37"/>
      <c r="N277" s="41"/>
      <c r="O277" s="29"/>
    </row>
    <row r="278">
      <c r="A278" s="29"/>
      <c r="B278" s="36"/>
      <c r="C278" s="37"/>
      <c r="D278" s="37"/>
      <c r="E278" s="37"/>
      <c r="F278" s="38"/>
      <c r="G278" s="38"/>
      <c r="H278" s="39"/>
      <c r="I278" s="40"/>
      <c r="J278" s="37"/>
      <c r="K278" s="40"/>
      <c r="L278" s="41"/>
      <c r="M278" s="37"/>
      <c r="N278" s="41"/>
      <c r="O278" s="29"/>
    </row>
    <row r="279">
      <c r="A279" s="29"/>
      <c r="B279" s="36"/>
      <c r="C279" s="37"/>
      <c r="D279" s="37"/>
      <c r="E279" s="37"/>
      <c r="F279" s="38"/>
      <c r="G279" s="38"/>
      <c r="H279" s="39"/>
      <c r="I279" s="40"/>
      <c r="J279" s="37"/>
      <c r="K279" s="40"/>
      <c r="L279" s="41"/>
      <c r="M279" s="37"/>
      <c r="N279" s="41"/>
      <c r="O279" s="29"/>
    </row>
    <row r="280">
      <c r="A280" s="29"/>
      <c r="B280" s="36"/>
      <c r="C280" s="37"/>
      <c r="D280" s="37"/>
      <c r="E280" s="37"/>
      <c r="F280" s="38"/>
      <c r="G280" s="38"/>
      <c r="H280" s="39"/>
      <c r="I280" s="40"/>
      <c r="J280" s="37"/>
      <c r="K280" s="40"/>
      <c r="L280" s="41"/>
      <c r="M280" s="37"/>
      <c r="N280" s="41"/>
      <c r="O280" s="29"/>
    </row>
    <row r="281">
      <c r="A281" s="29"/>
      <c r="B281" s="36"/>
      <c r="C281" s="37"/>
      <c r="D281" s="37"/>
      <c r="E281" s="37"/>
      <c r="F281" s="38"/>
      <c r="G281" s="38"/>
      <c r="H281" s="39"/>
      <c r="I281" s="40"/>
      <c r="J281" s="37"/>
      <c r="K281" s="40"/>
      <c r="L281" s="41"/>
      <c r="M281" s="37"/>
      <c r="N281" s="41"/>
      <c r="O281" s="29"/>
    </row>
    <row r="282">
      <c r="A282" s="29"/>
      <c r="B282" s="36"/>
      <c r="C282" s="37"/>
      <c r="D282" s="37"/>
      <c r="E282" s="37"/>
      <c r="F282" s="38"/>
      <c r="G282" s="38"/>
      <c r="H282" s="39"/>
      <c r="I282" s="40"/>
      <c r="J282" s="37"/>
      <c r="K282" s="40"/>
      <c r="L282" s="41"/>
      <c r="M282" s="37"/>
      <c r="N282" s="41"/>
      <c r="O282" s="29"/>
    </row>
    <row r="283">
      <c r="A283" s="29"/>
      <c r="B283" s="36"/>
      <c r="C283" s="37"/>
      <c r="D283" s="37"/>
      <c r="E283" s="37"/>
      <c r="F283" s="38"/>
      <c r="G283" s="38"/>
      <c r="H283" s="39"/>
      <c r="I283" s="40"/>
      <c r="J283" s="37"/>
      <c r="K283" s="40"/>
      <c r="L283" s="41"/>
      <c r="M283" s="37"/>
      <c r="N283" s="41"/>
      <c r="O283" s="29"/>
    </row>
    <row r="284">
      <c r="A284" s="29"/>
      <c r="B284" s="36"/>
      <c r="C284" s="37"/>
      <c r="D284" s="37"/>
      <c r="E284" s="37"/>
      <c r="F284" s="38"/>
      <c r="G284" s="38"/>
      <c r="H284" s="39"/>
      <c r="I284" s="40"/>
      <c r="J284" s="37"/>
      <c r="K284" s="40"/>
      <c r="L284" s="41"/>
      <c r="M284" s="37"/>
      <c r="N284" s="41"/>
      <c r="O284" s="29"/>
    </row>
    <row r="285">
      <c r="A285" s="29"/>
      <c r="B285" s="36"/>
      <c r="C285" s="37"/>
      <c r="D285" s="37"/>
      <c r="E285" s="37"/>
      <c r="F285" s="38"/>
      <c r="G285" s="38"/>
      <c r="H285" s="39"/>
      <c r="I285" s="40"/>
      <c r="J285" s="37"/>
      <c r="K285" s="40"/>
      <c r="L285" s="41"/>
      <c r="M285" s="37"/>
      <c r="N285" s="41"/>
      <c r="O285" s="29"/>
    </row>
    <row r="286">
      <c r="A286" s="29"/>
      <c r="B286" s="36"/>
      <c r="C286" s="37"/>
      <c r="D286" s="37"/>
      <c r="E286" s="37"/>
      <c r="F286" s="38"/>
      <c r="G286" s="38"/>
      <c r="H286" s="39"/>
      <c r="I286" s="40"/>
      <c r="J286" s="37"/>
      <c r="K286" s="40"/>
      <c r="L286" s="41"/>
      <c r="M286" s="37"/>
      <c r="N286" s="41"/>
      <c r="O286" s="29"/>
    </row>
    <row r="287">
      <c r="A287" s="29"/>
      <c r="B287" s="36"/>
      <c r="C287" s="37"/>
      <c r="D287" s="37"/>
      <c r="E287" s="37"/>
      <c r="F287" s="38"/>
      <c r="G287" s="38"/>
      <c r="H287" s="39"/>
      <c r="I287" s="40"/>
      <c r="J287" s="37"/>
      <c r="K287" s="40"/>
      <c r="L287" s="41"/>
      <c r="M287" s="37"/>
      <c r="N287" s="41"/>
      <c r="O287" s="29"/>
    </row>
    <row r="288">
      <c r="A288" s="29"/>
      <c r="B288" s="36"/>
      <c r="C288" s="37"/>
      <c r="D288" s="37"/>
      <c r="E288" s="37"/>
      <c r="F288" s="38"/>
      <c r="G288" s="38"/>
      <c r="H288" s="39"/>
      <c r="I288" s="40"/>
      <c r="J288" s="37"/>
      <c r="K288" s="40"/>
      <c r="L288" s="41"/>
      <c r="M288" s="37"/>
      <c r="N288" s="41"/>
      <c r="O288" s="29"/>
    </row>
    <row r="289">
      <c r="A289" s="29"/>
      <c r="B289" s="36"/>
      <c r="C289" s="37"/>
      <c r="D289" s="37"/>
      <c r="E289" s="37"/>
      <c r="F289" s="38"/>
      <c r="G289" s="38"/>
      <c r="H289" s="39"/>
      <c r="I289" s="40"/>
      <c r="J289" s="37"/>
      <c r="K289" s="40"/>
      <c r="L289" s="41"/>
      <c r="M289" s="37"/>
      <c r="N289" s="41"/>
      <c r="O289" s="29"/>
    </row>
    <row r="290">
      <c r="A290" s="29"/>
      <c r="B290" s="36"/>
      <c r="C290" s="37"/>
      <c r="D290" s="37"/>
      <c r="E290" s="37"/>
      <c r="F290" s="38"/>
      <c r="G290" s="38"/>
      <c r="H290" s="39"/>
      <c r="I290" s="40"/>
      <c r="J290" s="37"/>
      <c r="K290" s="40"/>
      <c r="L290" s="41"/>
      <c r="M290" s="37"/>
      <c r="N290" s="41"/>
      <c r="O290" s="29"/>
    </row>
    <row r="291">
      <c r="A291" s="29"/>
      <c r="B291" s="36"/>
      <c r="C291" s="37"/>
      <c r="D291" s="37"/>
      <c r="E291" s="37"/>
      <c r="F291" s="38"/>
      <c r="G291" s="38"/>
      <c r="H291" s="39"/>
      <c r="I291" s="40"/>
      <c r="J291" s="37"/>
      <c r="K291" s="40"/>
      <c r="L291" s="41"/>
      <c r="M291" s="37"/>
      <c r="N291" s="41"/>
      <c r="O291" s="29"/>
    </row>
    <row r="292">
      <c r="A292" s="29"/>
      <c r="B292" s="36"/>
      <c r="C292" s="37"/>
      <c r="D292" s="37"/>
      <c r="E292" s="37"/>
      <c r="F292" s="38"/>
      <c r="G292" s="38"/>
      <c r="H292" s="39"/>
      <c r="I292" s="40"/>
      <c r="J292" s="37"/>
      <c r="K292" s="40"/>
      <c r="L292" s="41"/>
      <c r="M292" s="37"/>
      <c r="N292" s="41"/>
      <c r="O292" s="29"/>
    </row>
    <row r="293">
      <c r="A293" s="29"/>
      <c r="B293" s="36"/>
      <c r="C293" s="37"/>
      <c r="D293" s="37"/>
      <c r="E293" s="37"/>
      <c r="F293" s="38"/>
      <c r="G293" s="38"/>
      <c r="H293" s="39"/>
      <c r="I293" s="40"/>
      <c r="J293" s="37"/>
      <c r="K293" s="40"/>
      <c r="L293" s="41"/>
      <c r="M293" s="37"/>
      <c r="N293" s="41"/>
      <c r="O293" s="29"/>
    </row>
    <row r="294">
      <c r="A294" s="29"/>
      <c r="B294" s="36"/>
      <c r="C294" s="37"/>
      <c r="D294" s="37"/>
      <c r="E294" s="37"/>
      <c r="F294" s="38"/>
      <c r="G294" s="38"/>
      <c r="H294" s="39"/>
      <c r="I294" s="40"/>
      <c r="J294" s="37"/>
      <c r="K294" s="40"/>
      <c r="L294" s="41"/>
      <c r="M294" s="37"/>
      <c r="N294" s="41"/>
      <c r="O294" s="29"/>
    </row>
    <row r="295">
      <c r="A295" s="29"/>
      <c r="B295" s="36"/>
      <c r="C295" s="37"/>
      <c r="D295" s="37"/>
      <c r="E295" s="37"/>
      <c r="F295" s="38"/>
      <c r="G295" s="38"/>
      <c r="H295" s="39"/>
      <c r="I295" s="40"/>
      <c r="J295" s="37"/>
      <c r="K295" s="40"/>
      <c r="L295" s="41"/>
      <c r="M295" s="37"/>
      <c r="N295" s="41"/>
      <c r="O295" s="29"/>
    </row>
    <row r="296">
      <c r="A296" s="29"/>
      <c r="B296" s="36"/>
      <c r="C296" s="37"/>
      <c r="D296" s="37"/>
      <c r="E296" s="37"/>
      <c r="F296" s="38"/>
      <c r="G296" s="38"/>
      <c r="H296" s="39"/>
      <c r="I296" s="40"/>
      <c r="J296" s="37"/>
      <c r="K296" s="40"/>
      <c r="L296" s="41"/>
      <c r="M296" s="37"/>
      <c r="N296" s="41"/>
      <c r="O296" s="29"/>
    </row>
    <row r="297">
      <c r="A297" s="29"/>
      <c r="B297" s="36"/>
      <c r="C297" s="37"/>
      <c r="D297" s="37"/>
      <c r="E297" s="37"/>
      <c r="F297" s="38"/>
      <c r="G297" s="38"/>
      <c r="H297" s="39"/>
      <c r="I297" s="40"/>
      <c r="J297" s="37"/>
      <c r="K297" s="40"/>
      <c r="L297" s="41"/>
      <c r="M297" s="37"/>
      <c r="N297" s="41"/>
      <c r="O297" s="29"/>
    </row>
    <row r="298">
      <c r="A298" s="29"/>
      <c r="B298" s="36"/>
      <c r="C298" s="37"/>
      <c r="D298" s="37"/>
      <c r="E298" s="37"/>
      <c r="F298" s="38"/>
      <c r="G298" s="38"/>
      <c r="H298" s="39"/>
      <c r="I298" s="40"/>
      <c r="J298" s="37"/>
      <c r="K298" s="40"/>
      <c r="L298" s="41"/>
      <c r="M298" s="37"/>
      <c r="N298" s="41"/>
      <c r="O298" s="29"/>
    </row>
    <row r="299">
      <c r="A299" s="29"/>
      <c r="B299" s="36"/>
      <c r="C299" s="37"/>
      <c r="D299" s="37"/>
      <c r="E299" s="37"/>
      <c r="F299" s="38"/>
      <c r="G299" s="38"/>
      <c r="H299" s="39"/>
      <c r="I299" s="40"/>
      <c r="J299" s="37"/>
      <c r="K299" s="40"/>
      <c r="L299" s="41"/>
      <c r="M299" s="37"/>
      <c r="N299" s="41"/>
      <c r="O299" s="29"/>
    </row>
    <row r="300">
      <c r="A300" s="29"/>
      <c r="B300" s="36"/>
      <c r="C300" s="37"/>
      <c r="D300" s="37"/>
      <c r="E300" s="37"/>
      <c r="F300" s="38"/>
      <c r="G300" s="38"/>
      <c r="H300" s="39"/>
      <c r="I300" s="40"/>
      <c r="J300" s="37"/>
      <c r="K300" s="40"/>
      <c r="L300" s="41"/>
      <c r="M300" s="37"/>
      <c r="N300" s="41"/>
      <c r="O300" s="29"/>
    </row>
    <row r="301">
      <c r="A301" s="29"/>
      <c r="B301" s="36"/>
      <c r="C301" s="37"/>
      <c r="D301" s="37"/>
      <c r="E301" s="37"/>
      <c r="F301" s="38"/>
      <c r="G301" s="38"/>
      <c r="H301" s="39"/>
      <c r="I301" s="40"/>
      <c r="J301" s="37"/>
      <c r="K301" s="40"/>
      <c r="L301" s="41"/>
      <c r="M301" s="37"/>
      <c r="N301" s="41"/>
      <c r="O301" s="29"/>
    </row>
    <row r="302">
      <c r="A302" s="29"/>
      <c r="B302" s="36"/>
      <c r="C302" s="37"/>
      <c r="D302" s="37"/>
      <c r="E302" s="37"/>
      <c r="F302" s="38"/>
      <c r="G302" s="38"/>
      <c r="H302" s="39"/>
      <c r="I302" s="40"/>
      <c r="J302" s="37"/>
      <c r="K302" s="40"/>
      <c r="L302" s="41"/>
      <c r="M302" s="37"/>
      <c r="N302" s="41"/>
      <c r="O302" s="29"/>
    </row>
    <row r="303">
      <c r="A303" s="29"/>
      <c r="B303" s="36"/>
      <c r="C303" s="37"/>
      <c r="D303" s="37"/>
      <c r="E303" s="37"/>
      <c r="F303" s="38"/>
      <c r="G303" s="38"/>
      <c r="H303" s="39"/>
      <c r="I303" s="40"/>
      <c r="J303" s="37"/>
      <c r="K303" s="40"/>
      <c r="L303" s="41"/>
      <c r="M303" s="37"/>
      <c r="N303" s="41"/>
      <c r="O303" s="29"/>
    </row>
    <row r="304">
      <c r="A304" s="29"/>
      <c r="B304" s="36"/>
      <c r="C304" s="37"/>
      <c r="D304" s="37"/>
      <c r="E304" s="37"/>
      <c r="F304" s="38"/>
      <c r="G304" s="38"/>
      <c r="H304" s="39"/>
      <c r="I304" s="40"/>
      <c r="J304" s="37"/>
      <c r="K304" s="40"/>
      <c r="L304" s="41"/>
      <c r="M304" s="37"/>
      <c r="N304" s="41"/>
      <c r="O304" s="29"/>
    </row>
    <row r="305">
      <c r="A305" s="29"/>
      <c r="B305" s="36"/>
      <c r="C305" s="37"/>
      <c r="D305" s="37"/>
      <c r="E305" s="37"/>
      <c r="F305" s="38"/>
      <c r="G305" s="38"/>
      <c r="H305" s="39"/>
      <c r="I305" s="40"/>
      <c r="J305" s="37"/>
      <c r="K305" s="40"/>
      <c r="L305" s="41"/>
      <c r="M305" s="37"/>
      <c r="N305" s="41"/>
      <c r="O305" s="29"/>
    </row>
    <row r="306">
      <c r="A306" s="29"/>
      <c r="B306" s="36"/>
      <c r="C306" s="37"/>
      <c r="D306" s="37"/>
      <c r="E306" s="37"/>
      <c r="F306" s="38"/>
      <c r="G306" s="38"/>
      <c r="H306" s="39"/>
      <c r="I306" s="40"/>
      <c r="J306" s="37"/>
      <c r="K306" s="40"/>
      <c r="L306" s="41"/>
      <c r="M306" s="37"/>
      <c r="N306" s="41"/>
      <c r="O306" s="29"/>
    </row>
    <row r="307">
      <c r="A307" s="29"/>
      <c r="B307" s="36"/>
      <c r="C307" s="37"/>
      <c r="D307" s="37"/>
      <c r="E307" s="37"/>
      <c r="F307" s="38"/>
      <c r="G307" s="38"/>
      <c r="H307" s="39"/>
      <c r="I307" s="40"/>
      <c r="J307" s="37"/>
      <c r="K307" s="40"/>
      <c r="L307" s="41"/>
      <c r="M307" s="37"/>
      <c r="N307" s="41"/>
      <c r="O307" s="29"/>
    </row>
    <row r="308">
      <c r="A308" s="29"/>
      <c r="B308" s="36"/>
      <c r="C308" s="37"/>
      <c r="D308" s="37"/>
      <c r="E308" s="37"/>
      <c r="F308" s="38"/>
      <c r="G308" s="38"/>
      <c r="H308" s="39"/>
      <c r="I308" s="40"/>
      <c r="J308" s="37"/>
      <c r="K308" s="40"/>
      <c r="L308" s="41"/>
      <c r="M308" s="37"/>
      <c r="N308" s="41"/>
      <c r="O308" s="29"/>
    </row>
    <row r="309">
      <c r="A309" s="29"/>
      <c r="B309" s="36"/>
      <c r="C309" s="37"/>
      <c r="D309" s="37"/>
      <c r="E309" s="37"/>
      <c r="F309" s="38"/>
      <c r="G309" s="38"/>
      <c r="H309" s="39"/>
      <c r="I309" s="40"/>
      <c r="J309" s="37"/>
      <c r="K309" s="40"/>
      <c r="L309" s="41"/>
      <c r="M309" s="37"/>
      <c r="N309" s="41"/>
      <c r="O309" s="29"/>
    </row>
    <row r="310">
      <c r="A310" s="29"/>
      <c r="B310" s="36"/>
      <c r="C310" s="37"/>
      <c r="D310" s="37"/>
      <c r="E310" s="37"/>
      <c r="F310" s="38"/>
      <c r="G310" s="38"/>
      <c r="H310" s="39"/>
      <c r="I310" s="40"/>
      <c r="J310" s="37"/>
      <c r="K310" s="40"/>
      <c r="L310" s="41"/>
      <c r="M310" s="37"/>
      <c r="N310" s="41"/>
      <c r="O310" s="29"/>
    </row>
    <row r="311">
      <c r="A311" s="29"/>
      <c r="B311" s="36"/>
      <c r="C311" s="37"/>
      <c r="D311" s="37"/>
      <c r="E311" s="37"/>
      <c r="F311" s="38"/>
      <c r="G311" s="38"/>
      <c r="H311" s="39"/>
      <c r="I311" s="40"/>
      <c r="J311" s="37"/>
      <c r="K311" s="40"/>
      <c r="L311" s="41"/>
      <c r="M311" s="37"/>
      <c r="N311" s="41"/>
      <c r="O311" s="29"/>
    </row>
    <row r="312">
      <c r="A312" s="29"/>
      <c r="B312" s="36"/>
      <c r="C312" s="37"/>
      <c r="D312" s="37"/>
      <c r="E312" s="37"/>
      <c r="F312" s="38"/>
      <c r="G312" s="38"/>
      <c r="H312" s="39"/>
      <c r="I312" s="40"/>
      <c r="J312" s="37"/>
      <c r="K312" s="40"/>
      <c r="L312" s="41"/>
      <c r="M312" s="37"/>
      <c r="N312" s="41"/>
      <c r="O312" s="29"/>
    </row>
    <row r="313">
      <c r="A313" s="29"/>
      <c r="B313" s="36"/>
      <c r="C313" s="37"/>
      <c r="D313" s="37"/>
      <c r="E313" s="37"/>
      <c r="F313" s="38"/>
      <c r="G313" s="38"/>
      <c r="H313" s="39"/>
      <c r="I313" s="40"/>
      <c r="J313" s="37"/>
      <c r="K313" s="40"/>
      <c r="L313" s="41"/>
      <c r="M313" s="37"/>
      <c r="N313" s="41"/>
      <c r="O313" s="29"/>
    </row>
    <row r="314">
      <c r="A314" s="29"/>
      <c r="B314" s="36"/>
      <c r="C314" s="37"/>
      <c r="D314" s="37"/>
      <c r="E314" s="37"/>
      <c r="F314" s="38"/>
      <c r="G314" s="38"/>
      <c r="H314" s="39"/>
      <c r="I314" s="40"/>
      <c r="J314" s="37"/>
      <c r="K314" s="40"/>
      <c r="L314" s="41"/>
      <c r="M314" s="37"/>
      <c r="N314" s="41"/>
      <c r="O314" s="29"/>
    </row>
    <row r="315">
      <c r="A315" s="29"/>
      <c r="B315" s="36"/>
      <c r="C315" s="37"/>
      <c r="D315" s="37"/>
      <c r="E315" s="37"/>
      <c r="F315" s="38"/>
      <c r="G315" s="38"/>
      <c r="H315" s="39"/>
      <c r="I315" s="40"/>
      <c r="J315" s="37"/>
      <c r="K315" s="40"/>
      <c r="L315" s="41"/>
      <c r="M315" s="37"/>
      <c r="N315" s="41"/>
      <c r="O315" s="29"/>
    </row>
    <row r="316">
      <c r="A316" s="29"/>
      <c r="B316" s="36"/>
      <c r="C316" s="37"/>
      <c r="D316" s="37"/>
      <c r="E316" s="37"/>
      <c r="F316" s="38"/>
      <c r="G316" s="38"/>
      <c r="H316" s="39"/>
      <c r="I316" s="40"/>
      <c r="J316" s="37"/>
      <c r="K316" s="40"/>
      <c r="L316" s="41"/>
      <c r="M316" s="37"/>
      <c r="N316" s="41"/>
      <c r="O316" s="29"/>
    </row>
    <row r="317">
      <c r="A317" s="29"/>
      <c r="B317" s="36"/>
      <c r="C317" s="37"/>
      <c r="D317" s="37"/>
      <c r="E317" s="37"/>
      <c r="F317" s="38"/>
      <c r="G317" s="38"/>
      <c r="H317" s="39"/>
      <c r="I317" s="40"/>
      <c r="J317" s="37"/>
      <c r="K317" s="40"/>
      <c r="L317" s="41"/>
      <c r="M317" s="37"/>
      <c r="N317" s="41"/>
      <c r="O317" s="29"/>
    </row>
    <row r="318">
      <c r="A318" s="29"/>
      <c r="B318" s="36"/>
      <c r="C318" s="37"/>
      <c r="D318" s="37"/>
      <c r="E318" s="37"/>
      <c r="F318" s="38"/>
      <c r="G318" s="38"/>
      <c r="H318" s="39"/>
      <c r="I318" s="40"/>
      <c r="J318" s="37"/>
      <c r="K318" s="40"/>
      <c r="L318" s="41"/>
      <c r="M318" s="37"/>
      <c r="N318" s="41"/>
      <c r="O318" s="29"/>
    </row>
    <row r="319">
      <c r="A319" s="29"/>
      <c r="B319" s="36"/>
      <c r="C319" s="37"/>
      <c r="D319" s="37"/>
      <c r="E319" s="37"/>
      <c r="F319" s="38"/>
      <c r="G319" s="38"/>
      <c r="H319" s="39"/>
      <c r="I319" s="40"/>
      <c r="J319" s="37"/>
      <c r="K319" s="40"/>
      <c r="L319" s="41"/>
      <c r="M319" s="37"/>
      <c r="N319" s="41"/>
      <c r="O319" s="29"/>
    </row>
    <row r="320">
      <c r="A320" s="29"/>
      <c r="B320" s="36"/>
      <c r="C320" s="37"/>
      <c r="D320" s="37"/>
      <c r="E320" s="37"/>
      <c r="F320" s="38"/>
      <c r="G320" s="38"/>
      <c r="H320" s="39"/>
      <c r="I320" s="40"/>
      <c r="J320" s="37"/>
      <c r="K320" s="40"/>
      <c r="L320" s="41"/>
      <c r="M320" s="37"/>
      <c r="N320" s="41"/>
      <c r="O320" s="29"/>
    </row>
    <row r="321">
      <c r="A321" s="29"/>
      <c r="B321" s="36"/>
      <c r="C321" s="37"/>
      <c r="D321" s="37"/>
      <c r="E321" s="37"/>
      <c r="F321" s="38"/>
      <c r="G321" s="38"/>
      <c r="H321" s="39"/>
      <c r="I321" s="40"/>
      <c r="J321" s="37"/>
      <c r="K321" s="40"/>
      <c r="L321" s="41"/>
      <c r="M321" s="37"/>
      <c r="N321" s="41"/>
      <c r="O321" s="29"/>
    </row>
    <row r="322">
      <c r="A322" s="29"/>
      <c r="B322" s="36"/>
      <c r="C322" s="37"/>
      <c r="D322" s="37"/>
      <c r="E322" s="37"/>
      <c r="F322" s="38"/>
      <c r="G322" s="38"/>
      <c r="H322" s="39"/>
      <c r="I322" s="40"/>
      <c r="J322" s="37"/>
      <c r="K322" s="40"/>
      <c r="L322" s="41"/>
      <c r="M322" s="37"/>
      <c r="N322" s="41"/>
      <c r="O322" s="29"/>
    </row>
    <row r="323">
      <c r="A323" s="29"/>
      <c r="B323" s="36"/>
      <c r="C323" s="37"/>
      <c r="D323" s="37"/>
      <c r="E323" s="37"/>
      <c r="F323" s="38"/>
      <c r="G323" s="38"/>
      <c r="H323" s="39"/>
      <c r="I323" s="40"/>
      <c r="J323" s="37"/>
      <c r="K323" s="40"/>
      <c r="L323" s="41"/>
      <c r="M323" s="37"/>
      <c r="N323" s="41"/>
      <c r="O323" s="29"/>
    </row>
    <row r="324">
      <c r="A324" s="29"/>
      <c r="B324" s="36"/>
      <c r="C324" s="37"/>
      <c r="D324" s="37"/>
      <c r="E324" s="37"/>
      <c r="F324" s="38"/>
      <c r="G324" s="38"/>
      <c r="H324" s="39"/>
      <c r="I324" s="40"/>
      <c r="J324" s="37"/>
      <c r="K324" s="40"/>
      <c r="L324" s="41"/>
      <c r="M324" s="37"/>
      <c r="N324" s="41"/>
      <c r="O324" s="29"/>
    </row>
    <row r="325">
      <c r="A325" s="29"/>
      <c r="B325" s="36"/>
      <c r="C325" s="37"/>
      <c r="D325" s="37"/>
      <c r="E325" s="37"/>
      <c r="F325" s="38"/>
      <c r="G325" s="38"/>
      <c r="H325" s="39"/>
      <c r="I325" s="40"/>
      <c r="J325" s="37"/>
      <c r="K325" s="40"/>
      <c r="L325" s="41"/>
      <c r="M325" s="37"/>
      <c r="N325" s="41"/>
      <c r="O325" s="29"/>
    </row>
    <row r="326">
      <c r="A326" s="29"/>
      <c r="B326" s="36"/>
      <c r="C326" s="37"/>
      <c r="D326" s="37"/>
      <c r="E326" s="37"/>
      <c r="F326" s="38"/>
      <c r="G326" s="38"/>
      <c r="H326" s="39"/>
      <c r="I326" s="40"/>
      <c r="J326" s="37"/>
      <c r="K326" s="40"/>
      <c r="L326" s="41"/>
      <c r="M326" s="37"/>
      <c r="N326" s="41"/>
      <c r="O326" s="29"/>
    </row>
    <row r="327">
      <c r="A327" s="29"/>
      <c r="B327" s="36"/>
      <c r="C327" s="37"/>
      <c r="D327" s="37"/>
      <c r="E327" s="37"/>
      <c r="F327" s="38"/>
      <c r="G327" s="38"/>
      <c r="H327" s="39"/>
      <c r="I327" s="40"/>
      <c r="J327" s="37"/>
      <c r="K327" s="40"/>
      <c r="L327" s="41"/>
      <c r="M327" s="37"/>
      <c r="N327" s="41"/>
      <c r="O327" s="29"/>
    </row>
    <row r="328">
      <c r="A328" s="29"/>
      <c r="B328" s="36"/>
      <c r="C328" s="37"/>
      <c r="D328" s="37"/>
      <c r="E328" s="37"/>
      <c r="F328" s="38"/>
      <c r="G328" s="38"/>
      <c r="H328" s="39"/>
      <c r="I328" s="40"/>
      <c r="J328" s="37"/>
      <c r="K328" s="40"/>
      <c r="L328" s="41"/>
      <c r="M328" s="37"/>
      <c r="N328" s="41"/>
      <c r="O328" s="29"/>
    </row>
    <row r="329">
      <c r="A329" s="29"/>
      <c r="B329" s="36"/>
      <c r="C329" s="37"/>
      <c r="D329" s="37"/>
      <c r="E329" s="37"/>
      <c r="F329" s="38"/>
      <c r="G329" s="38"/>
      <c r="H329" s="39"/>
      <c r="I329" s="40"/>
      <c r="J329" s="37"/>
      <c r="K329" s="40"/>
      <c r="L329" s="41"/>
      <c r="M329" s="37"/>
      <c r="N329" s="41"/>
      <c r="O329" s="29"/>
    </row>
    <row r="330">
      <c r="A330" s="29"/>
      <c r="B330" s="36"/>
      <c r="C330" s="37"/>
      <c r="D330" s="37"/>
      <c r="E330" s="37"/>
      <c r="F330" s="38"/>
      <c r="G330" s="38"/>
      <c r="H330" s="39"/>
      <c r="I330" s="40"/>
      <c r="J330" s="37"/>
      <c r="K330" s="40"/>
      <c r="L330" s="41"/>
      <c r="M330" s="37"/>
      <c r="N330" s="41"/>
      <c r="O330" s="29"/>
    </row>
    <row r="331">
      <c r="A331" s="29"/>
      <c r="B331" s="36"/>
      <c r="C331" s="37"/>
      <c r="D331" s="37"/>
      <c r="E331" s="37"/>
      <c r="F331" s="38"/>
      <c r="G331" s="38"/>
      <c r="H331" s="39"/>
      <c r="I331" s="40"/>
      <c r="J331" s="37"/>
      <c r="K331" s="40"/>
      <c r="L331" s="41"/>
      <c r="M331" s="37"/>
      <c r="N331" s="41"/>
      <c r="O331" s="29"/>
    </row>
    <row r="332">
      <c r="A332" s="29"/>
      <c r="B332" s="36"/>
      <c r="C332" s="37"/>
      <c r="D332" s="37"/>
      <c r="E332" s="37"/>
      <c r="F332" s="38"/>
      <c r="G332" s="38"/>
      <c r="H332" s="39"/>
      <c r="I332" s="40"/>
      <c r="J332" s="37"/>
      <c r="K332" s="40"/>
      <c r="L332" s="41"/>
      <c r="M332" s="37"/>
      <c r="N332" s="41"/>
      <c r="O332" s="29"/>
    </row>
    <row r="333">
      <c r="A333" s="29"/>
      <c r="B333" s="36"/>
      <c r="C333" s="37"/>
      <c r="D333" s="37"/>
      <c r="E333" s="37"/>
      <c r="F333" s="38"/>
      <c r="G333" s="38"/>
      <c r="H333" s="39"/>
      <c r="I333" s="40"/>
      <c r="J333" s="37"/>
      <c r="K333" s="40"/>
      <c r="L333" s="41"/>
      <c r="M333" s="37"/>
      <c r="N333" s="41"/>
      <c r="O333" s="29"/>
    </row>
    <row r="334">
      <c r="A334" s="29"/>
      <c r="B334" s="36"/>
      <c r="C334" s="37"/>
      <c r="D334" s="37"/>
      <c r="E334" s="37"/>
      <c r="F334" s="38"/>
      <c r="G334" s="38"/>
      <c r="H334" s="39"/>
      <c r="I334" s="40"/>
      <c r="J334" s="37"/>
      <c r="K334" s="40"/>
      <c r="L334" s="41"/>
      <c r="M334" s="37"/>
      <c r="N334" s="41"/>
      <c r="O334" s="29"/>
    </row>
    <row r="335">
      <c r="A335" s="29"/>
      <c r="B335" s="36"/>
      <c r="C335" s="37"/>
      <c r="D335" s="37"/>
      <c r="E335" s="37"/>
      <c r="F335" s="38"/>
      <c r="G335" s="38"/>
      <c r="H335" s="39"/>
      <c r="I335" s="40"/>
      <c r="J335" s="37"/>
      <c r="K335" s="40"/>
      <c r="L335" s="41"/>
      <c r="M335" s="37"/>
      <c r="N335" s="41"/>
      <c r="O335" s="29"/>
    </row>
    <row r="336">
      <c r="A336" s="29"/>
      <c r="B336" s="36"/>
      <c r="C336" s="37"/>
      <c r="D336" s="37"/>
      <c r="E336" s="37"/>
      <c r="F336" s="38"/>
      <c r="G336" s="38"/>
      <c r="H336" s="39"/>
      <c r="I336" s="40"/>
      <c r="J336" s="37"/>
      <c r="K336" s="40"/>
      <c r="L336" s="41"/>
      <c r="M336" s="37"/>
      <c r="N336" s="41"/>
      <c r="O336" s="29"/>
    </row>
    <row r="337">
      <c r="A337" s="29"/>
      <c r="B337" s="36"/>
      <c r="C337" s="37"/>
      <c r="D337" s="37"/>
      <c r="E337" s="37"/>
      <c r="F337" s="38"/>
      <c r="G337" s="38"/>
      <c r="H337" s="39"/>
      <c r="I337" s="40"/>
      <c r="J337" s="37"/>
      <c r="K337" s="40"/>
      <c r="L337" s="41"/>
      <c r="M337" s="37"/>
      <c r="N337" s="41"/>
      <c r="O337" s="29"/>
    </row>
    <row r="338">
      <c r="A338" s="29"/>
      <c r="B338" s="36"/>
      <c r="C338" s="37"/>
      <c r="D338" s="37"/>
      <c r="E338" s="37"/>
      <c r="F338" s="38"/>
      <c r="G338" s="38"/>
      <c r="H338" s="39"/>
      <c r="I338" s="40"/>
      <c r="J338" s="37"/>
      <c r="K338" s="40"/>
      <c r="L338" s="41"/>
      <c r="M338" s="37"/>
      <c r="N338" s="41"/>
      <c r="O338" s="29"/>
    </row>
    <row r="339">
      <c r="A339" s="29"/>
      <c r="B339" s="36"/>
      <c r="C339" s="37"/>
      <c r="D339" s="37"/>
      <c r="E339" s="37"/>
      <c r="F339" s="38"/>
      <c r="G339" s="38"/>
      <c r="H339" s="39"/>
      <c r="I339" s="40"/>
      <c r="J339" s="37"/>
      <c r="K339" s="40"/>
      <c r="L339" s="41"/>
      <c r="M339" s="37"/>
      <c r="N339" s="41"/>
      <c r="O339" s="29"/>
    </row>
    <row r="340">
      <c r="A340" s="29"/>
      <c r="B340" s="36"/>
      <c r="C340" s="37"/>
      <c r="D340" s="37"/>
      <c r="E340" s="37"/>
      <c r="F340" s="38"/>
      <c r="G340" s="38"/>
      <c r="H340" s="39"/>
      <c r="I340" s="40"/>
      <c r="J340" s="37"/>
      <c r="K340" s="40"/>
      <c r="L340" s="41"/>
      <c r="M340" s="37"/>
      <c r="N340" s="41"/>
      <c r="O340" s="29"/>
    </row>
    <row r="341">
      <c r="A341" s="29"/>
      <c r="B341" s="36"/>
      <c r="C341" s="37"/>
      <c r="D341" s="37"/>
      <c r="E341" s="37"/>
      <c r="F341" s="38"/>
      <c r="G341" s="38"/>
      <c r="H341" s="39"/>
      <c r="I341" s="40"/>
      <c r="J341" s="37"/>
      <c r="K341" s="40"/>
      <c r="L341" s="41"/>
      <c r="M341" s="37"/>
      <c r="N341" s="41"/>
      <c r="O341" s="29"/>
    </row>
    <row r="342">
      <c r="A342" s="29"/>
      <c r="B342" s="36"/>
      <c r="C342" s="37"/>
      <c r="D342" s="37"/>
      <c r="E342" s="37"/>
      <c r="F342" s="38"/>
      <c r="G342" s="38"/>
      <c r="H342" s="39"/>
      <c r="I342" s="40"/>
      <c r="J342" s="37"/>
      <c r="K342" s="40"/>
      <c r="L342" s="41"/>
      <c r="M342" s="37"/>
      <c r="N342" s="41"/>
      <c r="O342" s="29"/>
    </row>
    <row r="343">
      <c r="A343" s="29"/>
      <c r="B343" s="36"/>
      <c r="C343" s="37"/>
      <c r="D343" s="37"/>
      <c r="E343" s="37"/>
      <c r="F343" s="38"/>
      <c r="G343" s="38"/>
      <c r="H343" s="39"/>
      <c r="I343" s="40"/>
      <c r="J343" s="37"/>
      <c r="K343" s="40"/>
      <c r="L343" s="41"/>
      <c r="M343" s="37"/>
      <c r="N343" s="41"/>
      <c r="O343" s="29"/>
    </row>
    <row r="344">
      <c r="A344" s="29"/>
      <c r="B344" s="36"/>
      <c r="C344" s="37"/>
      <c r="D344" s="37"/>
      <c r="E344" s="37"/>
      <c r="F344" s="38"/>
      <c r="G344" s="38"/>
      <c r="H344" s="39"/>
      <c r="I344" s="40"/>
      <c r="J344" s="37"/>
      <c r="K344" s="40"/>
      <c r="L344" s="41"/>
      <c r="M344" s="37"/>
      <c r="N344" s="41"/>
      <c r="O344" s="29"/>
    </row>
    <row r="345">
      <c r="A345" s="29"/>
      <c r="B345" s="36"/>
      <c r="C345" s="37"/>
      <c r="D345" s="37"/>
      <c r="E345" s="37"/>
      <c r="F345" s="38"/>
      <c r="G345" s="38"/>
      <c r="H345" s="39"/>
      <c r="I345" s="40"/>
      <c r="J345" s="37"/>
      <c r="K345" s="40"/>
      <c r="L345" s="41"/>
      <c r="M345" s="37"/>
      <c r="N345" s="41"/>
      <c r="O345" s="29"/>
    </row>
    <row r="346">
      <c r="A346" s="29"/>
      <c r="B346" s="36"/>
      <c r="C346" s="37"/>
      <c r="D346" s="37"/>
      <c r="E346" s="37"/>
      <c r="F346" s="38"/>
      <c r="G346" s="38"/>
      <c r="H346" s="39"/>
      <c r="I346" s="40"/>
      <c r="J346" s="37"/>
      <c r="K346" s="40"/>
      <c r="L346" s="41"/>
      <c r="M346" s="37"/>
      <c r="N346" s="41"/>
      <c r="O346" s="29"/>
    </row>
    <row r="347">
      <c r="A347" s="29"/>
      <c r="B347" s="36"/>
      <c r="C347" s="37"/>
      <c r="D347" s="37"/>
      <c r="E347" s="37"/>
      <c r="F347" s="38"/>
      <c r="G347" s="38"/>
      <c r="H347" s="39"/>
      <c r="I347" s="40"/>
      <c r="J347" s="37"/>
      <c r="K347" s="40"/>
      <c r="L347" s="41"/>
      <c r="M347" s="37"/>
      <c r="N347" s="41"/>
      <c r="O347" s="29"/>
    </row>
    <row r="348">
      <c r="A348" s="29"/>
      <c r="B348" s="36"/>
      <c r="C348" s="37"/>
      <c r="D348" s="37"/>
      <c r="E348" s="37"/>
      <c r="F348" s="38"/>
      <c r="G348" s="38"/>
      <c r="H348" s="39"/>
      <c r="I348" s="40"/>
      <c r="J348" s="37"/>
      <c r="K348" s="40"/>
      <c r="L348" s="41"/>
      <c r="M348" s="37"/>
      <c r="N348" s="41"/>
      <c r="O348" s="29"/>
    </row>
    <row r="349">
      <c r="A349" s="29"/>
      <c r="B349" s="36"/>
      <c r="C349" s="37"/>
      <c r="D349" s="37"/>
      <c r="E349" s="37"/>
      <c r="F349" s="38"/>
      <c r="G349" s="38"/>
      <c r="H349" s="39"/>
      <c r="I349" s="40"/>
      <c r="J349" s="37"/>
      <c r="K349" s="40"/>
      <c r="L349" s="41"/>
      <c r="M349" s="37"/>
      <c r="N349" s="41"/>
      <c r="O349" s="29"/>
    </row>
    <row r="350">
      <c r="A350" s="29"/>
      <c r="B350" s="36"/>
      <c r="C350" s="37"/>
      <c r="D350" s="37"/>
      <c r="E350" s="37"/>
      <c r="F350" s="38"/>
      <c r="G350" s="38"/>
      <c r="H350" s="39"/>
      <c r="I350" s="40"/>
      <c r="J350" s="37"/>
      <c r="K350" s="40"/>
      <c r="L350" s="41"/>
      <c r="M350" s="37"/>
      <c r="N350" s="41"/>
      <c r="O350" s="29"/>
    </row>
    <row r="351">
      <c r="A351" s="29"/>
      <c r="B351" s="36"/>
      <c r="C351" s="37"/>
      <c r="D351" s="37"/>
      <c r="E351" s="37"/>
      <c r="F351" s="38"/>
      <c r="G351" s="38"/>
      <c r="H351" s="39"/>
      <c r="I351" s="40"/>
      <c r="J351" s="37"/>
      <c r="K351" s="40"/>
      <c r="L351" s="41"/>
      <c r="M351" s="37"/>
      <c r="N351" s="41"/>
      <c r="O351" s="29"/>
    </row>
    <row r="352">
      <c r="A352" s="29"/>
      <c r="B352" s="36"/>
      <c r="C352" s="37"/>
      <c r="D352" s="37"/>
      <c r="E352" s="37"/>
      <c r="F352" s="38"/>
      <c r="G352" s="38"/>
      <c r="H352" s="39"/>
      <c r="I352" s="40"/>
      <c r="J352" s="37"/>
      <c r="K352" s="40"/>
      <c r="L352" s="41"/>
      <c r="M352" s="37"/>
      <c r="N352" s="41"/>
      <c r="O352" s="29"/>
    </row>
    <row r="353">
      <c r="A353" s="29"/>
      <c r="B353" s="36"/>
      <c r="C353" s="37"/>
      <c r="D353" s="37"/>
      <c r="E353" s="37"/>
      <c r="F353" s="38"/>
      <c r="G353" s="38"/>
      <c r="H353" s="39"/>
      <c r="I353" s="40"/>
      <c r="J353" s="37"/>
      <c r="K353" s="40"/>
      <c r="L353" s="41"/>
      <c r="M353" s="37"/>
      <c r="N353" s="41"/>
      <c r="O353" s="29"/>
    </row>
    <row r="354">
      <c r="A354" s="29"/>
      <c r="B354" s="36"/>
      <c r="C354" s="37"/>
      <c r="D354" s="37"/>
      <c r="E354" s="37"/>
      <c r="F354" s="38"/>
      <c r="G354" s="38"/>
      <c r="H354" s="39"/>
      <c r="I354" s="40"/>
      <c r="J354" s="37"/>
      <c r="K354" s="40"/>
      <c r="L354" s="41"/>
      <c r="M354" s="37"/>
      <c r="N354" s="41"/>
      <c r="O354" s="29"/>
    </row>
    <row r="355">
      <c r="A355" s="29"/>
      <c r="B355" s="36"/>
      <c r="C355" s="37"/>
      <c r="D355" s="37"/>
      <c r="E355" s="37"/>
      <c r="F355" s="38"/>
      <c r="G355" s="38"/>
      <c r="H355" s="39"/>
      <c r="I355" s="40"/>
      <c r="J355" s="37"/>
      <c r="K355" s="40"/>
      <c r="L355" s="41"/>
      <c r="M355" s="37"/>
      <c r="N355" s="41"/>
      <c r="O355" s="29"/>
    </row>
    <row r="356">
      <c r="A356" s="29"/>
      <c r="B356" s="36"/>
      <c r="C356" s="37"/>
      <c r="D356" s="37"/>
      <c r="E356" s="37"/>
      <c r="F356" s="38"/>
      <c r="G356" s="38"/>
      <c r="H356" s="39"/>
      <c r="I356" s="40"/>
      <c r="J356" s="37"/>
      <c r="K356" s="40"/>
      <c r="L356" s="41"/>
      <c r="M356" s="37"/>
      <c r="N356" s="41"/>
      <c r="O356" s="29"/>
    </row>
    <row r="357">
      <c r="A357" s="29"/>
      <c r="B357" s="36"/>
      <c r="C357" s="37"/>
      <c r="D357" s="37"/>
      <c r="E357" s="37"/>
      <c r="F357" s="38"/>
      <c r="G357" s="38"/>
      <c r="H357" s="39"/>
      <c r="I357" s="40"/>
      <c r="J357" s="37"/>
      <c r="K357" s="40"/>
      <c r="L357" s="41"/>
      <c r="M357" s="37"/>
      <c r="N357" s="41"/>
      <c r="O357" s="29"/>
    </row>
    <row r="358">
      <c r="A358" s="29"/>
      <c r="B358" s="36"/>
      <c r="C358" s="37"/>
      <c r="D358" s="37"/>
      <c r="E358" s="37"/>
      <c r="F358" s="38"/>
      <c r="G358" s="38"/>
      <c r="H358" s="39"/>
      <c r="I358" s="40"/>
      <c r="J358" s="37"/>
      <c r="K358" s="40"/>
      <c r="L358" s="41"/>
      <c r="M358" s="37"/>
      <c r="N358" s="41"/>
      <c r="O358" s="29"/>
    </row>
    <row r="359">
      <c r="A359" s="29"/>
      <c r="B359" s="36"/>
      <c r="C359" s="37"/>
      <c r="D359" s="37"/>
      <c r="E359" s="37"/>
      <c r="F359" s="38"/>
      <c r="G359" s="38"/>
      <c r="H359" s="39"/>
      <c r="I359" s="40"/>
      <c r="J359" s="37"/>
      <c r="K359" s="40"/>
      <c r="L359" s="41"/>
      <c r="M359" s="37"/>
      <c r="N359" s="41"/>
      <c r="O359" s="29"/>
    </row>
    <row r="360">
      <c r="A360" s="29"/>
      <c r="B360" s="36"/>
      <c r="C360" s="37"/>
      <c r="D360" s="37"/>
      <c r="E360" s="37"/>
      <c r="F360" s="38"/>
      <c r="G360" s="38"/>
      <c r="H360" s="39"/>
      <c r="I360" s="40"/>
      <c r="J360" s="37"/>
      <c r="K360" s="40"/>
      <c r="L360" s="41"/>
      <c r="M360" s="37"/>
      <c r="N360" s="41"/>
      <c r="O360" s="29"/>
    </row>
    <row r="361">
      <c r="A361" s="29"/>
      <c r="B361" s="36"/>
      <c r="C361" s="37"/>
      <c r="D361" s="37"/>
      <c r="E361" s="37"/>
      <c r="F361" s="38"/>
      <c r="G361" s="38"/>
      <c r="H361" s="39"/>
      <c r="I361" s="40"/>
      <c r="J361" s="37"/>
      <c r="K361" s="40"/>
      <c r="L361" s="41"/>
      <c r="M361" s="37"/>
      <c r="N361" s="41"/>
      <c r="O361" s="29"/>
    </row>
    <row r="362">
      <c r="A362" s="29"/>
      <c r="B362" s="36"/>
      <c r="C362" s="37"/>
      <c r="D362" s="37"/>
      <c r="E362" s="37"/>
      <c r="F362" s="38"/>
      <c r="G362" s="38"/>
      <c r="H362" s="39"/>
      <c r="I362" s="40"/>
      <c r="J362" s="37"/>
      <c r="K362" s="40"/>
      <c r="L362" s="41"/>
      <c r="M362" s="37"/>
      <c r="N362" s="41"/>
      <c r="O362" s="29"/>
    </row>
    <row r="363">
      <c r="A363" s="29"/>
      <c r="B363" s="36"/>
      <c r="C363" s="37"/>
      <c r="D363" s="37"/>
      <c r="E363" s="37"/>
      <c r="F363" s="38"/>
      <c r="G363" s="38"/>
      <c r="H363" s="39"/>
      <c r="I363" s="40"/>
      <c r="J363" s="37"/>
      <c r="K363" s="40"/>
      <c r="L363" s="41"/>
      <c r="M363" s="37"/>
      <c r="N363" s="41"/>
      <c r="O363" s="29"/>
    </row>
    <row r="364">
      <c r="A364" s="29"/>
      <c r="B364" s="36"/>
      <c r="C364" s="37"/>
      <c r="D364" s="37"/>
      <c r="E364" s="37"/>
      <c r="F364" s="38"/>
      <c r="G364" s="38"/>
      <c r="H364" s="39"/>
      <c r="I364" s="40"/>
      <c r="J364" s="37"/>
      <c r="K364" s="40"/>
      <c r="L364" s="41"/>
      <c r="M364" s="37"/>
      <c r="N364" s="41"/>
      <c r="O364" s="29"/>
    </row>
    <row r="365">
      <c r="A365" s="29"/>
      <c r="B365" s="36"/>
      <c r="C365" s="37"/>
      <c r="D365" s="37"/>
      <c r="E365" s="37"/>
      <c r="F365" s="38"/>
      <c r="G365" s="38"/>
      <c r="H365" s="39"/>
      <c r="I365" s="40"/>
      <c r="J365" s="37"/>
      <c r="K365" s="40"/>
      <c r="L365" s="41"/>
      <c r="M365" s="37"/>
      <c r="N365" s="41"/>
      <c r="O365" s="29"/>
    </row>
    <row r="366">
      <c r="A366" s="29"/>
      <c r="B366" s="36"/>
      <c r="C366" s="37"/>
      <c r="D366" s="37"/>
      <c r="E366" s="37"/>
      <c r="F366" s="38"/>
      <c r="G366" s="38"/>
      <c r="H366" s="39"/>
      <c r="I366" s="40"/>
      <c r="J366" s="37"/>
      <c r="K366" s="40"/>
      <c r="L366" s="41"/>
      <c r="M366" s="37"/>
      <c r="N366" s="41"/>
      <c r="O366" s="29"/>
    </row>
    <row r="367">
      <c r="A367" s="29"/>
      <c r="B367" s="36"/>
      <c r="C367" s="37"/>
      <c r="D367" s="37"/>
      <c r="E367" s="37"/>
      <c r="F367" s="38"/>
      <c r="G367" s="38"/>
      <c r="H367" s="39"/>
      <c r="I367" s="40"/>
      <c r="J367" s="37"/>
      <c r="K367" s="40"/>
      <c r="L367" s="41"/>
      <c r="M367" s="37"/>
      <c r="N367" s="41"/>
      <c r="O367" s="29"/>
    </row>
    <row r="368">
      <c r="A368" s="29"/>
      <c r="B368" s="36"/>
      <c r="C368" s="37"/>
      <c r="D368" s="37"/>
      <c r="E368" s="37"/>
      <c r="F368" s="38"/>
      <c r="G368" s="38"/>
      <c r="H368" s="39"/>
      <c r="I368" s="40"/>
      <c r="J368" s="37"/>
      <c r="K368" s="40"/>
      <c r="L368" s="41"/>
      <c r="M368" s="37"/>
      <c r="N368" s="41"/>
      <c r="O368" s="29"/>
    </row>
    <row r="369">
      <c r="A369" s="29"/>
      <c r="B369" s="36"/>
      <c r="C369" s="37"/>
      <c r="D369" s="37"/>
      <c r="E369" s="37"/>
      <c r="F369" s="38"/>
      <c r="G369" s="38"/>
      <c r="H369" s="39"/>
      <c r="I369" s="40"/>
      <c r="J369" s="37"/>
      <c r="K369" s="40"/>
      <c r="L369" s="41"/>
      <c r="M369" s="37"/>
      <c r="N369" s="41"/>
      <c r="O369" s="29"/>
    </row>
    <row r="370">
      <c r="A370" s="29"/>
      <c r="B370" s="36"/>
      <c r="C370" s="37"/>
      <c r="D370" s="37"/>
      <c r="E370" s="37"/>
      <c r="F370" s="38"/>
      <c r="G370" s="38"/>
      <c r="H370" s="39"/>
      <c r="I370" s="40"/>
      <c r="J370" s="37"/>
      <c r="K370" s="40"/>
      <c r="L370" s="41"/>
      <c r="M370" s="37"/>
      <c r="N370" s="41"/>
      <c r="O370" s="29"/>
    </row>
    <row r="371">
      <c r="A371" s="29"/>
      <c r="B371" s="36"/>
      <c r="C371" s="37"/>
      <c r="D371" s="37"/>
      <c r="E371" s="37"/>
      <c r="F371" s="38"/>
      <c r="G371" s="38"/>
      <c r="H371" s="39"/>
      <c r="I371" s="40"/>
      <c r="J371" s="37"/>
      <c r="K371" s="40"/>
      <c r="L371" s="41"/>
      <c r="M371" s="37"/>
      <c r="N371" s="41"/>
      <c r="O371" s="29"/>
    </row>
    <row r="372">
      <c r="A372" s="29"/>
      <c r="B372" s="36"/>
      <c r="C372" s="37"/>
      <c r="D372" s="37"/>
      <c r="E372" s="37"/>
      <c r="F372" s="38"/>
      <c r="G372" s="38"/>
      <c r="H372" s="39"/>
      <c r="I372" s="40"/>
      <c r="J372" s="37"/>
      <c r="K372" s="40"/>
      <c r="L372" s="41"/>
      <c r="M372" s="37"/>
      <c r="N372" s="41"/>
      <c r="O372" s="29"/>
    </row>
    <row r="373">
      <c r="A373" s="29"/>
      <c r="B373" s="36"/>
      <c r="C373" s="37"/>
      <c r="D373" s="37"/>
      <c r="E373" s="37"/>
      <c r="F373" s="38"/>
      <c r="G373" s="38"/>
      <c r="H373" s="39"/>
      <c r="I373" s="40"/>
      <c r="J373" s="37"/>
      <c r="K373" s="40"/>
      <c r="L373" s="41"/>
      <c r="M373" s="37"/>
      <c r="N373" s="41"/>
      <c r="O373" s="29"/>
    </row>
    <row r="374">
      <c r="A374" s="29"/>
      <c r="B374" s="36"/>
      <c r="C374" s="37"/>
      <c r="D374" s="37"/>
      <c r="E374" s="37"/>
      <c r="F374" s="38"/>
      <c r="G374" s="38"/>
      <c r="H374" s="39"/>
      <c r="I374" s="40"/>
      <c r="J374" s="37"/>
      <c r="K374" s="40"/>
      <c r="L374" s="41"/>
      <c r="M374" s="37"/>
      <c r="N374" s="41"/>
      <c r="O374" s="29"/>
    </row>
    <row r="375">
      <c r="A375" s="29"/>
      <c r="B375" s="36"/>
      <c r="C375" s="37"/>
      <c r="D375" s="37"/>
      <c r="E375" s="37"/>
      <c r="F375" s="38"/>
      <c r="G375" s="38"/>
      <c r="H375" s="39"/>
      <c r="I375" s="40"/>
      <c r="J375" s="37"/>
      <c r="K375" s="40"/>
      <c r="L375" s="41"/>
      <c r="M375" s="37"/>
      <c r="N375" s="41"/>
      <c r="O375" s="29"/>
    </row>
    <row r="376">
      <c r="A376" s="29"/>
      <c r="B376" s="36"/>
      <c r="C376" s="37"/>
      <c r="D376" s="37"/>
      <c r="E376" s="37"/>
      <c r="F376" s="38"/>
      <c r="G376" s="38"/>
      <c r="H376" s="39"/>
      <c r="I376" s="40"/>
      <c r="J376" s="37"/>
      <c r="K376" s="40"/>
      <c r="L376" s="41"/>
      <c r="M376" s="37"/>
      <c r="N376" s="41"/>
      <c r="O376" s="29"/>
    </row>
    <row r="377">
      <c r="A377" s="29"/>
      <c r="B377" s="36"/>
      <c r="C377" s="37"/>
      <c r="D377" s="37"/>
      <c r="E377" s="37"/>
      <c r="F377" s="38"/>
      <c r="G377" s="38"/>
      <c r="H377" s="39"/>
      <c r="I377" s="40"/>
      <c r="J377" s="37"/>
      <c r="K377" s="40"/>
      <c r="L377" s="41"/>
      <c r="M377" s="37"/>
      <c r="N377" s="41"/>
      <c r="O377" s="29"/>
    </row>
    <row r="378">
      <c r="A378" s="29"/>
      <c r="B378" s="36"/>
      <c r="C378" s="37"/>
      <c r="D378" s="37"/>
      <c r="E378" s="37"/>
      <c r="F378" s="38"/>
      <c r="G378" s="38"/>
      <c r="H378" s="39"/>
      <c r="I378" s="40"/>
      <c r="J378" s="37"/>
      <c r="K378" s="40"/>
      <c r="L378" s="41"/>
      <c r="M378" s="37"/>
      <c r="N378" s="41"/>
      <c r="O378" s="29"/>
    </row>
    <row r="379">
      <c r="A379" s="29"/>
      <c r="B379" s="36"/>
      <c r="C379" s="37"/>
      <c r="D379" s="37"/>
      <c r="E379" s="37"/>
      <c r="F379" s="38"/>
      <c r="G379" s="38"/>
      <c r="H379" s="39"/>
      <c r="I379" s="40"/>
      <c r="J379" s="37"/>
      <c r="K379" s="40"/>
      <c r="L379" s="41"/>
      <c r="M379" s="37"/>
      <c r="N379" s="41"/>
      <c r="O379" s="29"/>
    </row>
    <row r="380">
      <c r="A380" s="29"/>
      <c r="B380" s="36"/>
      <c r="C380" s="37"/>
      <c r="D380" s="37"/>
      <c r="E380" s="37"/>
      <c r="F380" s="38"/>
      <c r="G380" s="38"/>
      <c r="H380" s="39"/>
      <c r="I380" s="40"/>
      <c r="J380" s="37"/>
      <c r="K380" s="40"/>
      <c r="L380" s="41"/>
      <c r="M380" s="37"/>
      <c r="N380" s="41"/>
      <c r="O380" s="29"/>
    </row>
    <row r="381">
      <c r="A381" s="29"/>
      <c r="B381" s="36"/>
      <c r="C381" s="37"/>
      <c r="D381" s="37"/>
      <c r="E381" s="37"/>
      <c r="F381" s="38"/>
      <c r="G381" s="38"/>
      <c r="H381" s="39"/>
      <c r="I381" s="40"/>
      <c r="J381" s="37"/>
      <c r="K381" s="40"/>
      <c r="L381" s="41"/>
      <c r="M381" s="37"/>
      <c r="N381" s="41"/>
      <c r="O381" s="29"/>
    </row>
    <row r="382">
      <c r="A382" s="29"/>
      <c r="B382" s="36"/>
      <c r="C382" s="37"/>
      <c r="D382" s="37"/>
      <c r="E382" s="37"/>
      <c r="F382" s="38"/>
      <c r="G382" s="38"/>
      <c r="H382" s="39"/>
      <c r="I382" s="40"/>
      <c r="J382" s="37"/>
      <c r="K382" s="40"/>
      <c r="L382" s="41"/>
      <c r="M382" s="37"/>
      <c r="N382" s="41"/>
      <c r="O382" s="29"/>
    </row>
    <row r="383">
      <c r="A383" s="29"/>
      <c r="B383" s="36"/>
      <c r="C383" s="37"/>
      <c r="D383" s="37"/>
      <c r="E383" s="37"/>
      <c r="F383" s="38"/>
      <c r="G383" s="38"/>
      <c r="H383" s="39"/>
      <c r="I383" s="40"/>
      <c r="J383" s="37"/>
      <c r="K383" s="40"/>
      <c r="L383" s="41"/>
      <c r="M383" s="37"/>
      <c r="N383" s="41"/>
      <c r="O383" s="29"/>
    </row>
    <row r="384">
      <c r="A384" s="29"/>
      <c r="B384" s="36"/>
      <c r="C384" s="37"/>
      <c r="D384" s="37"/>
      <c r="E384" s="37"/>
      <c r="F384" s="38"/>
      <c r="G384" s="38"/>
      <c r="H384" s="39"/>
      <c r="I384" s="40"/>
      <c r="J384" s="37"/>
      <c r="K384" s="40"/>
      <c r="L384" s="41"/>
      <c r="M384" s="37"/>
      <c r="N384" s="41"/>
      <c r="O384" s="29"/>
    </row>
    <row r="385">
      <c r="A385" s="29"/>
      <c r="B385" s="36"/>
      <c r="C385" s="37"/>
      <c r="D385" s="37"/>
      <c r="E385" s="37"/>
      <c r="F385" s="38"/>
      <c r="G385" s="38"/>
      <c r="H385" s="39"/>
      <c r="I385" s="40"/>
      <c r="J385" s="37"/>
      <c r="K385" s="40"/>
      <c r="L385" s="41"/>
      <c r="M385" s="37"/>
      <c r="N385" s="41"/>
      <c r="O385" s="29"/>
    </row>
    <row r="386">
      <c r="A386" s="29"/>
      <c r="B386" s="36"/>
      <c r="C386" s="37"/>
      <c r="D386" s="37"/>
      <c r="E386" s="37"/>
      <c r="F386" s="38"/>
      <c r="G386" s="38"/>
      <c r="H386" s="39"/>
      <c r="I386" s="40"/>
      <c r="J386" s="37"/>
      <c r="K386" s="40"/>
      <c r="L386" s="41"/>
      <c r="M386" s="37"/>
      <c r="N386" s="41"/>
      <c r="O386" s="29"/>
    </row>
    <row r="387">
      <c r="A387" s="29"/>
      <c r="B387" s="36"/>
      <c r="C387" s="37"/>
      <c r="D387" s="37"/>
      <c r="E387" s="37"/>
      <c r="F387" s="38"/>
      <c r="G387" s="38"/>
      <c r="H387" s="39"/>
      <c r="I387" s="40"/>
      <c r="J387" s="37"/>
      <c r="K387" s="40"/>
      <c r="L387" s="41"/>
      <c r="M387" s="37"/>
      <c r="N387" s="41"/>
      <c r="O387" s="29"/>
    </row>
    <row r="388">
      <c r="A388" s="29"/>
      <c r="B388" s="36"/>
      <c r="C388" s="37"/>
      <c r="D388" s="37"/>
      <c r="E388" s="37"/>
      <c r="F388" s="38"/>
      <c r="G388" s="38"/>
      <c r="H388" s="39"/>
      <c r="I388" s="40"/>
      <c r="J388" s="37"/>
      <c r="K388" s="40"/>
      <c r="L388" s="41"/>
      <c r="M388" s="37"/>
      <c r="N388" s="41"/>
      <c r="O388" s="29"/>
    </row>
    <row r="389">
      <c r="A389" s="29"/>
      <c r="B389" s="36"/>
      <c r="C389" s="37"/>
      <c r="D389" s="37"/>
      <c r="E389" s="37"/>
      <c r="F389" s="38"/>
      <c r="G389" s="38"/>
      <c r="H389" s="39"/>
      <c r="I389" s="40"/>
      <c r="J389" s="37"/>
      <c r="K389" s="40"/>
      <c r="L389" s="41"/>
      <c r="M389" s="37"/>
      <c r="N389" s="41"/>
      <c r="O389" s="29"/>
    </row>
    <row r="390">
      <c r="A390" s="29"/>
      <c r="B390" s="36"/>
      <c r="C390" s="37"/>
      <c r="D390" s="37"/>
      <c r="E390" s="37"/>
      <c r="F390" s="38"/>
      <c r="G390" s="38"/>
      <c r="H390" s="39"/>
      <c r="I390" s="40"/>
      <c r="J390" s="37"/>
      <c r="K390" s="40"/>
      <c r="L390" s="41"/>
      <c r="M390" s="37"/>
      <c r="N390" s="41"/>
      <c r="O390" s="29"/>
    </row>
    <row r="391">
      <c r="A391" s="29"/>
      <c r="B391" s="36"/>
      <c r="C391" s="37"/>
      <c r="D391" s="37"/>
      <c r="E391" s="37"/>
      <c r="F391" s="38"/>
      <c r="G391" s="38"/>
      <c r="H391" s="39"/>
      <c r="I391" s="40"/>
      <c r="J391" s="37"/>
      <c r="K391" s="40"/>
      <c r="L391" s="41"/>
      <c r="M391" s="37"/>
      <c r="N391" s="41"/>
      <c r="O391" s="29"/>
    </row>
    <row r="392">
      <c r="A392" s="29"/>
      <c r="B392" s="36"/>
      <c r="C392" s="37"/>
      <c r="D392" s="37"/>
      <c r="E392" s="37"/>
      <c r="F392" s="38"/>
      <c r="G392" s="38"/>
      <c r="H392" s="39"/>
      <c r="I392" s="40"/>
      <c r="J392" s="37"/>
      <c r="K392" s="40"/>
      <c r="L392" s="41"/>
      <c r="M392" s="37"/>
      <c r="N392" s="41"/>
      <c r="O392" s="29"/>
    </row>
    <row r="393">
      <c r="A393" s="29"/>
      <c r="B393" s="36"/>
      <c r="C393" s="37"/>
      <c r="D393" s="37"/>
      <c r="E393" s="37"/>
      <c r="F393" s="38"/>
      <c r="G393" s="38"/>
      <c r="H393" s="39"/>
      <c r="I393" s="40"/>
      <c r="J393" s="37"/>
      <c r="K393" s="40"/>
      <c r="L393" s="41"/>
      <c r="M393" s="37"/>
      <c r="N393" s="41"/>
      <c r="O393" s="29"/>
    </row>
    <row r="394">
      <c r="A394" s="29"/>
      <c r="B394" s="36"/>
      <c r="C394" s="37"/>
      <c r="D394" s="37"/>
      <c r="E394" s="37"/>
      <c r="F394" s="38"/>
      <c r="G394" s="38"/>
      <c r="H394" s="39"/>
      <c r="I394" s="40"/>
      <c r="J394" s="37"/>
      <c r="K394" s="40"/>
      <c r="L394" s="41"/>
      <c r="M394" s="37"/>
      <c r="N394" s="41"/>
      <c r="O394" s="29"/>
    </row>
    <row r="395">
      <c r="A395" s="29"/>
      <c r="B395" s="36"/>
      <c r="C395" s="37"/>
      <c r="D395" s="37"/>
      <c r="E395" s="37"/>
      <c r="F395" s="38"/>
      <c r="G395" s="38"/>
      <c r="H395" s="39"/>
      <c r="I395" s="40"/>
      <c r="J395" s="37"/>
      <c r="K395" s="40"/>
      <c r="L395" s="41"/>
      <c r="M395" s="37"/>
      <c r="N395" s="41"/>
      <c r="O395" s="29"/>
    </row>
    <row r="396">
      <c r="A396" s="29"/>
      <c r="B396" s="36"/>
      <c r="C396" s="37"/>
      <c r="D396" s="37"/>
      <c r="E396" s="37"/>
      <c r="F396" s="38"/>
      <c r="G396" s="38"/>
      <c r="H396" s="39"/>
      <c r="I396" s="40"/>
      <c r="J396" s="37"/>
      <c r="K396" s="40"/>
      <c r="L396" s="41"/>
      <c r="M396" s="37"/>
      <c r="N396" s="41"/>
      <c r="O396" s="29"/>
    </row>
    <row r="397">
      <c r="A397" s="29"/>
      <c r="B397" s="36"/>
      <c r="C397" s="37"/>
      <c r="D397" s="37"/>
      <c r="E397" s="37"/>
      <c r="F397" s="38"/>
      <c r="G397" s="38"/>
      <c r="H397" s="39"/>
      <c r="I397" s="40"/>
      <c r="J397" s="37"/>
      <c r="K397" s="40"/>
      <c r="L397" s="41"/>
      <c r="M397" s="37"/>
      <c r="N397" s="41"/>
      <c r="O397" s="29"/>
    </row>
    <row r="398">
      <c r="A398" s="29"/>
      <c r="B398" s="36"/>
      <c r="C398" s="37"/>
      <c r="D398" s="37"/>
      <c r="E398" s="37"/>
      <c r="F398" s="38"/>
      <c r="G398" s="38"/>
      <c r="H398" s="39"/>
      <c r="I398" s="40"/>
      <c r="J398" s="37"/>
      <c r="K398" s="40"/>
      <c r="L398" s="41"/>
      <c r="M398" s="37"/>
      <c r="N398" s="41"/>
      <c r="O398" s="29"/>
    </row>
    <row r="399">
      <c r="A399" s="29"/>
      <c r="B399" s="36"/>
      <c r="C399" s="37"/>
      <c r="D399" s="37"/>
      <c r="E399" s="37"/>
      <c r="F399" s="38"/>
      <c r="G399" s="38"/>
      <c r="H399" s="39"/>
      <c r="I399" s="40"/>
      <c r="J399" s="37"/>
      <c r="K399" s="40"/>
      <c r="L399" s="41"/>
      <c r="M399" s="37"/>
      <c r="N399" s="41"/>
      <c r="O399" s="29"/>
    </row>
    <row r="400">
      <c r="A400" s="29"/>
      <c r="B400" s="36"/>
      <c r="C400" s="37"/>
      <c r="D400" s="37"/>
      <c r="E400" s="37"/>
      <c r="F400" s="38"/>
      <c r="G400" s="38"/>
      <c r="H400" s="39"/>
      <c r="I400" s="40"/>
      <c r="J400" s="37"/>
      <c r="K400" s="40"/>
      <c r="L400" s="41"/>
      <c r="M400" s="37"/>
      <c r="N400" s="41"/>
      <c r="O400" s="29"/>
    </row>
    <row r="401">
      <c r="A401" s="29"/>
      <c r="B401" s="36"/>
      <c r="C401" s="37"/>
      <c r="D401" s="37"/>
      <c r="E401" s="37"/>
      <c r="F401" s="38"/>
      <c r="G401" s="38"/>
      <c r="H401" s="39"/>
      <c r="I401" s="40"/>
      <c r="J401" s="37"/>
      <c r="K401" s="40"/>
      <c r="L401" s="41"/>
      <c r="M401" s="37"/>
      <c r="N401" s="41"/>
      <c r="O401" s="29"/>
    </row>
    <row r="402">
      <c r="A402" s="29"/>
      <c r="B402" s="36"/>
      <c r="C402" s="37"/>
      <c r="D402" s="37"/>
      <c r="E402" s="37"/>
      <c r="F402" s="38"/>
      <c r="G402" s="38"/>
      <c r="H402" s="39"/>
      <c r="I402" s="40"/>
      <c r="J402" s="37"/>
      <c r="K402" s="40"/>
      <c r="L402" s="41"/>
      <c r="M402" s="37"/>
      <c r="N402" s="41"/>
      <c r="O402" s="29"/>
    </row>
    <row r="403">
      <c r="A403" s="29"/>
      <c r="B403" s="36"/>
      <c r="C403" s="37"/>
      <c r="D403" s="37"/>
      <c r="E403" s="37"/>
      <c r="F403" s="38"/>
      <c r="G403" s="38"/>
      <c r="H403" s="39"/>
      <c r="I403" s="40"/>
      <c r="J403" s="37"/>
      <c r="K403" s="40"/>
      <c r="L403" s="41"/>
      <c r="M403" s="37"/>
      <c r="N403" s="41"/>
      <c r="O403" s="29"/>
    </row>
    <row r="404">
      <c r="A404" s="29"/>
      <c r="B404" s="36"/>
      <c r="C404" s="37"/>
      <c r="D404" s="37"/>
      <c r="E404" s="37"/>
      <c r="F404" s="38"/>
      <c r="G404" s="38"/>
      <c r="H404" s="39"/>
      <c r="I404" s="40"/>
      <c r="J404" s="37"/>
      <c r="K404" s="40"/>
      <c r="L404" s="41"/>
      <c r="M404" s="37"/>
      <c r="N404" s="41"/>
      <c r="O404" s="29"/>
    </row>
    <row r="405">
      <c r="A405" s="29"/>
      <c r="B405" s="36"/>
      <c r="C405" s="37"/>
      <c r="D405" s="37"/>
      <c r="E405" s="37"/>
      <c r="F405" s="38"/>
      <c r="G405" s="38"/>
      <c r="H405" s="39"/>
      <c r="I405" s="40"/>
      <c r="J405" s="37"/>
      <c r="K405" s="40"/>
      <c r="L405" s="41"/>
      <c r="M405" s="37"/>
      <c r="N405" s="41"/>
      <c r="O405" s="29"/>
    </row>
    <row r="406">
      <c r="A406" s="29"/>
      <c r="B406" s="36"/>
      <c r="C406" s="37"/>
      <c r="D406" s="37"/>
      <c r="E406" s="37"/>
      <c r="F406" s="38"/>
      <c r="G406" s="38"/>
      <c r="H406" s="39"/>
      <c r="I406" s="40"/>
      <c r="J406" s="37"/>
      <c r="K406" s="40"/>
      <c r="L406" s="41"/>
      <c r="M406" s="37"/>
      <c r="N406" s="41"/>
      <c r="O406" s="29"/>
    </row>
    <row r="407">
      <c r="A407" s="29"/>
      <c r="B407" s="36"/>
      <c r="C407" s="37"/>
      <c r="D407" s="37"/>
      <c r="E407" s="37"/>
      <c r="F407" s="38"/>
      <c r="G407" s="38"/>
      <c r="H407" s="39"/>
      <c r="I407" s="40"/>
      <c r="J407" s="37"/>
      <c r="K407" s="40"/>
      <c r="L407" s="41"/>
      <c r="M407" s="37"/>
      <c r="N407" s="41"/>
      <c r="O407" s="29"/>
    </row>
    <row r="408">
      <c r="A408" s="29"/>
      <c r="B408" s="36"/>
      <c r="C408" s="37"/>
      <c r="D408" s="37"/>
      <c r="E408" s="37"/>
      <c r="F408" s="38"/>
      <c r="G408" s="38"/>
      <c r="H408" s="39"/>
      <c r="I408" s="40"/>
      <c r="J408" s="37"/>
      <c r="K408" s="40"/>
      <c r="L408" s="41"/>
      <c r="M408" s="37"/>
      <c r="N408" s="41"/>
      <c r="O408" s="29"/>
    </row>
    <row r="409">
      <c r="A409" s="29"/>
      <c r="B409" s="36"/>
      <c r="C409" s="37"/>
      <c r="D409" s="37"/>
      <c r="E409" s="37"/>
      <c r="F409" s="38"/>
      <c r="G409" s="38"/>
      <c r="H409" s="39"/>
      <c r="I409" s="40"/>
      <c r="J409" s="37"/>
      <c r="K409" s="40"/>
      <c r="L409" s="41"/>
      <c r="M409" s="37"/>
      <c r="N409" s="41"/>
      <c r="O409" s="29"/>
    </row>
    <row r="410">
      <c r="A410" s="29"/>
      <c r="B410" s="36"/>
      <c r="C410" s="37"/>
      <c r="D410" s="37"/>
      <c r="E410" s="37"/>
      <c r="F410" s="38"/>
      <c r="G410" s="38"/>
      <c r="H410" s="39"/>
      <c r="I410" s="40"/>
      <c r="J410" s="37"/>
      <c r="K410" s="40"/>
      <c r="L410" s="41"/>
      <c r="M410" s="37"/>
      <c r="N410" s="41"/>
      <c r="O410" s="29"/>
    </row>
    <row r="411">
      <c r="A411" s="29"/>
      <c r="B411" s="36"/>
      <c r="C411" s="37"/>
      <c r="D411" s="37"/>
      <c r="E411" s="37"/>
      <c r="F411" s="38"/>
      <c r="G411" s="38"/>
      <c r="H411" s="39"/>
      <c r="I411" s="40"/>
      <c r="J411" s="37"/>
      <c r="K411" s="40"/>
      <c r="L411" s="41"/>
      <c r="M411" s="37"/>
      <c r="N411" s="41"/>
      <c r="O411" s="29"/>
    </row>
    <row r="412">
      <c r="A412" s="29"/>
      <c r="B412" s="36"/>
      <c r="C412" s="37"/>
      <c r="D412" s="37"/>
      <c r="E412" s="37"/>
      <c r="F412" s="38"/>
      <c r="G412" s="38"/>
      <c r="H412" s="39"/>
      <c r="I412" s="40"/>
      <c r="J412" s="37"/>
      <c r="K412" s="40"/>
      <c r="L412" s="41"/>
      <c r="M412" s="37"/>
      <c r="N412" s="41"/>
      <c r="O412" s="29"/>
    </row>
    <row r="413">
      <c r="A413" s="29"/>
      <c r="B413" s="36"/>
      <c r="C413" s="37"/>
      <c r="D413" s="37"/>
      <c r="E413" s="37"/>
      <c r="F413" s="38"/>
      <c r="G413" s="38"/>
      <c r="H413" s="39"/>
      <c r="I413" s="40"/>
      <c r="J413" s="37"/>
      <c r="K413" s="40"/>
      <c r="L413" s="41"/>
      <c r="M413" s="37"/>
      <c r="N413" s="41"/>
      <c r="O413" s="29"/>
    </row>
    <row r="414">
      <c r="A414" s="29"/>
      <c r="B414" s="36"/>
      <c r="C414" s="37"/>
      <c r="D414" s="37"/>
      <c r="E414" s="37"/>
      <c r="F414" s="38"/>
      <c r="G414" s="38"/>
      <c r="H414" s="39"/>
      <c r="I414" s="40"/>
      <c r="J414" s="37"/>
      <c r="K414" s="40"/>
      <c r="L414" s="41"/>
      <c r="M414" s="37"/>
      <c r="N414" s="41"/>
      <c r="O414" s="29"/>
    </row>
    <row r="415">
      <c r="A415" s="29"/>
      <c r="B415" s="36"/>
      <c r="C415" s="37"/>
      <c r="D415" s="37"/>
      <c r="E415" s="37"/>
      <c r="F415" s="38"/>
      <c r="G415" s="38"/>
      <c r="H415" s="39"/>
      <c r="I415" s="40"/>
      <c r="J415" s="37"/>
      <c r="K415" s="40"/>
      <c r="L415" s="41"/>
      <c r="M415" s="37"/>
      <c r="N415" s="41"/>
      <c r="O415" s="29"/>
    </row>
    <row r="416">
      <c r="A416" s="29"/>
      <c r="B416" s="36"/>
      <c r="C416" s="37"/>
      <c r="D416" s="37"/>
      <c r="E416" s="37"/>
      <c r="F416" s="38"/>
      <c r="G416" s="38"/>
      <c r="H416" s="39"/>
      <c r="I416" s="40"/>
      <c r="J416" s="37"/>
      <c r="K416" s="40"/>
      <c r="L416" s="41"/>
      <c r="M416" s="37"/>
      <c r="N416" s="41"/>
      <c r="O416" s="29"/>
    </row>
    <row r="417">
      <c r="A417" s="29"/>
      <c r="B417" s="36"/>
      <c r="C417" s="37"/>
      <c r="D417" s="37"/>
      <c r="E417" s="37"/>
      <c r="F417" s="38"/>
      <c r="G417" s="38"/>
      <c r="H417" s="39"/>
      <c r="I417" s="40"/>
      <c r="J417" s="37"/>
      <c r="K417" s="40"/>
      <c r="L417" s="41"/>
      <c r="M417" s="37"/>
      <c r="N417" s="41"/>
      <c r="O417" s="29"/>
    </row>
    <row r="418">
      <c r="A418" s="29"/>
      <c r="B418" s="36"/>
      <c r="C418" s="37"/>
      <c r="D418" s="37"/>
      <c r="E418" s="37"/>
      <c r="F418" s="38"/>
      <c r="G418" s="38"/>
      <c r="H418" s="39"/>
      <c r="I418" s="40"/>
      <c r="J418" s="37"/>
      <c r="K418" s="40"/>
      <c r="L418" s="41"/>
      <c r="M418" s="37"/>
      <c r="N418" s="41"/>
      <c r="O418" s="29"/>
    </row>
    <row r="419">
      <c r="A419" s="29"/>
      <c r="B419" s="36"/>
      <c r="C419" s="37"/>
      <c r="D419" s="37"/>
      <c r="E419" s="37"/>
      <c r="F419" s="38"/>
      <c r="G419" s="38"/>
      <c r="H419" s="39"/>
      <c r="I419" s="40"/>
      <c r="J419" s="37"/>
      <c r="K419" s="40"/>
      <c r="L419" s="41"/>
      <c r="M419" s="37"/>
      <c r="N419" s="41"/>
      <c r="O419" s="29"/>
    </row>
    <row r="420">
      <c r="A420" s="29"/>
      <c r="B420" s="36"/>
      <c r="C420" s="37"/>
      <c r="D420" s="37"/>
      <c r="E420" s="37"/>
      <c r="F420" s="38"/>
      <c r="G420" s="38"/>
      <c r="H420" s="39"/>
      <c r="I420" s="40"/>
      <c r="J420" s="37"/>
      <c r="K420" s="40"/>
      <c r="L420" s="41"/>
      <c r="M420" s="37"/>
      <c r="N420" s="41"/>
      <c r="O420" s="29"/>
    </row>
    <row r="421">
      <c r="A421" s="29"/>
      <c r="B421" s="36"/>
      <c r="C421" s="37"/>
      <c r="D421" s="37"/>
      <c r="E421" s="37"/>
      <c r="F421" s="38"/>
      <c r="G421" s="38"/>
      <c r="H421" s="39"/>
      <c r="I421" s="40"/>
      <c r="J421" s="37"/>
      <c r="K421" s="40"/>
      <c r="L421" s="41"/>
      <c r="M421" s="37"/>
      <c r="N421" s="41"/>
      <c r="O421" s="29"/>
    </row>
    <row r="422">
      <c r="A422" s="29"/>
      <c r="B422" s="36"/>
      <c r="C422" s="37"/>
      <c r="D422" s="37"/>
      <c r="E422" s="37"/>
      <c r="F422" s="38"/>
      <c r="G422" s="38"/>
      <c r="H422" s="39"/>
      <c r="I422" s="40"/>
      <c r="J422" s="37"/>
      <c r="K422" s="40"/>
      <c r="L422" s="41"/>
      <c r="M422" s="37"/>
      <c r="N422" s="41"/>
      <c r="O422" s="29"/>
    </row>
    <row r="423">
      <c r="A423" s="29"/>
      <c r="B423" s="36"/>
      <c r="C423" s="37"/>
      <c r="D423" s="37"/>
      <c r="E423" s="37"/>
      <c r="F423" s="38"/>
      <c r="G423" s="38"/>
      <c r="H423" s="39"/>
      <c r="I423" s="40"/>
      <c r="J423" s="37"/>
      <c r="K423" s="40"/>
      <c r="L423" s="41"/>
      <c r="M423" s="37"/>
      <c r="N423" s="41"/>
      <c r="O423" s="29"/>
    </row>
    <row r="424">
      <c r="A424" s="29"/>
      <c r="B424" s="36"/>
      <c r="C424" s="37"/>
      <c r="D424" s="37"/>
      <c r="E424" s="37"/>
      <c r="F424" s="38"/>
      <c r="G424" s="38"/>
      <c r="H424" s="39"/>
      <c r="I424" s="40"/>
      <c r="J424" s="37"/>
      <c r="K424" s="40"/>
      <c r="L424" s="41"/>
      <c r="M424" s="37"/>
      <c r="N424" s="41"/>
      <c r="O424" s="29"/>
    </row>
    <row r="425">
      <c r="A425" s="29"/>
      <c r="B425" s="36"/>
      <c r="C425" s="37"/>
      <c r="D425" s="37"/>
      <c r="E425" s="37"/>
      <c r="F425" s="38"/>
      <c r="G425" s="38"/>
      <c r="H425" s="39"/>
      <c r="I425" s="40"/>
      <c r="J425" s="37"/>
      <c r="K425" s="40"/>
      <c r="L425" s="41"/>
      <c r="M425" s="37"/>
      <c r="N425" s="41"/>
      <c r="O425" s="29"/>
    </row>
    <row r="426">
      <c r="A426" s="29"/>
      <c r="B426" s="36"/>
      <c r="C426" s="37"/>
      <c r="D426" s="37"/>
      <c r="E426" s="37"/>
      <c r="F426" s="38"/>
      <c r="G426" s="38"/>
      <c r="H426" s="39"/>
      <c r="I426" s="40"/>
      <c r="J426" s="37"/>
      <c r="K426" s="40"/>
      <c r="L426" s="41"/>
      <c r="M426" s="37"/>
      <c r="N426" s="41"/>
      <c r="O426" s="29"/>
    </row>
    <row r="427">
      <c r="A427" s="29"/>
      <c r="B427" s="36"/>
      <c r="C427" s="37"/>
      <c r="D427" s="37"/>
      <c r="E427" s="37"/>
      <c r="F427" s="38"/>
      <c r="G427" s="38"/>
      <c r="H427" s="39"/>
      <c r="I427" s="40"/>
      <c r="J427" s="37"/>
      <c r="K427" s="40"/>
      <c r="L427" s="41"/>
      <c r="M427" s="37"/>
      <c r="N427" s="41"/>
      <c r="O427" s="29"/>
    </row>
    <row r="428">
      <c r="A428" s="29"/>
      <c r="B428" s="36"/>
      <c r="C428" s="37"/>
      <c r="D428" s="37"/>
      <c r="E428" s="37"/>
      <c r="F428" s="38"/>
      <c r="G428" s="38"/>
      <c r="H428" s="39"/>
      <c r="I428" s="40"/>
      <c r="J428" s="37"/>
      <c r="K428" s="40"/>
      <c r="L428" s="41"/>
      <c r="M428" s="37"/>
      <c r="N428" s="41"/>
      <c r="O428" s="29"/>
    </row>
    <row r="429">
      <c r="A429" s="29"/>
      <c r="B429" s="36"/>
      <c r="C429" s="37"/>
      <c r="D429" s="37"/>
      <c r="E429" s="37"/>
      <c r="F429" s="38"/>
      <c r="G429" s="38"/>
      <c r="H429" s="39"/>
      <c r="I429" s="40"/>
      <c r="J429" s="37"/>
      <c r="K429" s="40"/>
      <c r="L429" s="41"/>
      <c r="M429" s="37"/>
      <c r="N429" s="41"/>
      <c r="O429" s="29"/>
    </row>
    <row r="430">
      <c r="A430" s="29"/>
      <c r="B430" s="36"/>
      <c r="C430" s="37"/>
      <c r="D430" s="37"/>
      <c r="E430" s="37"/>
      <c r="F430" s="38"/>
      <c r="G430" s="38"/>
      <c r="H430" s="39"/>
      <c r="I430" s="40"/>
      <c r="J430" s="37"/>
      <c r="K430" s="40"/>
      <c r="L430" s="41"/>
      <c r="M430" s="37"/>
      <c r="N430" s="41"/>
      <c r="O430" s="29"/>
    </row>
    <row r="431">
      <c r="A431" s="29"/>
      <c r="B431" s="36"/>
      <c r="C431" s="37"/>
      <c r="D431" s="37"/>
      <c r="E431" s="37"/>
      <c r="F431" s="38"/>
      <c r="G431" s="38"/>
      <c r="H431" s="39"/>
      <c r="I431" s="40"/>
      <c r="J431" s="37"/>
      <c r="K431" s="40"/>
      <c r="L431" s="41"/>
      <c r="M431" s="37"/>
      <c r="N431" s="41"/>
      <c r="O431" s="29"/>
    </row>
    <row r="432">
      <c r="A432" s="29"/>
      <c r="B432" s="36"/>
      <c r="C432" s="37"/>
      <c r="D432" s="37"/>
      <c r="E432" s="37"/>
      <c r="F432" s="38"/>
      <c r="G432" s="38"/>
      <c r="H432" s="39"/>
      <c r="I432" s="40"/>
      <c r="J432" s="37"/>
      <c r="K432" s="40"/>
      <c r="L432" s="41"/>
      <c r="M432" s="37"/>
      <c r="N432" s="41"/>
      <c r="O432" s="29"/>
    </row>
    <row r="433">
      <c r="A433" s="29"/>
      <c r="B433" s="36"/>
      <c r="C433" s="37"/>
      <c r="D433" s="37"/>
      <c r="E433" s="37"/>
      <c r="F433" s="38"/>
      <c r="G433" s="38"/>
      <c r="H433" s="39"/>
      <c r="I433" s="40"/>
      <c r="J433" s="37"/>
      <c r="K433" s="40"/>
      <c r="L433" s="41"/>
      <c r="M433" s="37"/>
      <c r="N433" s="41"/>
      <c r="O433" s="29"/>
    </row>
    <row r="434">
      <c r="A434" s="29"/>
      <c r="B434" s="36"/>
      <c r="C434" s="37"/>
      <c r="D434" s="37"/>
      <c r="E434" s="37"/>
      <c r="F434" s="38"/>
      <c r="G434" s="38"/>
      <c r="H434" s="39"/>
      <c r="I434" s="40"/>
      <c r="J434" s="37"/>
      <c r="K434" s="40"/>
      <c r="L434" s="41"/>
      <c r="M434" s="37"/>
      <c r="N434" s="41"/>
      <c r="O434" s="29"/>
    </row>
    <row r="435">
      <c r="A435" s="29"/>
      <c r="B435" s="36"/>
      <c r="C435" s="37"/>
      <c r="D435" s="37"/>
      <c r="E435" s="37"/>
      <c r="F435" s="38"/>
      <c r="G435" s="38"/>
      <c r="H435" s="39"/>
      <c r="I435" s="40"/>
      <c r="J435" s="37"/>
      <c r="K435" s="40"/>
      <c r="L435" s="41"/>
      <c r="M435" s="37"/>
      <c r="N435" s="41"/>
      <c r="O435" s="29"/>
    </row>
    <row r="436">
      <c r="A436" s="29"/>
      <c r="B436" s="36"/>
      <c r="C436" s="37"/>
      <c r="D436" s="37"/>
      <c r="E436" s="37"/>
      <c r="F436" s="38"/>
      <c r="G436" s="38"/>
      <c r="H436" s="39"/>
      <c r="I436" s="40"/>
      <c r="J436" s="37"/>
      <c r="K436" s="40"/>
      <c r="L436" s="41"/>
      <c r="M436" s="37"/>
      <c r="N436" s="41"/>
      <c r="O436" s="29"/>
    </row>
    <row r="437">
      <c r="A437" s="29"/>
      <c r="B437" s="36"/>
      <c r="C437" s="37"/>
      <c r="D437" s="37"/>
      <c r="E437" s="37"/>
      <c r="F437" s="38"/>
      <c r="G437" s="38"/>
      <c r="H437" s="39"/>
      <c r="I437" s="40"/>
      <c r="J437" s="37"/>
      <c r="K437" s="40"/>
      <c r="L437" s="41"/>
      <c r="M437" s="37"/>
      <c r="N437" s="41"/>
      <c r="O437" s="29"/>
    </row>
    <row r="438">
      <c r="A438" s="29"/>
      <c r="B438" s="36"/>
      <c r="C438" s="37"/>
      <c r="D438" s="37"/>
      <c r="E438" s="37"/>
      <c r="F438" s="38"/>
      <c r="G438" s="38"/>
      <c r="H438" s="39"/>
      <c r="I438" s="40"/>
      <c r="J438" s="37"/>
      <c r="K438" s="40"/>
      <c r="L438" s="41"/>
      <c r="M438" s="37"/>
      <c r="N438" s="41"/>
      <c r="O438" s="29"/>
    </row>
    <row r="439">
      <c r="A439" s="29"/>
      <c r="B439" s="36"/>
      <c r="C439" s="37"/>
      <c r="D439" s="37"/>
      <c r="E439" s="37"/>
      <c r="F439" s="38"/>
      <c r="G439" s="38"/>
      <c r="H439" s="39"/>
      <c r="I439" s="40"/>
      <c r="J439" s="37"/>
      <c r="K439" s="40"/>
      <c r="L439" s="41"/>
      <c r="M439" s="37"/>
      <c r="N439" s="41"/>
      <c r="O439" s="29"/>
    </row>
    <row r="440">
      <c r="A440" s="29"/>
      <c r="B440" s="36"/>
      <c r="C440" s="37"/>
      <c r="D440" s="37"/>
      <c r="E440" s="37"/>
      <c r="F440" s="38"/>
      <c r="G440" s="38"/>
      <c r="H440" s="39"/>
      <c r="I440" s="40"/>
      <c r="J440" s="37"/>
      <c r="K440" s="40"/>
      <c r="L440" s="41"/>
      <c r="M440" s="37"/>
      <c r="N440" s="41"/>
      <c r="O440" s="29"/>
    </row>
    <row r="441">
      <c r="A441" s="29"/>
      <c r="B441" s="36"/>
      <c r="C441" s="37"/>
      <c r="D441" s="37"/>
      <c r="E441" s="37"/>
      <c r="F441" s="38"/>
      <c r="G441" s="38"/>
      <c r="H441" s="39"/>
      <c r="I441" s="40"/>
      <c r="J441" s="37"/>
      <c r="K441" s="40"/>
      <c r="L441" s="41"/>
      <c r="M441" s="37"/>
      <c r="N441" s="41"/>
      <c r="O441" s="29"/>
    </row>
    <row r="442">
      <c r="A442" s="29"/>
      <c r="B442" s="36"/>
      <c r="C442" s="37"/>
      <c r="D442" s="37"/>
      <c r="E442" s="37"/>
      <c r="F442" s="38"/>
      <c r="G442" s="38"/>
      <c r="H442" s="39"/>
      <c r="I442" s="40"/>
      <c r="J442" s="37"/>
      <c r="K442" s="40"/>
      <c r="L442" s="41"/>
      <c r="M442" s="37"/>
      <c r="N442" s="41"/>
      <c r="O442" s="29"/>
    </row>
    <row r="443">
      <c r="A443" s="29"/>
      <c r="B443" s="36"/>
      <c r="C443" s="37"/>
      <c r="D443" s="37"/>
      <c r="E443" s="37"/>
      <c r="F443" s="38"/>
      <c r="G443" s="38"/>
      <c r="H443" s="39"/>
      <c r="I443" s="40"/>
      <c r="J443" s="37"/>
      <c r="K443" s="40"/>
      <c r="L443" s="41"/>
      <c r="M443" s="37"/>
      <c r="N443" s="41"/>
      <c r="O443" s="29"/>
    </row>
    <row r="444">
      <c r="A444" s="29"/>
      <c r="B444" s="36"/>
      <c r="C444" s="37"/>
      <c r="D444" s="37"/>
      <c r="E444" s="37"/>
      <c r="F444" s="38"/>
      <c r="G444" s="38"/>
      <c r="H444" s="39"/>
      <c r="I444" s="40"/>
      <c r="J444" s="37"/>
      <c r="K444" s="40"/>
      <c r="L444" s="41"/>
      <c r="M444" s="37"/>
      <c r="N444" s="41"/>
      <c r="O444" s="29"/>
    </row>
    <row r="445">
      <c r="A445" s="29"/>
      <c r="B445" s="36"/>
      <c r="C445" s="37"/>
      <c r="D445" s="37"/>
      <c r="E445" s="37"/>
      <c r="F445" s="38"/>
      <c r="G445" s="38"/>
      <c r="H445" s="39"/>
      <c r="I445" s="40"/>
      <c r="J445" s="37"/>
      <c r="K445" s="40"/>
      <c r="L445" s="41"/>
      <c r="M445" s="37"/>
      <c r="N445" s="41"/>
      <c r="O445" s="29"/>
    </row>
    <row r="446">
      <c r="A446" s="29"/>
      <c r="B446" s="36"/>
      <c r="C446" s="37"/>
      <c r="D446" s="37"/>
      <c r="E446" s="37"/>
      <c r="F446" s="38"/>
      <c r="G446" s="38"/>
      <c r="H446" s="39"/>
      <c r="I446" s="40"/>
      <c r="J446" s="37"/>
      <c r="K446" s="40"/>
      <c r="L446" s="41"/>
      <c r="M446" s="37"/>
      <c r="N446" s="41"/>
      <c r="O446" s="29"/>
    </row>
    <row r="447">
      <c r="A447" s="29"/>
      <c r="B447" s="36"/>
      <c r="C447" s="37"/>
      <c r="D447" s="37"/>
      <c r="E447" s="37"/>
      <c r="F447" s="38"/>
      <c r="G447" s="38"/>
      <c r="H447" s="39"/>
      <c r="I447" s="40"/>
      <c r="J447" s="37"/>
      <c r="K447" s="40"/>
      <c r="L447" s="41"/>
      <c r="M447" s="37"/>
      <c r="N447" s="41"/>
      <c r="O447" s="29"/>
    </row>
    <row r="448">
      <c r="A448" s="29"/>
      <c r="B448" s="36"/>
      <c r="C448" s="37"/>
      <c r="D448" s="37"/>
      <c r="E448" s="37"/>
      <c r="F448" s="38"/>
      <c r="G448" s="38"/>
      <c r="H448" s="39"/>
      <c r="I448" s="40"/>
      <c r="J448" s="37"/>
      <c r="K448" s="40"/>
      <c r="L448" s="41"/>
      <c r="M448" s="37"/>
      <c r="N448" s="41"/>
      <c r="O448" s="29"/>
    </row>
    <row r="449">
      <c r="A449" s="29"/>
      <c r="B449" s="36"/>
      <c r="C449" s="37"/>
      <c r="D449" s="37"/>
      <c r="E449" s="37"/>
      <c r="F449" s="38"/>
      <c r="G449" s="38"/>
      <c r="H449" s="39"/>
      <c r="I449" s="40"/>
      <c r="J449" s="37"/>
      <c r="K449" s="40"/>
      <c r="L449" s="41"/>
      <c r="M449" s="37"/>
      <c r="N449" s="41"/>
      <c r="O449" s="29"/>
    </row>
    <row r="450">
      <c r="A450" s="29"/>
      <c r="B450" s="36"/>
      <c r="C450" s="37"/>
      <c r="D450" s="37"/>
      <c r="E450" s="37"/>
      <c r="F450" s="38"/>
      <c r="G450" s="38"/>
      <c r="H450" s="39"/>
      <c r="I450" s="40"/>
      <c r="J450" s="37"/>
      <c r="K450" s="40"/>
      <c r="L450" s="41"/>
      <c r="M450" s="37"/>
      <c r="N450" s="41"/>
      <c r="O450" s="29"/>
    </row>
    <row r="451">
      <c r="A451" s="29"/>
      <c r="B451" s="36"/>
      <c r="C451" s="37"/>
      <c r="D451" s="37"/>
      <c r="E451" s="37"/>
      <c r="F451" s="38"/>
      <c r="G451" s="38"/>
      <c r="H451" s="39"/>
      <c r="I451" s="40"/>
      <c r="J451" s="37"/>
      <c r="K451" s="40"/>
      <c r="L451" s="41"/>
      <c r="M451" s="37"/>
      <c r="N451" s="41"/>
      <c r="O451" s="29"/>
    </row>
    <row r="452">
      <c r="A452" s="29"/>
      <c r="B452" s="36"/>
      <c r="C452" s="37"/>
      <c r="D452" s="37"/>
      <c r="E452" s="37"/>
      <c r="F452" s="38"/>
      <c r="G452" s="38"/>
      <c r="H452" s="39"/>
      <c r="I452" s="40"/>
      <c r="J452" s="37"/>
      <c r="K452" s="40"/>
      <c r="L452" s="41"/>
      <c r="M452" s="37"/>
      <c r="N452" s="41"/>
      <c r="O452" s="29"/>
    </row>
    <row r="453">
      <c r="A453" s="29"/>
      <c r="B453" s="36"/>
      <c r="C453" s="37"/>
      <c r="D453" s="37"/>
      <c r="E453" s="37"/>
      <c r="F453" s="38"/>
      <c r="G453" s="38"/>
      <c r="H453" s="39"/>
      <c r="I453" s="40"/>
      <c r="J453" s="37"/>
      <c r="K453" s="40"/>
      <c r="L453" s="41"/>
      <c r="M453" s="37"/>
      <c r="N453" s="41"/>
      <c r="O453" s="29"/>
    </row>
    <row r="454">
      <c r="A454" s="29"/>
      <c r="B454" s="36"/>
      <c r="C454" s="37"/>
      <c r="D454" s="37"/>
      <c r="E454" s="37"/>
      <c r="F454" s="38"/>
      <c r="G454" s="38"/>
      <c r="H454" s="39"/>
      <c r="I454" s="40"/>
      <c r="J454" s="37"/>
      <c r="K454" s="40"/>
      <c r="L454" s="41"/>
      <c r="M454" s="37"/>
      <c r="N454" s="41"/>
      <c r="O454" s="29"/>
    </row>
    <row r="455">
      <c r="A455" s="29"/>
      <c r="B455" s="36"/>
      <c r="C455" s="37"/>
      <c r="D455" s="37"/>
      <c r="E455" s="37"/>
      <c r="F455" s="38"/>
      <c r="G455" s="38"/>
      <c r="H455" s="39"/>
      <c r="I455" s="40"/>
      <c r="J455" s="37"/>
      <c r="K455" s="40"/>
      <c r="L455" s="41"/>
      <c r="M455" s="37"/>
      <c r="N455" s="41"/>
      <c r="O455" s="29"/>
    </row>
    <row r="456">
      <c r="A456" s="29"/>
      <c r="B456" s="36"/>
      <c r="C456" s="37"/>
      <c r="D456" s="37"/>
      <c r="E456" s="37"/>
      <c r="F456" s="38"/>
      <c r="G456" s="38"/>
      <c r="H456" s="39"/>
      <c r="I456" s="40"/>
      <c r="J456" s="37"/>
      <c r="K456" s="40"/>
      <c r="L456" s="41"/>
      <c r="M456" s="37"/>
      <c r="N456" s="41"/>
      <c r="O456" s="29"/>
    </row>
    <row r="457">
      <c r="A457" s="29"/>
      <c r="B457" s="36"/>
      <c r="C457" s="37"/>
      <c r="D457" s="37"/>
      <c r="E457" s="37"/>
      <c r="F457" s="38"/>
      <c r="G457" s="38"/>
      <c r="H457" s="39"/>
      <c r="I457" s="40"/>
      <c r="J457" s="37"/>
      <c r="K457" s="40"/>
      <c r="L457" s="41"/>
      <c r="M457" s="37"/>
      <c r="N457" s="41"/>
      <c r="O457" s="29"/>
    </row>
    <row r="458">
      <c r="A458" s="29"/>
      <c r="B458" s="36"/>
      <c r="C458" s="37"/>
      <c r="D458" s="37"/>
      <c r="E458" s="37"/>
      <c r="F458" s="38"/>
      <c r="G458" s="38"/>
      <c r="H458" s="39"/>
      <c r="I458" s="40"/>
      <c r="J458" s="37"/>
      <c r="K458" s="40"/>
      <c r="L458" s="41"/>
      <c r="M458" s="37"/>
      <c r="N458" s="41"/>
      <c r="O458" s="29"/>
    </row>
    <row r="459">
      <c r="A459" s="29"/>
      <c r="B459" s="36"/>
      <c r="C459" s="37"/>
      <c r="D459" s="37"/>
      <c r="E459" s="37"/>
      <c r="F459" s="38"/>
      <c r="G459" s="38"/>
      <c r="H459" s="39"/>
      <c r="I459" s="40"/>
      <c r="J459" s="37"/>
      <c r="K459" s="40"/>
      <c r="L459" s="41"/>
      <c r="M459" s="37"/>
      <c r="N459" s="41"/>
      <c r="O459" s="29"/>
    </row>
    <row r="460">
      <c r="A460" s="29"/>
      <c r="B460" s="36"/>
      <c r="C460" s="37"/>
      <c r="D460" s="37"/>
      <c r="E460" s="37"/>
      <c r="F460" s="38"/>
      <c r="G460" s="38"/>
      <c r="H460" s="39"/>
      <c r="I460" s="40"/>
      <c r="J460" s="37"/>
      <c r="K460" s="40"/>
      <c r="L460" s="41"/>
      <c r="M460" s="37"/>
      <c r="N460" s="41"/>
      <c r="O460" s="29"/>
    </row>
    <row r="461">
      <c r="A461" s="29"/>
      <c r="B461" s="36"/>
      <c r="C461" s="37"/>
      <c r="D461" s="37"/>
      <c r="E461" s="37"/>
      <c r="F461" s="38"/>
      <c r="G461" s="38"/>
      <c r="H461" s="39"/>
      <c r="I461" s="40"/>
      <c r="J461" s="37"/>
      <c r="K461" s="40"/>
      <c r="L461" s="41"/>
      <c r="M461" s="37"/>
      <c r="N461" s="41"/>
      <c r="O461" s="29"/>
    </row>
    <row r="462">
      <c r="A462" s="29"/>
      <c r="B462" s="36"/>
      <c r="C462" s="37"/>
      <c r="D462" s="37"/>
      <c r="E462" s="37"/>
      <c r="F462" s="38"/>
      <c r="G462" s="38"/>
      <c r="H462" s="39"/>
      <c r="I462" s="40"/>
      <c r="J462" s="37"/>
      <c r="K462" s="40"/>
      <c r="L462" s="41"/>
      <c r="M462" s="37"/>
      <c r="N462" s="41"/>
      <c r="O462" s="29"/>
    </row>
    <row r="463">
      <c r="A463" s="29"/>
      <c r="B463" s="36"/>
      <c r="C463" s="37"/>
      <c r="D463" s="37"/>
      <c r="E463" s="37"/>
      <c r="F463" s="38"/>
      <c r="G463" s="38"/>
      <c r="H463" s="39"/>
      <c r="I463" s="40"/>
      <c r="J463" s="37"/>
      <c r="K463" s="40"/>
      <c r="L463" s="41"/>
      <c r="M463" s="37"/>
      <c r="N463" s="41"/>
      <c r="O463" s="29"/>
    </row>
    <row r="464">
      <c r="A464" s="29"/>
      <c r="B464" s="36"/>
      <c r="C464" s="37"/>
      <c r="D464" s="37"/>
      <c r="E464" s="37"/>
      <c r="F464" s="38"/>
      <c r="G464" s="38"/>
      <c r="H464" s="39"/>
      <c r="I464" s="40"/>
      <c r="J464" s="37"/>
      <c r="K464" s="40"/>
      <c r="L464" s="41"/>
      <c r="M464" s="37"/>
      <c r="N464" s="41"/>
      <c r="O464" s="29"/>
    </row>
    <row r="465">
      <c r="A465" s="29"/>
      <c r="B465" s="36"/>
      <c r="C465" s="37"/>
      <c r="D465" s="37"/>
      <c r="E465" s="37"/>
      <c r="F465" s="38"/>
      <c r="G465" s="38"/>
      <c r="H465" s="39"/>
      <c r="I465" s="40"/>
      <c r="J465" s="37"/>
      <c r="K465" s="40"/>
      <c r="L465" s="41"/>
      <c r="M465" s="37"/>
      <c r="N465" s="41"/>
      <c r="O465" s="29"/>
    </row>
    <row r="466">
      <c r="A466" s="29"/>
      <c r="B466" s="36"/>
      <c r="C466" s="37"/>
      <c r="D466" s="37"/>
      <c r="E466" s="37"/>
      <c r="F466" s="38"/>
      <c r="G466" s="38"/>
      <c r="H466" s="39"/>
      <c r="I466" s="40"/>
      <c r="J466" s="37"/>
      <c r="K466" s="40"/>
      <c r="L466" s="41"/>
      <c r="M466" s="37"/>
      <c r="N466" s="41"/>
      <c r="O466" s="29"/>
    </row>
    <row r="467">
      <c r="A467" s="29"/>
      <c r="B467" s="36"/>
      <c r="C467" s="37"/>
      <c r="D467" s="37"/>
      <c r="E467" s="37"/>
      <c r="F467" s="38"/>
      <c r="G467" s="38"/>
      <c r="H467" s="39"/>
      <c r="I467" s="40"/>
      <c r="J467" s="37"/>
      <c r="K467" s="40"/>
      <c r="L467" s="41"/>
      <c r="M467" s="37"/>
      <c r="N467" s="41"/>
      <c r="O467" s="29"/>
    </row>
    <row r="468">
      <c r="A468" s="29"/>
      <c r="B468" s="36"/>
      <c r="C468" s="37"/>
      <c r="D468" s="37"/>
      <c r="E468" s="37"/>
      <c r="F468" s="38"/>
      <c r="G468" s="38"/>
      <c r="H468" s="39"/>
      <c r="I468" s="40"/>
      <c r="J468" s="37"/>
      <c r="K468" s="40"/>
      <c r="L468" s="41"/>
      <c r="M468" s="37"/>
      <c r="N468" s="41"/>
      <c r="O468" s="29"/>
    </row>
    <row r="469">
      <c r="A469" s="29"/>
      <c r="B469" s="36"/>
      <c r="C469" s="37"/>
      <c r="D469" s="37"/>
      <c r="E469" s="37"/>
      <c r="F469" s="38"/>
      <c r="G469" s="38"/>
      <c r="H469" s="39"/>
      <c r="I469" s="40"/>
      <c r="J469" s="37"/>
      <c r="K469" s="40"/>
      <c r="L469" s="41"/>
      <c r="M469" s="37"/>
      <c r="N469" s="41"/>
      <c r="O469" s="29"/>
    </row>
    <row r="470">
      <c r="A470" s="29"/>
      <c r="B470" s="36"/>
      <c r="C470" s="37"/>
      <c r="D470" s="37"/>
      <c r="E470" s="37"/>
      <c r="F470" s="38"/>
      <c r="G470" s="38"/>
      <c r="H470" s="39"/>
      <c r="I470" s="40"/>
      <c r="J470" s="37"/>
      <c r="K470" s="40"/>
      <c r="L470" s="41"/>
      <c r="M470" s="37"/>
      <c r="N470" s="41"/>
      <c r="O470" s="29"/>
    </row>
    <row r="471">
      <c r="A471" s="29"/>
      <c r="B471" s="36"/>
      <c r="C471" s="37"/>
      <c r="D471" s="37"/>
      <c r="E471" s="37"/>
      <c r="F471" s="38"/>
      <c r="G471" s="38"/>
      <c r="H471" s="39"/>
      <c r="I471" s="40"/>
      <c r="J471" s="37"/>
      <c r="K471" s="40"/>
      <c r="L471" s="41"/>
      <c r="M471" s="37"/>
      <c r="N471" s="41"/>
      <c r="O471" s="29"/>
    </row>
    <row r="472">
      <c r="A472" s="29"/>
      <c r="B472" s="36"/>
      <c r="C472" s="37"/>
      <c r="D472" s="37"/>
      <c r="E472" s="37"/>
      <c r="F472" s="38"/>
      <c r="G472" s="38"/>
      <c r="H472" s="39"/>
      <c r="I472" s="40"/>
      <c r="J472" s="37"/>
      <c r="K472" s="40"/>
      <c r="L472" s="41"/>
      <c r="M472" s="37"/>
      <c r="N472" s="41"/>
      <c r="O472" s="29"/>
    </row>
    <row r="473">
      <c r="A473" s="29"/>
      <c r="B473" s="36"/>
      <c r="C473" s="37"/>
      <c r="D473" s="37"/>
      <c r="E473" s="37"/>
      <c r="F473" s="38"/>
      <c r="G473" s="38"/>
      <c r="H473" s="39"/>
      <c r="I473" s="40"/>
      <c r="J473" s="37"/>
      <c r="K473" s="40"/>
      <c r="L473" s="41"/>
      <c r="M473" s="37"/>
      <c r="N473" s="41"/>
      <c r="O473" s="29"/>
    </row>
    <row r="474">
      <c r="A474" s="29"/>
      <c r="B474" s="36"/>
      <c r="C474" s="37"/>
      <c r="D474" s="37"/>
      <c r="E474" s="37"/>
      <c r="F474" s="38"/>
      <c r="G474" s="38"/>
      <c r="H474" s="39"/>
      <c r="I474" s="40"/>
      <c r="J474" s="37"/>
      <c r="K474" s="40"/>
      <c r="L474" s="41"/>
      <c r="M474" s="37"/>
      <c r="N474" s="41"/>
      <c r="O474" s="29"/>
    </row>
    <row r="475">
      <c r="A475" s="29"/>
      <c r="B475" s="36"/>
      <c r="C475" s="37"/>
      <c r="D475" s="37"/>
      <c r="E475" s="37"/>
      <c r="F475" s="38"/>
      <c r="G475" s="38"/>
      <c r="H475" s="39"/>
      <c r="I475" s="40"/>
      <c r="J475" s="37"/>
      <c r="K475" s="40"/>
      <c r="L475" s="41"/>
      <c r="M475" s="37"/>
      <c r="N475" s="41"/>
      <c r="O475" s="29"/>
    </row>
    <row r="476">
      <c r="A476" s="29"/>
      <c r="B476" s="36"/>
      <c r="C476" s="37"/>
      <c r="D476" s="37"/>
      <c r="E476" s="37"/>
      <c r="F476" s="38"/>
      <c r="G476" s="38"/>
      <c r="H476" s="39"/>
      <c r="I476" s="40"/>
      <c r="J476" s="37"/>
      <c r="K476" s="40"/>
      <c r="L476" s="41"/>
      <c r="M476" s="37"/>
      <c r="N476" s="41"/>
      <c r="O476" s="29"/>
    </row>
    <row r="477">
      <c r="A477" s="29"/>
      <c r="B477" s="36"/>
      <c r="C477" s="37"/>
      <c r="D477" s="37"/>
      <c r="E477" s="37"/>
      <c r="F477" s="38"/>
      <c r="G477" s="38"/>
      <c r="H477" s="39"/>
      <c r="I477" s="40"/>
      <c r="J477" s="37"/>
      <c r="K477" s="40"/>
      <c r="L477" s="41"/>
      <c r="M477" s="37"/>
      <c r="N477" s="41"/>
      <c r="O477" s="29"/>
    </row>
    <row r="478">
      <c r="A478" s="29"/>
      <c r="B478" s="36"/>
      <c r="C478" s="37"/>
      <c r="D478" s="37"/>
      <c r="E478" s="37"/>
      <c r="F478" s="38"/>
      <c r="G478" s="38"/>
      <c r="H478" s="39"/>
      <c r="I478" s="40"/>
      <c r="J478" s="37"/>
      <c r="K478" s="40"/>
      <c r="L478" s="41"/>
      <c r="M478" s="37"/>
      <c r="N478" s="41"/>
      <c r="O478" s="29"/>
    </row>
    <row r="479">
      <c r="A479" s="29"/>
      <c r="B479" s="36"/>
      <c r="C479" s="37"/>
      <c r="D479" s="37"/>
      <c r="E479" s="37"/>
      <c r="F479" s="38"/>
      <c r="G479" s="38"/>
      <c r="H479" s="39"/>
      <c r="I479" s="40"/>
      <c r="J479" s="37"/>
      <c r="K479" s="40"/>
      <c r="L479" s="41"/>
      <c r="M479" s="37"/>
      <c r="N479" s="41"/>
      <c r="O479" s="29"/>
    </row>
    <row r="480">
      <c r="A480" s="29"/>
      <c r="B480" s="36"/>
      <c r="C480" s="37"/>
      <c r="D480" s="37"/>
      <c r="E480" s="37"/>
      <c r="F480" s="38"/>
      <c r="G480" s="38"/>
      <c r="H480" s="39"/>
      <c r="I480" s="40"/>
      <c r="J480" s="37"/>
      <c r="K480" s="40"/>
      <c r="L480" s="41"/>
      <c r="M480" s="37"/>
      <c r="N480" s="41"/>
      <c r="O480" s="29"/>
    </row>
    <row r="481">
      <c r="A481" s="29"/>
      <c r="B481" s="36"/>
      <c r="C481" s="37"/>
      <c r="D481" s="37"/>
      <c r="E481" s="37"/>
      <c r="F481" s="38"/>
      <c r="G481" s="38"/>
      <c r="H481" s="39"/>
      <c r="I481" s="40"/>
      <c r="J481" s="37"/>
      <c r="K481" s="40"/>
      <c r="L481" s="41"/>
      <c r="M481" s="37"/>
      <c r="N481" s="41"/>
      <c r="O481" s="29"/>
    </row>
    <row r="482">
      <c r="A482" s="29"/>
      <c r="B482" s="36"/>
      <c r="C482" s="37"/>
      <c r="D482" s="37"/>
      <c r="E482" s="37"/>
      <c r="F482" s="38"/>
      <c r="G482" s="38"/>
      <c r="H482" s="39"/>
      <c r="I482" s="40"/>
      <c r="J482" s="37"/>
      <c r="K482" s="40"/>
      <c r="L482" s="41"/>
      <c r="M482" s="37"/>
      <c r="N482" s="41"/>
      <c r="O482" s="29"/>
    </row>
    <row r="483">
      <c r="A483" s="29"/>
      <c r="B483" s="36"/>
      <c r="C483" s="37"/>
      <c r="D483" s="37"/>
      <c r="E483" s="37"/>
      <c r="F483" s="38"/>
      <c r="G483" s="38"/>
      <c r="H483" s="39"/>
      <c r="I483" s="40"/>
      <c r="J483" s="37"/>
      <c r="K483" s="40"/>
      <c r="L483" s="41"/>
      <c r="M483" s="37"/>
      <c r="N483" s="41"/>
      <c r="O483" s="29"/>
    </row>
    <row r="484">
      <c r="A484" s="29"/>
      <c r="B484" s="36"/>
      <c r="C484" s="37"/>
      <c r="D484" s="37"/>
      <c r="E484" s="37"/>
      <c r="F484" s="38"/>
      <c r="G484" s="38"/>
      <c r="H484" s="39"/>
      <c r="I484" s="40"/>
      <c r="J484" s="37"/>
      <c r="K484" s="40"/>
      <c r="L484" s="41"/>
      <c r="M484" s="37"/>
      <c r="N484" s="41"/>
      <c r="O484" s="29"/>
    </row>
    <row r="485">
      <c r="A485" s="29"/>
      <c r="B485" s="36"/>
      <c r="C485" s="37"/>
      <c r="D485" s="37"/>
      <c r="E485" s="37"/>
      <c r="F485" s="38"/>
      <c r="G485" s="38"/>
      <c r="H485" s="39"/>
      <c r="I485" s="40"/>
      <c r="J485" s="37"/>
      <c r="K485" s="40"/>
      <c r="L485" s="41"/>
      <c r="M485" s="37"/>
      <c r="N485" s="41"/>
      <c r="O485" s="29"/>
    </row>
    <row r="486">
      <c r="A486" s="29"/>
      <c r="B486" s="36"/>
      <c r="C486" s="37"/>
      <c r="D486" s="37"/>
      <c r="E486" s="37"/>
      <c r="F486" s="38"/>
      <c r="G486" s="38"/>
      <c r="H486" s="39"/>
      <c r="I486" s="40"/>
      <c r="J486" s="37"/>
      <c r="K486" s="40"/>
      <c r="L486" s="41"/>
      <c r="M486" s="37"/>
      <c r="N486" s="41"/>
      <c r="O486" s="29"/>
    </row>
    <row r="487">
      <c r="A487" s="29"/>
      <c r="B487" s="36"/>
      <c r="C487" s="37"/>
      <c r="D487" s="37"/>
      <c r="E487" s="37"/>
      <c r="F487" s="38"/>
      <c r="G487" s="38"/>
      <c r="H487" s="39"/>
      <c r="I487" s="40"/>
      <c r="J487" s="37"/>
      <c r="K487" s="40"/>
      <c r="L487" s="41"/>
      <c r="M487" s="37"/>
      <c r="N487" s="41"/>
      <c r="O487" s="29"/>
    </row>
    <row r="488">
      <c r="A488" s="29"/>
      <c r="B488" s="36"/>
      <c r="C488" s="37"/>
      <c r="D488" s="37"/>
      <c r="E488" s="37"/>
      <c r="F488" s="38"/>
      <c r="G488" s="38"/>
      <c r="H488" s="39"/>
      <c r="I488" s="40"/>
      <c r="J488" s="37"/>
      <c r="K488" s="40"/>
      <c r="L488" s="41"/>
      <c r="M488" s="37"/>
      <c r="N488" s="41"/>
      <c r="O488" s="29"/>
    </row>
    <row r="489">
      <c r="A489" s="29"/>
      <c r="B489" s="36"/>
      <c r="C489" s="37"/>
      <c r="D489" s="37"/>
      <c r="E489" s="37"/>
      <c r="F489" s="38"/>
      <c r="G489" s="38"/>
      <c r="H489" s="39"/>
      <c r="I489" s="40"/>
      <c r="J489" s="37"/>
      <c r="K489" s="40"/>
      <c r="L489" s="41"/>
      <c r="M489" s="37"/>
      <c r="N489" s="41"/>
      <c r="O489" s="29"/>
    </row>
    <row r="490">
      <c r="A490" s="29"/>
      <c r="B490" s="36"/>
      <c r="C490" s="37"/>
      <c r="D490" s="37"/>
      <c r="E490" s="37"/>
      <c r="F490" s="38"/>
      <c r="G490" s="38"/>
      <c r="H490" s="39"/>
      <c r="I490" s="40"/>
      <c r="J490" s="37"/>
      <c r="K490" s="40"/>
      <c r="L490" s="41"/>
      <c r="M490" s="37"/>
      <c r="N490" s="41"/>
      <c r="O490" s="29"/>
    </row>
    <row r="491">
      <c r="A491" s="29"/>
      <c r="B491" s="36"/>
      <c r="C491" s="37"/>
      <c r="D491" s="37"/>
      <c r="E491" s="37"/>
      <c r="F491" s="38"/>
      <c r="G491" s="38"/>
      <c r="H491" s="39"/>
      <c r="I491" s="40"/>
      <c r="J491" s="37"/>
      <c r="K491" s="40"/>
      <c r="L491" s="41"/>
      <c r="M491" s="37"/>
      <c r="N491" s="41"/>
      <c r="O491" s="29"/>
    </row>
    <row r="492">
      <c r="A492" s="29"/>
      <c r="B492" s="36"/>
      <c r="C492" s="37"/>
      <c r="D492" s="37"/>
      <c r="E492" s="37"/>
      <c r="F492" s="38"/>
      <c r="G492" s="38"/>
      <c r="H492" s="39"/>
      <c r="I492" s="40"/>
      <c r="J492" s="37"/>
      <c r="K492" s="40"/>
      <c r="L492" s="41"/>
      <c r="M492" s="37"/>
      <c r="N492" s="41"/>
      <c r="O492" s="29"/>
    </row>
    <row r="493">
      <c r="A493" s="29"/>
      <c r="B493" s="36"/>
      <c r="C493" s="37"/>
      <c r="D493" s="37"/>
      <c r="E493" s="37"/>
      <c r="F493" s="38"/>
      <c r="G493" s="38"/>
      <c r="H493" s="39"/>
      <c r="I493" s="40"/>
      <c r="J493" s="37"/>
      <c r="K493" s="40"/>
      <c r="L493" s="41"/>
      <c r="M493" s="37"/>
      <c r="N493" s="41"/>
      <c r="O493" s="29"/>
    </row>
    <row r="494">
      <c r="A494" s="29"/>
      <c r="B494" s="36"/>
      <c r="C494" s="37"/>
      <c r="D494" s="37"/>
      <c r="E494" s="37"/>
      <c r="F494" s="38"/>
      <c r="G494" s="38"/>
      <c r="H494" s="39"/>
      <c r="I494" s="40"/>
      <c r="J494" s="37"/>
      <c r="K494" s="40"/>
      <c r="L494" s="41"/>
      <c r="M494" s="37"/>
      <c r="N494" s="41"/>
      <c r="O494" s="29"/>
    </row>
    <row r="495">
      <c r="A495" s="29"/>
      <c r="B495" s="36"/>
      <c r="C495" s="37"/>
      <c r="D495" s="37"/>
      <c r="E495" s="37"/>
      <c r="F495" s="38"/>
      <c r="G495" s="38"/>
      <c r="H495" s="39"/>
      <c r="I495" s="40"/>
      <c r="J495" s="37"/>
      <c r="K495" s="40"/>
      <c r="L495" s="41"/>
      <c r="M495" s="37"/>
      <c r="N495" s="41"/>
      <c r="O495" s="29"/>
    </row>
    <row r="496">
      <c r="A496" s="29"/>
      <c r="B496" s="36"/>
      <c r="C496" s="37"/>
      <c r="D496" s="37"/>
      <c r="E496" s="37"/>
      <c r="F496" s="38"/>
      <c r="G496" s="38"/>
      <c r="H496" s="39"/>
      <c r="I496" s="40"/>
      <c r="J496" s="37"/>
      <c r="K496" s="40"/>
      <c r="L496" s="41"/>
      <c r="M496" s="37"/>
      <c r="N496" s="41"/>
      <c r="O496" s="29"/>
    </row>
    <row r="497">
      <c r="A497" s="29"/>
      <c r="B497" s="36"/>
      <c r="C497" s="37"/>
      <c r="D497" s="37"/>
      <c r="E497" s="37"/>
      <c r="F497" s="38"/>
      <c r="G497" s="38"/>
      <c r="H497" s="39"/>
      <c r="I497" s="40"/>
      <c r="J497" s="37"/>
      <c r="K497" s="40"/>
      <c r="L497" s="41"/>
      <c r="M497" s="37"/>
      <c r="N497" s="41"/>
      <c r="O497" s="29"/>
    </row>
    <row r="498">
      <c r="A498" s="29"/>
      <c r="B498" s="36"/>
      <c r="C498" s="37"/>
      <c r="D498" s="37"/>
      <c r="E498" s="37"/>
      <c r="F498" s="38"/>
      <c r="G498" s="38"/>
      <c r="H498" s="39"/>
      <c r="I498" s="40"/>
      <c r="J498" s="37"/>
      <c r="K498" s="40"/>
      <c r="L498" s="41"/>
      <c r="M498" s="37"/>
      <c r="N498" s="41"/>
      <c r="O498" s="29"/>
    </row>
    <row r="499">
      <c r="A499" s="29"/>
      <c r="B499" s="36"/>
      <c r="C499" s="37"/>
      <c r="D499" s="37"/>
      <c r="E499" s="37"/>
      <c r="F499" s="38"/>
      <c r="G499" s="38"/>
      <c r="H499" s="39"/>
      <c r="I499" s="40"/>
      <c r="J499" s="37"/>
      <c r="K499" s="40"/>
      <c r="L499" s="41"/>
      <c r="M499" s="37"/>
      <c r="N499" s="41"/>
      <c r="O499" s="29"/>
    </row>
    <row r="500">
      <c r="A500" s="29"/>
      <c r="B500" s="36"/>
      <c r="C500" s="37"/>
      <c r="D500" s="37"/>
      <c r="E500" s="37"/>
      <c r="F500" s="38"/>
      <c r="G500" s="38"/>
      <c r="H500" s="39"/>
      <c r="I500" s="40"/>
      <c r="J500" s="37"/>
      <c r="K500" s="40"/>
      <c r="L500" s="41"/>
      <c r="M500" s="37"/>
      <c r="N500" s="41"/>
      <c r="O500" s="29"/>
    </row>
    <row r="501">
      <c r="A501" s="29"/>
      <c r="B501" s="36"/>
      <c r="C501" s="37"/>
      <c r="D501" s="37"/>
      <c r="E501" s="37"/>
      <c r="F501" s="38"/>
      <c r="G501" s="38"/>
      <c r="H501" s="39"/>
      <c r="I501" s="40"/>
      <c r="J501" s="37"/>
      <c r="K501" s="40"/>
      <c r="L501" s="41"/>
      <c r="M501" s="37"/>
      <c r="N501" s="41"/>
      <c r="O501" s="29"/>
    </row>
    <row r="502">
      <c r="A502" s="29"/>
      <c r="B502" s="36"/>
      <c r="C502" s="37"/>
      <c r="D502" s="37"/>
      <c r="E502" s="37"/>
      <c r="F502" s="38"/>
      <c r="G502" s="38"/>
      <c r="H502" s="39"/>
      <c r="I502" s="40"/>
      <c r="J502" s="37"/>
      <c r="K502" s="40"/>
      <c r="L502" s="41"/>
      <c r="M502" s="37"/>
      <c r="N502" s="41"/>
      <c r="O502" s="29"/>
    </row>
    <row r="503">
      <c r="A503" s="29"/>
      <c r="B503" s="36"/>
      <c r="C503" s="37"/>
      <c r="D503" s="37"/>
      <c r="E503" s="37"/>
      <c r="F503" s="38"/>
      <c r="G503" s="38"/>
      <c r="H503" s="39"/>
      <c r="I503" s="40"/>
      <c r="J503" s="37"/>
      <c r="K503" s="40"/>
      <c r="L503" s="41"/>
      <c r="M503" s="37"/>
      <c r="N503" s="41"/>
      <c r="O503" s="29"/>
    </row>
    <row r="504">
      <c r="A504" s="29"/>
      <c r="B504" s="36"/>
      <c r="C504" s="37"/>
      <c r="D504" s="37"/>
      <c r="E504" s="37"/>
      <c r="F504" s="38"/>
      <c r="G504" s="38"/>
      <c r="H504" s="39"/>
      <c r="I504" s="40"/>
      <c r="J504" s="37"/>
      <c r="K504" s="40"/>
      <c r="L504" s="41"/>
      <c r="M504" s="37"/>
      <c r="N504" s="41"/>
      <c r="O504" s="29"/>
    </row>
    <row r="505">
      <c r="A505" s="29"/>
      <c r="B505" s="36"/>
      <c r="C505" s="37"/>
      <c r="D505" s="37"/>
      <c r="E505" s="37"/>
      <c r="F505" s="38"/>
      <c r="G505" s="38"/>
      <c r="H505" s="39"/>
      <c r="I505" s="40"/>
      <c r="J505" s="37"/>
      <c r="K505" s="40"/>
      <c r="L505" s="41"/>
      <c r="M505" s="37"/>
      <c r="N505" s="41"/>
      <c r="O505" s="29"/>
    </row>
    <row r="506">
      <c r="A506" s="29"/>
      <c r="B506" s="36"/>
      <c r="C506" s="37"/>
      <c r="D506" s="37"/>
      <c r="E506" s="37"/>
      <c r="F506" s="38"/>
      <c r="G506" s="38"/>
      <c r="H506" s="39"/>
      <c r="I506" s="40"/>
      <c r="J506" s="37"/>
      <c r="K506" s="40"/>
      <c r="L506" s="41"/>
      <c r="M506" s="37"/>
      <c r="N506" s="41"/>
      <c r="O506" s="29"/>
    </row>
    <row r="507">
      <c r="A507" s="29"/>
      <c r="B507" s="36"/>
      <c r="C507" s="37"/>
      <c r="D507" s="37"/>
      <c r="E507" s="37"/>
      <c r="F507" s="38"/>
      <c r="G507" s="38"/>
      <c r="H507" s="39"/>
      <c r="I507" s="40"/>
      <c r="J507" s="37"/>
      <c r="K507" s="40"/>
      <c r="L507" s="41"/>
      <c r="M507" s="37"/>
      <c r="N507" s="41"/>
      <c r="O507" s="29"/>
    </row>
    <row r="508">
      <c r="A508" s="29"/>
      <c r="B508" s="36"/>
      <c r="C508" s="37"/>
      <c r="D508" s="37"/>
      <c r="E508" s="37"/>
      <c r="F508" s="38"/>
      <c r="G508" s="38"/>
      <c r="H508" s="39"/>
      <c r="I508" s="40"/>
      <c r="J508" s="37"/>
      <c r="K508" s="40"/>
      <c r="L508" s="41"/>
      <c r="M508" s="37"/>
      <c r="N508" s="41"/>
      <c r="O508" s="29"/>
    </row>
    <row r="509">
      <c r="A509" s="29"/>
      <c r="B509" s="36"/>
      <c r="C509" s="37"/>
      <c r="D509" s="37"/>
      <c r="E509" s="37"/>
      <c r="F509" s="38"/>
      <c r="G509" s="38"/>
      <c r="H509" s="39"/>
      <c r="I509" s="40"/>
      <c r="J509" s="37"/>
      <c r="K509" s="40"/>
      <c r="L509" s="41"/>
      <c r="M509" s="37"/>
      <c r="N509" s="41"/>
      <c r="O509" s="29"/>
    </row>
    <row r="510">
      <c r="A510" s="29"/>
      <c r="B510" s="36"/>
      <c r="C510" s="37"/>
      <c r="D510" s="37"/>
      <c r="E510" s="37"/>
      <c r="F510" s="38"/>
      <c r="G510" s="38"/>
      <c r="H510" s="39"/>
      <c r="I510" s="40"/>
      <c r="J510" s="37"/>
      <c r="K510" s="40"/>
      <c r="L510" s="41"/>
      <c r="M510" s="37"/>
      <c r="N510" s="41"/>
      <c r="O510" s="29"/>
    </row>
    <row r="511">
      <c r="A511" s="29"/>
      <c r="B511" s="36"/>
      <c r="C511" s="37"/>
      <c r="D511" s="37"/>
      <c r="E511" s="37"/>
      <c r="F511" s="38"/>
      <c r="G511" s="38"/>
      <c r="H511" s="39"/>
      <c r="I511" s="40"/>
      <c r="J511" s="37"/>
      <c r="K511" s="40"/>
      <c r="L511" s="41"/>
      <c r="M511" s="37"/>
      <c r="N511" s="41"/>
      <c r="O511" s="29"/>
    </row>
    <row r="512">
      <c r="A512" s="29"/>
      <c r="B512" s="36"/>
      <c r="C512" s="37"/>
      <c r="D512" s="37"/>
      <c r="E512" s="37"/>
      <c r="F512" s="38"/>
      <c r="G512" s="38"/>
      <c r="H512" s="39"/>
      <c r="I512" s="40"/>
      <c r="J512" s="37"/>
      <c r="K512" s="40"/>
      <c r="L512" s="41"/>
      <c r="M512" s="37"/>
      <c r="N512" s="41"/>
      <c r="O512" s="29"/>
    </row>
    <row r="513">
      <c r="A513" s="29"/>
      <c r="B513" s="36"/>
      <c r="C513" s="37"/>
      <c r="D513" s="37"/>
      <c r="E513" s="37"/>
      <c r="F513" s="38"/>
      <c r="G513" s="38"/>
      <c r="H513" s="39"/>
      <c r="I513" s="40"/>
      <c r="J513" s="37"/>
      <c r="K513" s="40"/>
      <c r="L513" s="41"/>
      <c r="M513" s="37"/>
      <c r="N513" s="41"/>
      <c r="O513" s="29"/>
    </row>
    <row r="514">
      <c r="A514" s="29"/>
      <c r="B514" s="36"/>
      <c r="C514" s="37"/>
      <c r="D514" s="37"/>
      <c r="E514" s="37"/>
      <c r="F514" s="38"/>
      <c r="G514" s="38"/>
      <c r="H514" s="39"/>
      <c r="I514" s="40"/>
      <c r="J514" s="37"/>
      <c r="K514" s="40"/>
      <c r="L514" s="41"/>
      <c r="M514" s="37"/>
      <c r="N514" s="41"/>
      <c r="O514" s="29"/>
    </row>
    <row r="515">
      <c r="A515" s="29"/>
      <c r="B515" s="36"/>
      <c r="C515" s="37"/>
      <c r="D515" s="37"/>
      <c r="E515" s="37"/>
      <c r="F515" s="38"/>
      <c r="G515" s="38"/>
      <c r="H515" s="39"/>
      <c r="I515" s="40"/>
      <c r="J515" s="37"/>
      <c r="K515" s="40"/>
      <c r="L515" s="41"/>
      <c r="M515" s="37"/>
      <c r="N515" s="41"/>
      <c r="O515" s="29"/>
    </row>
    <row r="516">
      <c r="A516" s="29"/>
      <c r="B516" s="36"/>
      <c r="C516" s="37"/>
      <c r="D516" s="37"/>
      <c r="E516" s="37"/>
      <c r="F516" s="38"/>
      <c r="G516" s="38"/>
      <c r="H516" s="39"/>
      <c r="I516" s="40"/>
      <c r="J516" s="37"/>
      <c r="K516" s="40"/>
      <c r="L516" s="41"/>
      <c r="M516" s="37"/>
      <c r="N516" s="41"/>
      <c r="O516" s="29"/>
    </row>
    <row r="517">
      <c r="A517" s="29"/>
      <c r="B517" s="36"/>
      <c r="C517" s="37"/>
      <c r="D517" s="37"/>
      <c r="E517" s="37"/>
      <c r="F517" s="38"/>
      <c r="G517" s="38"/>
      <c r="H517" s="39"/>
      <c r="I517" s="40"/>
      <c r="J517" s="37"/>
      <c r="K517" s="40"/>
      <c r="L517" s="41"/>
      <c r="M517" s="37"/>
      <c r="N517" s="41"/>
      <c r="O517" s="29"/>
    </row>
    <row r="518">
      <c r="A518" s="29"/>
      <c r="B518" s="36"/>
      <c r="C518" s="37"/>
      <c r="D518" s="37"/>
      <c r="E518" s="37"/>
      <c r="F518" s="38"/>
      <c r="G518" s="38"/>
      <c r="H518" s="39"/>
      <c r="I518" s="40"/>
      <c r="J518" s="37"/>
      <c r="K518" s="40"/>
      <c r="L518" s="41"/>
      <c r="M518" s="37"/>
      <c r="N518" s="41"/>
      <c r="O518" s="29"/>
    </row>
    <row r="519">
      <c r="A519" s="29"/>
      <c r="B519" s="36"/>
      <c r="C519" s="37"/>
      <c r="D519" s="37"/>
      <c r="E519" s="37"/>
      <c r="F519" s="38"/>
      <c r="G519" s="38"/>
      <c r="H519" s="39"/>
      <c r="I519" s="40"/>
      <c r="J519" s="37"/>
      <c r="K519" s="40"/>
      <c r="L519" s="41"/>
      <c r="M519" s="37"/>
      <c r="N519" s="41"/>
      <c r="O519" s="29"/>
    </row>
    <row r="520">
      <c r="A520" s="29"/>
      <c r="B520" s="36"/>
      <c r="C520" s="37"/>
      <c r="D520" s="37"/>
      <c r="E520" s="37"/>
      <c r="F520" s="38"/>
      <c r="G520" s="38"/>
      <c r="H520" s="39"/>
      <c r="I520" s="40"/>
      <c r="J520" s="37"/>
      <c r="K520" s="40"/>
      <c r="L520" s="41"/>
      <c r="M520" s="37"/>
      <c r="N520" s="41"/>
      <c r="O520" s="29"/>
    </row>
    <row r="521">
      <c r="A521" s="29"/>
      <c r="B521" s="36"/>
      <c r="C521" s="37"/>
      <c r="D521" s="37"/>
      <c r="E521" s="37"/>
      <c r="F521" s="38"/>
      <c r="G521" s="38"/>
      <c r="H521" s="39"/>
      <c r="I521" s="40"/>
      <c r="J521" s="37"/>
      <c r="K521" s="40"/>
      <c r="L521" s="41"/>
      <c r="M521" s="37"/>
      <c r="N521" s="41"/>
      <c r="O521" s="29"/>
    </row>
    <row r="522">
      <c r="A522" s="29"/>
      <c r="B522" s="36"/>
      <c r="C522" s="37"/>
      <c r="D522" s="37"/>
      <c r="E522" s="37"/>
      <c r="F522" s="38"/>
      <c r="G522" s="38"/>
      <c r="H522" s="39"/>
      <c r="I522" s="40"/>
      <c r="J522" s="37"/>
      <c r="K522" s="40"/>
      <c r="L522" s="41"/>
      <c r="M522" s="37"/>
      <c r="N522" s="41"/>
      <c r="O522" s="29"/>
    </row>
    <row r="523">
      <c r="A523" s="29"/>
      <c r="B523" s="36"/>
      <c r="C523" s="37"/>
      <c r="D523" s="37"/>
      <c r="E523" s="37"/>
      <c r="F523" s="38"/>
      <c r="G523" s="38"/>
      <c r="H523" s="39"/>
      <c r="I523" s="40"/>
      <c r="J523" s="37"/>
      <c r="K523" s="40"/>
      <c r="L523" s="41"/>
      <c r="M523" s="37"/>
      <c r="N523" s="41"/>
      <c r="O523" s="29"/>
    </row>
    <row r="524">
      <c r="A524" s="29"/>
      <c r="B524" s="36"/>
      <c r="C524" s="37"/>
      <c r="D524" s="37"/>
      <c r="E524" s="37"/>
      <c r="F524" s="38"/>
      <c r="G524" s="38"/>
      <c r="H524" s="39"/>
      <c r="I524" s="40"/>
      <c r="J524" s="37"/>
      <c r="K524" s="40"/>
      <c r="L524" s="41"/>
      <c r="M524" s="37"/>
      <c r="N524" s="41"/>
      <c r="O524" s="29"/>
    </row>
    <row r="525">
      <c r="A525" s="29"/>
      <c r="B525" s="36"/>
      <c r="C525" s="37"/>
      <c r="D525" s="37"/>
      <c r="E525" s="37"/>
      <c r="F525" s="38"/>
      <c r="G525" s="38"/>
      <c r="H525" s="39"/>
      <c r="I525" s="40"/>
      <c r="J525" s="37"/>
      <c r="K525" s="40"/>
      <c r="L525" s="41"/>
      <c r="M525" s="37"/>
      <c r="N525" s="41"/>
      <c r="O525" s="29"/>
    </row>
    <row r="526">
      <c r="A526" s="29"/>
      <c r="B526" s="36"/>
      <c r="C526" s="37"/>
      <c r="D526" s="37"/>
      <c r="E526" s="37"/>
      <c r="F526" s="38"/>
      <c r="G526" s="38"/>
      <c r="H526" s="39"/>
      <c r="I526" s="40"/>
      <c r="J526" s="37"/>
      <c r="K526" s="40"/>
      <c r="L526" s="41"/>
      <c r="M526" s="37"/>
      <c r="N526" s="41"/>
      <c r="O526" s="29"/>
    </row>
    <row r="527">
      <c r="A527" s="29"/>
      <c r="B527" s="36"/>
      <c r="C527" s="37"/>
      <c r="D527" s="37"/>
      <c r="E527" s="37"/>
      <c r="F527" s="38"/>
      <c r="G527" s="38"/>
      <c r="H527" s="39"/>
      <c r="I527" s="40"/>
      <c r="J527" s="37"/>
      <c r="K527" s="40"/>
      <c r="L527" s="41"/>
      <c r="M527" s="37"/>
      <c r="N527" s="41"/>
      <c r="O527" s="29"/>
    </row>
    <row r="528">
      <c r="A528" s="29"/>
      <c r="B528" s="36"/>
      <c r="C528" s="37"/>
      <c r="D528" s="37"/>
      <c r="E528" s="37"/>
      <c r="F528" s="38"/>
      <c r="G528" s="38"/>
      <c r="H528" s="39"/>
      <c r="I528" s="40"/>
      <c r="J528" s="37"/>
      <c r="K528" s="40"/>
      <c r="L528" s="41"/>
      <c r="M528" s="37"/>
      <c r="N528" s="41"/>
      <c r="O528" s="29"/>
    </row>
    <row r="529">
      <c r="A529" s="29"/>
      <c r="B529" s="36"/>
      <c r="C529" s="37"/>
      <c r="D529" s="37"/>
      <c r="E529" s="37"/>
      <c r="F529" s="38"/>
      <c r="G529" s="38"/>
      <c r="H529" s="39"/>
      <c r="I529" s="40"/>
      <c r="J529" s="37"/>
      <c r="K529" s="40"/>
      <c r="L529" s="41"/>
      <c r="M529" s="37"/>
      <c r="N529" s="41"/>
      <c r="O529" s="29"/>
    </row>
    <row r="530">
      <c r="A530" s="29"/>
      <c r="B530" s="36"/>
      <c r="C530" s="37"/>
      <c r="D530" s="37"/>
      <c r="E530" s="37"/>
      <c r="F530" s="38"/>
      <c r="G530" s="38"/>
      <c r="H530" s="39"/>
      <c r="I530" s="40"/>
      <c r="J530" s="37"/>
      <c r="K530" s="40"/>
      <c r="L530" s="41"/>
      <c r="M530" s="37"/>
      <c r="N530" s="41"/>
      <c r="O530" s="29"/>
    </row>
    <row r="531">
      <c r="A531" s="29"/>
      <c r="B531" s="36"/>
      <c r="C531" s="37"/>
      <c r="D531" s="37"/>
      <c r="E531" s="37"/>
      <c r="F531" s="38"/>
      <c r="G531" s="38"/>
      <c r="H531" s="39"/>
      <c r="I531" s="40"/>
      <c r="J531" s="37"/>
      <c r="K531" s="40"/>
      <c r="L531" s="41"/>
      <c r="M531" s="37"/>
      <c r="N531" s="41"/>
      <c r="O531" s="29"/>
    </row>
    <row r="532">
      <c r="A532" s="29"/>
      <c r="B532" s="36"/>
      <c r="C532" s="37"/>
      <c r="D532" s="37"/>
      <c r="E532" s="37"/>
      <c r="F532" s="38"/>
      <c r="G532" s="38"/>
      <c r="H532" s="39"/>
      <c r="I532" s="40"/>
      <c r="J532" s="37"/>
      <c r="K532" s="40"/>
      <c r="L532" s="41"/>
      <c r="M532" s="37"/>
      <c r="N532" s="41"/>
      <c r="O532" s="29"/>
    </row>
    <row r="533">
      <c r="A533" s="29"/>
      <c r="B533" s="36"/>
      <c r="C533" s="37"/>
      <c r="D533" s="37"/>
      <c r="E533" s="37"/>
      <c r="F533" s="38"/>
      <c r="G533" s="38"/>
      <c r="H533" s="39"/>
      <c r="I533" s="40"/>
      <c r="J533" s="37"/>
      <c r="K533" s="40"/>
      <c r="L533" s="41"/>
      <c r="M533" s="37"/>
      <c r="N533" s="41"/>
      <c r="O533" s="29"/>
    </row>
    <row r="534">
      <c r="A534" s="29"/>
      <c r="B534" s="36"/>
      <c r="C534" s="37"/>
      <c r="D534" s="37"/>
      <c r="E534" s="37"/>
      <c r="F534" s="38"/>
      <c r="G534" s="38"/>
      <c r="H534" s="39"/>
      <c r="I534" s="40"/>
      <c r="J534" s="37"/>
      <c r="K534" s="40"/>
      <c r="L534" s="41"/>
      <c r="M534" s="37"/>
      <c r="N534" s="41"/>
      <c r="O534" s="29"/>
    </row>
    <row r="535">
      <c r="A535" s="29"/>
      <c r="B535" s="36"/>
      <c r="C535" s="37"/>
      <c r="D535" s="37"/>
      <c r="E535" s="37"/>
      <c r="F535" s="38"/>
      <c r="G535" s="38"/>
      <c r="H535" s="39"/>
      <c r="I535" s="40"/>
      <c r="J535" s="37"/>
      <c r="K535" s="40"/>
      <c r="L535" s="41"/>
      <c r="M535" s="37"/>
      <c r="N535" s="41"/>
      <c r="O535" s="29"/>
    </row>
    <row r="536">
      <c r="A536" s="29"/>
      <c r="B536" s="36"/>
      <c r="C536" s="37"/>
      <c r="D536" s="37"/>
      <c r="E536" s="37"/>
      <c r="F536" s="38"/>
      <c r="G536" s="38"/>
      <c r="H536" s="39"/>
      <c r="I536" s="40"/>
      <c r="J536" s="37"/>
      <c r="K536" s="40"/>
      <c r="L536" s="41"/>
      <c r="M536" s="37"/>
      <c r="N536" s="41"/>
      <c r="O536" s="29"/>
    </row>
    <row r="537">
      <c r="A537" s="29"/>
      <c r="B537" s="36"/>
      <c r="C537" s="37"/>
      <c r="D537" s="37"/>
      <c r="E537" s="37"/>
      <c r="F537" s="38"/>
      <c r="G537" s="38"/>
      <c r="H537" s="39"/>
      <c r="I537" s="40"/>
      <c r="J537" s="37"/>
      <c r="K537" s="40"/>
      <c r="L537" s="41"/>
      <c r="M537" s="37"/>
      <c r="N537" s="41"/>
      <c r="O537" s="29"/>
    </row>
    <row r="538">
      <c r="A538" s="29"/>
      <c r="B538" s="36"/>
      <c r="C538" s="37"/>
      <c r="D538" s="37"/>
      <c r="E538" s="37"/>
      <c r="F538" s="38"/>
      <c r="G538" s="38"/>
      <c r="H538" s="39"/>
      <c r="I538" s="40"/>
      <c r="J538" s="37"/>
      <c r="K538" s="40"/>
      <c r="L538" s="41"/>
      <c r="M538" s="37"/>
      <c r="N538" s="41"/>
      <c r="O538" s="29"/>
    </row>
    <row r="539">
      <c r="A539" s="29"/>
      <c r="B539" s="36"/>
      <c r="C539" s="37"/>
      <c r="D539" s="37"/>
      <c r="E539" s="37"/>
      <c r="F539" s="38"/>
      <c r="G539" s="38"/>
      <c r="H539" s="39"/>
      <c r="I539" s="40"/>
      <c r="J539" s="37"/>
      <c r="K539" s="40"/>
      <c r="L539" s="41"/>
      <c r="M539" s="37"/>
      <c r="N539" s="41"/>
      <c r="O539" s="29"/>
    </row>
    <row r="540">
      <c r="A540" s="29"/>
      <c r="B540" s="36"/>
      <c r="C540" s="37"/>
      <c r="D540" s="37"/>
      <c r="E540" s="37"/>
      <c r="F540" s="38"/>
      <c r="G540" s="38"/>
      <c r="H540" s="39"/>
      <c r="I540" s="40"/>
      <c r="J540" s="37"/>
      <c r="K540" s="40"/>
      <c r="L540" s="41"/>
      <c r="M540" s="37"/>
      <c r="N540" s="41"/>
      <c r="O540" s="29"/>
    </row>
    <row r="541">
      <c r="A541" s="29"/>
      <c r="B541" s="36"/>
      <c r="C541" s="37"/>
      <c r="D541" s="37"/>
      <c r="E541" s="37"/>
      <c r="F541" s="38"/>
      <c r="G541" s="38"/>
      <c r="H541" s="39"/>
      <c r="I541" s="40"/>
      <c r="J541" s="37"/>
      <c r="K541" s="40"/>
      <c r="L541" s="41"/>
      <c r="M541" s="37"/>
      <c r="N541" s="41"/>
      <c r="O541" s="29"/>
    </row>
    <row r="542">
      <c r="A542" s="29"/>
      <c r="B542" s="36"/>
      <c r="C542" s="37"/>
      <c r="D542" s="37"/>
      <c r="E542" s="37"/>
      <c r="F542" s="38"/>
      <c r="G542" s="38"/>
      <c r="H542" s="39"/>
      <c r="I542" s="40"/>
      <c r="J542" s="37"/>
      <c r="K542" s="40"/>
      <c r="L542" s="41"/>
      <c r="M542" s="37"/>
      <c r="N542" s="41"/>
      <c r="O542" s="29"/>
    </row>
    <row r="543">
      <c r="A543" s="29"/>
      <c r="B543" s="36"/>
      <c r="C543" s="37"/>
      <c r="D543" s="37"/>
      <c r="E543" s="37"/>
      <c r="F543" s="38"/>
      <c r="G543" s="38"/>
      <c r="H543" s="39"/>
      <c r="I543" s="40"/>
      <c r="J543" s="37"/>
      <c r="K543" s="40"/>
      <c r="L543" s="41"/>
      <c r="M543" s="37"/>
      <c r="N543" s="41"/>
      <c r="O543" s="29"/>
    </row>
    <row r="544">
      <c r="A544" s="29"/>
      <c r="B544" s="36"/>
      <c r="C544" s="37"/>
      <c r="D544" s="37"/>
      <c r="E544" s="37"/>
      <c r="F544" s="38"/>
      <c r="G544" s="38"/>
      <c r="H544" s="39"/>
      <c r="I544" s="40"/>
      <c r="J544" s="37"/>
      <c r="K544" s="40"/>
      <c r="L544" s="41"/>
      <c r="M544" s="37"/>
      <c r="N544" s="41"/>
      <c r="O544" s="29"/>
    </row>
    <row r="545">
      <c r="A545" s="29"/>
      <c r="B545" s="36"/>
      <c r="C545" s="37"/>
      <c r="D545" s="37"/>
      <c r="E545" s="37"/>
      <c r="F545" s="38"/>
      <c r="G545" s="38"/>
      <c r="H545" s="39"/>
      <c r="I545" s="40"/>
      <c r="J545" s="37"/>
      <c r="K545" s="40"/>
      <c r="L545" s="41"/>
      <c r="M545" s="37"/>
      <c r="N545" s="41"/>
      <c r="O545" s="29"/>
    </row>
    <row r="546">
      <c r="A546" s="29"/>
      <c r="B546" s="36"/>
      <c r="C546" s="37"/>
      <c r="D546" s="37"/>
      <c r="E546" s="37"/>
      <c r="F546" s="38"/>
      <c r="G546" s="38"/>
      <c r="H546" s="39"/>
      <c r="I546" s="40"/>
      <c r="J546" s="37"/>
      <c r="K546" s="40"/>
      <c r="L546" s="41"/>
      <c r="M546" s="37"/>
      <c r="N546" s="41"/>
      <c r="O546" s="29"/>
    </row>
    <row r="547">
      <c r="A547" s="29"/>
      <c r="B547" s="36"/>
      <c r="C547" s="37"/>
      <c r="D547" s="37"/>
      <c r="E547" s="37"/>
      <c r="F547" s="38"/>
      <c r="G547" s="38"/>
      <c r="H547" s="39"/>
      <c r="I547" s="40"/>
      <c r="J547" s="37"/>
      <c r="K547" s="40"/>
      <c r="L547" s="41"/>
      <c r="M547" s="37"/>
      <c r="N547" s="41"/>
      <c r="O547" s="29"/>
    </row>
    <row r="548">
      <c r="A548" s="29"/>
      <c r="B548" s="36"/>
      <c r="C548" s="37"/>
      <c r="D548" s="37"/>
      <c r="E548" s="37"/>
      <c r="F548" s="38"/>
      <c r="G548" s="38"/>
      <c r="H548" s="39"/>
      <c r="I548" s="40"/>
      <c r="J548" s="37"/>
      <c r="K548" s="40"/>
      <c r="L548" s="41"/>
      <c r="M548" s="37"/>
      <c r="N548" s="41"/>
      <c r="O548" s="29"/>
    </row>
    <row r="549">
      <c r="A549" s="29"/>
      <c r="B549" s="36"/>
      <c r="C549" s="37"/>
      <c r="D549" s="37"/>
      <c r="E549" s="37"/>
      <c r="F549" s="38"/>
      <c r="G549" s="38"/>
      <c r="H549" s="39"/>
      <c r="I549" s="40"/>
      <c r="J549" s="37"/>
      <c r="K549" s="40"/>
      <c r="L549" s="41"/>
      <c r="M549" s="37"/>
      <c r="N549" s="41"/>
      <c r="O549" s="29"/>
    </row>
    <row r="550">
      <c r="A550" s="29"/>
      <c r="B550" s="36"/>
      <c r="C550" s="37"/>
      <c r="D550" s="37"/>
      <c r="E550" s="37"/>
      <c r="F550" s="38"/>
      <c r="G550" s="38"/>
      <c r="H550" s="39"/>
      <c r="I550" s="40"/>
      <c r="J550" s="37"/>
      <c r="K550" s="40"/>
      <c r="L550" s="41"/>
      <c r="M550" s="37"/>
      <c r="N550" s="41"/>
      <c r="O550" s="29"/>
    </row>
    <row r="551">
      <c r="A551" s="29"/>
      <c r="B551" s="36"/>
      <c r="C551" s="37"/>
      <c r="D551" s="37"/>
      <c r="E551" s="37"/>
      <c r="F551" s="38"/>
      <c r="G551" s="38"/>
      <c r="H551" s="39"/>
      <c r="I551" s="40"/>
      <c r="J551" s="37"/>
      <c r="K551" s="40"/>
      <c r="L551" s="41"/>
      <c r="M551" s="37"/>
      <c r="N551" s="41"/>
      <c r="O551" s="29"/>
    </row>
    <row r="552">
      <c r="A552" s="29"/>
      <c r="B552" s="36"/>
      <c r="C552" s="37"/>
      <c r="D552" s="37"/>
      <c r="E552" s="37"/>
      <c r="F552" s="38"/>
      <c r="G552" s="38"/>
      <c r="H552" s="39"/>
      <c r="I552" s="40"/>
      <c r="J552" s="37"/>
      <c r="K552" s="40"/>
      <c r="L552" s="41"/>
      <c r="M552" s="37"/>
      <c r="N552" s="41"/>
      <c r="O552" s="29"/>
    </row>
    <row r="553">
      <c r="A553" s="29"/>
      <c r="B553" s="36"/>
      <c r="C553" s="37"/>
      <c r="D553" s="37"/>
      <c r="E553" s="37"/>
      <c r="F553" s="38"/>
      <c r="G553" s="38"/>
      <c r="H553" s="39"/>
      <c r="I553" s="40"/>
      <c r="J553" s="37"/>
      <c r="K553" s="40"/>
      <c r="L553" s="41"/>
      <c r="M553" s="37"/>
      <c r="N553" s="41"/>
      <c r="O553" s="29"/>
    </row>
    <row r="554">
      <c r="A554" s="29"/>
      <c r="B554" s="36"/>
      <c r="C554" s="37"/>
      <c r="D554" s="37"/>
      <c r="E554" s="37"/>
      <c r="F554" s="38"/>
      <c r="G554" s="38"/>
      <c r="H554" s="39"/>
      <c r="I554" s="40"/>
      <c r="J554" s="37"/>
      <c r="K554" s="40"/>
      <c r="L554" s="41"/>
      <c r="M554" s="37"/>
      <c r="N554" s="41"/>
      <c r="O554" s="29"/>
    </row>
    <row r="555">
      <c r="A555" s="29"/>
      <c r="B555" s="36"/>
      <c r="C555" s="37"/>
      <c r="D555" s="37"/>
      <c r="E555" s="37"/>
      <c r="F555" s="38"/>
      <c r="G555" s="38"/>
      <c r="H555" s="39"/>
      <c r="I555" s="40"/>
      <c r="J555" s="37"/>
      <c r="K555" s="40"/>
      <c r="L555" s="41"/>
      <c r="M555" s="37"/>
      <c r="N555" s="41"/>
      <c r="O555" s="29"/>
    </row>
    <row r="556">
      <c r="A556" s="29"/>
      <c r="B556" s="36"/>
      <c r="C556" s="37"/>
      <c r="D556" s="37"/>
      <c r="E556" s="37"/>
      <c r="F556" s="38"/>
      <c r="G556" s="38"/>
      <c r="H556" s="39"/>
      <c r="I556" s="40"/>
      <c r="J556" s="37"/>
      <c r="K556" s="40"/>
      <c r="L556" s="41"/>
      <c r="M556" s="37"/>
      <c r="N556" s="41"/>
      <c r="O556" s="29"/>
    </row>
    <row r="557">
      <c r="A557" s="29"/>
      <c r="B557" s="36"/>
      <c r="C557" s="37"/>
      <c r="D557" s="37"/>
      <c r="E557" s="37"/>
      <c r="F557" s="38"/>
      <c r="G557" s="38"/>
      <c r="H557" s="39"/>
      <c r="I557" s="40"/>
      <c r="J557" s="37"/>
      <c r="K557" s="40"/>
      <c r="L557" s="41"/>
      <c r="M557" s="37"/>
      <c r="N557" s="41"/>
      <c r="O557" s="29"/>
    </row>
    <row r="558">
      <c r="A558" s="29"/>
      <c r="B558" s="36"/>
      <c r="C558" s="37"/>
      <c r="D558" s="37"/>
      <c r="E558" s="37"/>
      <c r="F558" s="38"/>
      <c r="G558" s="38"/>
      <c r="H558" s="39"/>
      <c r="I558" s="40"/>
      <c r="J558" s="37"/>
      <c r="K558" s="40"/>
      <c r="L558" s="41"/>
      <c r="M558" s="37"/>
      <c r="N558" s="41"/>
      <c r="O558" s="29"/>
    </row>
    <row r="559">
      <c r="A559" s="29"/>
      <c r="B559" s="36"/>
      <c r="C559" s="37"/>
      <c r="D559" s="37"/>
      <c r="E559" s="37"/>
      <c r="F559" s="38"/>
      <c r="G559" s="38"/>
      <c r="H559" s="39"/>
      <c r="I559" s="40"/>
      <c r="J559" s="37"/>
      <c r="K559" s="40"/>
      <c r="L559" s="41"/>
      <c r="M559" s="37"/>
      <c r="N559" s="41"/>
      <c r="O559" s="29"/>
    </row>
    <row r="560">
      <c r="A560" s="29"/>
      <c r="B560" s="36"/>
      <c r="C560" s="37"/>
      <c r="D560" s="37"/>
      <c r="E560" s="37"/>
      <c r="F560" s="38"/>
      <c r="G560" s="38"/>
      <c r="H560" s="39"/>
      <c r="I560" s="40"/>
      <c r="J560" s="37"/>
      <c r="K560" s="40"/>
      <c r="L560" s="41"/>
      <c r="M560" s="37"/>
      <c r="N560" s="41"/>
      <c r="O560" s="29"/>
    </row>
    <row r="561">
      <c r="A561" s="29"/>
      <c r="B561" s="36"/>
      <c r="C561" s="37"/>
      <c r="D561" s="37"/>
      <c r="E561" s="37"/>
      <c r="F561" s="38"/>
      <c r="G561" s="38"/>
      <c r="H561" s="39"/>
      <c r="I561" s="40"/>
      <c r="J561" s="37"/>
      <c r="K561" s="40"/>
      <c r="L561" s="41"/>
      <c r="M561" s="37"/>
      <c r="N561" s="41"/>
      <c r="O561" s="29"/>
    </row>
    <row r="562">
      <c r="A562" s="29"/>
      <c r="B562" s="36"/>
      <c r="C562" s="37"/>
      <c r="D562" s="37"/>
      <c r="E562" s="37"/>
      <c r="F562" s="38"/>
      <c r="G562" s="38"/>
      <c r="H562" s="39"/>
      <c r="I562" s="40"/>
      <c r="J562" s="37"/>
      <c r="K562" s="40"/>
      <c r="L562" s="41"/>
      <c r="M562" s="37"/>
      <c r="N562" s="41"/>
      <c r="O562" s="29"/>
    </row>
    <row r="563">
      <c r="A563" s="29"/>
      <c r="B563" s="36"/>
      <c r="C563" s="37"/>
      <c r="D563" s="37"/>
      <c r="E563" s="37"/>
      <c r="F563" s="38"/>
      <c r="G563" s="38"/>
      <c r="H563" s="39"/>
      <c r="I563" s="40"/>
      <c r="J563" s="37"/>
      <c r="K563" s="40"/>
      <c r="L563" s="41"/>
      <c r="M563" s="37"/>
      <c r="N563" s="41"/>
      <c r="O563" s="29"/>
    </row>
    <row r="564">
      <c r="A564" s="29"/>
      <c r="B564" s="36"/>
      <c r="C564" s="37"/>
      <c r="D564" s="37"/>
      <c r="E564" s="37"/>
      <c r="F564" s="38"/>
      <c r="G564" s="38"/>
      <c r="H564" s="39"/>
      <c r="I564" s="40"/>
      <c r="J564" s="37"/>
      <c r="K564" s="40"/>
      <c r="L564" s="41"/>
      <c r="M564" s="37"/>
      <c r="N564" s="41"/>
      <c r="O564" s="29"/>
    </row>
    <row r="565">
      <c r="A565" s="29"/>
      <c r="B565" s="36"/>
      <c r="C565" s="37"/>
      <c r="D565" s="37"/>
      <c r="E565" s="37"/>
      <c r="F565" s="38"/>
      <c r="G565" s="38"/>
      <c r="H565" s="39"/>
      <c r="I565" s="40"/>
      <c r="J565" s="37"/>
      <c r="K565" s="40"/>
      <c r="L565" s="41"/>
      <c r="M565" s="37"/>
      <c r="N565" s="41"/>
      <c r="O565" s="29"/>
    </row>
    <row r="566">
      <c r="A566" s="29"/>
      <c r="B566" s="36"/>
      <c r="C566" s="37"/>
      <c r="D566" s="37"/>
      <c r="E566" s="37"/>
      <c r="F566" s="38"/>
      <c r="G566" s="38"/>
      <c r="H566" s="39"/>
      <c r="I566" s="40"/>
      <c r="J566" s="37"/>
      <c r="K566" s="40"/>
      <c r="L566" s="41"/>
      <c r="M566" s="37"/>
      <c r="N566" s="41"/>
      <c r="O566" s="29"/>
    </row>
    <row r="567">
      <c r="A567" s="29"/>
      <c r="B567" s="36"/>
      <c r="C567" s="37"/>
      <c r="D567" s="37"/>
      <c r="E567" s="37"/>
      <c r="F567" s="38"/>
      <c r="G567" s="38"/>
      <c r="H567" s="39"/>
      <c r="I567" s="40"/>
      <c r="J567" s="37"/>
      <c r="K567" s="40"/>
      <c r="L567" s="41"/>
      <c r="M567" s="37"/>
      <c r="N567" s="41"/>
      <c r="O567" s="29"/>
    </row>
    <row r="568">
      <c r="A568" s="29"/>
      <c r="B568" s="36"/>
      <c r="C568" s="37"/>
      <c r="D568" s="37"/>
      <c r="E568" s="37"/>
      <c r="F568" s="38"/>
      <c r="G568" s="38"/>
      <c r="H568" s="39"/>
      <c r="I568" s="40"/>
      <c r="J568" s="37"/>
      <c r="K568" s="40"/>
      <c r="L568" s="41"/>
      <c r="M568" s="37"/>
      <c r="N568" s="41"/>
      <c r="O568" s="29"/>
    </row>
    <row r="569">
      <c r="A569" s="29"/>
      <c r="B569" s="36"/>
      <c r="C569" s="37"/>
      <c r="D569" s="37"/>
      <c r="E569" s="37"/>
      <c r="F569" s="38"/>
      <c r="G569" s="38"/>
      <c r="H569" s="39"/>
      <c r="I569" s="40"/>
      <c r="J569" s="37"/>
      <c r="K569" s="40"/>
      <c r="L569" s="41"/>
      <c r="M569" s="37"/>
      <c r="N569" s="41"/>
      <c r="O569" s="29"/>
    </row>
    <row r="570">
      <c r="A570" s="29"/>
      <c r="B570" s="36"/>
      <c r="C570" s="37"/>
      <c r="D570" s="37"/>
      <c r="E570" s="37"/>
      <c r="F570" s="38"/>
      <c r="G570" s="38"/>
      <c r="H570" s="39"/>
      <c r="I570" s="40"/>
      <c r="J570" s="37"/>
      <c r="K570" s="40"/>
      <c r="L570" s="41"/>
      <c r="M570" s="37"/>
      <c r="N570" s="41"/>
      <c r="O570" s="29"/>
    </row>
    <row r="571">
      <c r="A571" s="29"/>
      <c r="B571" s="36"/>
      <c r="C571" s="37"/>
      <c r="D571" s="37"/>
      <c r="E571" s="37"/>
      <c r="F571" s="38"/>
      <c r="G571" s="38"/>
      <c r="H571" s="39"/>
      <c r="I571" s="40"/>
      <c r="J571" s="37"/>
      <c r="K571" s="40"/>
      <c r="L571" s="41"/>
      <c r="M571" s="37"/>
      <c r="N571" s="41"/>
      <c r="O571" s="29"/>
    </row>
    <row r="572">
      <c r="A572" s="29"/>
      <c r="B572" s="36"/>
      <c r="C572" s="37"/>
      <c r="D572" s="37"/>
      <c r="E572" s="37"/>
      <c r="F572" s="38"/>
      <c r="G572" s="38"/>
      <c r="H572" s="39"/>
      <c r="I572" s="40"/>
      <c r="J572" s="37"/>
      <c r="K572" s="40"/>
      <c r="L572" s="41"/>
      <c r="M572" s="37"/>
      <c r="N572" s="41"/>
      <c r="O572" s="29"/>
    </row>
    <row r="573">
      <c r="A573" s="29"/>
      <c r="B573" s="36"/>
      <c r="C573" s="37"/>
      <c r="D573" s="37"/>
      <c r="E573" s="37"/>
      <c r="F573" s="38"/>
      <c r="G573" s="38"/>
      <c r="H573" s="39"/>
      <c r="I573" s="40"/>
      <c r="J573" s="37"/>
      <c r="K573" s="40"/>
      <c r="L573" s="41"/>
      <c r="M573" s="37"/>
      <c r="N573" s="41"/>
      <c r="O573" s="29"/>
    </row>
    <row r="574">
      <c r="A574" s="29"/>
      <c r="B574" s="36"/>
      <c r="C574" s="37"/>
      <c r="D574" s="37"/>
      <c r="E574" s="37"/>
      <c r="F574" s="38"/>
      <c r="G574" s="38"/>
      <c r="H574" s="39"/>
      <c r="I574" s="40"/>
      <c r="J574" s="37"/>
      <c r="K574" s="40"/>
      <c r="L574" s="41"/>
      <c r="M574" s="37"/>
      <c r="N574" s="41"/>
      <c r="O574" s="29"/>
    </row>
    <row r="575">
      <c r="A575" s="29"/>
      <c r="B575" s="36"/>
      <c r="C575" s="37"/>
      <c r="D575" s="37"/>
      <c r="E575" s="37"/>
      <c r="F575" s="38"/>
      <c r="G575" s="38"/>
      <c r="H575" s="39"/>
      <c r="I575" s="40"/>
      <c r="J575" s="37"/>
      <c r="K575" s="40"/>
      <c r="L575" s="41"/>
      <c r="M575" s="37"/>
      <c r="N575" s="41"/>
      <c r="O575" s="29"/>
    </row>
    <row r="576">
      <c r="A576" s="29"/>
      <c r="B576" s="36"/>
      <c r="C576" s="37"/>
      <c r="D576" s="37"/>
      <c r="E576" s="37"/>
      <c r="F576" s="38"/>
      <c r="G576" s="38"/>
      <c r="H576" s="39"/>
      <c r="I576" s="40"/>
      <c r="J576" s="37"/>
      <c r="K576" s="40"/>
      <c r="L576" s="41"/>
      <c r="M576" s="37"/>
      <c r="N576" s="41"/>
      <c r="O576" s="29"/>
    </row>
    <row r="577">
      <c r="A577" s="29"/>
      <c r="B577" s="36"/>
      <c r="C577" s="37"/>
      <c r="D577" s="37"/>
      <c r="E577" s="37"/>
      <c r="F577" s="38"/>
      <c r="G577" s="38"/>
      <c r="H577" s="39"/>
      <c r="I577" s="40"/>
      <c r="J577" s="37"/>
      <c r="K577" s="40"/>
      <c r="L577" s="41"/>
      <c r="M577" s="37"/>
      <c r="N577" s="41"/>
      <c r="O577" s="29"/>
    </row>
    <row r="578">
      <c r="A578" s="29"/>
      <c r="B578" s="36"/>
      <c r="C578" s="37"/>
      <c r="D578" s="37"/>
      <c r="E578" s="37"/>
      <c r="F578" s="38"/>
      <c r="G578" s="38"/>
      <c r="H578" s="39"/>
      <c r="I578" s="40"/>
      <c r="J578" s="37"/>
      <c r="K578" s="40"/>
      <c r="L578" s="41"/>
      <c r="M578" s="37"/>
      <c r="N578" s="41"/>
      <c r="O578" s="29"/>
    </row>
    <row r="579">
      <c r="A579" s="29"/>
      <c r="B579" s="36"/>
      <c r="C579" s="37"/>
      <c r="D579" s="37"/>
      <c r="E579" s="37"/>
      <c r="F579" s="38"/>
      <c r="G579" s="38"/>
      <c r="H579" s="39"/>
      <c r="I579" s="40"/>
      <c r="J579" s="37"/>
      <c r="K579" s="40"/>
      <c r="L579" s="41"/>
      <c r="M579" s="37"/>
      <c r="N579" s="41"/>
      <c r="O579" s="29"/>
    </row>
    <row r="580">
      <c r="A580" s="29"/>
      <c r="B580" s="36"/>
      <c r="C580" s="37"/>
      <c r="D580" s="37"/>
      <c r="E580" s="37"/>
      <c r="F580" s="38"/>
      <c r="G580" s="38"/>
      <c r="H580" s="39"/>
      <c r="I580" s="40"/>
      <c r="J580" s="37"/>
      <c r="K580" s="40"/>
      <c r="L580" s="41"/>
      <c r="M580" s="37"/>
      <c r="N580" s="41"/>
      <c r="O580" s="29"/>
    </row>
    <row r="581">
      <c r="A581" s="29"/>
      <c r="B581" s="36"/>
      <c r="C581" s="37"/>
      <c r="D581" s="37"/>
      <c r="E581" s="37"/>
      <c r="F581" s="38"/>
      <c r="G581" s="38"/>
      <c r="H581" s="39"/>
      <c r="I581" s="40"/>
      <c r="J581" s="37"/>
      <c r="K581" s="40"/>
      <c r="L581" s="41"/>
      <c r="M581" s="37"/>
      <c r="N581" s="41"/>
      <c r="O581" s="29"/>
    </row>
    <row r="582">
      <c r="A582" s="29"/>
      <c r="B582" s="36"/>
      <c r="C582" s="37"/>
      <c r="D582" s="37"/>
      <c r="E582" s="37"/>
      <c r="F582" s="38"/>
      <c r="G582" s="38"/>
      <c r="H582" s="39"/>
      <c r="I582" s="40"/>
      <c r="J582" s="37"/>
      <c r="K582" s="40"/>
      <c r="L582" s="41"/>
      <c r="M582" s="37"/>
      <c r="N582" s="41"/>
      <c r="O582" s="29"/>
    </row>
    <row r="583">
      <c r="A583" s="29"/>
      <c r="B583" s="36"/>
      <c r="C583" s="37"/>
      <c r="D583" s="37"/>
      <c r="E583" s="37"/>
      <c r="F583" s="38"/>
      <c r="G583" s="38"/>
      <c r="H583" s="39"/>
      <c r="I583" s="40"/>
      <c r="J583" s="37"/>
      <c r="K583" s="40"/>
      <c r="L583" s="41"/>
      <c r="M583" s="37"/>
      <c r="N583" s="41"/>
      <c r="O583" s="29"/>
    </row>
    <row r="584">
      <c r="A584" s="29"/>
      <c r="B584" s="36"/>
      <c r="C584" s="37"/>
      <c r="D584" s="37"/>
      <c r="E584" s="37"/>
      <c r="F584" s="38"/>
      <c r="G584" s="38"/>
      <c r="H584" s="39"/>
      <c r="I584" s="40"/>
      <c r="J584" s="37"/>
      <c r="K584" s="40"/>
      <c r="L584" s="41"/>
      <c r="M584" s="37"/>
      <c r="N584" s="41"/>
      <c r="O584" s="29"/>
    </row>
    <row r="585">
      <c r="A585" s="29"/>
      <c r="B585" s="36"/>
      <c r="C585" s="37"/>
      <c r="D585" s="37"/>
      <c r="E585" s="37"/>
      <c r="F585" s="38"/>
      <c r="G585" s="38"/>
      <c r="H585" s="39"/>
      <c r="I585" s="40"/>
      <c r="J585" s="37"/>
      <c r="K585" s="40"/>
      <c r="L585" s="41"/>
      <c r="M585" s="37"/>
      <c r="N585" s="41"/>
      <c r="O585" s="29"/>
    </row>
    <row r="586">
      <c r="A586" s="29"/>
      <c r="B586" s="36"/>
      <c r="C586" s="37"/>
      <c r="D586" s="37"/>
      <c r="E586" s="37"/>
      <c r="F586" s="38"/>
      <c r="G586" s="38"/>
      <c r="H586" s="39"/>
      <c r="I586" s="40"/>
      <c r="J586" s="37"/>
      <c r="K586" s="40"/>
      <c r="L586" s="41"/>
      <c r="M586" s="37"/>
      <c r="N586" s="41"/>
      <c r="O586" s="29"/>
    </row>
    <row r="587">
      <c r="A587" s="29"/>
      <c r="B587" s="36"/>
      <c r="C587" s="37"/>
      <c r="D587" s="37"/>
      <c r="E587" s="37"/>
      <c r="F587" s="38"/>
      <c r="G587" s="38"/>
      <c r="H587" s="39"/>
      <c r="I587" s="40"/>
      <c r="J587" s="37"/>
      <c r="K587" s="40"/>
      <c r="L587" s="41"/>
      <c r="M587" s="37"/>
      <c r="N587" s="41"/>
      <c r="O587" s="29"/>
    </row>
    <row r="588">
      <c r="A588" s="29"/>
      <c r="B588" s="36"/>
      <c r="C588" s="37"/>
      <c r="D588" s="37"/>
      <c r="E588" s="37"/>
      <c r="F588" s="38"/>
      <c r="G588" s="38"/>
      <c r="H588" s="39"/>
      <c r="I588" s="40"/>
      <c r="J588" s="37"/>
      <c r="K588" s="40"/>
      <c r="L588" s="41"/>
      <c r="M588" s="37"/>
      <c r="N588" s="41"/>
      <c r="O588" s="29"/>
    </row>
    <row r="589">
      <c r="A589" s="29"/>
      <c r="B589" s="36"/>
      <c r="C589" s="37"/>
      <c r="D589" s="37"/>
      <c r="E589" s="37"/>
      <c r="F589" s="38"/>
      <c r="G589" s="38"/>
      <c r="H589" s="39"/>
      <c r="I589" s="40"/>
      <c r="J589" s="37"/>
      <c r="K589" s="40"/>
      <c r="L589" s="41"/>
      <c r="M589" s="37"/>
      <c r="N589" s="41"/>
      <c r="O589" s="29"/>
    </row>
    <row r="590">
      <c r="A590" s="29"/>
      <c r="B590" s="36"/>
      <c r="C590" s="37"/>
      <c r="D590" s="37"/>
      <c r="E590" s="37"/>
      <c r="F590" s="38"/>
      <c r="G590" s="38"/>
      <c r="H590" s="39"/>
      <c r="I590" s="40"/>
      <c r="J590" s="37"/>
      <c r="K590" s="40"/>
      <c r="L590" s="41"/>
      <c r="M590" s="37"/>
      <c r="N590" s="41"/>
      <c r="O590" s="29"/>
    </row>
    <row r="591">
      <c r="A591" s="29"/>
      <c r="B591" s="36"/>
      <c r="C591" s="37"/>
      <c r="D591" s="37"/>
      <c r="E591" s="37"/>
      <c r="F591" s="38"/>
      <c r="G591" s="38"/>
      <c r="H591" s="39"/>
      <c r="I591" s="40"/>
      <c r="J591" s="37"/>
      <c r="K591" s="40"/>
      <c r="L591" s="41"/>
      <c r="M591" s="37"/>
      <c r="N591" s="41"/>
      <c r="O591" s="29"/>
    </row>
    <row r="592">
      <c r="A592" s="29"/>
      <c r="B592" s="36"/>
      <c r="C592" s="37"/>
      <c r="D592" s="37"/>
      <c r="E592" s="37"/>
      <c r="F592" s="38"/>
      <c r="G592" s="38"/>
      <c r="H592" s="39"/>
      <c r="I592" s="40"/>
      <c r="J592" s="37"/>
      <c r="K592" s="40"/>
      <c r="L592" s="41"/>
      <c r="M592" s="37"/>
      <c r="N592" s="41"/>
      <c r="O592" s="29"/>
    </row>
    <row r="593">
      <c r="A593" s="29"/>
      <c r="B593" s="36"/>
      <c r="C593" s="37"/>
      <c r="D593" s="37"/>
      <c r="E593" s="37"/>
      <c r="F593" s="38"/>
      <c r="G593" s="38"/>
      <c r="H593" s="39"/>
      <c r="I593" s="40"/>
      <c r="J593" s="37"/>
      <c r="K593" s="40"/>
      <c r="L593" s="41"/>
      <c r="M593" s="37"/>
      <c r="N593" s="41"/>
      <c r="O593" s="29"/>
    </row>
    <row r="594">
      <c r="A594" s="29"/>
      <c r="B594" s="36"/>
      <c r="C594" s="37"/>
      <c r="D594" s="37"/>
      <c r="E594" s="37"/>
      <c r="F594" s="38"/>
      <c r="G594" s="38"/>
      <c r="H594" s="39"/>
      <c r="I594" s="40"/>
      <c r="J594" s="37"/>
      <c r="K594" s="40"/>
      <c r="L594" s="41"/>
      <c r="M594" s="37"/>
      <c r="N594" s="41"/>
      <c r="O594" s="29"/>
    </row>
    <row r="595">
      <c r="A595" s="29"/>
      <c r="B595" s="36"/>
      <c r="C595" s="37"/>
      <c r="D595" s="37"/>
      <c r="E595" s="37"/>
      <c r="F595" s="38"/>
      <c r="G595" s="38"/>
      <c r="H595" s="39"/>
      <c r="I595" s="40"/>
      <c r="J595" s="37"/>
      <c r="K595" s="40"/>
      <c r="L595" s="41"/>
      <c r="M595" s="37"/>
      <c r="N595" s="41"/>
      <c r="O595" s="29"/>
    </row>
    <row r="596">
      <c r="A596" s="29"/>
      <c r="B596" s="36"/>
      <c r="C596" s="37"/>
      <c r="D596" s="37"/>
      <c r="E596" s="37"/>
      <c r="F596" s="38"/>
      <c r="G596" s="38"/>
      <c r="H596" s="39"/>
      <c r="I596" s="40"/>
      <c r="J596" s="37"/>
      <c r="K596" s="40"/>
      <c r="L596" s="41"/>
      <c r="M596" s="37"/>
      <c r="N596" s="41"/>
      <c r="O596" s="29"/>
    </row>
    <row r="597">
      <c r="A597" s="29"/>
      <c r="B597" s="36"/>
      <c r="C597" s="37"/>
      <c r="D597" s="37"/>
      <c r="E597" s="37"/>
      <c r="F597" s="38"/>
      <c r="G597" s="38"/>
      <c r="H597" s="39"/>
      <c r="I597" s="40"/>
      <c r="J597" s="37"/>
      <c r="K597" s="40"/>
      <c r="L597" s="41"/>
      <c r="M597" s="37"/>
      <c r="N597" s="41"/>
      <c r="O597" s="29"/>
    </row>
    <row r="598">
      <c r="A598" s="29"/>
      <c r="B598" s="36"/>
      <c r="C598" s="37"/>
      <c r="D598" s="37"/>
      <c r="E598" s="37"/>
      <c r="F598" s="38"/>
      <c r="G598" s="38"/>
      <c r="H598" s="39"/>
      <c r="I598" s="40"/>
      <c r="J598" s="37"/>
      <c r="K598" s="40"/>
      <c r="L598" s="41"/>
      <c r="M598" s="37"/>
      <c r="N598" s="41"/>
      <c r="O598" s="29"/>
    </row>
    <row r="599">
      <c r="A599" s="29"/>
      <c r="B599" s="36"/>
      <c r="C599" s="37"/>
      <c r="D599" s="37"/>
      <c r="E599" s="37"/>
      <c r="F599" s="38"/>
      <c r="G599" s="38"/>
      <c r="H599" s="39"/>
      <c r="I599" s="40"/>
      <c r="J599" s="37"/>
      <c r="K599" s="40"/>
      <c r="L599" s="41"/>
      <c r="M599" s="37"/>
      <c r="N599" s="41"/>
      <c r="O599" s="29"/>
    </row>
    <row r="600">
      <c r="A600" s="29"/>
      <c r="B600" s="36"/>
      <c r="C600" s="37"/>
      <c r="D600" s="37"/>
      <c r="E600" s="37"/>
      <c r="F600" s="38"/>
      <c r="G600" s="38"/>
      <c r="H600" s="39"/>
      <c r="I600" s="40"/>
      <c r="J600" s="37"/>
      <c r="K600" s="40"/>
      <c r="L600" s="41"/>
      <c r="M600" s="37"/>
      <c r="N600" s="41"/>
      <c r="O600" s="29"/>
    </row>
    <row r="601">
      <c r="A601" s="29"/>
      <c r="B601" s="36"/>
      <c r="C601" s="37"/>
      <c r="D601" s="37"/>
      <c r="E601" s="37"/>
      <c r="F601" s="38"/>
      <c r="G601" s="38"/>
      <c r="H601" s="39"/>
      <c r="I601" s="40"/>
      <c r="J601" s="37"/>
      <c r="K601" s="40"/>
      <c r="L601" s="41"/>
      <c r="M601" s="37"/>
      <c r="N601" s="41"/>
      <c r="O601" s="29"/>
    </row>
    <row r="602">
      <c r="A602" s="29"/>
      <c r="B602" s="36"/>
      <c r="C602" s="37"/>
      <c r="D602" s="37"/>
      <c r="E602" s="37"/>
      <c r="F602" s="38"/>
      <c r="G602" s="38"/>
      <c r="H602" s="39"/>
      <c r="I602" s="40"/>
      <c r="J602" s="37"/>
      <c r="K602" s="40"/>
      <c r="L602" s="41"/>
      <c r="M602" s="37"/>
      <c r="N602" s="41"/>
      <c r="O602" s="29"/>
    </row>
    <row r="603">
      <c r="A603" s="29"/>
      <c r="B603" s="36"/>
      <c r="C603" s="37"/>
      <c r="D603" s="37"/>
      <c r="E603" s="37"/>
      <c r="F603" s="38"/>
      <c r="G603" s="38"/>
      <c r="H603" s="39"/>
      <c r="I603" s="40"/>
      <c r="J603" s="37"/>
      <c r="K603" s="40"/>
      <c r="L603" s="41"/>
      <c r="M603" s="37"/>
      <c r="N603" s="41"/>
      <c r="O603" s="29"/>
    </row>
    <row r="604">
      <c r="A604" s="29"/>
      <c r="B604" s="36"/>
      <c r="C604" s="37"/>
      <c r="D604" s="37"/>
      <c r="E604" s="37"/>
      <c r="F604" s="38"/>
      <c r="G604" s="38"/>
      <c r="H604" s="39"/>
      <c r="I604" s="40"/>
      <c r="J604" s="37"/>
      <c r="K604" s="40"/>
      <c r="L604" s="41"/>
      <c r="M604" s="37"/>
      <c r="N604" s="41"/>
      <c r="O604" s="29"/>
    </row>
    <row r="605">
      <c r="A605" s="29"/>
      <c r="B605" s="36"/>
      <c r="C605" s="37"/>
      <c r="D605" s="37"/>
      <c r="E605" s="37"/>
      <c r="F605" s="38"/>
      <c r="G605" s="38"/>
      <c r="H605" s="39"/>
      <c r="I605" s="40"/>
      <c r="J605" s="37"/>
      <c r="K605" s="40"/>
      <c r="L605" s="41"/>
      <c r="M605" s="37"/>
      <c r="N605" s="41"/>
      <c r="O605" s="29"/>
    </row>
    <row r="606">
      <c r="A606" s="29"/>
      <c r="B606" s="36"/>
      <c r="C606" s="37"/>
      <c r="D606" s="37"/>
      <c r="E606" s="37"/>
      <c r="F606" s="38"/>
      <c r="G606" s="38"/>
      <c r="H606" s="39"/>
      <c r="I606" s="40"/>
      <c r="J606" s="37"/>
      <c r="K606" s="40"/>
      <c r="L606" s="41"/>
      <c r="M606" s="37"/>
      <c r="N606" s="41"/>
      <c r="O606" s="29"/>
    </row>
    <row r="607">
      <c r="A607" s="29"/>
      <c r="B607" s="36"/>
      <c r="C607" s="37"/>
      <c r="D607" s="37"/>
      <c r="E607" s="37"/>
      <c r="F607" s="38"/>
      <c r="G607" s="38"/>
      <c r="H607" s="39"/>
      <c r="I607" s="40"/>
      <c r="J607" s="37"/>
      <c r="K607" s="40"/>
      <c r="L607" s="41"/>
      <c r="M607" s="37"/>
      <c r="N607" s="41"/>
      <c r="O607" s="29"/>
    </row>
    <row r="608">
      <c r="A608" s="29"/>
      <c r="B608" s="36"/>
      <c r="C608" s="37"/>
      <c r="D608" s="37"/>
      <c r="E608" s="37"/>
      <c r="F608" s="38"/>
      <c r="G608" s="38"/>
      <c r="H608" s="39"/>
      <c r="I608" s="40"/>
      <c r="J608" s="37"/>
      <c r="K608" s="40"/>
      <c r="L608" s="41"/>
      <c r="M608" s="37"/>
      <c r="N608" s="41"/>
      <c r="O608" s="29"/>
    </row>
    <row r="609">
      <c r="A609" s="29"/>
      <c r="B609" s="36"/>
      <c r="C609" s="37"/>
      <c r="D609" s="37"/>
      <c r="E609" s="37"/>
      <c r="F609" s="38"/>
      <c r="G609" s="38"/>
      <c r="H609" s="39"/>
      <c r="I609" s="40"/>
      <c r="J609" s="37"/>
      <c r="K609" s="40"/>
      <c r="L609" s="41"/>
      <c r="M609" s="37"/>
      <c r="N609" s="41"/>
      <c r="O609" s="29"/>
    </row>
    <row r="610">
      <c r="A610" s="29"/>
      <c r="B610" s="36"/>
      <c r="C610" s="37"/>
      <c r="D610" s="37"/>
      <c r="E610" s="37"/>
      <c r="F610" s="38"/>
      <c r="G610" s="38"/>
      <c r="H610" s="39"/>
      <c r="I610" s="40"/>
      <c r="J610" s="37"/>
      <c r="K610" s="40"/>
      <c r="L610" s="41"/>
      <c r="M610" s="37"/>
      <c r="N610" s="41"/>
      <c r="O610" s="29"/>
    </row>
    <row r="611">
      <c r="A611" s="29"/>
      <c r="B611" s="36"/>
      <c r="C611" s="37"/>
      <c r="D611" s="37"/>
      <c r="E611" s="37"/>
      <c r="F611" s="38"/>
      <c r="G611" s="38"/>
      <c r="H611" s="39"/>
      <c r="I611" s="40"/>
      <c r="J611" s="37"/>
      <c r="K611" s="40"/>
      <c r="L611" s="41"/>
      <c r="M611" s="37"/>
      <c r="N611" s="41"/>
      <c r="O611" s="29"/>
    </row>
    <row r="612">
      <c r="A612" s="29"/>
      <c r="B612" s="36"/>
      <c r="C612" s="37"/>
      <c r="D612" s="37"/>
      <c r="E612" s="37"/>
      <c r="F612" s="38"/>
      <c r="G612" s="38"/>
      <c r="H612" s="39"/>
      <c r="I612" s="40"/>
      <c r="J612" s="37"/>
      <c r="K612" s="40"/>
      <c r="L612" s="41"/>
      <c r="M612" s="37"/>
      <c r="N612" s="41"/>
      <c r="O612" s="29"/>
    </row>
    <row r="613">
      <c r="A613" s="29"/>
      <c r="B613" s="36"/>
      <c r="C613" s="37"/>
      <c r="D613" s="37"/>
      <c r="E613" s="37"/>
      <c r="F613" s="38"/>
      <c r="G613" s="38"/>
      <c r="H613" s="39"/>
      <c r="I613" s="40"/>
      <c r="J613" s="37"/>
      <c r="K613" s="40"/>
      <c r="L613" s="41"/>
      <c r="M613" s="37"/>
      <c r="N613" s="41"/>
      <c r="O613" s="29"/>
    </row>
    <row r="614">
      <c r="A614" s="29"/>
      <c r="B614" s="36"/>
      <c r="C614" s="37"/>
      <c r="D614" s="37"/>
      <c r="E614" s="37"/>
      <c r="F614" s="38"/>
      <c r="G614" s="38"/>
      <c r="H614" s="39"/>
      <c r="I614" s="40"/>
      <c r="J614" s="37"/>
      <c r="K614" s="40"/>
      <c r="L614" s="41"/>
      <c r="M614" s="37"/>
      <c r="N614" s="41"/>
      <c r="O614" s="29"/>
    </row>
    <row r="615">
      <c r="A615" s="29"/>
      <c r="B615" s="36"/>
      <c r="C615" s="37"/>
      <c r="D615" s="37"/>
      <c r="E615" s="37"/>
      <c r="F615" s="38"/>
      <c r="G615" s="38"/>
      <c r="H615" s="39"/>
      <c r="I615" s="40"/>
      <c r="J615" s="37"/>
      <c r="K615" s="40"/>
      <c r="L615" s="41"/>
      <c r="M615" s="37"/>
      <c r="N615" s="41"/>
      <c r="O615" s="29"/>
    </row>
    <row r="616">
      <c r="A616" s="29"/>
      <c r="B616" s="36"/>
      <c r="C616" s="37"/>
      <c r="D616" s="37"/>
      <c r="E616" s="37"/>
      <c r="F616" s="38"/>
      <c r="G616" s="38"/>
      <c r="H616" s="39"/>
      <c r="I616" s="40"/>
      <c r="J616" s="37"/>
      <c r="K616" s="40"/>
      <c r="L616" s="41"/>
      <c r="M616" s="37"/>
      <c r="N616" s="41"/>
      <c r="O616" s="29"/>
    </row>
    <row r="617">
      <c r="A617" s="29"/>
      <c r="B617" s="36"/>
      <c r="C617" s="37"/>
      <c r="D617" s="37"/>
      <c r="E617" s="37"/>
      <c r="F617" s="38"/>
      <c r="G617" s="38"/>
      <c r="H617" s="39"/>
      <c r="I617" s="40"/>
      <c r="J617" s="37"/>
      <c r="K617" s="40"/>
      <c r="L617" s="41"/>
      <c r="M617" s="37"/>
      <c r="N617" s="41"/>
      <c r="O617" s="29"/>
    </row>
    <row r="618">
      <c r="A618" s="29"/>
      <c r="B618" s="36"/>
      <c r="C618" s="37"/>
      <c r="D618" s="37"/>
      <c r="E618" s="37"/>
      <c r="F618" s="38"/>
      <c r="G618" s="38"/>
      <c r="H618" s="39"/>
      <c r="I618" s="40"/>
      <c r="J618" s="37"/>
      <c r="K618" s="40"/>
      <c r="L618" s="41"/>
      <c r="M618" s="37"/>
      <c r="N618" s="41"/>
      <c r="O618" s="29"/>
    </row>
    <row r="619">
      <c r="A619" s="29"/>
      <c r="B619" s="36"/>
      <c r="C619" s="37"/>
      <c r="D619" s="37"/>
      <c r="E619" s="37"/>
      <c r="F619" s="38"/>
      <c r="G619" s="38"/>
      <c r="H619" s="39"/>
      <c r="I619" s="40"/>
      <c r="J619" s="37"/>
      <c r="K619" s="40"/>
      <c r="L619" s="41"/>
      <c r="M619" s="37"/>
      <c r="N619" s="41"/>
      <c r="O619" s="29"/>
    </row>
    <row r="620">
      <c r="A620" s="29"/>
      <c r="B620" s="36"/>
      <c r="C620" s="37"/>
      <c r="D620" s="37"/>
      <c r="E620" s="37"/>
      <c r="F620" s="38"/>
      <c r="G620" s="38"/>
      <c r="H620" s="39"/>
      <c r="I620" s="40"/>
      <c r="J620" s="37"/>
      <c r="K620" s="40"/>
      <c r="L620" s="41"/>
      <c r="M620" s="37"/>
      <c r="N620" s="41"/>
      <c r="O620" s="29"/>
    </row>
    <row r="621">
      <c r="A621" s="29"/>
      <c r="B621" s="36"/>
      <c r="C621" s="37"/>
      <c r="D621" s="37"/>
      <c r="E621" s="37"/>
      <c r="F621" s="38"/>
      <c r="G621" s="38"/>
      <c r="H621" s="39"/>
      <c r="I621" s="40"/>
      <c r="J621" s="37"/>
      <c r="K621" s="40"/>
      <c r="L621" s="41"/>
      <c r="M621" s="37"/>
      <c r="N621" s="41"/>
      <c r="O621" s="29"/>
    </row>
    <row r="622">
      <c r="A622" s="29"/>
      <c r="B622" s="36"/>
      <c r="C622" s="37"/>
      <c r="D622" s="37"/>
      <c r="E622" s="37"/>
      <c r="F622" s="38"/>
      <c r="G622" s="38"/>
      <c r="H622" s="39"/>
      <c r="I622" s="40"/>
      <c r="J622" s="37"/>
      <c r="K622" s="40"/>
      <c r="L622" s="41"/>
      <c r="M622" s="37"/>
      <c r="N622" s="41"/>
      <c r="O622" s="29"/>
    </row>
    <row r="623">
      <c r="A623" s="29"/>
      <c r="B623" s="36"/>
      <c r="C623" s="37"/>
      <c r="D623" s="37"/>
      <c r="E623" s="37"/>
      <c r="F623" s="38"/>
      <c r="G623" s="38"/>
      <c r="H623" s="39"/>
      <c r="I623" s="40"/>
      <c r="J623" s="37"/>
      <c r="K623" s="40"/>
      <c r="L623" s="41"/>
      <c r="M623" s="37"/>
      <c r="N623" s="41"/>
      <c r="O623" s="29"/>
    </row>
    <row r="624">
      <c r="A624" s="29"/>
      <c r="B624" s="36"/>
      <c r="C624" s="37"/>
      <c r="D624" s="37"/>
      <c r="E624" s="37"/>
      <c r="F624" s="38"/>
      <c r="G624" s="38"/>
      <c r="H624" s="39"/>
      <c r="I624" s="40"/>
      <c r="J624" s="37"/>
      <c r="K624" s="40"/>
      <c r="L624" s="41"/>
      <c r="M624" s="37"/>
      <c r="N624" s="41"/>
      <c r="O624" s="29"/>
    </row>
    <row r="625">
      <c r="A625" s="29"/>
      <c r="B625" s="36"/>
      <c r="C625" s="37"/>
      <c r="D625" s="37"/>
      <c r="E625" s="37"/>
      <c r="F625" s="38"/>
      <c r="G625" s="38"/>
      <c r="H625" s="39"/>
      <c r="I625" s="40"/>
      <c r="J625" s="37"/>
      <c r="K625" s="40"/>
      <c r="L625" s="41"/>
      <c r="M625" s="37"/>
      <c r="N625" s="41"/>
      <c r="O625" s="29"/>
    </row>
    <row r="626">
      <c r="A626" s="29"/>
      <c r="B626" s="36"/>
      <c r="C626" s="37"/>
      <c r="D626" s="37"/>
      <c r="E626" s="37"/>
      <c r="F626" s="38"/>
      <c r="G626" s="38"/>
      <c r="H626" s="39"/>
      <c r="I626" s="40"/>
      <c r="J626" s="37"/>
      <c r="K626" s="40"/>
      <c r="L626" s="41"/>
      <c r="M626" s="37"/>
      <c r="N626" s="41"/>
      <c r="O626" s="29"/>
    </row>
    <row r="627">
      <c r="A627" s="29"/>
      <c r="B627" s="36"/>
      <c r="C627" s="37"/>
      <c r="D627" s="37"/>
      <c r="E627" s="37"/>
      <c r="F627" s="38"/>
      <c r="G627" s="38"/>
      <c r="H627" s="39"/>
      <c r="I627" s="40"/>
      <c r="J627" s="37"/>
      <c r="K627" s="40"/>
      <c r="L627" s="41"/>
      <c r="M627" s="37"/>
      <c r="N627" s="41"/>
      <c r="O627" s="29"/>
    </row>
    <row r="628">
      <c r="A628" s="29"/>
      <c r="B628" s="36"/>
      <c r="C628" s="37"/>
      <c r="D628" s="37"/>
      <c r="E628" s="37"/>
      <c r="F628" s="38"/>
      <c r="G628" s="38"/>
      <c r="H628" s="39"/>
      <c r="I628" s="40"/>
      <c r="J628" s="37"/>
      <c r="K628" s="40"/>
      <c r="L628" s="41"/>
      <c r="M628" s="37"/>
      <c r="N628" s="41"/>
      <c r="O628" s="29"/>
    </row>
    <row r="629">
      <c r="A629" s="29"/>
      <c r="B629" s="36"/>
      <c r="C629" s="37"/>
      <c r="D629" s="37"/>
      <c r="E629" s="37"/>
      <c r="F629" s="38"/>
      <c r="G629" s="38"/>
      <c r="H629" s="39"/>
      <c r="I629" s="40"/>
      <c r="J629" s="37"/>
      <c r="K629" s="40"/>
      <c r="L629" s="41"/>
      <c r="M629" s="37"/>
      <c r="N629" s="41"/>
      <c r="O629" s="29"/>
    </row>
    <row r="630">
      <c r="A630" s="29"/>
      <c r="B630" s="36"/>
      <c r="C630" s="37"/>
      <c r="D630" s="37"/>
      <c r="E630" s="37"/>
      <c r="F630" s="38"/>
      <c r="G630" s="38"/>
      <c r="H630" s="39"/>
      <c r="I630" s="40"/>
      <c r="J630" s="37"/>
      <c r="K630" s="40"/>
      <c r="L630" s="41"/>
      <c r="M630" s="37"/>
      <c r="N630" s="41"/>
      <c r="O630" s="29"/>
    </row>
    <row r="631">
      <c r="A631" s="29"/>
      <c r="B631" s="36"/>
      <c r="C631" s="37"/>
      <c r="D631" s="37"/>
      <c r="E631" s="37"/>
      <c r="F631" s="38"/>
      <c r="G631" s="38"/>
      <c r="H631" s="39"/>
      <c r="I631" s="40"/>
      <c r="J631" s="37"/>
      <c r="K631" s="40"/>
      <c r="L631" s="41"/>
      <c r="M631" s="37"/>
      <c r="N631" s="41"/>
      <c r="O631" s="29"/>
    </row>
    <row r="632">
      <c r="A632" s="29"/>
      <c r="B632" s="36"/>
      <c r="C632" s="37"/>
      <c r="D632" s="37"/>
      <c r="E632" s="37"/>
      <c r="F632" s="38"/>
      <c r="G632" s="38"/>
      <c r="H632" s="39"/>
      <c r="I632" s="40"/>
      <c r="J632" s="37"/>
      <c r="K632" s="40"/>
      <c r="L632" s="41"/>
      <c r="M632" s="37"/>
      <c r="N632" s="41"/>
      <c r="O632" s="29"/>
    </row>
    <row r="633">
      <c r="A633" s="29"/>
      <c r="B633" s="36"/>
      <c r="C633" s="37"/>
      <c r="D633" s="37"/>
      <c r="E633" s="37"/>
      <c r="F633" s="38"/>
      <c r="G633" s="38"/>
      <c r="H633" s="39"/>
      <c r="I633" s="40"/>
      <c r="J633" s="37"/>
      <c r="K633" s="40"/>
      <c r="L633" s="41"/>
      <c r="M633" s="37"/>
      <c r="N633" s="41"/>
      <c r="O633" s="29"/>
    </row>
    <row r="634">
      <c r="A634" s="29"/>
      <c r="B634" s="36"/>
      <c r="C634" s="37"/>
      <c r="D634" s="37"/>
      <c r="E634" s="37"/>
      <c r="F634" s="38"/>
      <c r="G634" s="38"/>
      <c r="H634" s="39"/>
      <c r="I634" s="40"/>
      <c r="J634" s="37"/>
      <c r="K634" s="40"/>
      <c r="L634" s="41"/>
      <c r="M634" s="37"/>
      <c r="N634" s="41"/>
      <c r="O634" s="29"/>
    </row>
    <row r="635">
      <c r="A635" s="29"/>
      <c r="B635" s="36"/>
      <c r="C635" s="37"/>
      <c r="D635" s="37"/>
      <c r="E635" s="37"/>
      <c r="F635" s="38"/>
      <c r="G635" s="38"/>
      <c r="H635" s="39"/>
      <c r="I635" s="40"/>
      <c r="J635" s="37"/>
      <c r="K635" s="40"/>
      <c r="L635" s="41"/>
      <c r="M635" s="37"/>
      <c r="N635" s="41"/>
      <c r="O635" s="29"/>
    </row>
    <row r="636">
      <c r="A636" s="29"/>
      <c r="B636" s="36"/>
      <c r="C636" s="37"/>
      <c r="D636" s="37"/>
      <c r="E636" s="37"/>
      <c r="F636" s="38"/>
      <c r="G636" s="38"/>
      <c r="H636" s="39"/>
      <c r="I636" s="40"/>
      <c r="J636" s="37"/>
      <c r="K636" s="40"/>
      <c r="L636" s="41"/>
      <c r="M636" s="37"/>
      <c r="N636" s="41"/>
      <c r="O636" s="29"/>
    </row>
    <row r="637">
      <c r="A637" s="29"/>
      <c r="B637" s="36"/>
      <c r="C637" s="37"/>
      <c r="D637" s="37"/>
      <c r="E637" s="37"/>
      <c r="F637" s="38"/>
      <c r="G637" s="38"/>
      <c r="H637" s="39"/>
      <c r="I637" s="40"/>
      <c r="J637" s="37"/>
      <c r="K637" s="40"/>
      <c r="L637" s="41"/>
      <c r="M637" s="37"/>
      <c r="N637" s="41"/>
      <c r="O637" s="29"/>
    </row>
    <row r="638">
      <c r="A638" s="29"/>
      <c r="B638" s="36"/>
      <c r="C638" s="37"/>
      <c r="D638" s="37"/>
      <c r="E638" s="37"/>
      <c r="F638" s="38"/>
      <c r="G638" s="38"/>
      <c r="H638" s="39"/>
      <c r="I638" s="40"/>
      <c r="J638" s="37"/>
      <c r="K638" s="40"/>
      <c r="L638" s="41"/>
      <c r="M638" s="37"/>
      <c r="N638" s="41"/>
      <c r="O638" s="29"/>
    </row>
    <row r="639">
      <c r="A639" s="29"/>
      <c r="B639" s="36"/>
      <c r="C639" s="37"/>
      <c r="D639" s="37"/>
      <c r="E639" s="37"/>
      <c r="F639" s="38"/>
      <c r="G639" s="38"/>
      <c r="H639" s="39"/>
      <c r="I639" s="40"/>
      <c r="J639" s="37"/>
      <c r="K639" s="40"/>
      <c r="L639" s="41"/>
      <c r="M639" s="37"/>
      <c r="N639" s="41"/>
      <c r="O639" s="29"/>
    </row>
    <row r="640">
      <c r="A640" s="29"/>
      <c r="B640" s="36"/>
      <c r="C640" s="37"/>
      <c r="D640" s="37"/>
      <c r="E640" s="37"/>
      <c r="F640" s="38"/>
      <c r="G640" s="38"/>
      <c r="H640" s="39"/>
      <c r="I640" s="40"/>
      <c r="J640" s="37"/>
      <c r="K640" s="40"/>
      <c r="L640" s="41"/>
      <c r="M640" s="37"/>
      <c r="N640" s="41"/>
      <c r="O640" s="29"/>
    </row>
    <row r="641">
      <c r="A641" s="29"/>
      <c r="B641" s="36"/>
      <c r="C641" s="37"/>
      <c r="D641" s="37"/>
      <c r="E641" s="37"/>
      <c r="F641" s="38"/>
      <c r="G641" s="38"/>
      <c r="H641" s="39"/>
      <c r="I641" s="40"/>
      <c r="J641" s="37"/>
      <c r="K641" s="40"/>
      <c r="L641" s="41"/>
      <c r="M641" s="37"/>
      <c r="N641" s="41"/>
      <c r="O641" s="29"/>
    </row>
    <row r="642">
      <c r="A642" s="29"/>
      <c r="B642" s="36"/>
      <c r="C642" s="37"/>
      <c r="D642" s="37"/>
      <c r="E642" s="37"/>
      <c r="F642" s="38"/>
      <c r="G642" s="38"/>
      <c r="H642" s="39"/>
      <c r="I642" s="40"/>
      <c r="J642" s="37"/>
      <c r="K642" s="40"/>
      <c r="L642" s="41"/>
      <c r="M642" s="37"/>
      <c r="N642" s="41"/>
      <c r="O642" s="29"/>
    </row>
    <row r="643">
      <c r="A643" s="29"/>
      <c r="B643" s="36"/>
      <c r="C643" s="37"/>
      <c r="D643" s="37"/>
      <c r="E643" s="37"/>
      <c r="F643" s="38"/>
      <c r="G643" s="38"/>
      <c r="H643" s="39"/>
      <c r="I643" s="40"/>
      <c r="J643" s="37"/>
      <c r="K643" s="40"/>
      <c r="L643" s="41"/>
      <c r="M643" s="37"/>
      <c r="N643" s="41"/>
      <c r="O643" s="29"/>
    </row>
    <row r="644">
      <c r="A644" s="29"/>
      <c r="B644" s="36"/>
      <c r="C644" s="37"/>
      <c r="D644" s="37"/>
      <c r="E644" s="37"/>
      <c r="F644" s="38"/>
      <c r="G644" s="38"/>
      <c r="H644" s="39"/>
      <c r="I644" s="40"/>
      <c r="J644" s="37"/>
      <c r="K644" s="40"/>
      <c r="L644" s="41"/>
      <c r="M644" s="37"/>
      <c r="N644" s="41"/>
      <c r="O644" s="29"/>
    </row>
    <row r="645">
      <c r="A645" s="29"/>
      <c r="B645" s="36"/>
      <c r="C645" s="37"/>
      <c r="D645" s="37"/>
      <c r="E645" s="37"/>
      <c r="F645" s="38"/>
      <c r="G645" s="38"/>
      <c r="H645" s="39"/>
      <c r="I645" s="40"/>
      <c r="J645" s="37"/>
      <c r="K645" s="40"/>
      <c r="L645" s="41"/>
      <c r="M645" s="37"/>
      <c r="N645" s="41"/>
      <c r="O645" s="29"/>
    </row>
    <row r="646">
      <c r="A646" s="29"/>
      <c r="B646" s="36"/>
      <c r="C646" s="37"/>
      <c r="D646" s="37"/>
      <c r="E646" s="37"/>
      <c r="F646" s="38"/>
      <c r="G646" s="38"/>
      <c r="H646" s="39"/>
      <c r="I646" s="40"/>
      <c r="J646" s="37"/>
      <c r="K646" s="40"/>
      <c r="L646" s="41"/>
      <c r="M646" s="37"/>
      <c r="N646" s="41"/>
      <c r="O646" s="29"/>
    </row>
    <row r="647">
      <c r="A647" s="29"/>
      <c r="B647" s="36"/>
      <c r="C647" s="37"/>
      <c r="D647" s="37"/>
      <c r="E647" s="37"/>
      <c r="F647" s="38"/>
      <c r="G647" s="38"/>
      <c r="H647" s="39"/>
      <c r="I647" s="40"/>
      <c r="J647" s="37"/>
      <c r="K647" s="40"/>
      <c r="L647" s="41"/>
      <c r="M647" s="37"/>
      <c r="N647" s="41"/>
      <c r="O647" s="29"/>
    </row>
    <row r="648">
      <c r="A648" s="29"/>
      <c r="B648" s="36"/>
      <c r="C648" s="37"/>
      <c r="D648" s="37"/>
      <c r="E648" s="37"/>
      <c r="F648" s="38"/>
      <c r="G648" s="38"/>
      <c r="H648" s="39"/>
      <c r="I648" s="40"/>
      <c r="J648" s="37"/>
      <c r="K648" s="40"/>
      <c r="L648" s="41"/>
      <c r="M648" s="37"/>
      <c r="N648" s="41"/>
      <c r="O648" s="29"/>
    </row>
    <row r="649">
      <c r="A649" s="29"/>
      <c r="B649" s="36"/>
      <c r="C649" s="37"/>
      <c r="D649" s="37"/>
      <c r="E649" s="37"/>
      <c r="F649" s="38"/>
      <c r="G649" s="38"/>
      <c r="H649" s="39"/>
      <c r="I649" s="40"/>
      <c r="J649" s="37"/>
      <c r="K649" s="40"/>
      <c r="L649" s="41"/>
      <c r="M649" s="37"/>
      <c r="N649" s="41"/>
      <c r="O649" s="29"/>
    </row>
    <row r="650">
      <c r="A650" s="29"/>
      <c r="B650" s="36"/>
      <c r="C650" s="37"/>
      <c r="D650" s="37"/>
      <c r="E650" s="37"/>
      <c r="F650" s="38"/>
      <c r="G650" s="38"/>
      <c r="H650" s="39"/>
      <c r="I650" s="40"/>
      <c r="J650" s="37"/>
      <c r="K650" s="40"/>
      <c r="L650" s="41"/>
      <c r="M650" s="37"/>
      <c r="N650" s="41"/>
      <c r="O650" s="29"/>
    </row>
    <row r="651">
      <c r="A651" s="29"/>
      <c r="B651" s="36"/>
      <c r="C651" s="37"/>
      <c r="D651" s="37"/>
      <c r="E651" s="37"/>
      <c r="F651" s="38"/>
      <c r="G651" s="38"/>
      <c r="H651" s="39"/>
      <c r="I651" s="40"/>
      <c r="J651" s="37"/>
      <c r="K651" s="40"/>
      <c r="L651" s="41"/>
      <c r="M651" s="37"/>
      <c r="N651" s="41"/>
      <c r="O651" s="29"/>
    </row>
    <row r="652">
      <c r="A652" s="29"/>
      <c r="B652" s="36"/>
      <c r="C652" s="37"/>
      <c r="D652" s="37"/>
      <c r="E652" s="37"/>
      <c r="F652" s="38"/>
      <c r="G652" s="38"/>
      <c r="H652" s="39"/>
      <c r="I652" s="40"/>
      <c r="J652" s="37"/>
      <c r="K652" s="40"/>
      <c r="L652" s="41"/>
      <c r="M652" s="37"/>
      <c r="N652" s="41"/>
      <c r="O652" s="29"/>
    </row>
    <row r="653">
      <c r="A653" s="29"/>
      <c r="B653" s="36"/>
      <c r="C653" s="37"/>
      <c r="D653" s="37"/>
      <c r="E653" s="37"/>
      <c r="F653" s="38"/>
      <c r="G653" s="38"/>
      <c r="H653" s="39"/>
      <c r="I653" s="40"/>
      <c r="J653" s="37"/>
      <c r="K653" s="40"/>
      <c r="L653" s="41"/>
      <c r="M653" s="37"/>
      <c r="N653" s="41"/>
      <c r="O653" s="29"/>
    </row>
    <row r="654">
      <c r="A654" s="29"/>
      <c r="B654" s="36"/>
      <c r="C654" s="37"/>
      <c r="D654" s="37"/>
      <c r="E654" s="37"/>
      <c r="F654" s="38"/>
      <c r="G654" s="38"/>
      <c r="H654" s="39"/>
      <c r="I654" s="40"/>
      <c r="J654" s="37"/>
      <c r="K654" s="40"/>
      <c r="L654" s="41"/>
      <c r="M654" s="37"/>
      <c r="N654" s="41"/>
      <c r="O654" s="29"/>
    </row>
    <row r="655">
      <c r="A655" s="29"/>
      <c r="B655" s="36"/>
      <c r="C655" s="37"/>
      <c r="D655" s="37"/>
      <c r="E655" s="37"/>
      <c r="F655" s="38"/>
      <c r="G655" s="38"/>
      <c r="H655" s="39"/>
      <c r="I655" s="40"/>
      <c r="J655" s="37"/>
      <c r="K655" s="40"/>
      <c r="L655" s="41"/>
      <c r="M655" s="37"/>
      <c r="N655" s="41"/>
      <c r="O655" s="29"/>
    </row>
    <row r="656">
      <c r="A656" s="29"/>
      <c r="B656" s="36"/>
      <c r="C656" s="37"/>
      <c r="D656" s="37"/>
      <c r="E656" s="37"/>
      <c r="F656" s="38"/>
      <c r="G656" s="38"/>
      <c r="H656" s="39"/>
      <c r="I656" s="40"/>
      <c r="J656" s="37"/>
      <c r="K656" s="40"/>
      <c r="L656" s="41"/>
      <c r="M656" s="37"/>
      <c r="N656" s="41"/>
      <c r="O656" s="29"/>
    </row>
    <row r="657">
      <c r="A657" s="29"/>
      <c r="B657" s="36"/>
      <c r="C657" s="37"/>
      <c r="D657" s="37"/>
      <c r="E657" s="37"/>
      <c r="F657" s="38"/>
      <c r="G657" s="38"/>
      <c r="H657" s="39"/>
      <c r="I657" s="40"/>
      <c r="J657" s="37"/>
      <c r="K657" s="40"/>
      <c r="L657" s="41"/>
      <c r="M657" s="37"/>
      <c r="N657" s="41"/>
      <c r="O657" s="29"/>
    </row>
    <row r="658">
      <c r="A658" s="29"/>
      <c r="B658" s="36"/>
      <c r="C658" s="37"/>
      <c r="D658" s="37"/>
      <c r="E658" s="37"/>
      <c r="F658" s="38"/>
      <c r="G658" s="38"/>
      <c r="H658" s="39"/>
      <c r="I658" s="40"/>
      <c r="J658" s="37"/>
      <c r="K658" s="40"/>
      <c r="L658" s="41"/>
      <c r="M658" s="37"/>
      <c r="N658" s="41"/>
      <c r="O658" s="29"/>
    </row>
    <row r="659">
      <c r="A659" s="29"/>
      <c r="B659" s="36"/>
      <c r="C659" s="37"/>
      <c r="D659" s="37"/>
      <c r="E659" s="37"/>
      <c r="F659" s="38"/>
      <c r="G659" s="38"/>
      <c r="H659" s="39"/>
      <c r="I659" s="40"/>
      <c r="J659" s="37"/>
      <c r="K659" s="40"/>
      <c r="L659" s="41"/>
      <c r="M659" s="37"/>
      <c r="N659" s="41"/>
      <c r="O659" s="29"/>
    </row>
    <row r="660">
      <c r="A660" s="29"/>
      <c r="B660" s="36"/>
      <c r="C660" s="37"/>
      <c r="D660" s="37"/>
      <c r="E660" s="37"/>
      <c r="F660" s="38"/>
      <c r="G660" s="38"/>
      <c r="H660" s="39"/>
      <c r="I660" s="40"/>
      <c r="J660" s="37"/>
      <c r="K660" s="40"/>
      <c r="L660" s="41"/>
      <c r="M660" s="37"/>
      <c r="N660" s="41"/>
      <c r="O660" s="29"/>
    </row>
    <row r="661">
      <c r="A661" s="29"/>
      <c r="B661" s="36"/>
      <c r="C661" s="37"/>
      <c r="D661" s="37"/>
      <c r="E661" s="37"/>
      <c r="F661" s="38"/>
      <c r="G661" s="38"/>
      <c r="H661" s="39"/>
      <c r="I661" s="40"/>
      <c r="J661" s="37"/>
      <c r="K661" s="40"/>
      <c r="L661" s="41"/>
      <c r="M661" s="37"/>
      <c r="N661" s="41"/>
      <c r="O661" s="29"/>
    </row>
    <row r="662">
      <c r="A662" s="29"/>
      <c r="B662" s="36"/>
      <c r="C662" s="37"/>
      <c r="D662" s="37"/>
      <c r="E662" s="37"/>
      <c r="F662" s="38"/>
      <c r="G662" s="38"/>
      <c r="H662" s="39"/>
      <c r="I662" s="40"/>
      <c r="J662" s="37"/>
      <c r="K662" s="40"/>
      <c r="L662" s="41"/>
      <c r="M662" s="37"/>
      <c r="N662" s="41"/>
      <c r="O662" s="29"/>
    </row>
    <row r="663">
      <c r="A663" s="29"/>
      <c r="B663" s="36"/>
      <c r="C663" s="37"/>
      <c r="D663" s="37"/>
      <c r="E663" s="37"/>
      <c r="F663" s="38"/>
      <c r="G663" s="38"/>
      <c r="H663" s="39"/>
      <c r="I663" s="40"/>
      <c r="J663" s="37"/>
      <c r="K663" s="40"/>
      <c r="L663" s="41"/>
      <c r="M663" s="37"/>
      <c r="N663" s="41"/>
      <c r="O663" s="29"/>
    </row>
    <row r="664">
      <c r="A664" s="29"/>
      <c r="B664" s="36"/>
      <c r="C664" s="37"/>
      <c r="D664" s="37"/>
      <c r="E664" s="37"/>
      <c r="F664" s="38"/>
      <c r="G664" s="38"/>
      <c r="H664" s="39"/>
      <c r="I664" s="40"/>
      <c r="J664" s="37"/>
      <c r="K664" s="40"/>
      <c r="L664" s="41"/>
      <c r="M664" s="37"/>
      <c r="N664" s="41"/>
      <c r="O664" s="29"/>
    </row>
    <row r="665">
      <c r="A665" s="29"/>
      <c r="B665" s="36"/>
      <c r="C665" s="37"/>
      <c r="D665" s="37"/>
      <c r="E665" s="37"/>
      <c r="F665" s="38"/>
      <c r="G665" s="38"/>
      <c r="H665" s="39"/>
      <c r="I665" s="40"/>
      <c r="J665" s="37"/>
      <c r="K665" s="40"/>
      <c r="L665" s="41"/>
      <c r="M665" s="37"/>
      <c r="N665" s="41"/>
      <c r="O665" s="29"/>
    </row>
    <row r="666">
      <c r="A666" s="29"/>
      <c r="B666" s="36"/>
      <c r="C666" s="37"/>
      <c r="D666" s="37"/>
      <c r="E666" s="37"/>
      <c r="F666" s="38"/>
      <c r="G666" s="38"/>
      <c r="H666" s="39"/>
      <c r="I666" s="40"/>
      <c r="J666" s="37"/>
      <c r="K666" s="40"/>
      <c r="L666" s="41"/>
      <c r="M666" s="37"/>
      <c r="N666" s="41"/>
      <c r="O666" s="29"/>
    </row>
    <row r="667">
      <c r="A667" s="29"/>
      <c r="B667" s="36"/>
      <c r="C667" s="37"/>
      <c r="D667" s="37"/>
      <c r="E667" s="37"/>
      <c r="F667" s="38"/>
      <c r="G667" s="38"/>
      <c r="H667" s="39"/>
      <c r="I667" s="40"/>
      <c r="J667" s="37"/>
      <c r="K667" s="40"/>
      <c r="L667" s="41"/>
      <c r="M667" s="37"/>
      <c r="N667" s="41"/>
      <c r="O667" s="29"/>
    </row>
    <row r="668">
      <c r="A668" s="29"/>
      <c r="B668" s="36"/>
      <c r="C668" s="37"/>
      <c r="D668" s="37"/>
      <c r="E668" s="37"/>
      <c r="F668" s="38"/>
      <c r="G668" s="38"/>
      <c r="H668" s="39"/>
      <c r="I668" s="40"/>
      <c r="J668" s="37"/>
      <c r="K668" s="40"/>
      <c r="L668" s="41"/>
      <c r="M668" s="37"/>
      <c r="N668" s="41"/>
      <c r="O668" s="29"/>
    </row>
    <row r="669">
      <c r="A669" s="29"/>
      <c r="B669" s="36"/>
      <c r="C669" s="37"/>
      <c r="D669" s="37"/>
      <c r="E669" s="37"/>
      <c r="F669" s="38"/>
      <c r="G669" s="38"/>
      <c r="H669" s="39"/>
      <c r="I669" s="40"/>
      <c r="J669" s="37"/>
      <c r="K669" s="40"/>
      <c r="L669" s="41"/>
      <c r="M669" s="37"/>
      <c r="N669" s="41"/>
      <c r="O669" s="29"/>
    </row>
    <row r="670">
      <c r="A670" s="29"/>
      <c r="B670" s="36"/>
      <c r="C670" s="37"/>
      <c r="D670" s="37"/>
      <c r="E670" s="37"/>
      <c r="F670" s="38"/>
      <c r="G670" s="38"/>
      <c r="H670" s="39"/>
      <c r="I670" s="40"/>
      <c r="J670" s="37"/>
      <c r="K670" s="40"/>
      <c r="L670" s="41"/>
      <c r="M670" s="37"/>
      <c r="N670" s="41"/>
      <c r="O670" s="29"/>
    </row>
    <row r="671">
      <c r="A671" s="29"/>
      <c r="B671" s="36"/>
      <c r="C671" s="37"/>
      <c r="D671" s="37"/>
      <c r="E671" s="37"/>
      <c r="F671" s="38"/>
      <c r="G671" s="38"/>
      <c r="H671" s="39"/>
      <c r="I671" s="40"/>
      <c r="J671" s="37"/>
      <c r="K671" s="40"/>
      <c r="L671" s="41"/>
      <c r="M671" s="37"/>
      <c r="N671" s="41"/>
      <c r="O671" s="29"/>
    </row>
    <row r="672">
      <c r="A672" s="29"/>
      <c r="B672" s="36"/>
      <c r="C672" s="37"/>
      <c r="D672" s="37"/>
      <c r="E672" s="37"/>
      <c r="F672" s="38"/>
      <c r="G672" s="38"/>
      <c r="H672" s="39"/>
      <c r="I672" s="40"/>
      <c r="J672" s="37"/>
      <c r="K672" s="40"/>
      <c r="L672" s="41"/>
      <c r="M672" s="37"/>
      <c r="N672" s="41"/>
      <c r="O672" s="29"/>
    </row>
    <row r="673">
      <c r="A673" s="29"/>
      <c r="B673" s="36"/>
      <c r="C673" s="37"/>
      <c r="D673" s="37"/>
      <c r="E673" s="37"/>
      <c r="F673" s="38"/>
      <c r="G673" s="38"/>
      <c r="H673" s="39"/>
      <c r="I673" s="40"/>
      <c r="J673" s="37"/>
      <c r="K673" s="40"/>
      <c r="L673" s="41"/>
      <c r="M673" s="37"/>
      <c r="N673" s="41"/>
      <c r="O673" s="29"/>
    </row>
    <row r="674">
      <c r="A674" s="29"/>
      <c r="B674" s="36"/>
      <c r="C674" s="37"/>
      <c r="D674" s="37"/>
      <c r="E674" s="37"/>
      <c r="F674" s="38"/>
      <c r="G674" s="38"/>
      <c r="H674" s="39"/>
      <c r="I674" s="40"/>
      <c r="J674" s="37"/>
      <c r="K674" s="40"/>
      <c r="L674" s="41"/>
      <c r="M674" s="37"/>
      <c r="N674" s="41"/>
      <c r="O674" s="29"/>
    </row>
    <row r="675">
      <c r="A675" s="29"/>
      <c r="B675" s="36"/>
      <c r="C675" s="37"/>
      <c r="D675" s="37"/>
      <c r="E675" s="37"/>
      <c r="F675" s="38"/>
      <c r="G675" s="38"/>
      <c r="H675" s="39"/>
      <c r="I675" s="40"/>
      <c r="J675" s="37"/>
      <c r="K675" s="40"/>
      <c r="L675" s="41"/>
      <c r="M675" s="37"/>
      <c r="N675" s="41"/>
      <c r="O675" s="29"/>
    </row>
    <row r="676">
      <c r="A676" s="29"/>
      <c r="B676" s="36"/>
      <c r="C676" s="37"/>
      <c r="D676" s="37"/>
      <c r="E676" s="37"/>
      <c r="F676" s="38"/>
      <c r="G676" s="38"/>
      <c r="H676" s="39"/>
      <c r="I676" s="40"/>
      <c r="J676" s="37"/>
      <c r="K676" s="40"/>
      <c r="L676" s="41"/>
      <c r="M676" s="37"/>
      <c r="N676" s="41"/>
      <c r="O676" s="29"/>
    </row>
    <row r="677">
      <c r="A677" s="29"/>
      <c r="B677" s="36"/>
      <c r="C677" s="37"/>
      <c r="D677" s="37"/>
      <c r="E677" s="37"/>
      <c r="F677" s="38"/>
      <c r="G677" s="38"/>
      <c r="H677" s="39"/>
      <c r="I677" s="40"/>
      <c r="J677" s="37"/>
      <c r="K677" s="40"/>
      <c r="L677" s="41"/>
      <c r="M677" s="37"/>
      <c r="N677" s="41"/>
      <c r="O677" s="29"/>
    </row>
    <row r="678">
      <c r="A678" s="29"/>
      <c r="B678" s="36"/>
      <c r="C678" s="37"/>
      <c r="D678" s="37"/>
      <c r="E678" s="37"/>
      <c r="F678" s="38"/>
      <c r="G678" s="38"/>
      <c r="H678" s="39"/>
      <c r="I678" s="40"/>
      <c r="J678" s="37"/>
      <c r="K678" s="40"/>
      <c r="L678" s="41"/>
      <c r="M678" s="37"/>
      <c r="N678" s="41"/>
      <c r="O678" s="29"/>
    </row>
    <row r="679">
      <c r="A679" s="29"/>
      <c r="B679" s="36"/>
      <c r="C679" s="37"/>
      <c r="D679" s="37"/>
      <c r="E679" s="37"/>
      <c r="F679" s="38"/>
      <c r="G679" s="38"/>
      <c r="H679" s="39"/>
      <c r="I679" s="40"/>
      <c r="J679" s="37"/>
      <c r="K679" s="40"/>
      <c r="L679" s="41"/>
      <c r="M679" s="37"/>
      <c r="N679" s="41"/>
      <c r="O679" s="29"/>
    </row>
    <row r="680">
      <c r="A680" s="29"/>
      <c r="B680" s="36"/>
      <c r="C680" s="37"/>
      <c r="D680" s="37"/>
      <c r="E680" s="37"/>
      <c r="F680" s="38"/>
      <c r="G680" s="38"/>
      <c r="H680" s="39"/>
      <c r="I680" s="40"/>
      <c r="J680" s="37"/>
      <c r="K680" s="40"/>
      <c r="L680" s="41"/>
      <c r="M680" s="37"/>
      <c r="N680" s="41"/>
      <c r="O680" s="29"/>
    </row>
    <row r="681">
      <c r="A681" s="29"/>
      <c r="B681" s="36"/>
      <c r="C681" s="37"/>
      <c r="D681" s="37"/>
      <c r="E681" s="37"/>
      <c r="F681" s="38"/>
      <c r="G681" s="38"/>
      <c r="H681" s="39"/>
      <c r="I681" s="40"/>
      <c r="J681" s="37"/>
      <c r="K681" s="40"/>
      <c r="L681" s="41"/>
      <c r="M681" s="37"/>
      <c r="N681" s="41"/>
      <c r="O681" s="29"/>
    </row>
    <row r="682">
      <c r="A682" s="29"/>
      <c r="B682" s="36"/>
      <c r="C682" s="37"/>
      <c r="D682" s="37"/>
      <c r="E682" s="37"/>
      <c r="F682" s="38"/>
      <c r="G682" s="38"/>
      <c r="H682" s="39"/>
      <c r="I682" s="40"/>
      <c r="J682" s="37"/>
      <c r="K682" s="40"/>
      <c r="L682" s="41"/>
      <c r="M682" s="37"/>
      <c r="N682" s="41"/>
      <c r="O682" s="29"/>
    </row>
    <row r="683">
      <c r="A683" s="29"/>
      <c r="B683" s="36"/>
      <c r="C683" s="37"/>
      <c r="D683" s="37"/>
      <c r="E683" s="37"/>
      <c r="F683" s="38"/>
      <c r="G683" s="38"/>
      <c r="H683" s="39"/>
      <c r="I683" s="40"/>
      <c r="J683" s="37"/>
      <c r="K683" s="40"/>
      <c r="L683" s="41"/>
      <c r="M683" s="37"/>
      <c r="N683" s="41"/>
      <c r="O683" s="29"/>
    </row>
    <row r="684">
      <c r="A684" s="29"/>
      <c r="B684" s="36"/>
      <c r="C684" s="37"/>
      <c r="D684" s="37"/>
      <c r="E684" s="37"/>
      <c r="F684" s="38"/>
      <c r="G684" s="38"/>
      <c r="H684" s="39"/>
      <c r="I684" s="40"/>
      <c r="J684" s="37"/>
      <c r="K684" s="40"/>
      <c r="L684" s="41"/>
      <c r="M684" s="37"/>
      <c r="N684" s="41"/>
      <c r="O684" s="29"/>
    </row>
    <row r="685">
      <c r="A685" s="29"/>
      <c r="B685" s="36"/>
      <c r="C685" s="37"/>
      <c r="D685" s="37"/>
      <c r="E685" s="37"/>
      <c r="F685" s="38"/>
      <c r="G685" s="38"/>
      <c r="H685" s="39"/>
      <c r="I685" s="40"/>
      <c r="J685" s="37"/>
      <c r="K685" s="40"/>
      <c r="L685" s="41"/>
      <c r="M685" s="37"/>
      <c r="N685" s="41"/>
      <c r="O685" s="29"/>
    </row>
    <row r="686">
      <c r="A686" s="29"/>
      <c r="B686" s="36"/>
      <c r="C686" s="37"/>
      <c r="D686" s="37"/>
      <c r="E686" s="37"/>
      <c r="F686" s="38"/>
      <c r="G686" s="38"/>
      <c r="H686" s="39"/>
      <c r="I686" s="40"/>
      <c r="J686" s="37"/>
      <c r="K686" s="40"/>
      <c r="L686" s="41"/>
      <c r="M686" s="37"/>
      <c r="N686" s="41"/>
      <c r="O686" s="29"/>
    </row>
    <row r="687">
      <c r="A687" s="29"/>
      <c r="B687" s="36"/>
      <c r="C687" s="37"/>
      <c r="D687" s="37"/>
      <c r="E687" s="37"/>
      <c r="F687" s="38"/>
      <c r="G687" s="38"/>
      <c r="H687" s="39"/>
      <c r="I687" s="40"/>
      <c r="J687" s="37"/>
      <c r="K687" s="40"/>
      <c r="L687" s="41"/>
      <c r="M687" s="37"/>
      <c r="N687" s="41"/>
      <c r="O687" s="29"/>
    </row>
    <row r="688">
      <c r="A688" s="29"/>
      <c r="B688" s="36"/>
      <c r="C688" s="37"/>
      <c r="D688" s="37"/>
      <c r="E688" s="37"/>
      <c r="F688" s="38"/>
      <c r="G688" s="38"/>
      <c r="H688" s="39"/>
      <c r="I688" s="40"/>
      <c r="J688" s="37"/>
      <c r="K688" s="40"/>
      <c r="L688" s="41"/>
      <c r="M688" s="37"/>
      <c r="N688" s="41"/>
      <c r="O688" s="29"/>
    </row>
    <row r="689">
      <c r="A689" s="29"/>
      <c r="B689" s="36"/>
      <c r="C689" s="37"/>
      <c r="D689" s="37"/>
      <c r="E689" s="37"/>
      <c r="F689" s="38"/>
      <c r="G689" s="38"/>
      <c r="H689" s="39"/>
      <c r="I689" s="40"/>
      <c r="J689" s="37"/>
      <c r="K689" s="40"/>
      <c r="L689" s="41"/>
      <c r="M689" s="37"/>
      <c r="N689" s="41"/>
      <c r="O689" s="29"/>
    </row>
    <row r="690">
      <c r="A690" s="29"/>
      <c r="B690" s="36"/>
      <c r="C690" s="37"/>
      <c r="D690" s="37"/>
      <c r="E690" s="37"/>
      <c r="F690" s="38"/>
      <c r="G690" s="38"/>
      <c r="H690" s="39"/>
      <c r="I690" s="40"/>
      <c r="J690" s="37"/>
      <c r="K690" s="40"/>
      <c r="L690" s="41"/>
      <c r="M690" s="37"/>
      <c r="N690" s="41"/>
      <c r="O690" s="29"/>
    </row>
    <row r="691">
      <c r="A691" s="29"/>
      <c r="B691" s="36"/>
      <c r="C691" s="37"/>
      <c r="D691" s="37"/>
      <c r="E691" s="37"/>
      <c r="F691" s="38"/>
      <c r="G691" s="38"/>
      <c r="H691" s="39"/>
      <c r="I691" s="40"/>
      <c r="J691" s="37"/>
      <c r="K691" s="40"/>
      <c r="L691" s="41"/>
      <c r="M691" s="37"/>
      <c r="N691" s="41"/>
      <c r="O691" s="29"/>
    </row>
    <row r="692">
      <c r="A692" s="29"/>
      <c r="B692" s="36"/>
      <c r="C692" s="37"/>
      <c r="D692" s="37"/>
      <c r="E692" s="37"/>
      <c r="F692" s="38"/>
      <c r="G692" s="38"/>
      <c r="H692" s="39"/>
      <c r="I692" s="40"/>
      <c r="J692" s="37"/>
      <c r="K692" s="40"/>
      <c r="L692" s="41"/>
      <c r="M692" s="37"/>
      <c r="N692" s="41"/>
      <c r="O692" s="29"/>
    </row>
    <row r="693">
      <c r="A693" s="29"/>
      <c r="B693" s="36"/>
      <c r="C693" s="37"/>
      <c r="D693" s="37"/>
      <c r="E693" s="37"/>
      <c r="F693" s="38"/>
      <c r="G693" s="38"/>
      <c r="H693" s="39"/>
      <c r="I693" s="40"/>
      <c r="J693" s="37"/>
      <c r="K693" s="40"/>
      <c r="L693" s="41"/>
      <c r="M693" s="37"/>
      <c r="N693" s="41"/>
      <c r="O693" s="29"/>
    </row>
    <row r="694">
      <c r="A694" s="29"/>
      <c r="B694" s="36"/>
      <c r="C694" s="37"/>
      <c r="D694" s="37"/>
      <c r="E694" s="37"/>
      <c r="F694" s="38"/>
      <c r="G694" s="38"/>
      <c r="H694" s="39"/>
      <c r="I694" s="40"/>
      <c r="J694" s="37"/>
      <c r="K694" s="40"/>
      <c r="L694" s="41"/>
      <c r="M694" s="37"/>
      <c r="N694" s="41"/>
      <c r="O694" s="29"/>
    </row>
    <row r="695">
      <c r="A695" s="29"/>
      <c r="B695" s="36"/>
      <c r="C695" s="37"/>
      <c r="D695" s="37"/>
      <c r="E695" s="37"/>
      <c r="F695" s="38"/>
      <c r="G695" s="38"/>
      <c r="H695" s="39"/>
      <c r="I695" s="40"/>
      <c r="J695" s="37"/>
      <c r="K695" s="40"/>
      <c r="L695" s="41"/>
      <c r="M695" s="37"/>
      <c r="N695" s="41"/>
      <c r="O695" s="29"/>
    </row>
    <row r="696">
      <c r="A696" s="29"/>
      <c r="B696" s="36"/>
      <c r="C696" s="37"/>
      <c r="D696" s="37"/>
      <c r="E696" s="37"/>
      <c r="F696" s="38"/>
      <c r="G696" s="38"/>
      <c r="H696" s="39"/>
      <c r="I696" s="40"/>
      <c r="J696" s="37"/>
      <c r="K696" s="40"/>
      <c r="L696" s="41"/>
      <c r="M696" s="37"/>
      <c r="N696" s="41"/>
      <c r="O696" s="29"/>
    </row>
    <row r="697">
      <c r="A697" s="29"/>
      <c r="B697" s="36"/>
      <c r="C697" s="37"/>
      <c r="D697" s="37"/>
      <c r="E697" s="37"/>
      <c r="F697" s="38"/>
      <c r="G697" s="38"/>
      <c r="H697" s="39"/>
      <c r="I697" s="40"/>
      <c r="J697" s="37"/>
      <c r="K697" s="40"/>
      <c r="L697" s="41"/>
      <c r="M697" s="37"/>
      <c r="N697" s="41"/>
      <c r="O697" s="29"/>
    </row>
    <row r="698">
      <c r="A698" s="29"/>
      <c r="B698" s="36"/>
      <c r="C698" s="37"/>
      <c r="D698" s="37"/>
      <c r="E698" s="37"/>
      <c r="F698" s="38"/>
      <c r="G698" s="38"/>
      <c r="H698" s="39"/>
      <c r="I698" s="40"/>
      <c r="J698" s="37"/>
      <c r="K698" s="40"/>
      <c r="L698" s="41"/>
      <c r="M698" s="37"/>
      <c r="N698" s="41"/>
      <c r="O698" s="29"/>
    </row>
    <row r="699">
      <c r="A699" s="29"/>
      <c r="B699" s="36"/>
      <c r="C699" s="37"/>
      <c r="D699" s="37"/>
      <c r="E699" s="37"/>
      <c r="F699" s="38"/>
      <c r="G699" s="38"/>
      <c r="H699" s="39"/>
      <c r="I699" s="40"/>
      <c r="J699" s="37"/>
      <c r="K699" s="40"/>
      <c r="L699" s="41"/>
      <c r="M699" s="37"/>
      <c r="N699" s="41"/>
      <c r="O699" s="29"/>
    </row>
    <row r="700">
      <c r="A700" s="29"/>
      <c r="B700" s="36"/>
      <c r="C700" s="37"/>
      <c r="D700" s="37"/>
      <c r="E700" s="37"/>
      <c r="F700" s="38"/>
      <c r="G700" s="38"/>
      <c r="H700" s="39"/>
      <c r="I700" s="40"/>
      <c r="J700" s="37"/>
      <c r="K700" s="40"/>
      <c r="L700" s="41"/>
      <c r="M700" s="37"/>
      <c r="N700" s="41"/>
      <c r="O700" s="29"/>
    </row>
    <row r="701">
      <c r="A701" s="29"/>
      <c r="B701" s="36"/>
      <c r="C701" s="37"/>
      <c r="D701" s="37"/>
      <c r="E701" s="37"/>
      <c r="F701" s="38"/>
      <c r="G701" s="38"/>
      <c r="H701" s="39"/>
      <c r="I701" s="40"/>
      <c r="J701" s="37"/>
      <c r="K701" s="40"/>
      <c r="L701" s="41"/>
      <c r="M701" s="37"/>
      <c r="N701" s="41"/>
      <c r="O701" s="29"/>
    </row>
    <row r="702">
      <c r="A702" s="29"/>
      <c r="B702" s="36"/>
      <c r="C702" s="37"/>
      <c r="D702" s="37"/>
      <c r="E702" s="37"/>
      <c r="F702" s="38"/>
      <c r="G702" s="38"/>
      <c r="H702" s="39"/>
      <c r="I702" s="40"/>
      <c r="J702" s="37"/>
      <c r="K702" s="40"/>
      <c r="L702" s="41"/>
      <c r="M702" s="37"/>
      <c r="N702" s="41"/>
      <c r="O702" s="29"/>
    </row>
    <row r="703">
      <c r="A703" s="29"/>
      <c r="B703" s="36"/>
      <c r="C703" s="37"/>
      <c r="D703" s="37"/>
      <c r="E703" s="37"/>
      <c r="F703" s="38"/>
      <c r="G703" s="38"/>
      <c r="H703" s="39"/>
      <c r="I703" s="40"/>
      <c r="J703" s="37"/>
      <c r="K703" s="40"/>
      <c r="L703" s="41"/>
      <c r="M703" s="37"/>
      <c r="N703" s="41"/>
      <c r="O703" s="29"/>
    </row>
    <row r="704">
      <c r="A704" s="29"/>
      <c r="B704" s="36"/>
      <c r="C704" s="37"/>
      <c r="D704" s="37"/>
      <c r="E704" s="37"/>
      <c r="F704" s="38"/>
      <c r="G704" s="38"/>
      <c r="H704" s="39"/>
      <c r="I704" s="40"/>
      <c r="J704" s="37"/>
      <c r="K704" s="40"/>
      <c r="L704" s="41"/>
      <c r="M704" s="37"/>
      <c r="N704" s="41"/>
      <c r="O704" s="29"/>
    </row>
    <row r="705">
      <c r="A705" s="29"/>
      <c r="B705" s="36"/>
      <c r="C705" s="37"/>
      <c r="D705" s="37"/>
      <c r="E705" s="37"/>
      <c r="F705" s="38"/>
      <c r="G705" s="38"/>
      <c r="H705" s="39"/>
      <c r="I705" s="40"/>
      <c r="J705" s="37"/>
      <c r="K705" s="40"/>
      <c r="L705" s="41"/>
      <c r="M705" s="37"/>
      <c r="N705" s="41"/>
      <c r="O705" s="29"/>
    </row>
    <row r="706">
      <c r="A706" s="29"/>
      <c r="B706" s="36"/>
      <c r="C706" s="37"/>
      <c r="D706" s="37"/>
      <c r="E706" s="37"/>
      <c r="F706" s="38"/>
      <c r="G706" s="38"/>
      <c r="H706" s="39"/>
      <c r="I706" s="40"/>
      <c r="J706" s="37"/>
      <c r="K706" s="40"/>
      <c r="L706" s="41"/>
      <c r="M706" s="37"/>
      <c r="N706" s="41"/>
      <c r="O706" s="29"/>
    </row>
    <row r="707">
      <c r="A707" s="29"/>
      <c r="B707" s="36"/>
      <c r="C707" s="37"/>
      <c r="D707" s="37"/>
      <c r="E707" s="37"/>
      <c r="F707" s="38"/>
      <c r="G707" s="38"/>
      <c r="H707" s="39"/>
      <c r="I707" s="40"/>
      <c r="J707" s="37"/>
      <c r="K707" s="40"/>
      <c r="L707" s="41"/>
      <c r="M707" s="37"/>
      <c r="N707" s="41"/>
      <c r="O707" s="29"/>
    </row>
    <row r="708">
      <c r="A708" s="29"/>
      <c r="B708" s="36"/>
      <c r="C708" s="37"/>
      <c r="D708" s="37"/>
      <c r="E708" s="37"/>
      <c r="F708" s="38"/>
      <c r="G708" s="38"/>
      <c r="H708" s="39"/>
      <c r="I708" s="40"/>
      <c r="J708" s="37"/>
      <c r="K708" s="40"/>
      <c r="L708" s="41"/>
      <c r="M708" s="37"/>
      <c r="N708" s="41"/>
      <c r="O708" s="29"/>
    </row>
    <row r="709">
      <c r="A709" s="29"/>
      <c r="B709" s="36"/>
      <c r="C709" s="37"/>
      <c r="D709" s="37"/>
      <c r="E709" s="37"/>
      <c r="F709" s="38"/>
      <c r="G709" s="38"/>
      <c r="H709" s="39"/>
      <c r="I709" s="40"/>
      <c r="J709" s="37"/>
      <c r="K709" s="40"/>
      <c r="L709" s="41"/>
      <c r="M709" s="37"/>
      <c r="N709" s="41"/>
      <c r="O709" s="29"/>
    </row>
    <row r="710">
      <c r="A710" s="29"/>
      <c r="B710" s="36"/>
      <c r="C710" s="37"/>
      <c r="D710" s="37"/>
      <c r="E710" s="37"/>
      <c r="F710" s="38"/>
      <c r="G710" s="38"/>
      <c r="H710" s="39"/>
      <c r="I710" s="40"/>
      <c r="J710" s="37"/>
      <c r="K710" s="40"/>
      <c r="L710" s="41"/>
      <c r="M710" s="37"/>
      <c r="N710" s="41"/>
      <c r="O710" s="29"/>
    </row>
    <row r="711">
      <c r="A711" s="29"/>
      <c r="B711" s="36"/>
      <c r="C711" s="37"/>
      <c r="D711" s="37"/>
      <c r="E711" s="37"/>
      <c r="F711" s="38"/>
      <c r="G711" s="38"/>
      <c r="H711" s="39"/>
      <c r="I711" s="40"/>
      <c r="J711" s="37"/>
      <c r="K711" s="40"/>
      <c r="L711" s="41"/>
      <c r="M711" s="37"/>
      <c r="N711" s="41"/>
      <c r="O711" s="29"/>
    </row>
    <row r="712">
      <c r="A712" s="29"/>
      <c r="B712" s="36"/>
      <c r="C712" s="37"/>
      <c r="D712" s="37"/>
      <c r="E712" s="37"/>
      <c r="F712" s="38"/>
      <c r="G712" s="38"/>
      <c r="H712" s="39"/>
      <c r="I712" s="40"/>
      <c r="J712" s="37"/>
      <c r="K712" s="40"/>
      <c r="L712" s="41"/>
      <c r="M712" s="37"/>
      <c r="N712" s="41"/>
      <c r="O712" s="29"/>
    </row>
    <row r="713">
      <c r="A713" s="29"/>
      <c r="B713" s="36"/>
      <c r="C713" s="37"/>
      <c r="D713" s="37"/>
      <c r="E713" s="37"/>
      <c r="F713" s="38"/>
      <c r="G713" s="38"/>
      <c r="H713" s="39"/>
      <c r="I713" s="40"/>
      <c r="J713" s="37"/>
      <c r="K713" s="40"/>
      <c r="L713" s="41"/>
      <c r="M713" s="37"/>
      <c r="N713" s="41"/>
      <c r="O713" s="29"/>
    </row>
    <row r="714">
      <c r="A714" s="29"/>
      <c r="B714" s="36"/>
      <c r="C714" s="37"/>
      <c r="D714" s="37"/>
      <c r="E714" s="37"/>
      <c r="F714" s="38"/>
      <c r="G714" s="38"/>
      <c r="H714" s="39"/>
      <c r="I714" s="40"/>
      <c r="J714" s="37"/>
      <c r="K714" s="40"/>
      <c r="L714" s="41"/>
      <c r="M714" s="37"/>
      <c r="N714" s="41"/>
      <c r="O714" s="29"/>
    </row>
    <row r="715">
      <c r="A715" s="29"/>
      <c r="B715" s="36"/>
      <c r="C715" s="37"/>
      <c r="D715" s="37"/>
      <c r="E715" s="37"/>
      <c r="F715" s="38"/>
      <c r="G715" s="38"/>
      <c r="H715" s="39"/>
      <c r="I715" s="40"/>
      <c r="J715" s="37"/>
      <c r="K715" s="40"/>
      <c r="L715" s="41"/>
      <c r="M715" s="37"/>
      <c r="N715" s="41"/>
      <c r="O715" s="29"/>
    </row>
    <row r="716">
      <c r="A716" s="29"/>
      <c r="B716" s="36"/>
      <c r="C716" s="37"/>
      <c r="D716" s="37"/>
      <c r="E716" s="37"/>
      <c r="F716" s="38"/>
      <c r="G716" s="38"/>
      <c r="H716" s="39"/>
      <c r="I716" s="40"/>
      <c r="J716" s="37"/>
      <c r="K716" s="40"/>
      <c r="L716" s="41"/>
      <c r="M716" s="37"/>
      <c r="N716" s="41"/>
      <c r="O716" s="29"/>
    </row>
    <row r="717">
      <c r="A717" s="29"/>
      <c r="B717" s="36"/>
      <c r="C717" s="37"/>
      <c r="D717" s="37"/>
      <c r="E717" s="37"/>
      <c r="F717" s="38"/>
      <c r="G717" s="38"/>
      <c r="H717" s="39"/>
      <c r="I717" s="40"/>
      <c r="J717" s="37"/>
      <c r="K717" s="40"/>
      <c r="L717" s="41"/>
      <c r="M717" s="37"/>
      <c r="N717" s="41"/>
      <c r="O717" s="29"/>
    </row>
    <row r="718">
      <c r="A718" s="29"/>
      <c r="B718" s="36"/>
      <c r="C718" s="37"/>
      <c r="D718" s="37"/>
      <c r="E718" s="37"/>
      <c r="F718" s="38"/>
      <c r="G718" s="38"/>
      <c r="H718" s="39"/>
      <c r="I718" s="40"/>
      <c r="J718" s="37"/>
      <c r="K718" s="40"/>
      <c r="L718" s="41"/>
      <c r="M718" s="37"/>
      <c r="N718" s="41"/>
      <c r="O718" s="29"/>
    </row>
    <row r="719">
      <c r="A719" s="29"/>
      <c r="B719" s="36"/>
      <c r="C719" s="37"/>
      <c r="D719" s="37"/>
      <c r="E719" s="37"/>
      <c r="F719" s="38"/>
      <c r="G719" s="38"/>
      <c r="H719" s="39"/>
      <c r="I719" s="40"/>
      <c r="J719" s="37"/>
      <c r="K719" s="40"/>
      <c r="L719" s="41"/>
      <c r="M719" s="37"/>
      <c r="N719" s="41"/>
      <c r="O719" s="29"/>
    </row>
    <row r="720">
      <c r="A720" s="29"/>
      <c r="B720" s="36"/>
      <c r="C720" s="37"/>
      <c r="D720" s="37"/>
      <c r="E720" s="37"/>
      <c r="F720" s="38"/>
      <c r="G720" s="38"/>
      <c r="H720" s="39"/>
      <c r="I720" s="40"/>
      <c r="J720" s="37"/>
      <c r="K720" s="40"/>
      <c r="L720" s="41"/>
      <c r="M720" s="37"/>
      <c r="N720" s="41"/>
      <c r="O720" s="29"/>
    </row>
    <row r="721">
      <c r="A721" s="29"/>
      <c r="B721" s="36"/>
      <c r="C721" s="37"/>
      <c r="D721" s="37"/>
      <c r="E721" s="37"/>
      <c r="F721" s="38"/>
      <c r="G721" s="38"/>
      <c r="H721" s="39"/>
      <c r="I721" s="40"/>
      <c r="J721" s="37"/>
      <c r="K721" s="40"/>
      <c r="L721" s="41"/>
      <c r="M721" s="37"/>
      <c r="N721" s="41"/>
      <c r="O721" s="29"/>
    </row>
    <row r="722">
      <c r="A722" s="29"/>
      <c r="B722" s="36"/>
      <c r="C722" s="37"/>
      <c r="D722" s="37"/>
      <c r="E722" s="37"/>
      <c r="F722" s="38"/>
      <c r="G722" s="38"/>
      <c r="H722" s="39"/>
      <c r="I722" s="40"/>
      <c r="J722" s="37"/>
      <c r="K722" s="40"/>
      <c r="L722" s="41"/>
      <c r="M722" s="37"/>
      <c r="N722" s="41"/>
      <c r="O722" s="29"/>
    </row>
    <row r="723">
      <c r="A723" s="29"/>
      <c r="B723" s="36"/>
      <c r="C723" s="37"/>
      <c r="D723" s="37"/>
      <c r="E723" s="37"/>
      <c r="F723" s="38"/>
      <c r="G723" s="38"/>
      <c r="H723" s="39"/>
      <c r="I723" s="40"/>
      <c r="J723" s="37"/>
      <c r="K723" s="40"/>
      <c r="L723" s="41"/>
      <c r="M723" s="37"/>
      <c r="N723" s="41"/>
      <c r="O723" s="29"/>
    </row>
    <row r="724">
      <c r="A724" s="29"/>
      <c r="B724" s="36"/>
      <c r="C724" s="37"/>
      <c r="D724" s="37"/>
      <c r="E724" s="37"/>
      <c r="F724" s="38"/>
      <c r="G724" s="38"/>
      <c r="H724" s="39"/>
      <c r="I724" s="40"/>
      <c r="J724" s="37"/>
      <c r="K724" s="40"/>
      <c r="L724" s="41"/>
      <c r="M724" s="37"/>
      <c r="N724" s="41"/>
      <c r="O724" s="29"/>
    </row>
    <row r="725">
      <c r="A725" s="29"/>
      <c r="B725" s="36"/>
      <c r="C725" s="37"/>
      <c r="D725" s="37"/>
      <c r="E725" s="37"/>
      <c r="F725" s="38"/>
      <c r="G725" s="38"/>
      <c r="H725" s="39"/>
      <c r="I725" s="40"/>
      <c r="J725" s="37"/>
      <c r="K725" s="40"/>
      <c r="L725" s="41"/>
      <c r="M725" s="37"/>
      <c r="N725" s="41"/>
      <c r="O725" s="29"/>
    </row>
    <row r="726">
      <c r="A726" s="29"/>
      <c r="B726" s="36"/>
      <c r="C726" s="37"/>
      <c r="D726" s="37"/>
      <c r="E726" s="37"/>
      <c r="F726" s="38"/>
      <c r="G726" s="38"/>
      <c r="H726" s="39"/>
      <c r="I726" s="40"/>
      <c r="J726" s="37"/>
      <c r="K726" s="40"/>
      <c r="L726" s="41"/>
      <c r="M726" s="37"/>
      <c r="N726" s="41"/>
      <c r="O726" s="29"/>
    </row>
    <row r="727">
      <c r="A727" s="29"/>
      <c r="B727" s="36"/>
      <c r="C727" s="37"/>
      <c r="D727" s="37"/>
      <c r="E727" s="37"/>
      <c r="F727" s="38"/>
      <c r="G727" s="38"/>
      <c r="H727" s="39"/>
      <c r="I727" s="40"/>
      <c r="J727" s="37"/>
      <c r="K727" s="40"/>
      <c r="L727" s="41"/>
      <c r="M727" s="37"/>
      <c r="N727" s="41"/>
      <c r="O727" s="29"/>
    </row>
    <row r="728">
      <c r="A728" s="29"/>
      <c r="B728" s="36"/>
      <c r="C728" s="37"/>
      <c r="D728" s="37"/>
      <c r="E728" s="37"/>
      <c r="F728" s="38"/>
      <c r="G728" s="38"/>
      <c r="H728" s="39"/>
      <c r="I728" s="40"/>
      <c r="J728" s="37"/>
      <c r="K728" s="40"/>
      <c r="L728" s="41"/>
      <c r="M728" s="37"/>
      <c r="N728" s="41"/>
      <c r="O728" s="29"/>
    </row>
    <row r="729">
      <c r="A729" s="29"/>
      <c r="B729" s="36"/>
      <c r="C729" s="37"/>
      <c r="D729" s="37"/>
      <c r="E729" s="37"/>
      <c r="F729" s="38"/>
      <c r="G729" s="38"/>
      <c r="H729" s="39"/>
      <c r="I729" s="40"/>
      <c r="J729" s="37"/>
      <c r="K729" s="40"/>
      <c r="L729" s="41"/>
      <c r="M729" s="37"/>
      <c r="N729" s="41"/>
      <c r="O729" s="29"/>
    </row>
    <row r="730">
      <c r="A730" s="29"/>
      <c r="B730" s="36"/>
      <c r="C730" s="37"/>
      <c r="D730" s="37"/>
      <c r="E730" s="37"/>
      <c r="F730" s="38"/>
      <c r="G730" s="38"/>
      <c r="H730" s="39"/>
      <c r="I730" s="40"/>
      <c r="J730" s="37"/>
      <c r="K730" s="40"/>
      <c r="L730" s="41"/>
      <c r="M730" s="37"/>
      <c r="N730" s="41"/>
      <c r="O730" s="29"/>
    </row>
    <row r="731">
      <c r="A731" s="29"/>
      <c r="B731" s="36"/>
      <c r="C731" s="37"/>
      <c r="D731" s="37"/>
      <c r="E731" s="37"/>
      <c r="F731" s="38"/>
      <c r="G731" s="38"/>
      <c r="H731" s="39"/>
      <c r="I731" s="40"/>
      <c r="J731" s="37"/>
      <c r="K731" s="40"/>
      <c r="L731" s="41"/>
      <c r="M731" s="37"/>
      <c r="N731" s="41"/>
      <c r="O731" s="29"/>
    </row>
    <row r="732">
      <c r="A732" s="29"/>
      <c r="B732" s="36"/>
      <c r="C732" s="37"/>
      <c r="D732" s="37"/>
      <c r="E732" s="37"/>
      <c r="F732" s="38"/>
      <c r="G732" s="38"/>
      <c r="H732" s="39"/>
      <c r="I732" s="40"/>
      <c r="J732" s="37"/>
      <c r="K732" s="40"/>
      <c r="L732" s="41"/>
      <c r="M732" s="37"/>
      <c r="N732" s="41"/>
      <c r="O732" s="29"/>
    </row>
    <row r="733">
      <c r="A733" s="29"/>
      <c r="B733" s="36"/>
      <c r="C733" s="37"/>
      <c r="D733" s="37"/>
      <c r="E733" s="37"/>
      <c r="F733" s="38"/>
      <c r="G733" s="38"/>
      <c r="H733" s="39"/>
      <c r="I733" s="40"/>
      <c r="J733" s="37"/>
      <c r="K733" s="40"/>
      <c r="L733" s="41"/>
      <c r="M733" s="37"/>
      <c r="N733" s="41"/>
      <c r="O733" s="29"/>
    </row>
    <row r="734">
      <c r="A734" s="29"/>
      <c r="B734" s="36"/>
      <c r="C734" s="37"/>
      <c r="D734" s="37"/>
      <c r="E734" s="37"/>
      <c r="F734" s="38"/>
      <c r="G734" s="38"/>
      <c r="H734" s="39"/>
      <c r="I734" s="40"/>
      <c r="J734" s="37"/>
      <c r="K734" s="40"/>
      <c r="L734" s="41"/>
      <c r="M734" s="37"/>
      <c r="N734" s="41"/>
      <c r="O734" s="29"/>
    </row>
    <row r="735">
      <c r="A735" s="29"/>
      <c r="B735" s="36"/>
      <c r="C735" s="37"/>
      <c r="D735" s="37"/>
      <c r="E735" s="37"/>
      <c r="F735" s="38"/>
      <c r="G735" s="38"/>
      <c r="H735" s="39"/>
      <c r="I735" s="40"/>
      <c r="J735" s="37"/>
      <c r="K735" s="40"/>
      <c r="L735" s="41"/>
      <c r="M735" s="37"/>
      <c r="N735" s="41"/>
      <c r="O735" s="29"/>
    </row>
    <row r="736">
      <c r="A736" s="29"/>
      <c r="B736" s="36"/>
      <c r="C736" s="37"/>
      <c r="D736" s="37"/>
      <c r="E736" s="37"/>
      <c r="F736" s="38"/>
      <c r="G736" s="38"/>
      <c r="H736" s="39"/>
      <c r="I736" s="40"/>
      <c r="J736" s="37"/>
      <c r="K736" s="40"/>
      <c r="L736" s="41"/>
      <c r="M736" s="37"/>
      <c r="N736" s="41"/>
      <c r="O736" s="29"/>
    </row>
    <row r="737">
      <c r="A737" s="29"/>
      <c r="B737" s="36"/>
      <c r="C737" s="37"/>
      <c r="D737" s="37"/>
      <c r="E737" s="37"/>
      <c r="F737" s="38"/>
      <c r="G737" s="38"/>
      <c r="H737" s="39"/>
      <c r="I737" s="40"/>
      <c r="J737" s="37"/>
      <c r="K737" s="40"/>
      <c r="L737" s="41"/>
      <c r="M737" s="37"/>
      <c r="N737" s="41"/>
      <c r="O737" s="29"/>
    </row>
    <row r="738">
      <c r="A738" s="29"/>
      <c r="B738" s="36"/>
      <c r="C738" s="37"/>
      <c r="D738" s="37"/>
      <c r="E738" s="37"/>
      <c r="F738" s="38"/>
      <c r="G738" s="38"/>
      <c r="H738" s="39"/>
      <c r="I738" s="40"/>
      <c r="J738" s="37"/>
      <c r="K738" s="40"/>
      <c r="L738" s="41"/>
      <c r="M738" s="37"/>
      <c r="N738" s="41"/>
      <c r="O738" s="29"/>
    </row>
    <row r="739">
      <c r="A739" s="29"/>
      <c r="B739" s="36"/>
      <c r="C739" s="37"/>
      <c r="D739" s="37"/>
      <c r="E739" s="37"/>
      <c r="F739" s="38"/>
      <c r="G739" s="38"/>
      <c r="H739" s="39"/>
      <c r="I739" s="40"/>
      <c r="J739" s="37"/>
      <c r="K739" s="40"/>
      <c r="L739" s="41"/>
      <c r="M739" s="37"/>
      <c r="N739" s="41"/>
      <c r="O739" s="29"/>
    </row>
    <row r="740">
      <c r="A740" s="29"/>
      <c r="B740" s="36"/>
      <c r="C740" s="37"/>
      <c r="D740" s="37"/>
      <c r="E740" s="37"/>
      <c r="F740" s="38"/>
      <c r="G740" s="38"/>
      <c r="H740" s="39"/>
      <c r="I740" s="40"/>
      <c r="J740" s="37"/>
      <c r="K740" s="40"/>
      <c r="L740" s="41"/>
      <c r="M740" s="37"/>
      <c r="N740" s="41"/>
      <c r="O740" s="29"/>
    </row>
    <row r="741">
      <c r="A741" s="29"/>
      <c r="B741" s="36"/>
      <c r="C741" s="37"/>
      <c r="D741" s="37"/>
      <c r="E741" s="37"/>
      <c r="F741" s="38"/>
      <c r="G741" s="38"/>
      <c r="H741" s="39"/>
      <c r="I741" s="40"/>
      <c r="J741" s="37"/>
      <c r="K741" s="40"/>
      <c r="L741" s="41"/>
      <c r="M741" s="37"/>
      <c r="N741" s="41"/>
      <c r="O741" s="29"/>
    </row>
    <row r="742">
      <c r="A742" s="29"/>
      <c r="B742" s="36"/>
      <c r="C742" s="37"/>
      <c r="D742" s="37"/>
      <c r="E742" s="37"/>
      <c r="F742" s="38"/>
      <c r="G742" s="38"/>
      <c r="H742" s="39"/>
      <c r="I742" s="40"/>
      <c r="J742" s="37"/>
      <c r="K742" s="40"/>
      <c r="L742" s="41"/>
      <c r="M742" s="37"/>
      <c r="N742" s="41"/>
      <c r="O742" s="29"/>
    </row>
    <row r="743">
      <c r="A743" s="29"/>
      <c r="B743" s="36"/>
      <c r="C743" s="37"/>
      <c r="D743" s="37"/>
      <c r="E743" s="37"/>
      <c r="F743" s="38"/>
      <c r="G743" s="38"/>
      <c r="H743" s="39"/>
      <c r="I743" s="40"/>
      <c r="J743" s="37"/>
      <c r="K743" s="40"/>
      <c r="L743" s="41"/>
      <c r="M743" s="37"/>
      <c r="N743" s="41"/>
      <c r="O743" s="29"/>
    </row>
    <row r="744">
      <c r="A744" s="29"/>
      <c r="B744" s="36"/>
      <c r="C744" s="37"/>
      <c r="D744" s="37"/>
      <c r="E744" s="37"/>
      <c r="F744" s="38"/>
      <c r="G744" s="38"/>
      <c r="H744" s="39"/>
      <c r="I744" s="40"/>
      <c r="J744" s="37"/>
      <c r="K744" s="40"/>
      <c r="L744" s="41"/>
      <c r="M744" s="37"/>
      <c r="N744" s="41"/>
      <c r="O744" s="29"/>
    </row>
    <row r="745">
      <c r="A745" s="29"/>
      <c r="B745" s="36"/>
      <c r="C745" s="37"/>
      <c r="D745" s="37"/>
      <c r="E745" s="37"/>
      <c r="F745" s="38"/>
      <c r="G745" s="38"/>
      <c r="H745" s="39"/>
      <c r="I745" s="40"/>
      <c r="J745" s="37"/>
      <c r="K745" s="40"/>
      <c r="L745" s="41"/>
      <c r="M745" s="37"/>
      <c r="N745" s="41"/>
      <c r="O745" s="29"/>
    </row>
    <row r="746">
      <c r="A746" s="29"/>
      <c r="B746" s="36"/>
      <c r="C746" s="37"/>
      <c r="D746" s="37"/>
      <c r="E746" s="37"/>
      <c r="F746" s="38"/>
      <c r="G746" s="38"/>
      <c r="H746" s="39"/>
      <c r="I746" s="40"/>
      <c r="J746" s="37"/>
      <c r="K746" s="40"/>
      <c r="L746" s="41"/>
      <c r="M746" s="37"/>
      <c r="N746" s="41"/>
      <c r="O746" s="29"/>
    </row>
    <row r="747">
      <c r="A747" s="29"/>
      <c r="B747" s="36"/>
      <c r="C747" s="37"/>
      <c r="D747" s="37"/>
      <c r="E747" s="37"/>
      <c r="F747" s="38"/>
      <c r="G747" s="38"/>
      <c r="H747" s="39"/>
      <c r="I747" s="40"/>
      <c r="J747" s="37"/>
      <c r="K747" s="40"/>
      <c r="L747" s="41"/>
      <c r="M747" s="37"/>
      <c r="N747" s="41"/>
      <c r="O747" s="29"/>
    </row>
    <row r="748">
      <c r="A748" s="29"/>
      <c r="B748" s="36"/>
      <c r="C748" s="37"/>
      <c r="D748" s="37"/>
      <c r="E748" s="37"/>
      <c r="F748" s="38"/>
      <c r="G748" s="38"/>
      <c r="H748" s="39"/>
      <c r="I748" s="40"/>
      <c r="J748" s="37"/>
      <c r="K748" s="40"/>
      <c r="L748" s="41"/>
      <c r="M748" s="37"/>
      <c r="N748" s="41"/>
      <c r="O748" s="29"/>
    </row>
    <row r="749">
      <c r="A749" s="29"/>
      <c r="B749" s="36"/>
      <c r="C749" s="37"/>
      <c r="D749" s="37"/>
      <c r="E749" s="37"/>
      <c r="F749" s="38"/>
      <c r="G749" s="38"/>
      <c r="H749" s="39"/>
      <c r="I749" s="40"/>
      <c r="J749" s="37"/>
      <c r="K749" s="40"/>
      <c r="L749" s="41"/>
      <c r="M749" s="37"/>
      <c r="N749" s="41"/>
      <c r="O749" s="29"/>
    </row>
    <row r="750">
      <c r="A750" s="29"/>
      <c r="B750" s="36"/>
      <c r="C750" s="37"/>
      <c r="D750" s="37"/>
      <c r="E750" s="37"/>
      <c r="F750" s="38"/>
      <c r="G750" s="38"/>
      <c r="H750" s="39"/>
      <c r="I750" s="40"/>
      <c r="J750" s="37"/>
      <c r="K750" s="40"/>
      <c r="L750" s="41"/>
      <c r="M750" s="37"/>
      <c r="N750" s="41"/>
      <c r="O750" s="29"/>
    </row>
    <row r="751">
      <c r="A751" s="29"/>
      <c r="B751" s="36"/>
      <c r="C751" s="37"/>
      <c r="D751" s="37"/>
      <c r="E751" s="37"/>
      <c r="F751" s="38"/>
      <c r="G751" s="38"/>
      <c r="H751" s="39"/>
      <c r="I751" s="40"/>
      <c r="J751" s="37"/>
      <c r="K751" s="40"/>
      <c r="L751" s="41"/>
      <c r="M751" s="37"/>
      <c r="N751" s="41"/>
      <c r="O751" s="29"/>
    </row>
    <row r="752">
      <c r="A752" s="29"/>
      <c r="B752" s="36"/>
      <c r="C752" s="37"/>
      <c r="D752" s="37"/>
      <c r="E752" s="37"/>
      <c r="F752" s="38"/>
      <c r="G752" s="38"/>
      <c r="H752" s="39"/>
      <c r="I752" s="40"/>
      <c r="J752" s="37"/>
      <c r="K752" s="40"/>
      <c r="L752" s="41"/>
      <c r="M752" s="37"/>
      <c r="N752" s="41"/>
      <c r="O752" s="29"/>
    </row>
    <row r="753">
      <c r="A753" s="29"/>
      <c r="B753" s="36"/>
      <c r="C753" s="37"/>
      <c r="D753" s="37"/>
      <c r="E753" s="37"/>
      <c r="F753" s="38"/>
      <c r="G753" s="38"/>
      <c r="H753" s="39"/>
      <c r="I753" s="40"/>
      <c r="J753" s="37"/>
      <c r="K753" s="40"/>
      <c r="L753" s="41"/>
      <c r="M753" s="37"/>
      <c r="N753" s="41"/>
      <c r="O753" s="29"/>
    </row>
    <row r="754">
      <c r="A754" s="29"/>
      <c r="B754" s="36"/>
      <c r="C754" s="37"/>
      <c r="D754" s="37"/>
      <c r="E754" s="37"/>
      <c r="F754" s="38"/>
      <c r="G754" s="38"/>
      <c r="H754" s="39"/>
      <c r="I754" s="40"/>
      <c r="J754" s="37"/>
      <c r="K754" s="40"/>
      <c r="L754" s="41"/>
      <c r="M754" s="37"/>
      <c r="N754" s="41"/>
      <c r="O754" s="29"/>
    </row>
    <row r="755">
      <c r="A755" s="29"/>
      <c r="B755" s="36"/>
      <c r="C755" s="37"/>
      <c r="D755" s="37"/>
      <c r="E755" s="37"/>
      <c r="F755" s="38"/>
      <c r="G755" s="38"/>
      <c r="H755" s="39"/>
      <c r="I755" s="40"/>
      <c r="J755" s="37"/>
      <c r="K755" s="40"/>
      <c r="L755" s="41"/>
      <c r="M755" s="37"/>
      <c r="N755" s="41"/>
      <c r="O755" s="29"/>
    </row>
    <row r="756">
      <c r="A756" s="29"/>
      <c r="B756" s="36"/>
      <c r="C756" s="37"/>
      <c r="D756" s="37"/>
      <c r="E756" s="37"/>
      <c r="F756" s="38"/>
      <c r="G756" s="38"/>
      <c r="H756" s="39"/>
      <c r="I756" s="40"/>
      <c r="J756" s="37"/>
      <c r="K756" s="40"/>
      <c r="L756" s="41"/>
      <c r="M756" s="37"/>
      <c r="N756" s="41"/>
      <c r="O756" s="29"/>
    </row>
    <row r="757">
      <c r="A757" s="29"/>
      <c r="B757" s="36"/>
      <c r="C757" s="37"/>
      <c r="D757" s="37"/>
      <c r="E757" s="37"/>
      <c r="F757" s="38"/>
      <c r="G757" s="38"/>
      <c r="H757" s="39"/>
      <c r="I757" s="40"/>
      <c r="J757" s="37"/>
      <c r="K757" s="40"/>
      <c r="L757" s="41"/>
      <c r="M757" s="37"/>
      <c r="N757" s="41"/>
      <c r="O757" s="29"/>
    </row>
    <row r="758">
      <c r="A758" s="29"/>
      <c r="B758" s="36"/>
      <c r="C758" s="37"/>
      <c r="D758" s="37"/>
      <c r="E758" s="37"/>
      <c r="F758" s="38"/>
      <c r="G758" s="38"/>
      <c r="H758" s="39"/>
      <c r="I758" s="40"/>
      <c r="J758" s="37"/>
      <c r="K758" s="40"/>
      <c r="L758" s="41"/>
      <c r="M758" s="37"/>
      <c r="N758" s="41"/>
      <c r="O758" s="29"/>
    </row>
    <row r="759">
      <c r="A759" s="29"/>
      <c r="B759" s="36"/>
      <c r="C759" s="37"/>
      <c r="D759" s="37"/>
      <c r="E759" s="37"/>
      <c r="F759" s="38"/>
      <c r="G759" s="38"/>
      <c r="H759" s="39"/>
      <c r="I759" s="40"/>
      <c r="J759" s="37"/>
      <c r="K759" s="40"/>
      <c r="L759" s="41"/>
      <c r="M759" s="37"/>
      <c r="N759" s="41"/>
      <c r="O759" s="29"/>
    </row>
    <row r="760">
      <c r="A760" s="29"/>
      <c r="B760" s="36"/>
      <c r="C760" s="37"/>
      <c r="D760" s="37"/>
      <c r="E760" s="37"/>
      <c r="F760" s="38"/>
      <c r="G760" s="38"/>
      <c r="H760" s="39"/>
      <c r="I760" s="40"/>
      <c r="J760" s="37"/>
      <c r="K760" s="40"/>
      <c r="L760" s="41"/>
      <c r="M760" s="37"/>
      <c r="N760" s="41"/>
      <c r="O760" s="29"/>
    </row>
    <row r="761">
      <c r="A761" s="29"/>
      <c r="B761" s="36"/>
      <c r="C761" s="37"/>
      <c r="D761" s="37"/>
      <c r="E761" s="37"/>
      <c r="F761" s="38"/>
      <c r="G761" s="38"/>
      <c r="H761" s="39"/>
      <c r="I761" s="40"/>
      <c r="J761" s="37"/>
      <c r="K761" s="40"/>
      <c r="L761" s="41"/>
      <c r="M761" s="37"/>
      <c r="N761" s="41"/>
      <c r="O761" s="29"/>
    </row>
    <row r="762">
      <c r="A762" s="29"/>
      <c r="B762" s="36"/>
      <c r="C762" s="37"/>
      <c r="D762" s="37"/>
      <c r="E762" s="37"/>
      <c r="F762" s="38"/>
      <c r="G762" s="38"/>
      <c r="H762" s="39"/>
      <c r="I762" s="40"/>
      <c r="J762" s="37"/>
      <c r="K762" s="40"/>
      <c r="L762" s="41"/>
      <c r="M762" s="37"/>
      <c r="N762" s="41"/>
      <c r="O762" s="29"/>
    </row>
    <row r="763">
      <c r="A763" s="29"/>
      <c r="B763" s="36"/>
      <c r="C763" s="37"/>
      <c r="D763" s="37"/>
      <c r="E763" s="37"/>
      <c r="F763" s="38"/>
      <c r="G763" s="38"/>
      <c r="H763" s="39"/>
      <c r="I763" s="40"/>
      <c r="J763" s="37"/>
      <c r="K763" s="40"/>
      <c r="L763" s="41"/>
      <c r="M763" s="37"/>
      <c r="N763" s="41"/>
      <c r="O763" s="29"/>
    </row>
    <row r="764">
      <c r="A764" s="29"/>
      <c r="B764" s="36"/>
      <c r="C764" s="37"/>
      <c r="D764" s="37"/>
      <c r="E764" s="37"/>
      <c r="F764" s="38"/>
      <c r="G764" s="38"/>
      <c r="H764" s="39"/>
      <c r="I764" s="40"/>
      <c r="J764" s="37"/>
      <c r="K764" s="40"/>
      <c r="L764" s="41"/>
      <c r="M764" s="37"/>
      <c r="N764" s="41"/>
      <c r="O764" s="29"/>
    </row>
    <row r="765">
      <c r="A765" s="29"/>
      <c r="B765" s="36"/>
      <c r="C765" s="37"/>
      <c r="D765" s="37"/>
      <c r="E765" s="37"/>
      <c r="F765" s="38"/>
      <c r="G765" s="38"/>
      <c r="H765" s="39"/>
      <c r="I765" s="40"/>
      <c r="J765" s="37"/>
      <c r="K765" s="40"/>
      <c r="L765" s="41"/>
      <c r="M765" s="37"/>
      <c r="N765" s="41"/>
      <c r="O765" s="29"/>
    </row>
    <row r="766">
      <c r="A766" s="29"/>
      <c r="B766" s="36"/>
      <c r="C766" s="37"/>
      <c r="D766" s="37"/>
      <c r="E766" s="37"/>
      <c r="F766" s="38"/>
      <c r="G766" s="38"/>
      <c r="H766" s="39"/>
      <c r="I766" s="40"/>
      <c r="J766" s="37"/>
      <c r="K766" s="40"/>
      <c r="L766" s="41"/>
      <c r="M766" s="37"/>
      <c r="N766" s="41"/>
      <c r="O766" s="29"/>
    </row>
    <row r="767">
      <c r="A767" s="29"/>
      <c r="B767" s="36"/>
      <c r="C767" s="37"/>
      <c r="D767" s="37"/>
      <c r="E767" s="37"/>
      <c r="F767" s="38"/>
      <c r="G767" s="38"/>
      <c r="H767" s="39"/>
      <c r="I767" s="40"/>
      <c r="J767" s="37"/>
      <c r="K767" s="40"/>
      <c r="L767" s="41"/>
      <c r="M767" s="37"/>
      <c r="N767" s="41"/>
      <c r="O767" s="29"/>
    </row>
    <row r="768">
      <c r="A768" s="29"/>
      <c r="B768" s="36"/>
      <c r="C768" s="37"/>
      <c r="D768" s="37"/>
      <c r="E768" s="37"/>
      <c r="F768" s="38"/>
      <c r="G768" s="38"/>
      <c r="H768" s="39"/>
      <c r="I768" s="40"/>
      <c r="J768" s="37"/>
      <c r="K768" s="40"/>
      <c r="L768" s="41"/>
      <c r="M768" s="37"/>
      <c r="N768" s="41"/>
      <c r="O768" s="29"/>
    </row>
    <row r="769">
      <c r="A769" s="29"/>
      <c r="B769" s="36"/>
      <c r="C769" s="37"/>
      <c r="D769" s="37"/>
      <c r="E769" s="37"/>
      <c r="F769" s="38"/>
      <c r="G769" s="38"/>
      <c r="H769" s="39"/>
      <c r="I769" s="40"/>
      <c r="J769" s="37"/>
      <c r="K769" s="40"/>
      <c r="L769" s="41"/>
      <c r="M769" s="37"/>
      <c r="N769" s="41"/>
      <c r="O769" s="29"/>
    </row>
    <row r="770">
      <c r="A770" s="29"/>
      <c r="B770" s="36"/>
      <c r="C770" s="37"/>
      <c r="D770" s="37"/>
      <c r="E770" s="37"/>
      <c r="F770" s="38"/>
      <c r="G770" s="38"/>
      <c r="H770" s="39"/>
      <c r="I770" s="40"/>
      <c r="J770" s="37"/>
      <c r="K770" s="40"/>
      <c r="L770" s="41"/>
      <c r="M770" s="37"/>
      <c r="N770" s="41"/>
      <c r="O770" s="29"/>
    </row>
    <row r="771">
      <c r="A771" s="29"/>
      <c r="B771" s="36"/>
      <c r="C771" s="37"/>
      <c r="D771" s="37"/>
      <c r="E771" s="37"/>
      <c r="F771" s="38"/>
      <c r="G771" s="38"/>
      <c r="H771" s="39"/>
      <c r="I771" s="40"/>
      <c r="J771" s="37"/>
      <c r="K771" s="40"/>
      <c r="L771" s="41"/>
      <c r="M771" s="37"/>
      <c r="N771" s="41"/>
      <c r="O771" s="29"/>
    </row>
    <row r="772">
      <c r="A772" s="29"/>
      <c r="B772" s="36"/>
      <c r="C772" s="37"/>
      <c r="D772" s="37"/>
      <c r="E772" s="37"/>
      <c r="F772" s="38"/>
      <c r="G772" s="38"/>
      <c r="H772" s="39"/>
      <c r="I772" s="40"/>
      <c r="J772" s="37"/>
      <c r="K772" s="40"/>
      <c r="L772" s="41"/>
      <c r="M772" s="37"/>
      <c r="N772" s="41"/>
      <c r="O772" s="29"/>
    </row>
    <row r="773">
      <c r="A773" s="29"/>
      <c r="B773" s="36"/>
      <c r="C773" s="37"/>
      <c r="D773" s="37"/>
      <c r="E773" s="37"/>
      <c r="F773" s="38"/>
      <c r="G773" s="38"/>
      <c r="H773" s="39"/>
      <c r="I773" s="40"/>
      <c r="J773" s="37"/>
      <c r="K773" s="40"/>
      <c r="L773" s="41"/>
      <c r="M773" s="37"/>
      <c r="N773" s="41"/>
      <c r="O773" s="29"/>
    </row>
    <row r="774">
      <c r="A774" s="29"/>
      <c r="B774" s="36"/>
      <c r="C774" s="37"/>
      <c r="D774" s="37"/>
      <c r="E774" s="37"/>
      <c r="F774" s="38"/>
      <c r="G774" s="38"/>
      <c r="H774" s="39"/>
      <c r="I774" s="40"/>
      <c r="J774" s="37"/>
      <c r="K774" s="40"/>
      <c r="L774" s="41"/>
      <c r="M774" s="37"/>
      <c r="N774" s="41"/>
      <c r="O774" s="29"/>
    </row>
    <row r="775">
      <c r="A775" s="29"/>
      <c r="B775" s="36"/>
      <c r="C775" s="37"/>
      <c r="D775" s="37"/>
      <c r="E775" s="37"/>
      <c r="F775" s="38"/>
      <c r="G775" s="38"/>
      <c r="H775" s="39"/>
      <c r="I775" s="40"/>
      <c r="J775" s="37"/>
      <c r="K775" s="40"/>
      <c r="L775" s="41"/>
      <c r="M775" s="37"/>
      <c r="N775" s="41"/>
      <c r="O775" s="29"/>
    </row>
    <row r="776">
      <c r="A776" s="29"/>
      <c r="B776" s="36"/>
      <c r="C776" s="37"/>
      <c r="D776" s="37"/>
      <c r="E776" s="37"/>
      <c r="F776" s="38"/>
      <c r="G776" s="38"/>
      <c r="H776" s="39"/>
      <c r="I776" s="40"/>
      <c r="J776" s="37"/>
      <c r="K776" s="40"/>
      <c r="L776" s="41"/>
      <c r="M776" s="37"/>
      <c r="N776" s="41"/>
      <c r="O776" s="29"/>
    </row>
    <row r="777">
      <c r="A777" s="29"/>
      <c r="B777" s="36"/>
      <c r="C777" s="37"/>
      <c r="D777" s="37"/>
      <c r="E777" s="37"/>
      <c r="F777" s="38"/>
      <c r="G777" s="38"/>
      <c r="H777" s="39"/>
      <c r="I777" s="40"/>
      <c r="J777" s="37"/>
      <c r="K777" s="40"/>
      <c r="L777" s="41"/>
      <c r="M777" s="37"/>
      <c r="N777" s="41"/>
      <c r="O777" s="29"/>
    </row>
    <row r="778">
      <c r="A778" s="29"/>
      <c r="B778" s="36"/>
      <c r="C778" s="37"/>
      <c r="D778" s="37"/>
      <c r="E778" s="37"/>
      <c r="F778" s="38"/>
      <c r="G778" s="38"/>
      <c r="H778" s="39"/>
      <c r="I778" s="40"/>
      <c r="J778" s="37"/>
      <c r="K778" s="40"/>
      <c r="L778" s="41"/>
      <c r="M778" s="37"/>
      <c r="N778" s="41"/>
      <c r="O778" s="29"/>
    </row>
    <row r="779">
      <c r="A779" s="29"/>
      <c r="B779" s="36"/>
      <c r="C779" s="37"/>
      <c r="D779" s="37"/>
      <c r="E779" s="37"/>
      <c r="F779" s="38"/>
      <c r="G779" s="38"/>
      <c r="H779" s="39"/>
      <c r="I779" s="40"/>
      <c r="J779" s="37"/>
      <c r="K779" s="40"/>
      <c r="L779" s="41"/>
      <c r="M779" s="37"/>
      <c r="N779" s="41"/>
      <c r="O779" s="29"/>
    </row>
    <row r="780">
      <c r="A780" s="29"/>
      <c r="B780" s="36"/>
      <c r="C780" s="37"/>
      <c r="D780" s="37"/>
      <c r="E780" s="37"/>
      <c r="F780" s="38"/>
      <c r="G780" s="38"/>
      <c r="H780" s="39"/>
      <c r="I780" s="40"/>
      <c r="J780" s="37"/>
      <c r="K780" s="40"/>
      <c r="L780" s="41"/>
      <c r="M780" s="37"/>
      <c r="N780" s="41"/>
      <c r="O780" s="29"/>
    </row>
    <row r="781">
      <c r="A781" s="29"/>
      <c r="B781" s="36"/>
      <c r="C781" s="37"/>
      <c r="D781" s="37"/>
      <c r="E781" s="37"/>
      <c r="F781" s="38"/>
      <c r="G781" s="38"/>
      <c r="H781" s="39"/>
      <c r="I781" s="40"/>
      <c r="J781" s="37"/>
      <c r="K781" s="40"/>
      <c r="L781" s="41"/>
      <c r="M781" s="37"/>
      <c r="N781" s="41"/>
      <c r="O781" s="29"/>
    </row>
    <row r="782">
      <c r="A782" s="29"/>
      <c r="B782" s="36"/>
      <c r="C782" s="37"/>
      <c r="D782" s="37"/>
      <c r="E782" s="37"/>
      <c r="F782" s="38"/>
      <c r="G782" s="38"/>
      <c r="H782" s="39"/>
      <c r="I782" s="40"/>
      <c r="J782" s="37"/>
      <c r="K782" s="40"/>
      <c r="L782" s="41"/>
      <c r="M782" s="37"/>
      <c r="N782" s="41"/>
      <c r="O782" s="29"/>
    </row>
    <row r="783">
      <c r="A783" s="29"/>
      <c r="B783" s="36"/>
      <c r="C783" s="37"/>
      <c r="D783" s="37"/>
      <c r="E783" s="37"/>
      <c r="F783" s="38"/>
      <c r="G783" s="38"/>
      <c r="H783" s="39"/>
      <c r="I783" s="40"/>
      <c r="J783" s="37"/>
      <c r="K783" s="40"/>
      <c r="L783" s="41"/>
      <c r="M783" s="37"/>
      <c r="N783" s="41"/>
      <c r="O783" s="29"/>
    </row>
    <row r="784">
      <c r="A784" s="29"/>
      <c r="B784" s="36"/>
      <c r="C784" s="37"/>
      <c r="D784" s="37"/>
      <c r="E784" s="37"/>
      <c r="F784" s="38"/>
      <c r="G784" s="38"/>
      <c r="H784" s="39"/>
      <c r="I784" s="40"/>
      <c r="J784" s="37"/>
      <c r="K784" s="40"/>
      <c r="L784" s="41"/>
      <c r="M784" s="37"/>
      <c r="N784" s="41"/>
      <c r="O784" s="29"/>
    </row>
    <row r="785">
      <c r="A785" s="29"/>
      <c r="B785" s="36"/>
      <c r="C785" s="37"/>
      <c r="D785" s="37"/>
      <c r="E785" s="37"/>
      <c r="F785" s="38"/>
      <c r="G785" s="38"/>
      <c r="H785" s="39"/>
      <c r="I785" s="40"/>
      <c r="J785" s="37"/>
      <c r="K785" s="40"/>
      <c r="L785" s="41"/>
      <c r="M785" s="37"/>
      <c r="N785" s="41"/>
      <c r="O785" s="29"/>
    </row>
    <row r="786">
      <c r="A786" s="29"/>
      <c r="B786" s="36"/>
      <c r="C786" s="37"/>
      <c r="D786" s="37"/>
      <c r="E786" s="37"/>
      <c r="F786" s="38"/>
      <c r="G786" s="38"/>
      <c r="H786" s="39"/>
      <c r="I786" s="40"/>
      <c r="J786" s="37"/>
      <c r="K786" s="40"/>
      <c r="L786" s="41"/>
      <c r="M786" s="37"/>
      <c r="N786" s="41"/>
      <c r="O786" s="29"/>
    </row>
    <row r="787">
      <c r="A787" s="29"/>
      <c r="B787" s="36"/>
      <c r="C787" s="37"/>
      <c r="D787" s="37"/>
      <c r="E787" s="37"/>
      <c r="F787" s="38"/>
      <c r="G787" s="38"/>
      <c r="H787" s="39"/>
      <c r="I787" s="40"/>
      <c r="J787" s="37"/>
      <c r="K787" s="40"/>
      <c r="L787" s="41"/>
      <c r="M787" s="37"/>
      <c r="N787" s="41"/>
      <c r="O787" s="29"/>
    </row>
    <row r="788">
      <c r="A788" s="29"/>
      <c r="B788" s="36"/>
      <c r="C788" s="37"/>
      <c r="D788" s="37"/>
      <c r="E788" s="37"/>
      <c r="F788" s="38"/>
      <c r="G788" s="38"/>
      <c r="H788" s="39"/>
      <c r="I788" s="40"/>
      <c r="J788" s="37"/>
      <c r="K788" s="40"/>
      <c r="L788" s="41"/>
      <c r="M788" s="37"/>
      <c r="N788" s="41"/>
      <c r="O788" s="29"/>
    </row>
    <row r="789">
      <c r="A789" s="29"/>
      <c r="B789" s="36"/>
      <c r="C789" s="37"/>
      <c r="D789" s="37"/>
      <c r="E789" s="37"/>
      <c r="F789" s="38"/>
      <c r="G789" s="38"/>
      <c r="H789" s="39"/>
      <c r="I789" s="40"/>
      <c r="J789" s="37"/>
      <c r="K789" s="40"/>
      <c r="L789" s="41"/>
      <c r="M789" s="37"/>
      <c r="N789" s="41"/>
      <c r="O789" s="29"/>
    </row>
    <row r="790">
      <c r="A790" s="29"/>
      <c r="B790" s="36"/>
      <c r="C790" s="37"/>
      <c r="D790" s="37"/>
      <c r="E790" s="37"/>
      <c r="F790" s="38"/>
      <c r="G790" s="38"/>
      <c r="H790" s="39"/>
      <c r="I790" s="40"/>
      <c r="J790" s="37"/>
      <c r="K790" s="40"/>
      <c r="L790" s="41"/>
      <c r="M790" s="37"/>
      <c r="N790" s="41"/>
      <c r="O790" s="29"/>
    </row>
    <row r="791">
      <c r="A791" s="29"/>
      <c r="B791" s="36"/>
      <c r="C791" s="37"/>
      <c r="D791" s="37"/>
      <c r="E791" s="37"/>
      <c r="F791" s="38"/>
      <c r="G791" s="38"/>
      <c r="H791" s="39"/>
      <c r="I791" s="40"/>
      <c r="J791" s="37"/>
      <c r="K791" s="40"/>
      <c r="L791" s="41"/>
      <c r="M791" s="37"/>
      <c r="N791" s="41"/>
      <c r="O791" s="29"/>
    </row>
    <row r="792">
      <c r="A792" s="29"/>
      <c r="B792" s="36"/>
      <c r="C792" s="37"/>
      <c r="D792" s="37"/>
      <c r="E792" s="37"/>
      <c r="F792" s="38"/>
      <c r="G792" s="38"/>
      <c r="H792" s="39"/>
      <c r="I792" s="40"/>
      <c r="J792" s="37"/>
      <c r="K792" s="40"/>
      <c r="L792" s="41"/>
      <c r="M792" s="37"/>
      <c r="N792" s="41"/>
      <c r="O792" s="29"/>
    </row>
    <row r="793">
      <c r="A793" s="29"/>
      <c r="B793" s="36"/>
      <c r="C793" s="37"/>
      <c r="D793" s="37"/>
      <c r="E793" s="37"/>
      <c r="F793" s="38"/>
      <c r="G793" s="38"/>
      <c r="H793" s="39"/>
      <c r="I793" s="40"/>
      <c r="J793" s="37"/>
      <c r="K793" s="40"/>
      <c r="L793" s="41"/>
      <c r="M793" s="37"/>
      <c r="N793" s="41"/>
      <c r="O793" s="29"/>
    </row>
    <row r="794">
      <c r="A794" s="29"/>
      <c r="B794" s="36"/>
      <c r="C794" s="37"/>
      <c r="D794" s="37"/>
      <c r="E794" s="37"/>
      <c r="F794" s="38"/>
      <c r="G794" s="38"/>
      <c r="H794" s="39"/>
      <c r="I794" s="40"/>
      <c r="J794" s="37"/>
      <c r="K794" s="40"/>
      <c r="L794" s="41"/>
      <c r="M794" s="37"/>
      <c r="N794" s="41"/>
      <c r="O794" s="29"/>
    </row>
    <row r="795">
      <c r="A795" s="29"/>
      <c r="B795" s="36"/>
      <c r="C795" s="37"/>
      <c r="D795" s="37"/>
      <c r="E795" s="37"/>
      <c r="F795" s="38"/>
      <c r="G795" s="38"/>
      <c r="H795" s="39"/>
      <c r="I795" s="40"/>
      <c r="J795" s="37"/>
      <c r="K795" s="40"/>
      <c r="L795" s="41"/>
      <c r="M795" s="37"/>
      <c r="N795" s="41"/>
      <c r="O795" s="29"/>
    </row>
    <row r="796">
      <c r="A796" s="29"/>
      <c r="B796" s="36"/>
      <c r="C796" s="37"/>
      <c r="D796" s="37"/>
      <c r="E796" s="37"/>
      <c r="F796" s="38"/>
      <c r="G796" s="38"/>
      <c r="H796" s="39"/>
      <c r="I796" s="40"/>
      <c r="J796" s="37"/>
      <c r="K796" s="40"/>
      <c r="L796" s="41"/>
      <c r="M796" s="37"/>
      <c r="N796" s="41"/>
      <c r="O796" s="29"/>
    </row>
    <row r="797">
      <c r="A797" s="29"/>
      <c r="B797" s="36"/>
      <c r="C797" s="37"/>
      <c r="D797" s="37"/>
      <c r="E797" s="37"/>
      <c r="F797" s="38"/>
      <c r="G797" s="38"/>
      <c r="H797" s="39"/>
      <c r="I797" s="40"/>
      <c r="J797" s="37"/>
      <c r="K797" s="40"/>
      <c r="L797" s="41"/>
      <c r="M797" s="37"/>
      <c r="N797" s="41"/>
      <c r="O797" s="29"/>
    </row>
    <row r="798">
      <c r="A798" s="29"/>
      <c r="B798" s="36"/>
      <c r="C798" s="37"/>
      <c r="D798" s="37"/>
      <c r="E798" s="37"/>
      <c r="F798" s="38"/>
      <c r="G798" s="38"/>
      <c r="H798" s="39"/>
      <c r="I798" s="40"/>
      <c r="J798" s="37"/>
      <c r="K798" s="40"/>
      <c r="L798" s="41"/>
      <c r="M798" s="37"/>
      <c r="N798" s="41"/>
      <c r="O798" s="29"/>
    </row>
    <row r="799">
      <c r="A799" s="29"/>
      <c r="B799" s="36"/>
      <c r="C799" s="37"/>
      <c r="D799" s="37"/>
      <c r="E799" s="37"/>
      <c r="F799" s="38"/>
      <c r="G799" s="38"/>
      <c r="H799" s="39"/>
      <c r="I799" s="40"/>
      <c r="J799" s="37"/>
      <c r="K799" s="40"/>
      <c r="L799" s="41"/>
      <c r="M799" s="37"/>
      <c r="N799" s="41"/>
      <c r="O799" s="29"/>
    </row>
    <row r="800">
      <c r="A800" s="29"/>
      <c r="B800" s="36"/>
      <c r="C800" s="37"/>
      <c r="D800" s="37"/>
      <c r="E800" s="37"/>
      <c r="F800" s="38"/>
      <c r="G800" s="38"/>
      <c r="H800" s="39"/>
      <c r="I800" s="40"/>
      <c r="J800" s="37"/>
      <c r="K800" s="40"/>
      <c r="L800" s="41"/>
      <c r="M800" s="37"/>
      <c r="N800" s="41"/>
      <c r="O800" s="29"/>
    </row>
    <row r="801">
      <c r="A801" s="29"/>
      <c r="B801" s="36"/>
      <c r="C801" s="37"/>
      <c r="D801" s="37"/>
      <c r="E801" s="37"/>
      <c r="F801" s="38"/>
      <c r="G801" s="38"/>
      <c r="H801" s="39"/>
      <c r="I801" s="40"/>
      <c r="J801" s="37"/>
      <c r="K801" s="40"/>
      <c r="L801" s="41"/>
      <c r="M801" s="37"/>
      <c r="N801" s="41"/>
      <c r="O801" s="29"/>
    </row>
    <row r="802">
      <c r="A802" s="29"/>
      <c r="B802" s="36"/>
      <c r="C802" s="37"/>
      <c r="D802" s="37"/>
      <c r="E802" s="37"/>
      <c r="F802" s="38"/>
      <c r="G802" s="38"/>
      <c r="H802" s="39"/>
      <c r="I802" s="40"/>
      <c r="J802" s="37"/>
      <c r="K802" s="40"/>
      <c r="L802" s="41"/>
      <c r="M802" s="37"/>
      <c r="N802" s="41"/>
      <c r="O802" s="29"/>
    </row>
    <row r="803">
      <c r="A803" s="29"/>
      <c r="B803" s="36"/>
      <c r="C803" s="37"/>
      <c r="D803" s="37"/>
      <c r="E803" s="37"/>
      <c r="F803" s="38"/>
      <c r="G803" s="38"/>
      <c r="H803" s="39"/>
      <c r="I803" s="40"/>
      <c r="J803" s="37"/>
      <c r="K803" s="40"/>
      <c r="L803" s="41"/>
      <c r="M803" s="37"/>
      <c r="N803" s="41"/>
      <c r="O803" s="29"/>
    </row>
    <row r="804">
      <c r="A804" s="29"/>
      <c r="B804" s="36"/>
      <c r="C804" s="37"/>
      <c r="D804" s="37"/>
      <c r="E804" s="37"/>
      <c r="F804" s="38"/>
      <c r="G804" s="38"/>
      <c r="H804" s="39"/>
      <c r="I804" s="40"/>
      <c r="J804" s="37"/>
      <c r="K804" s="40"/>
      <c r="L804" s="41"/>
      <c r="M804" s="37"/>
      <c r="N804" s="41"/>
      <c r="O804" s="29"/>
    </row>
    <row r="805">
      <c r="A805" s="29"/>
      <c r="B805" s="36"/>
      <c r="C805" s="37"/>
      <c r="D805" s="37"/>
      <c r="E805" s="37"/>
      <c r="F805" s="38"/>
      <c r="G805" s="38"/>
      <c r="H805" s="39"/>
      <c r="I805" s="40"/>
      <c r="J805" s="37"/>
      <c r="K805" s="40"/>
      <c r="L805" s="41"/>
      <c r="M805" s="37"/>
      <c r="N805" s="41"/>
      <c r="O805" s="29"/>
    </row>
    <row r="806">
      <c r="A806" s="29"/>
      <c r="B806" s="36"/>
      <c r="C806" s="37"/>
      <c r="D806" s="37"/>
      <c r="E806" s="37"/>
      <c r="F806" s="38"/>
      <c r="G806" s="38"/>
      <c r="H806" s="39"/>
      <c r="I806" s="40"/>
      <c r="J806" s="37"/>
      <c r="K806" s="40"/>
      <c r="L806" s="41"/>
      <c r="M806" s="37"/>
      <c r="N806" s="41"/>
      <c r="O806" s="29"/>
    </row>
    <row r="807">
      <c r="A807" s="29"/>
      <c r="B807" s="36"/>
      <c r="C807" s="37"/>
      <c r="D807" s="37"/>
      <c r="E807" s="37"/>
      <c r="F807" s="38"/>
      <c r="G807" s="38"/>
      <c r="H807" s="39"/>
      <c r="I807" s="40"/>
      <c r="J807" s="37"/>
      <c r="K807" s="40"/>
      <c r="L807" s="41"/>
      <c r="M807" s="37"/>
      <c r="N807" s="41"/>
      <c r="O807" s="29"/>
    </row>
    <row r="808">
      <c r="A808" s="29"/>
      <c r="B808" s="36"/>
      <c r="C808" s="37"/>
      <c r="D808" s="37"/>
      <c r="E808" s="37"/>
      <c r="F808" s="38"/>
      <c r="G808" s="38"/>
      <c r="H808" s="39"/>
      <c r="I808" s="40"/>
      <c r="J808" s="37"/>
      <c r="K808" s="40"/>
      <c r="L808" s="41"/>
      <c r="M808" s="37"/>
      <c r="N808" s="41"/>
      <c r="O808" s="29"/>
    </row>
    <row r="809">
      <c r="A809" s="29"/>
      <c r="B809" s="36"/>
      <c r="C809" s="37"/>
      <c r="D809" s="37"/>
      <c r="E809" s="37"/>
      <c r="F809" s="38"/>
      <c r="G809" s="38"/>
      <c r="H809" s="39"/>
      <c r="I809" s="40"/>
      <c r="J809" s="37"/>
      <c r="K809" s="40"/>
      <c r="L809" s="41"/>
      <c r="M809" s="37"/>
      <c r="N809" s="41"/>
      <c r="O809" s="29"/>
    </row>
    <row r="810">
      <c r="A810" s="29"/>
      <c r="B810" s="36"/>
      <c r="C810" s="37"/>
      <c r="D810" s="37"/>
      <c r="E810" s="37"/>
      <c r="F810" s="38"/>
      <c r="G810" s="38"/>
      <c r="H810" s="39"/>
      <c r="I810" s="40"/>
      <c r="J810" s="37"/>
      <c r="K810" s="40"/>
      <c r="L810" s="41"/>
      <c r="M810" s="37"/>
      <c r="N810" s="41"/>
      <c r="O810" s="29"/>
    </row>
    <row r="811">
      <c r="A811" s="29"/>
      <c r="B811" s="36"/>
      <c r="C811" s="37"/>
      <c r="D811" s="37"/>
      <c r="E811" s="37"/>
      <c r="F811" s="38"/>
      <c r="G811" s="38"/>
      <c r="H811" s="39"/>
      <c r="I811" s="40"/>
      <c r="J811" s="37"/>
      <c r="K811" s="40"/>
      <c r="L811" s="41"/>
      <c r="M811" s="37"/>
      <c r="N811" s="41"/>
      <c r="O811" s="29"/>
    </row>
    <row r="812">
      <c r="A812" s="29"/>
      <c r="B812" s="36"/>
      <c r="C812" s="37"/>
      <c r="D812" s="37"/>
      <c r="E812" s="37"/>
      <c r="F812" s="38"/>
      <c r="G812" s="38"/>
      <c r="H812" s="39"/>
      <c r="I812" s="40"/>
      <c r="J812" s="37"/>
      <c r="K812" s="40"/>
      <c r="L812" s="41"/>
      <c r="M812" s="37"/>
      <c r="N812" s="41"/>
      <c r="O812" s="29"/>
    </row>
    <row r="813">
      <c r="A813" s="29"/>
      <c r="B813" s="36"/>
      <c r="C813" s="37"/>
      <c r="D813" s="37"/>
      <c r="E813" s="37"/>
      <c r="F813" s="38"/>
      <c r="G813" s="38"/>
      <c r="H813" s="39"/>
      <c r="I813" s="40"/>
      <c r="J813" s="37"/>
      <c r="K813" s="40"/>
      <c r="L813" s="41"/>
      <c r="M813" s="37"/>
      <c r="N813" s="41"/>
      <c r="O813" s="29"/>
    </row>
    <row r="814">
      <c r="A814" s="29"/>
      <c r="B814" s="36"/>
      <c r="C814" s="37"/>
      <c r="D814" s="37"/>
      <c r="E814" s="37"/>
      <c r="F814" s="38"/>
      <c r="G814" s="38"/>
      <c r="H814" s="39"/>
      <c r="I814" s="40"/>
      <c r="J814" s="37"/>
      <c r="K814" s="40"/>
      <c r="L814" s="41"/>
      <c r="M814" s="37"/>
      <c r="N814" s="41"/>
      <c r="O814" s="29"/>
    </row>
    <row r="815">
      <c r="A815" s="29"/>
      <c r="B815" s="36"/>
      <c r="C815" s="37"/>
      <c r="D815" s="37"/>
      <c r="E815" s="37"/>
      <c r="F815" s="38"/>
      <c r="G815" s="38"/>
      <c r="H815" s="39"/>
      <c r="I815" s="40"/>
      <c r="J815" s="37"/>
      <c r="K815" s="40"/>
      <c r="L815" s="41"/>
      <c r="M815" s="37"/>
      <c r="N815" s="41"/>
      <c r="O815" s="29"/>
    </row>
    <row r="816">
      <c r="A816" s="29"/>
      <c r="B816" s="36"/>
      <c r="C816" s="37"/>
      <c r="D816" s="37"/>
      <c r="E816" s="37"/>
      <c r="F816" s="38"/>
      <c r="G816" s="38"/>
      <c r="H816" s="39"/>
      <c r="I816" s="40"/>
      <c r="J816" s="37"/>
      <c r="K816" s="40"/>
      <c r="L816" s="41"/>
      <c r="M816" s="37"/>
      <c r="N816" s="41"/>
      <c r="O816" s="29"/>
    </row>
    <row r="817">
      <c r="A817" s="29"/>
      <c r="B817" s="36"/>
      <c r="C817" s="37"/>
      <c r="D817" s="37"/>
      <c r="E817" s="37"/>
      <c r="F817" s="38"/>
      <c r="G817" s="38"/>
      <c r="H817" s="39"/>
      <c r="I817" s="40"/>
      <c r="J817" s="37"/>
      <c r="K817" s="40"/>
      <c r="L817" s="41"/>
      <c r="M817" s="37"/>
      <c r="N817" s="41"/>
      <c r="O817" s="29"/>
    </row>
    <row r="818">
      <c r="A818" s="29"/>
      <c r="B818" s="36"/>
      <c r="C818" s="37"/>
      <c r="D818" s="37"/>
      <c r="E818" s="37"/>
      <c r="F818" s="38"/>
      <c r="G818" s="38"/>
      <c r="H818" s="39"/>
      <c r="I818" s="40"/>
      <c r="J818" s="37"/>
      <c r="K818" s="40"/>
      <c r="L818" s="41"/>
      <c r="M818" s="37"/>
      <c r="N818" s="41"/>
      <c r="O818" s="29"/>
    </row>
    <row r="819">
      <c r="A819" s="29"/>
      <c r="B819" s="36"/>
      <c r="C819" s="37"/>
      <c r="D819" s="37"/>
      <c r="E819" s="37"/>
      <c r="F819" s="38"/>
      <c r="G819" s="38"/>
      <c r="H819" s="39"/>
      <c r="I819" s="40"/>
      <c r="J819" s="37"/>
      <c r="K819" s="40"/>
      <c r="L819" s="41"/>
      <c r="M819" s="37"/>
      <c r="N819" s="41"/>
      <c r="O819" s="29"/>
    </row>
    <row r="820">
      <c r="A820" s="29"/>
      <c r="B820" s="36"/>
      <c r="C820" s="37"/>
      <c r="D820" s="37"/>
      <c r="E820" s="37"/>
      <c r="F820" s="38"/>
      <c r="G820" s="38"/>
      <c r="H820" s="39"/>
      <c r="I820" s="40"/>
      <c r="J820" s="37"/>
      <c r="K820" s="40"/>
      <c r="L820" s="41"/>
      <c r="M820" s="37"/>
      <c r="N820" s="41"/>
      <c r="O820" s="29"/>
    </row>
    <row r="821">
      <c r="A821" s="29"/>
      <c r="B821" s="36"/>
      <c r="C821" s="37"/>
      <c r="D821" s="37"/>
      <c r="E821" s="37"/>
      <c r="F821" s="38"/>
      <c r="G821" s="38"/>
      <c r="H821" s="39"/>
      <c r="I821" s="40"/>
      <c r="J821" s="37"/>
      <c r="K821" s="40"/>
      <c r="L821" s="41"/>
      <c r="M821" s="37"/>
      <c r="N821" s="41"/>
      <c r="O821" s="29"/>
    </row>
    <row r="822">
      <c r="A822" s="29"/>
      <c r="B822" s="36"/>
      <c r="C822" s="37"/>
      <c r="D822" s="37"/>
      <c r="E822" s="37"/>
      <c r="F822" s="38"/>
      <c r="G822" s="38"/>
      <c r="H822" s="39"/>
      <c r="I822" s="40"/>
      <c r="J822" s="37"/>
      <c r="K822" s="40"/>
      <c r="L822" s="41"/>
      <c r="M822" s="37"/>
      <c r="N822" s="41"/>
      <c r="O822" s="29"/>
    </row>
    <row r="823">
      <c r="A823" s="29"/>
      <c r="B823" s="36"/>
      <c r="C823" s="37"/>
      <c r="D823" s="37"/>
      <c r="E823" s="37"/>
      <c r="F823" s="38"/>
      <c r="G823" s="38"/>
      <c r="H823" s="39"/>
      <c r="I823" s="40"/>
      <c r="J823" s="37"/>
      <c r="K823" s="40"/>
      <c r="L823" s="41"/>
      <c r="M823" s="37"/>
      <c r="N823" s="41"/>
      <c r="O823" s="29"/>
    </row>
    <row r="824">
      <c r="A824" s="29"/>
      <c r="B824" s="36"/>
      <c r="C824" s="37"/>
      <c r="D824" s="37"/>
      <c r="E824" s="37"/>
      <c r="F824" s="38"/>
      <c r="G824" s="38"/>
      <c r="H824" s="39"/>
      <c r="I824" s="40"/>
      <c r="J824" s="37"/>
      <c r="K824" s="40"/>
      <c r="L824" s="41"/>
      <c r="M824" s="37"/>
      <c r="N824" s="41"/>
      <c r="O824" s="29"/>
    </row>
    <row r="825">
      <c r="A825" s="29"/>
      <c r="B825" s="36"/>
      <c r="C825" s="37"/>
      <c r="D825" s="37"/>
      <c r="E825" s="37"/>
      <c r="F825" s="38"/>
      <c r="G825" s="38"/>
      <c r="H825" s="39"/>
      <c r="I825" s="40"/>
      <c r="J825" s="37"/>
      <c r="K825" s="40"/>
      <c r="L825" s="41"/>
      <c r="M825" s="37"/>
      <c r="N825" s="41"/>
      <c r="O825" s="29"/>
    </row>
    <row r="826">
      <c r="A826" s="29"/>
      <c r="B826" s="36"/>
      <c r="C826" s="37"/>
      <c r="D826" s="37"/>
      <c r="E826" s="37"/>
      <c r="F826" s="38"/>
      <c r="G826" s="38"/>
      <c r="H826" s="39"/>
      <c r="I826" s="40"/>
      <c r="J826" s="37"/>
      <c r="K826" s="40"/>
      <c r="L826" s="41"/>
      <c r="M826" s="37"/>
      <c r="N826" s="41"/>
      <c r="O826" s="29"/>
    </row>
    <row r="827">
      <c r="A827" s="29"/>
      <c r="B827" s="36"/>
      <c r="C827" s="37"/>
      <c r="D827" s="37"/>
      <c r="E827" s="37"/>
      <c r="F827" s="38"/>
      <c r="G827" s="38"/>
      <c r="H827" s="39"/>
      <c r="I827" s="40"/>
      <c r="J827" s="37"/>
      <c r="K827" s="40"/>
      <c r="L827" s="41"/>
      <c r="M827" s="37"/>
      <c r="N827" s="41"/>
      <c r="O827" s="29"/>
    </row>
    <row r="828">
      <c r="A828" s="29"/>
      <c r="B828" s="36"/>
      <c r="C828" s="37"/>
      <c r="D828" s="37"/>
      <c r="E828" s="37"/>
      <c r="F828" s="38"/>
      <c r="G828" s="38"/>
      <c r="H828" s="39"/>
      <c r="I828" s="40"/>
      <c r="J828" s="37"/>
      <c r="K828" s="40"/>
      <c r="L828" s="41"/>
      <c r="M828" s="37"/>
      <c r="N828" s="41"/>
      <c r="O828" s="29"/>
    </row>
    <row r="829">
      <c r="A829" s="29"/>
      <c r="B829" s="36"/>
      <c r="C829" s="37"/>
      <c r="D829" s="37"/>
      <c r="E829" s="37"/>
      <c r="F829" s="38"/>
      <c r="G829" s="38"/>
      <c r="H829" s="39"/>
      <c r="I829" s="40"/>
      <c r="J829" s="37"/>
      <c r="K829" s="40"/>
      <c r="L829" s="41"/>
      <c r="M829" s="37"/>
      <c r="N829" s="41"/>
      <c r="O829" s="29"/>
    </row>
    <row r="830">
      <c r="A830" s="29"/>
      <c r="B830" s="36"/>
      <c r="C830" s="37"/>
      <c r="D830" s="37"/>
      <c r="E830" s="37"/>
      <c r="F830" s="38"/>
      <c r="G830" s="38"/>
      <c r="H830" s="39"/>
      <c r="I830" s="40"/>
      <c r="J830" s="37"/>
      <c r="K830" s="40"/>
      <c r="L830" s="41"/>
      <c r="M830" s="37"/>
      <c r="N830" s="41"/>
      <c r="O830" s="29"/>
    </row>
    <row r="831">
      <c r="A831" s="29"/>
      <c r="B831" s="36"/>
      <c r="C831" s="37"/>
      <c r="D831" s="37"/>
      <c r="E831" s="37"/>
      <c r="F831" s="38"/>
      <c r="G831" s="38"/>
      <c r="H831" s="39"/>
      <c r="I831" s="40"/>
      <c r="J831" s="37"/>
      <c r="K831" s="40"/>
      <c r="L831" s="41"/>
      <c r="M831" s="37"/>
      <c r="N831" s="41"/>
      <c r="O831" s="29"/>
    </row>
    <row r="832">
      <c r="A832" s="29"/>
      <c r="B832" s="36"/>
      <c r="C832" s="37"/>
      <c r="D832" s="37"/>
      <c r="E832" s="37"/>
      <c r="F832" s="38"/>
      <c r="G832" s="38"/>
      <c r="H832" s="39"/>
      <c r="I832" s="40"/>
      <c r="J832" s="37"/>
      <c r="K832" s="40"/>
      <c r="L832" s="41"/>
      <c r="M832" s="37"/>
      <c r="N832" s="41"/>
      <c r="O832" s="29"/>
    </row>
    <row r="833">
      <c r="A833" s="29"/>
      <c r="B833" s="36"/>
      <c r="C833" s="37"/>
      <c r="D833" s="37"/>
      <c r="E833" s="37"/>
      <c r="F833" s="38"/>
      <c r="G833" s="38"/>
      <c r="H833" s="39"/>
      <c r="I833" s="40"/>
      <c r="J833" s="37"/>
      <c r="K833" s="40"/>
      <c r="L833" s="41"/>
      <c r="M833" s="37"/>
      <c r="N833" s="41"/>
      <c r="O833" s="29"/>
    </row>
    <row r="834">
      <c r="A834" s="29"/>
      <c r="B834" s="36"/>
      <c r="C834" s="37"/>
      <c r="D834" s="37"/>
      <c r="E834" s="37"/>
      <c r="F834" s="38"/>
      <c r="G834" s="38"/>
      <c r="H834" s="39"/>
      <c r="I834" s="40"/>
      <c r="J834" s="37"/>
      <c r="K834" s="40"/>
      <c r="L834" s="41"/>
      <c r="M834" s="37"/>
      <c r="N834" s="41"/>
      <c r="O834" s="29"/>
    </row>
    <row r="835">
      <c r="A835" s="29"/>
      <c r="B835" s="36"/>
      <c r="C835" s="37"/>
      <c r="D835" s="37"/>
      <c r="E835" s="37"/>
      <c r="F835" s="38"/>
      <c r="G835" s="38"/>
      <c r="H835" s="39"/>
      <c r="I835" s="40"/>
      <c r="J835" s="37"/>
      <c r="K835" s="40"/>
      <c r="L835" s="41"/>
      <c r="M835" s="37"/>
      <c r="N835" s="41"/>
      <c r="O835" s="29"/>
    </row>
    <row r="836">
      <c r="A836" s="29"/>
      <c r="B836" s="36"/>
      <c r="C836" s="37"/>
      <c r="D836" s="37"/>
      <c r="E836" s="37"/>
      <c r="F836" s="38"/>
      <c r="G836" s="38"/>
      <c r="H836" s="39"/>
      <c r="I836" s="40"/>
      <c r="J836" s="37"/>
      <c r="K836" s="40"/>
      <c r="L836" s="41"/>
      <c r="M836" s="37"/>
      <c r="N836" s="41"/>
      <c r="O836" s="29"/>
    </row>
    <row r="837">
      <c r="A837" s="29"/>
      <c r="B837" s="36"/>
      <c r="C837" s="37"/>
      <c r="D837" s="37"/>
      <c r="E837" s="37"/>
      <c r="F837" s="38"/>
      <c r="G837" s="38"/>
      <c r="H837" s="39"/>
      <c r="I837" s="40"/>
      <c r="J837" s="37"/>
      <c r="K837" s="40"/>
      <c r="L837" s="41"/>
      <c r="M837" s="37"/>
      <c r="N837" s="41"/>
      <c r="O837" s="29"/>
    </row>
    <row r="838">
      <c r="A838" s="29"/>
      <c r="B838" s="36"/>
      <c r="C838" s="37"/>
      <c r="D838" s="37"/>
      <c r="E838" s="37"/>
      <c r="F838" s="38"/>
      <c r="G838" s="38"/>
      <c r="H838" s="39"/>
      <c r="I838" s="40"/>
      <c r="J838" s="37"/>
      <c r="K838" s="40"/>
      <c r="L838" s="41"/>
      <c r="M838" s="37"/>
      <c r="N838" s="41"/>
      <c r="O838" s="29"/>
    </row>
    <row r="839">
      <c r="A839" s="29"/>
      <c r="B839" s="36"/>
      <c r="C839" s="37"/>
      <c r="D839" s="37"/>
      <c r="E839" s="37"/>
      <c r="F839" s="38"/>
      <c r="G839" s="38"/>
      <c r="H839" s="39"/>
      <c r="I839" s="40"/>
      <c r="J839" s="37"/>
      <c r="K839" s="40"/>
      <c r="L839" s="41"/>
      <c r="M839" s="37"/>
      <c r="N839" s="41"/>
      <c r="O839" s="29"/>
    </row>
    <row r="840">
      <c r="A840" s="29"/>
      <c r="B840" s="36"/>
      <c r="C840" s="37"/>
      <c r="D840" s="37"/>
      <c r="E840" s="37"/>
      <c r="F840" s="38"/>
      <c r="G840" s="38"/>
      <c r="H840" s="39"/>
      <c r="I840" s="40"/>
      <c r="J840" s="37"/>
      <c r="K840" s="40"/>
      <c r="L840" s="41"/>
      <c r="M840" s="37"/>
      <c r="N840" s="41"/>
      <c r="O840" s="29"/>
    </row>
    <row r="841">
      <c r="A841" s="29"/>
      <c r="B841" s="36"/>
      <c r="C841" s="37"/>
      <c r="D841" s="37"/>
      <c r="E841" s="37"/>
      <c r="F841" s="38"/>
      <c r="G841" s="38"/>
      <c r="H841" s="39"/>
      <c r="I841" s="40"/>
      <c r="J841" s="37"/>
      <c r="K841" s="40"/>
      <c r="L841" s="41"/>
      <c r="M841" s="37"/>
      <c r="N841" s="41"/>
      <c r="O841" s="29"/>
    </row>
    <row r="842">
      <c r="A842" s="29"/>
      <c r="B842" s="36"/>
      <c r="C842" s="37"/>
      <c r="D842" s="37"/>
      <c r="E842" s="37"/>
      <c r="F842" s="38"/>
      <c r="G842" s="38"/>
      <c r="H842" s="39"/>
      <c r="I842" s="40"/>
      <c r="J842" s="37"/>
      <c r="K842" s="40"/>
      <c r="L842" s="41"/>
      <c r="M842" s="37"/>
      <c r="N842" s="41"/>
      <c r="O842" s="29"/>
    </row>
    <row r="843">
      <c r="A843" s="29"/>
      <c r="B843" s="36"/>
      <c r="C843" s="37"/>
      <c r="D843" s="37"/>
      <c r="E843" s="37"/>
      <c r="F843" s="38"/>
      <c r="G843" s="38"/>
      <c r="H843" s="39"/>
      <c r="I843" s="40"/>
      <c r="J843" s="37"/>
      <c r="K843" s="40"/>
      <c r="L843" s="41"/>
      <c r="M843" s="37"/>
      <c r="N843" s="41"/>
      <c r="O843" s="29"/>
    </row>
    <row r="844">
      <c r="A844" s="29"/>
      <c r="B844" s="36"/>
      <c r="C844" s="37"/>
      <c r="D844" s="37"/>
      <c r="E844" s="37"/>
      <c r="F844" s="38"/>
      <c r="G844" s="38"/>
      <c r="H844" s="39"/>
      <c r="I844" s="40"/>
      <c r="J844" s="37"/>
      <c r="K844" s="40"/>
      <c r="L844" s="41"/>
      <c r="M844" s="37"/>
      <c r="N844" s="41"/>
      <c r="O844" s="29"/>
    </row>
    <row r="845">
      <c r="A845" s="29"/>
      <c r="B845" s="36"/>
      <c r="C845" s="37"/>
      <c r="D845" s="37"/>
      <c r="E845" s="37"/>
      <c r="F845" s="38"/>
      <c r="G845" s="38"/>
      <c r="H845" s="39"/>
      <c r="I845" s="40"/>
      <c r="J845" s="37"/>
      <c r="K845" s="40"/>
      <c r="L845" s="41"/>
      <c r="M845" s="37"/>
      <c r="N845" s="41"/>
      <c r="O845" s="29"/>
    </row>
    <row r="846">
      <c r="A846" s="29"/>
      <c r="B846" s="36"/>
      <c r="C846" s="37"/>
      <c r="D846" s="37"/>
      <c r="E846" s="37"/>
      <c r="F846" s="38"/>
      <c r="G846" s="38"/>
      <c r="H846" s="39"/>
      <c r="I846" s="40"/>
      <c r="J846" s="37"/>
      <c r="K846" s="40"/>
      <c r="L846" s="41"/>
      <c r="M846" s="37"/>
      <c r="N846" s="41"/>
      <c r="O846" s="29"/>
    </row>
    <row r="847">
      <c r="A847" s="29"/>
      <c r="B847" s="36"/>
      <c r="C847" s="37"/>
      <c r="D847" s="37"/>
      <c r="E847" s="37"/>
      <c r="F847" s="38"/>
      <c r="G847" s="38"/>
      <c r="H847" s="39"/>
      <c r="I847" s="40"/>
      <c r="J847" s="37"/>
      <c r="K847" s="40"/>
      <c r="L847" s="41"/>
      <c r="M847" s="37"/>
      <c r="N847" s="41"/>
      <c r="O847" s="29"/>
    </row>
    <row r="848">
      <c r="A848" s="29"/>
      <c r="B848" s="36"/>
      <c r="C848" s="37"/>
      <c r="D848" s="37"/>
      <c r="E848" s="37"/>
      <c r="F848" s="38"/>
      <c r="G848" s="38"/>
      <c r="H848" s="39"/>
      <c r="I848" s="40"/>
      <c r="J848" s="37"/>
      <c r="K848" s="40"/>
      <c r="L848" s="41"/>
      <c r="M848" s="37"/>
      <c r="N848" s="41"/>
      <c r="O848" s="29"/>
    </row>
    <row r="849">
      <c r="A849" s="29"/>
      <c r="B849" s="36"/>
      <c r="C849" s="37"/>
      <c r="D849" s="37"/>
      <c r="E849" s="37"/>
      <c r="F849" s="38"/>
      <c r="G849" s="38"/>
      <c r="H849" s="39"/>
      <c r="I849" s="40"/>
      <c r="J849" s="37"/>
      <c r="K849" s="40"/>
      <c r="L849" s="41"/>
      <c r="M849" s="37"/>
      <c r="N849" s="41"/>
      <c r="O849" s="29"/>
    </row>
    <row r="850">
      <c r="A850" s="29"/>
      <c r="B850" s="36"/>
      <c r="C850" s="37"/>
      <c r="D850" s="37"/>
      <c r="E850" s="37"/>
      <c r="F850" s="38"/>
      <c r="G850" s="38"/>
      <c r="H850" s="39"/>
      <c r="I850" s="40"/>
      <c r="J850" s="37"/>
      <c r="K850" s="40"/>
      <c r="L850" s="41"/>
      <c r="M850" s="37"/>
      <c r="N850" s="41"/>
      <c r="O850" s="29"/>
    </row>
    <row r="851">
      <c r="A851" s="29"/>
      <c r="B851" s="36"/>
      <c r="C851" s="37"/>
      <c r="D851" s="37"/>
      <c r="E851" s="37"/>
      <c r="F851" s="38"/>
      <c r="G851" s="38"/>
      <c r="H851" s="39"/>
      <c r="I851" s="40"/>
      <c r="J851" s="37"/>
      <c r="K851" s="40"/>
      <c r="L851" s="41"/>
      <c r="M851" s="37"/>
      <c r="N851" s="41"/>
      <c r="O851" s="29"/>
    </row>
    <row r="852">
      <c r="A852" s="29"/>
      <c r="B852" s="36"/>
      <c r="C852" s="37"/>
      <c r="D852" s="37"/>
      <c r="E852" s="37"/>
      <c r="F852" s="38"/>
      <c r="G852" s="38"/>
      <c r="H852" s="39"/>
      <c r="I852" s="40"/>
      <c r="J852" s="37"/>
      <c r="K852" s="40"/>
      <c r="L852" s="41"/>
      <c r="M852" s="37"/>
      <c r="N852" s="41"/>
      <c r="O852" s="29"/>
    </row>
    <row r="853">
      <c r="A853" s="29"/>
      <c r="B853" s="36"/>
      <c r="C853" s="37"/>
      <c r="D853" s="37"/>
      <c r="E853" s="37"/>
      <c r="F853" s="38"/>
      <c r="G853" s="38"/>
      <c r="H853" s="39"/>
      <c r="I853" s="40"/>
      <c r="J853" s="37"/>
      <c r="K853" s="40"/>
      <c r="L853" s="41"/>
      <c r="M853" s="37"/>
      <c r="N853" s="41"/>
      <c r="O853" s="29"/>
    </row>
    <row r="854">
      <c r="A854" s="29"/>
      <c r="B854" s="36"/>
      <c r="C854" s="37"/>
      <c r="D854" s="37"/>
      <c r="E854" s="37"/>
      <c r="F854" s="38"/>
      <c r="G854" s="38"/>
      <c r="H854" s="39"/>
      <c r="I854" s="40"/>
      <c r="J854" s="37"/>
      <c r="K854" s="40"/>
      <c r="L854" s="41"/>
      <c r="M854" s="37"/>
      <c r="N854" s="41"/>
      <c r="O854" s="29"/>
    </row>
    <row r="855">
      <c r="A855" s="29"/>
      <c r="B855" s="36"/>
      <c r="C855" s="37"/>
      <c r="D855" s="37"/>
      <c r="E855" s="37"/>
      <c r="F855" s="38"/>
      <c r="G855" s="38"/>
      <c r="H855" s="39"/>
      <c r="I855" s="40"/>
      <c r="J855" s="37"/>
      <c r="K855" s="40"/>
      <c r="L855" s="41"/>
      <c r="M855" s="37"/>
      <c r="N855" s="41"/>
      <c r="O855" s="29"/>
    </row>
    <row r="856">
      <c r="A856" s="29"/>
      <c r="B856" s="36"/>
      <c r="C856" s="37"/>
      <c r="D856" s="37"/>
      <c r="E856" s="37"/>
      <c r="F856" s="38"/>
      <c r="G856" s="38"/>
      <c r="H856" s="39"/>
      <c r="I856" s="40"/>
      <c r="J856" s="37"/>
      <c r="K856" s="40"/>
      <c r="L856" s="41"/>
      <c r="M856" s="37"/>
      <c r="N856" s="41"/>
      <c r="O856" s="29"/>
    </row>
    <row r="857">
      <c r="A857" s="29"/>
      <c r="B857" s="36"/>
      <c r="C857" s="37"/>
      <c r="D857" s="37"/>
      <c r="E857" s="37"/>
      <c r="F857" s="38"/>
      <c r="G857" s="38"/>
      <c r="H857" s="39"/>
      <c r="I857" s="40"/>
      <c r="J857" s="37"/>
      <c r="K857" s="40"/>
      <c r="L857" s="41"/>
      <c r="M857" s="37"/>
      <c r="N857" s="41"/>
      <c r="O857" s="29"/>
    </row>
    <row r="858">
      <c r="A858" s="29"/>
      <c r="B858" s="36"/>
      <c r="C858" s="37"/>
      <c r="D858" s="37"/>
      <c r="E858" s="37"/>
      <c r="F858" s="38"/>
      <c r="G858" s="38"/>
      <c r="H858" s="39"/>
      <c r="I858" s="40"/>
      <c r="J858" s="37"/>
      <c r="K858" s="40"/>
      <c r="L858" s="41"/>
      <c r="M858" s="37"/>
      <c r="N858" s="41"/>
      <c r="O858" s="29"/>
    </row>
    <row r="859">
      <c r="A859" s="29"/>
      <c r="B859" s="36"/>
      <c r="C859" s="37"/>
      <c r="D859" s="37"/>
      <c r="E859" s="37"/>
      <c r="F859" s="38"/>
      <c r="G859" s="38"/>
      <c r="H859" s="39"/>
      <c r="I859" s="40"/>
      <c r="J859" s="37"/>
      <c r="K859" s="40"/>
      <c r="L859" s="41"/>
      <c r="M859" s="37"/>
      <c r="N859" s="41"/>
      <c r="O859" s="29"/>
    </row>
    <row r="860">
      <c r="A860" s="29"/>
      <c r="B860" s="36"/>
      <c r="C860" s="37"/>
      <c r="D860" s="37"/>
      <c r="E860" s="37"/>
      <c r="F860" s="38"/>
      <c r="G860" s="38"/>
      <c r="H860" s="39"/>
      <c r="I860" s="40"/>
      <c r="J860" s="37"/>
      <c r="K860" s="40"/>
      <c r="L860" s="41"/>
      <c r="M860" s="37"/>
      <c r="N860" s="41"/>
      <c r="O860" s="29"/>
    </row>
    <row r="861">
      <c r="A861" s="29"/>
      <c r="B861" s="36"/>
      <c r="C861" s="37"/>
      <c r="D861" s="37"/>
      <c r="E861" s="37"/>
      <c r="F861" s="38"/>
      <c r="G861" s="38"/>
      <c r="H861" s="39"/>
      <c r="I861" s="40"/>
      <c r="J861" s="37"/>
      <c r="K861" s="40"/>
      <c r="L861" s="41"/>
      <c r="M861" s="37"/>
      <c r="N861" s="41"/>
      <c r="O861" s="29"/>
    </row>
    <row r="862">
      <c r="A862" s="29"/>
      <c r="B862" s="36"/>
      <c r="C862" s="37"/>
      <c r="D862" s="37"/>
      <c r="E862" s="37"/>
      <c r="F862" s="38"/>
      <c r="G862" s="38"/>
      <c r="H862" s="39"/>
      <c r="I862" s="40"/>
      <c r="J862" s="37"/>
      <c r="K862" s="40"/>
      <c r="L862" s="41"/>
      <c r="M862" s="37"/>
      <c r="N862" s="41"/>
      <c r="O862" s="29"/>
    </row>
    <row r="863">
      <c r="A863" s="29"/>
      <c r="B863" s="36"/>
      <c r="C863" s="37"/>
      <c r="D863" s="37"/>
      <c r="E863" s="37"/>
      <c r="F863" s="38"/>
      <c r="G863" s="38"/>
      <c r="H863" s="39"/>
      <c r="I863" s="40"/>
      <c r="J863" s="37"/>
      <c r="K863" s="40"/>
      <c r="L863" s="41"/>
      <c r="M863" s="37"/>
      <c r="N863" s="41"/>
      <c r="O863" s="29"/>
    </row>
    <row r="864">
      <c r="A864" s="29"/>
      <c r="B864" s="36"/>
      <c r="C864" s="37"/>
      <c r="D864" s="37"/>
      <c r="E864" s="37"/>
      <c r="F864" s="38"/>
      <c r="G864" s="38"/>
      <c r="H864" s="39"/>
      <c r="I864" s="40"/>
      <c r="J864" s="37"/>
      <c r="K864" s="40"/>
      <c r="L864" s="41"/>
      <c r="M864" s="37"/>
      <c r="N864" s="41"/>
      <c r="O864" s="29"/>
    </row>
    <row r="865">
      <c r="A865" s="29"/>
      <c r="B865" s="36"/>
      <c r="C865" s="37"/>
      <c r="D865" s="37"/>
      <c r="E865" s="37"/>
      <c r="F865" s="38"/>
      <c r="G865" s="38"/>
      <c r="H865" s="39"/>
      <c r="I865" s="40"/>
      <c r="J865" s="37"/>
      <c r="K865" s="40"/>
      <c r="L865" s="41"/>
      <c r="M865" s="37"/>
      <c r="N865" s="41"/>
      <c r="O865" s="29"/>
    </row>
    <row r="866">
      <c r="A866" s="29"/>
      <c r="B866" s="36"/>
      <c r="C866" s="37"/>
      <c r="D866" s="37"/>
      <c r="E866" s="37"/>
      <c r="F866" s="38"/>
      <c r="G866" s="38"/>
      <c r="H866" s="39"/>
      <c r="I866" s="40"/>
      <c r="J866" s="37"/>
      <c r="K866" s="40"/>
      <c r="L866" s="41"/>
      <c r="M866" s="37"/>
      <c r="N866" s="41"/>
      <c r="O866" s="29"/>
    </row>
    <row r="867">
      <c r="A867" s="29"/>
      <c r="B867" s="36"/>
      <c r="C867" s="37"/>
      <c r="D867" s="37"/>
      <c r="E867" s="37"/>
      <c r="F867" s="38"/>
      <c r="G867" s="38"/>
      <c r="H867" s="39"/>
      <c r="I867" s="40"/>
      <c r="J867" s="37"/>
      <c r="K867" s="40"/>
      <c r="L867" s="41"/>
      <c r="M867" s="37"/>
      <c r="N867" s="41"/>
      <c r="O867" s="29"/>
    </row>
    <row r="868">
      <c r="A868" s="29"/>
      <c r="B868" s="36"/>
      <c r="C868" s="37"/>
      <c r="D868" s="37"/>
      <c r="E868" s="37"/>
      <c r="F868" s="38"/>
      <c r="G868" s="38"/>
      <c r="H868" s="39"/>
      <c r="I868" s="40"/>
      <c r="J868" s="37"/>
      <c r="K868" s="40"/>
      <c r="L868" s="41"/>
      <c r="M868" s="37"/>
      <c r="N868" s="41"/>
      <c r="O868" s="29"/>
    </row>
    <row r="869">
      <c r="A869" s="29"/>
      <c r="B869" s="36"/>
      <c r="C869" s="37"/>
      <c r="D869" s="37"/>
      <c r="E869" s="37"/>
      <c r="F869" s="38"/>
      <c r="G869" s="38"/>
      <c r="H869" s="39"/>
      <c r="I869" s="40"/>
      <c r="J869" s="37"/>
      <c r="K869" s="40"/>
      <c r="L869" s="41"/>
      <c r="M869" s="37"/>
      <c r="N869" s="41"/>
      <c r="O869" s="29"/>
    </row>
    <row r="870">
      <c r="A870" s="29"/>
      <c r="B870" s="36"/>
      <c r="C870" s="37"/>
      <c r="D870" s="37"/>
      <c r="E870" s="37"/>
      <c r="F870" s="38"/>
      <c r="G870" s="38"/>
      <c r="H870" s="39"/>
      <c r="I870" s="40"/>
      <c r="J870" s="37"/>
      <c r="K870" s="40"/>
      <c r="L870" s="41"/>
      <c r="M870" s="37"/>
      <c r="N870" s="41"/>
      <c r="O870" s="29"/>
    </row>
    <row r="871">
      <c r="A871" s="29"/>
      <c r="B871" s="36"/>
      <c r="C871" s="37"/>
      <c r="D871" s="37"/>
      <c r="E871" s="37"/>
      <c r="F871" s="38"/>
      <c r="G871" s="38"/>
      <c r="H871" s="39"/>
      <c r="I871" s="40"/>
      <c r="J871" s="37"/>
      <c r="K871" s="40"/>
      <c r="L871" s="41"/>
      <c r="M871" s="37"/>
      <c r="N871" s="41"/>
      <c r="O871" s="29"/>
    </row>
    <row r="872">
      <c r="A872" s="29"/>
      <c r="B872" s="36"/>
      <c r="C872" s="37"/>
      <c r="D872" s="37"/>
      <c r="E872" s="37"/>
      <c r="F872" s="38"/>
      <c r="G872" s="38"/>
      <c r="H872" s="39"/>
      <c r="I872" s="40"/>
      <c r="J872" s="37"/>
      <c r="K872" s="40"/>
      <c r="L872" s="41"/>
      <c r="M872" s="37"/>
      <c r="N872" s="41"/>
      <c r="O872" s="29"/>
    </row>
    <row r="873">
      <c r="A873" s="29"/>
      <c r="B873" s="36"/>
      <c r="C873" s="37"/>
      <c r="D873" s="37"/>
      <c r="E873" s="37"/>
      <c r="F873" s="38"/>
      <c r="G873" s="38"/>
      <c r="H873" s="39"/>
      <c r="I873" s="40"/>
      <c r="J873" s="37"/>
      <c r="K873" s="40"/>
      <c r="L873" s="41"/>
      <c r="M873" s="37"/>
      <c r="N873" s="41"/>
      <c r="O873" s="29"/>
    </row>
    <row r="874">
      <c r="A874" s="29"/>
      <c r="B874" s="36"/>
      <c r="C874" s="37"/>
      <c r="D874" s="37"/>
      <c r="E874" s="37"/>
      <c r="F874" s="38"/>
      <c r="G874" s="38"/>
      <c r="H874" s="39"/>
      <c r="I874" s="40"/>
      <c r="J874" s="37"/>
      <c r="K874" s="40"/>
      <c r="L874" s="41"/>
      <c r="M874" s="37"/>
      <c r="N874" s="41"/>
      <c r="O874" s="29"/>
    </row>
    <row r="875">
      <c r="A875" s="29"/>
      <c r="B875" s="36"/>
      <c r="C875" s="37"/>
      <c r="D875" s="37"/>
      <c r="E875" s="37"/>
      <c r="F875" s="38"/>
      <c r="G875" s="38"/>
      <c r="H875" s="39"/>
      <c r="I875" s="40"/>
      <c r="J875" s="37"/>
      <c r="K875" s="40"/>
      <c r="L875" s="41"/>
      <c r="M875" s="37"/>
      <c r="N875" s="41"/>
      <c r="O875" s="29"/>
    </row>
    <row r="876">
      <c r="A876" s="29"/>
      <c r="B876" s="36"/>
      <c r="C876" s="37"/>
      <c r="D876" s="37"/>
      <c r="E876" s="37"/>
      <c r="F876" s="38"/>
      <c r="G876" s="38"/>
      <c r="H876" s="39"/>
      <c r="I876" s="40"/>
      <c r="J876" s="37"/>
      <c r="K876" s="40"/>
      <c r="L876" s="41"/>
      <c r="M876" s="37"/>
      <c r="N876" s="41"/>
      <c r="O876" s="29"/>
    </row>
    <row r="877">
      <c r="A877" s="29"/>
      <c r="B877" s="36"/>
      <c r="C877" s="37"/>
      <c r="D877" s="37"/>
      <c r="E877" s="37"/>
      <c r="F877" s="38"/>
      <c r="G877" s="38"/>
      <c r="H877" s="39"/>
      <c r="I877" s="40"/>
      <c r="J877" s="37"/>
      <c r="K877" s="40"/>
      <c r="L877" s="41"/>
      <c r="M877" s="37"/>
      <c r="N877" s="41"/>
      <c r="O877" s="29"/>
    </row>
    <row r="878">
      <c r="A878" s="29"/>
      <c r="B878" s="36"/>
      <c r="C878" s="37"/>
      <c r="D878" s="37"/>
      <c r="E878" s="37"/>
      <c r="F878" s="38"/>
      <c r="G878" s="38"/>
      <c r="H878" s="39"/>
      <c r="I878" s="40"/>
      <c r="J878" s="37"/>
      <c r="K878" s="40"/>
      <c r="L878" s="41"/>
      <c r="M878" s="37"/>
      <c r="N878" s="41"/>
      <c r="O878" s="29"/>
    </row>
    <row r="879">
      <c r="A879" s="29"/>
      <c r="B879" s="36"/>
      <c r="C879" s="37"/>
      <c r="D879" s="37"/>
      <c r="E879" s="37"/>
      <c r="F879" s="38"/>
      <c r="G879" s="38"/>
      <c r="H879" s="39"/>
      <c r="I879" s="40"/>
      <c r="J879" s="37"/>
      <c r="K879" s="40"/>
      <c r="L879" s="41"/>
      <c r="M879" s="37"/>
      <c r="N879" s="41"/>
      <c r="O879" s="29"/>
    </row>
    <row r="880">
      <c r="A880" s="29"/>
      <c r="B880" s="36"/>
      <c r="C880" s="37"/>
      <c r="D880" s="37"/>
      <c r="E880" s="37"/>
      <c r="F880" s="38"/>
      <c r="G880" s="38"/>
      <c r="H880" s="39"/>
      <c r="I880" s="40"/>
      <c r="J880" s="37"/>
      <c r="K880" s="40"/>
      <c r="L880" s="41"/>
      <c r="M880" s="37"/>
      <c r="N880" s="41"/>
      <c r="O880" s="29"/>
    </row>
    <row r="881">
      <c r="A881" s="29"/>
      <c r="B881" s="36"/>
      <c r="C881" s="37"/>
      <c r="D881" s="37"/>
      <c r="E881" s="37"/>
      <c r="F881" s="38"/>
      <c r="G881" s="38"/>
      <c r="H881" s="39"/>
      <c r="I881" s="40"/>
      <c r="J881" s="37"/>
      <c r="K881" s="40"/>
      <c r="L881" s="41"/>
      <c r="M881" s="37"/>
      <c r="N881" s="41"/>
      <c r="O881" s="29"/>
    </row>
    <row r="882">
      <c r="A882" s="29"/>
      <c r="B882" s="36"/>
      <c r="C882" s="37"/>
      <c r="D882" s="37"/>
      <c r="E882" s="37"/>
      <c r="F882" s="38"/>
      <c r="G882" s="38"/>
      <c r="H882" s="39"/>
      <c r="I882" s="40"/>
      <c r="J882" s="37"/>
      <c r="K882" s="40"/>
      <c r="L882" s="41"/>
      <c r="M882" s="37"/>
      <c r="N882" s="41"/>
      <c r="O882" s="29"/>
    </row>
    <row r="883">
      <c r="A883" s="29"/>
      <c r="B883" s="36"/>
      <c r="C883" s="37"/>
      <c r="D883" s="37"/>
      <c r="E883" s="37"/>
      <c r="F883" s="38"/>
      <c r="G883" s="38"/>
      <c r="H883" s="39"/>
      <c r="I883" s="40"/>
      <c r="J883" s="37"/>
      <c r="K883" s="40"/>
      <c r="L883" s="41"/>
      <c r="M883" s="37"/>
      <c r="N883" s="41"/>
      <c r="O883" s="29"/>
    </row>
    <row r="884">
      <c r="A884" s="29"/>
      <c r="B884" s="36"/>
      <c r="C884" s="37"/>
      <c r="D884" s="37"/>
      <c r="E884" s="37"/>
      <c r="F884" s="38"/>
      <c r="G884" s="38"/>
      <c r="H884" s="39"/>
      <c r="I884" s="40"/>
      <c r="J884" s="37"/>
      <c r="K884" s="40"/>
      <c r="L884" s="41"/>
      <c r="M884" s="37"/>
      <c r="N884" s="41"/>
      <c r="O884" s="29"/>
    </row>
    <row r="885">
      <c r="A885" s="29"/>
      <c r="B885" s="36"/>
      <c r="C885" s="37"/>
      <c r="D885" s="37"/>
      <c r="E885" s="37"/>
      <c r="F885" s="38"/>
      <c r="G885" s="38"/>
      <c r="H885" s="39"/>
      <c r="I885" s="40"/>
      <c r="J885" s="37"/>
      <c r="K885" s="40"/>
      <c r="L885" s="41"/>
      <c r="M885" s="37"/>
      <c r="N885" s="41"/>
      <c r="O885" s="29"/>
    </row>
    <row r="886">
      <c r="A886" s="29"/>
      <c r="B886" s="36"/>
      <c r="C886" s="37"/>
      <c r="D886" s="37"/>
      <c r="E886" s="37"/>
      <c r="F886" s="38"/>
      <c r="G886" s="38"/>
      <c r="H886" s="39"/>
      <c r="I886" s="40"/>
      <c r="J886" s="37"/>
      <c r="K886" s="40"/>
      <c r="L886" s="41"/>
      <c r="M886" s="37"/>
      <c r="N886" s="41"/>
      <c r="O886" s="29"/>
    </row>
    <row r="887">
      <c r="A887" s="29"/>
      <c r="B887" s="36"/>
      <c r="C887" s="37"/>
      <c r="D887" s="37"/>
      <c r="E887" s="37"/>
      <c r="F887" s="38"/>
      <c r="G887" s="38"/>
      <c r="H887" s="39"/>
      <c r="I887" s="40"/>
      <c r="J887" s="37"/>
      <c r="K887" s="40"/>
      <c r="L887" s="41"/>
      <c r="M887" s="37"/>
      <c r="N887" s="41"/>
      <c r="O887" s="29"/>
    </row>
    <row r="888">
      <c r="A888" s="29"/>
      <c r="B888" s="36"/>
      <c r="C888" s="37"/>
      <c r="D888" s="37"/>
      <c r="E888" s="37"/>
      <c r="F888" s="38"/>
      <c r="G888" s="38"/>
      <c r="H888" s="39"/>
      <c r="I888" s="40"/>
      <c r="J888" s="37"/>
      <c r="K888" s="40"/>
      <c r="L888" s="41"/>
      <c r="M888" s="37"/>
      <c r="N888" s="41"/>
      <c r="O888" s="29"/>
    </row>
    <row r="889">
      <c r="A889" s="29"/>
      <c r="B889" s="36"/>
      <c r="C889" s="37"/>
      <c r="D889" s="37"/>
      <c r="E889" s="37"/>
      <c r="F889" s="38"/>
      <c r="G889" s="38"/>
      <c r="H889" s="39"/>
      <c r="I889" s="40"/>
      <c r="J889" s="37"/>
      <c r="K889" s="40"/>
      <c r="L889" s="41"/>
      <c r="M889" s="37"/>
      <c r="N889" s="41"/>
      <c r="O889" s="29"/>
    </row>
    <row r="890">
      <c r="A890" s="29"/>
      <c r="B890" s="36"/>
      <c r="C890" s="37"/>
      <c r="D890" s="37"/>
      <c r="E890" s="37"/>
      <c r="F890" s="38"/>
      <c r="G890" s="38"/>
      <c r="H890" s="39"/>
      <c r="I890" s="40"/>
      <c r="J890" s="37"/>
      <c r="K890" s="40"/>
      <c r="L890" s="41"/>
      <c r="M890" s="37"/>
      <c r="N890" s="41"/>
      <c r="O890" s="29"/>
    </row>
    <row r="891">
      <c r="A891" s="29"/>
      <c r="B891" s="36"/>
      <c r="C891" s="37"/>
      <c r="D891" s="37"/>
      <c r="E891" s="37"/>
      <c r="F891" s="38"/>
      <c r="G891" s="38"/>
      <c r="H891" s="39"/>
      <c r="I891" s="40"/>
      <c r="J891" s="37"/>
      <c r="K891" s="40"/>
      <c r="L891" s="41"/>
      <c r="M891" s="37"/>
      <c r="N891" s="41"/>
      <c r="O891" s="29"/>
    </row>
    <row r="892">
      <c r="A892" s="29"/>
      <c r="B892" s="36"/>
      <c r="C892" s="37"/>
      <c r="D892" s="37"/>
      <c r="E892" s="37"/>
      <c r="F892" s="38"/>
      <c r="G892" s="38"/>
      <c r="H892" s="39"/>
      <c r="I892" s="40"/>
      <c r="J892" s="37"/>
      <c r="K892" s="40"/>
      <c r="L892" s="41"/>
      <c r="M892" s="37"/>
      <c r="N892" s="41"/>
      <c r="O892" s="29"/>
    </row>
    <row r="893">
      <c r="A893" s="29"/>
      <c r="B893" s="36"/>
      <c r="C893" s="37"/>
      <c r="D893" s="37"/>
      <c r="E893" s="37"/>
      <c r="F893" s="38"/>
      <c r="G893" s="38"/>
      <c r="H893" s="39"/>
      <c r="I893" s="40"/>
      <c r="J893" s="37"/>
      <c r="K893" s="40"/>
      <c r="L893" s="41"/>
      <c r="M893" s="37"/>
      <c r="N893" s="41"/>
      <c r="O893" s="29"/>
    </row>
    <row r="894">
      <c r="A894" s="29"/>
      <c r="B894" s="36"/>
      <c r="C894" s="37"/>
      <c r="D894" s="37"/>
      <c r="E894" s="37"/>
      <c r="F894" s="38"/>
      <c r="G894" s="38"/>
      <c r="H894" s="39"/>
      <c r="I894" s="40"/>
      <c r="J894" s="37"/>
      <c r="K894" s="40"/>
      <c r="L894" s="41"/>
      <c r="M894" s="37"/>
      <c r="N894" s="41"/>
      <c r="O894" s="29"/>
    </row>
    <row r="895">
      <c r="A895" s="29"/>
      <c r="B895" s="36"/>
      <c r="C895" s="37"/>
      <c r="D895" s="37"/>
      <c r="E895" s="37"/>
      <c r="F895" s="38"/>
      <c r="G895" s="38"/>
      <c r="H895" s="39"/>
      <c r="I895" s="40"/>
      <c r="J895" s="37"/>
      <c r="K895" s="40"/>
      <c r="L895" s="41"/>
      <c r="M895" s="37"/>
      <c r="N895" s="41"/>
      <c r="O895" s="29"/>
    </row>
    <row r="896">
      <c r="A896" s="29"/>
      <c r="B896" s="36"/>
      <c r="C896" s="37"/>
      <c r="D896" s="37"/>
      <c r="E896" s="37"/>
      <c r="F896" s="38"/>
      <c r="G896" s="38"/>
      <c r="H896" s="39"/>
      <c r="I896" s="40"/>
      <c r="J896" s="37"/>
      <c r="K896" s="40"/>
      <c r="L896" s="41"/>
      <c r="M896" s="37"/>
      <c r="N896" s="41"/>
      <c r="O896" s="29"/>
    </row>
    <row r="897">
      <c r="A897" s="29"/>
      <c r="B897" s="36"/>
      <c r="C897" s="37"/>
      <c r="D897" s="37"/>
      <c r="E897" s="37"/>
      <c r="F897" s="38"/>
      <c r="G897" s="38"/>
      <c r="H897" s="39"/>
      <c r="I897" s="40"/>
      <c r="J897" s="37"/>
      <c r="K897" s="40"/>
      <c r="L897" s="41"/>
      <c r="M897" s="37"/>
      <c r="N897" s="41"/>
      <c r="O897" s="29"/>
    </row>
    <row r="898">
      <c r="A898" s="29"/>
      <c r="B898" s="36"/>
      <c r="C898" s="37"/>
      <c r="D898" s="37"/>
      <c r="E898" s="37"/>
      <c r="F898" s="38"/>
      <c r="G898" s="38"/>
      <c r="H898" s="39"/>
      <c r="I898" s="40"/>
      <c r="J898" s="37"/>
      <c r="K898" s="40"/>
      <c r="L898" s="41"/>
      <c r="M898" s="37"/>
      <c r="N898" s="41"/>
      <c r="O898" s="29"/>
    </row>
    <row r="899">
      <c r="A899" s="29"/>
      <c r="B899" s="36"/>
      <c r="C899" s="37"/>
      <c r="D899" s="37"/>
      <c r="E899" s="37"/>
      <c r="F899" s="38"/>
      <c r="G899" s="38"/>
      <c r="H899" s="39"/>
      <c r="I899" s="40"/>
      <c r="J899" s="37"/>
      <c r="K899" s="40"/>
      <c r="L899" s="41"/>
      <c r="M899" s="37"/>
      <c r="N899" s="41"/>
      <c r="O899" s="29"/>
    </row>
    <row r="900">
      <c r="A900" s="29"/>
      <c r="B900" s="36"/>
      <c r="C900" s="37"/>
      <c r="D900" s="37"/>
      <c r="E900" s="37"/>
      <c r="F900" s="38"/>
      <c r="G900" s="38"/>
      <c r="H900" s="39"/>
      <c r="I900" s="40"/>
      <c r="J900" s="37"/>
      <c r="K900" s="40"/>
      <c r="L900" s="41"/>
      <c r="M900" s="37"/>
      <c r="N900" s="41"/>
      <c r="O900" s="29"/>
    </row>
    <row r="901">
      <c r="A901" s="29"/>
      <c r="B901" s="36"/>
      <c r="C901" s="37"/>
      <c r="D901" s="37"/>
      <c r="E901" s="37"/>
      <c r="F901" s="38"/>
      <c r="G901" s="38"/>
      <c r="H901" s="39"/>
      <c r="I901" s="40"/>
      <c r="J901" s="37"/>
      <c r="K901" s="40"/>
      <c r="L901" s="41"/>
      <c r="M901" s="37"/>
      <c r="N901" s="41"/>
      <c r="O901" s="29"/>
    </row>
    <row r="902">
      <c r="A902" s="29"/>
      <c r="B902" s="36"/>
      <c r="C902" s="37"/>
      <c r="D902" s="37"/>
      <c r="E902" s="37"/>
      <c r="F902" s="38"/>
      <c r="G902" s="38"/>
      <c r="H902" s="39"/>
      <c r="I902" s="40"/>
      <c r="J902" s="37"/>
      <c r="K902" s="40"/>
      <c r="L902" s="41"/>
      <c r="M902" s="37"/>
      <c r="N902" s="41"/>
      <c r="O902" s="29"/>
    </row>
    <row r="903">
      <c r="A903" s="29"/>
      <c r="B903" s="36"/>
      <c r="C903" s="37"/>
      <c r="D903" s="37"/>
      <c r="E903" s="37"/>
      <c r="F903" s="38"/>
      <c r="G903" s="38"/>
      <c r="H903" s="39"/>
      <c r="I903" s="40"/>
      <c r="J903" s="37"/>
      <c r="K903" s="40"/>
      <c r="L903" s="41"/>
      <c r="M903" s="37"/>
      <c r="N903" s="41"/>
      <c r="O903" s="29"/>
    </row>
    <row r="904">
      <c r="A904" s="29"/>
      <c r="B904" s="36"/>
      <c r="C904" s="37"/>
      <c r="D904" s="37"/>
      <c r="E904" s="37"/>
      <c r="F904" s="38"/>
      <c r="G904" s="38"/>
      <c r="H904" s="39"/>
      <c r="I904" s="40"/>
      <c r="J904" s="37"/>
      <c r="K904" s="40"/>
      <c r="L904" s="41"/>
      <c r="M904" s="37"/>
      <c r="N904" s="41"/>
      <c r="O904" s="29"/>
    </row>
    <row r="905">
      <c r="A905" s="29"/>
      <c r="B905" s="36"/>
      <c r="C905" s="37"/>
      <c r="D905" s="37"/>
      <c r="E905" s="37"/>
      <c r="F905" s="38"/>
      <c r="G905" s="38"/>
      <c r="H905" s="39"/>
      <c r="I905" s="40"/>
      <c r="J905" s="37"/>
      <c r="K905" s="40"/>
      <c r="L905" s="41"/>
      <c r="M905" s="37"/>
      <c r="N905" s="41"/>
      <c r="O905" s="29"/>
    </row>
    <row r="906">
      <c r="A906" s="29"/>
      <c r="B906" s="36"/>
      <c r="C906" s="37"/>
      <c r="D906" s="37"/>
      <c r="E906" s="37"/>
      <c r="F906" s="38"/>
      <c r="G906" s="38"/>
      <c r="H906" s="39"/>
      <c r="I906" s="40"/>
      <c r="J906" s="37"/>
      <c r="K906" s="40"/>
      <c r="L906" s="41"/>
      <c r="M906" s="37"/>
      <c r="N906" s="41"/>
      <c r="O906" s="29"/>
    </row>
    <row r="907">
      <c r="A907" s="29"/>
      <c r="B907" s="36"/>
      <c r="C907" s="37"/>
      <c r="D907" s="37"/>
      <c r="E907" s="37"/>
      <c r="F907" s="38"/>
      <c r="G907" s="38"/>
      <c r="H907" s="39"/>
      <c r="I907" s="40"/>
      <c r="J907" s="37"/>
      <c r="K907" s="40"/>
      <c r="L907" s="41"/>
      <c r="M907" s="37"/>
      <c r="N907" s="41"/>
      <c r="O907" s="29"/>
    </row>
    <row r="908">
      <c r="A908" s="29"/>
      <c r="B908" s="36"/>
      <c r="C908" s="37"/>
      <c r="D908" s="37"/>
      <c r="E908" s="37"/>
      <c r="F908" s="38"/>
      <c r="G908" s="38"/>
      <c r="H908" s="39"/>
      <c r="I908" s="40"/>
      <c r="J908" s="37"/>
      <c r="K908" s="40"/>
      <c r="L908" s="41"/>
      <c r="M908" s="37"/>
      <c r="N908" s="41"/>
      <c r="O908" s="29"/>
    </row>
    <row r="909">
      <c r="A909" s="29"/>
      <c r="B909" s="36"/>
      <c r="C909" s="37"/>
      <c r="D909" s="37"/>
      <c r="E909" s="37"/>
      <c r="F909" s="38"/>
      <c r="G909" s="38"/>
      <c r="H909" s="39"/>
      <c r="I909" s="40"/>
      <c r="J909" s="37"/>
      <c r="K909" s="40"/>
      <c r="L909" s="41"/>
      <c r="M909" s="37"/>
      <c r="N909" s="41"/>
      <c r="O909" s="29"/>
    </row>
    <row r="910">
      <c r="A910" s="29"/>
      <c r="B910" s="36"/>
      <c r="C910" s="37"/>
      <c r="D910" s="37"/>
      <c r="E910" s="37"/>
      <c r="F910" s="38"/>
      <c r="G910" s="38"/>
      <c r="H910" s="39"/>
      <c r="I910" s="40"/>
      <c r="J910" s="37"/>
      <c r="K910" s="40"/>
      <c r="L910" s="41"/>
      <c r="M910" s="37"/>
      <c r="N910" s="41"/>
      <c r="O910" s="29"/>
    </row>
    <row r="911">
      <c r="A911" s="29"/>
      <c r="B911" s="36"/>
      <c r="C911" s="37"/>
      <c r="D911" s="37"/>
      <c r="E911" s="37"/>
      <c r="F911" s="38"/>
      <c r="G911" s="38"/>
      <c r="H911" s="39"/>
      <c r="I911" s="40"/>
      <c r="J911" s="37"/>
      <c r="K911" s="40"/>
      <c r="L911" s="41"/>
      <c r="M911" s="37"/>
      <c r="N911" s="41"/>
      <c r="O911" s="29"/>
    </row>
    <row r="912">
      <c r="A912" s="29"/>
      <c r="B912" s="36"/>
      <c r="C912" s="37"/>
      <c r="D912" s="37"/>
      <c r="E912" s="37"/>
      <c r="F912" s="38"/>
      <c r="G912" s="38"/>
      <c r="H912" s="39"/>
      <c r="I912" s="40"/>
      <c r="J912" s="37"/>
      <c r="K912" s="40"/>
      <c r="L912" s="41"/>
      <c r="M912" s="37"/>
      <c r="N912" s="41"/>
      <c r="O912" s="29"/>
    </row>
    <row r="913">
      <c r="A913" s="29"/>
      <c r="B913" s="36"/>
      <c r="C913" s="37"/>
      <c r="D913" s="37"/>
      <c r="E913" s="37"/>
      <c r="F913" s="38"/>
      <c r="G913" s="38"/>
      <c r="H913" s="39"/>
      <c r="I913" s="40"/>
      <c r="J913" s="37"/>
      <c r="K913" s="40"/>
      <c r="L913" s="41"/>
      <c r="M913" s="37"/>
      <c r="N913" s="41"/>
      <c r="O913" s="29"/>
    </row>
    <row r="914">
      <c r="A914" s="29"/>
      <c r="B914" s="36"/>
      <c r="C914" s="37"/>
      <c r="D914" s="37"/>
      <c r="E914" s="37"/>
      <c r="F914" s="38"/>
      <c r="G914" s="38"/>
      <c r="H914" s="39"/>
      <c r="I914" s="40"/>
      <c r="J914" s="37"/>
      <c r="K914" s="40"/>
      <c r="L914" s="41"/>
      <c r="M914" s="37"/>
      <c r="N914" s="41"/>
      <c r="O914" s="29"/>
    </row>
    <row r="915">
      <c r="A915" s="29"/>
      <c r="B915" s="36"/>
      <c r="C915" s="37"/>
      <c r="D915" s="37"/>
      <c r="E915" s="37"/>
      <c r="F915" s="38"/>
      <c r="G915" s="38"/>
      <c r="H915" s="39"/>
      <c r="I915" s="40"/>
      <c r="J915" s="37"/>
      <c r="K915" s="40"/>
      <c r="L915" s="41"/>
      <c r="M915" s="37"/>
      <c r="N915" s="41"/>
      <c r="O915" s="29"/>
    </row>
    <row r="916">
      <c r="A916" s="29"/>
      <c r="B916" s="36"/>
      <c r="C916" s="37"/>
      <c r="D916" s="37"/>
      <c r="E916" s="37"/>
      <c r="F916" s="38"/>
      <c r="G916" s="38"/>
      <c r="H916" s="39"/>
      <c r="I916" s="40"/>
      <c r="J916" s="37"/>
      <c r="K916" s="40"/>
      <c r="L916" s="41"/>
      <c r="M916" s="37"/>
      <c r="N916" s="41"/>
      <c r="O916" s="29"/>
    </row>
    <row r="917">
      <c r="A917" s="29"/>
      <c r="B917" s="36"/>
      <c r="C917" s="37"/>
      <c r="D917" s="37"/>
      <c r="E917" s="37"/>
      <c r="F917" s="38"/>
      <c r="G917" s="38"/>
      <c r="H917" s="39"/>
      <c r="I917" s="40"/>
      <c r="J917" s="37"/>
      <c r="K917" s="40"/>
      <c r="L917" s="41"/>
      <c r="M917" s="37"/>
      <c r="N917" s="41"/>
      <c r="O917" s="29"/>
    </row>
    <row r="918">
      <c r="A918" s="29"/>
      <c r="B918" s="36"/>
      <c r="C918" s="37"/>
      <c r="D918" s="37"/>
      <c r="E918" s="37"/>
      <c r="F918" s="38"/>
      <c r="G918" s="38"/>
      <c r="H918" s="39"/>
      <c r="I918" s="40"/>
      <c r="J918" s="37"/>
      <c r="K918" s="40"/>
      <c r="L918" s="41"/>
      <c r="M918" s="37"/>
      <c r="N918" s="41"/>
      <c r="O918" s="29"/>
    </row>
    <row r="919">
      <c r="A919" s="29"/>
      <c r="B919" s="36"/>
      <c r="C919" s="37"/>
      <c r="D919" s="37"/>
      <c r="E919" s="37"/>
      <c r="F919" s="38"/>
      <c r="G919" s="38"/>
      <c r="H919" s="39"/>
      <c r="I919" s="40"/>
      <c r="J919" s="37"/>
      <c r="K919" s="40"/>
      <c r="L919" s="41"/>
      <c r="M919" s="37"/>
      <c r="N919" s="41"/>
      <c r="O919" s="29"/>
    </row>
    <row r="920">
      <c r="A920" s="29"/>
      <c r="B920" s="36"/>
      <c r="C920" s="37"/>
      <c r="D920" s="37"/>
      <c r="E920" s="37"/>
      <c r="F920" s="38"/>
      <c r="G920" s="38"/>
      <c r="H920" s="39"/>
      <c r="I920" s="40"/>
      <c r="J920" s="37"/>
      <c r="K920" s="40"/>
      <c r="L920" s="41"/>
      <c r="M920" s="37"/>
      <c r="N920" s="41"/>
      <c r="O920" s="29"/>
    </row>
    <row r="921">
      <c r="A921" s="29"/>
      <c r="B921" s="36"/>
      <c r="C921" s="37"/>
      <c r="D921" s="37"/>
      <c r="E921" s="37"/>
      <c r="F921" s="38"/>
      <c r="G921" s="38"/>
      <c r="H921" s="39"/>
      <c r="I921" s="40"/>
      <c r="J921" s="37"/>
      <c r="K921" s="40"/>
      <c r="L921" s="41"/>
      <c r="M921" s="37"/>
      <c r="N921" s="41"/>
      <c r="O921" s="29"/>
    </row>
    <row r="922">
      <c r="A922" s="29"/>
      <c r="B922" s="36"/>
      <c r="C922" s="37"/>
      <c r="D922" s="37"/>
      <c r="E922" s="37"/>
      <c r="F922" s="38"/>
      <c r="G922" s="38"/>
      <c r="H922" s="39"/>
      <c r="I922" s="40"/>
      <c r="J922" s="37"/>
      <c r="K922" s="40"/>
      <c r="L922" s="41"/>
      <c r="M922" s="37"/>
      <c r="N922" s="41"/>
      <c r="O922" s="29"/>
    </row>
    <row r="923">
      <c r="A923" s="29"/>
      <c r="B923" s="36"/>
      <c r="C923" s="37"/>
      <c r="D923" s="37"/>
      <c r="E923" s="37"/>
      <c r="F923" s="38"/>
      <c r="G923" s="38"/>
      <c r="H923" s="39"/>
      <c r="I923" s="40"/>
      <c r="J923" s="37"/>
      <c r="K923" s="40"/>
      <c r="L923" s="41"/>
      <c r="M923" s="37"/>
      <c r="N923" s="41"/>
      <c r="O923" s="29"/>
    </row>
    <row r="924">
      <c r="A924" s="29"/>
      <c r="B924" s="36"/>
      <c r="C924" s="37"/>
      <c r="D924" s="37"/>
      <c r="E924" s="37"/>
      <c r="F924" s="38"/>
      <c r="G924" s="38"/>
      <c r="H924" s="39"/>
      <c r="I924" s="40"/>
      <c r="J924" s="37"/>
      <c r="K924" s="40"/>
      <c r="L924" s="41"/>
      <c r="M924" s="37"/>
      <c r="N924" s="41"/>
      <c r="O924" s="29"/>
    </row>
    <row r="925">
      <c r="A925" s="29"/>
      <c r="B925" s="36"/>
      <c r="C925" s="37"/>
      <c r="D925" s="37"/>
      <c r="E925" s="37"/>
      <c r="F925" s="38"/>
      <c r="G925" s="38"/>
      <c r="H925" s="39"/>
      <c r="I925" s="40"/>
      <c r="J925" s="37"/>
      <c r="K925" s="40"/>
      <c r="L925" s="41"/>
      <c r="M925" s="37"/>
      <c r="N925" s="41"/>
      <c r="O925" s="29"/>
    </row>
    <row r="926">
      <c r="A926" s="29"/>
      <c r="B926" s="36"/>
      <c r="C926" s="37"/>
      <c r="D926" s="37"/>
      <c r="E926" s="37"/>
      <c r="F926" s="38"/>
      <c r="G926" s="38"/>
      <c r="H926" s="39"/>
      <c r="I926" s="40"/>
      <c r="J926" s="37"/>
      <c r="K926" s="40"/>
      <c r="L926" s="41"/>
      <c r="M926" s="37"/>
      <c r="N926" s="41"/>
      <c r="O926" s="29"/>
    </row>
    <row r="927">
      <c r="A927" s="29"/>
      <c r="B927" s="36"/>
      <c r="C927" s="37"/>
      <c r="D927" s="37"/>
      <c r="E927" s="37"/>
      <c r="F927" s="38"/>
      <c r="G927" s="38"/>
      <c r="H927" s="39"/>
      <c r="I927" s="40"/>
      <c r="J927" s="37"/>
      <c r="K927" s="40"/>
      <c r="L927" s="41"/>
      <c r="M927" s="37"/>
      <c r="N927" s="41"/>
      <c r="O927" s="29"/>
    </row>
    <row r="928">
      <c r="A928" s="29"/>
      <c r="B928" s="36"/>
      <c r="C928" s="37"/>
      <c r="D928" s="37"/>
      <c r="E928" s="37"/>
      <c r="F928" s="38"/>
      <c r="G928" s="38"/>
      <c r="H928" s="39"/>
      <c r="I928" s="40"/>
      <c r="J928" s="37"/>
      <c r="K928" s="40"/>
      <c r="L928" s="41"/>
      <c r="M928" s="37"/>
      <c r="N928" s="41"/>
      <c r="O928" s="29"/>
    </row>
    <row r="929">
      <c r="A929" s="29"/>
      <c r="B929" s="36"/>
      <c r="C929" s="37"/>
      <c r="D929" s="37"/>
      <c r="E929" s="37"/>
      <c r="F929" s="38"/>
      <c r="G929" s="38"/>
      <c r="H929" s="39"/>
      <c r="I929" s="40"/>
      <c r="J929" s="37"/>
      <c r="K929" s="40"/>
      <c r="L929" s="41"/>
      <c r="M929" s="37"/>
      <c r="N929" s="41"/>
      <c r="O929" s="29"/>
    </row>
    <row r="930">
      <c r="A930" s="29"/>
      <c r="B930" s="36"/>
      <c r="C930" s="37"/>
      <c r="D930" s="37"/>
      <c r="E930" s="37"/>
      <c r="F930" s="38"/>
      <c r="G930" s="38"/>
      <c r="H930" s="39"/>
      <c r="I930" s="40"/>
      <c r="J930" s="37"/>
      <c r="K930" s="40"/>
      <c r="L930" s="41"/>
      <c r="M930" s="37"/>
      <c r="N930" s="41"/>
      <c r="O930" s="29"/>
    </row>
    <row r="931">
      <c r="A931" s="29"/>
      <c r="B931" s="36"/>
      <c r="C931" s="37"/>
      <c r="D931" s="37"/>
      <c r="E931" s="37"/>
      <c r="F931" s="38"/>
      <c r="G931" s="38"/>
      <c r="H931" s="39"/>
      <c r="I931" s="40"/>
      <c r="J931" s="37"/>
      <c r="K931" s="40"/>
      <c r="L931" s="41"/>
      <c r="M931" s="37"/>
      <c r="N931" s="41"/>
      <c r="O931" s="29"/>
    </row>
    <row r="932">
      <c r="A932" s="29"/>
      <c r="B932" s="36"/>
      <c r="C932" s="37"/>
      <c r="D932" s="37"/>
      <c r="E932" s="37"/>
      <c r="F932" s="38"/>
      <c r="G932" s="38"/>
      <c r="H932" s="39"/>
      <c r="I932" s="40"/>
      <c r="J932" s="37"/>
      <c r="K932" s="40"/>
      <c r="L932" s="41"/>
      <c r="M932" s="37"/>
      <c r="N932" s="41"/>
      <c r="O932" s="29"/>
    </row>
    <row r="933">
      <c r="A933" s="29"/>
      <c r="B933" s="36"/>
      <c r="C933" s="37"/>
      <c r="D933" s="37"/>
      <c r="E933" s="37"/>
      <c r="F933" s="38"/>
      <c r="G933" s="38"/>
      <c r="H933" s="39"/>
      <c r="I933" s="40"/>
      <c r="J933" s="37"/>
      <c r="K933" s="40"/>
      <c r="L933" s="41"/>
      <c r="M933" s="37"/>
      <c r="N933" s="41"/>
      <c r="O933" s="29"/>
    </row>
    <row r="934">
      <c r="A934" s="29"/>
      <c r="B934" s="36"/>
      <c r="C934" s="37"/>
      <c r="D934" s="37"/>
      <c r="E934" s="37"/>
      <c r="F934" s="38"/>
      <c r="G934" s="38"/>
      <c r="H934" s="39"/>
      <c r="I934" s="40"/>
      <c r="J934" s="37"/>
      <c r="K934" s="40"/>
      <c r="L934" s="41"/>
      <c r="M934" s="37"/>
      <c r="N934" s="41"/>
      <c r="O934" s="29"/>
    </row>
    <row r="935">
      <c r="A935" s="29"/>
      <c r="B935" s="36"/>
      <c r="C935" s="37"/>
      <c r="D935" s="37"/>
      <c r="E935" s="37"/>
      <c r="F935" s="38"/>
      <c r="G935" s="38"/>
      <c r="H935" s="39"/>
      <c r="I935" s="40"/>
      <c r="J935" s="37"/>
      <c r="K935" s="40"/>
      <c r="L935" s="41"/>
      <c r="M935" s="37"/>
      <c r="N935" s="41"/>
      <c r="O935" s="29"/>
    </row>
    <row r="936">
      <c r="A936" s="29"/>
      <c r="B936" s="36"/>
      <c r="C936" s="37"/>
      <c r="D936" s="37"/>
      <c r="E936" s="37"/>
      <c r="F936" s="38"/>
      <c r="G936" s="38"/>
      <c r="H936" s="39"/>
      <c r="I936" s="40"/>
      <c r="J936" s="37"/>
      <c r="K936" s="40"/>
      <c r="L936" s="41"/>
      <c r="M936" s="37"/>
      <c r="N936" s="41"/>
      <c r="O936" s="29"/>
    </row>
    <row r="937">
      <c r="A937" s="29"/>
      <c r="B937" s="36"/>
      <c r="C937" s="37"/>
      <c r="D937" s="37"/>
      <c r="E937" s="37"/>
      <c r="F937" s="38"/>
      <c r="G937" s="38"/>
      <c r="H937" s="39"/>
      <c r="I937" s="40"/>
      <c r="J937" s="37"/>
      <c r="K937" s="40"/>
      <c r="L937" s="41"/>
      <c r="M937" s="37"/>
      <c r="N937" s="41"/>
      <c r="O937" s="29"/>
    </row>
    <row r="938">
      <c r="A938" s="29"/>
      <c r="B938" s="36"/>
      <c r="C938" s="37"/>
      <c r="D938" s="37"/>
      <c r="E938" s="37"/>
      <c r="F938" s="38"/>
      <c r="G938" s="38"/>
      <c r="H938" s="39"/>
      <c r="I938" s="40"/>
      <c r="J938" s="37"/>
      <c r="K938" s="40"/>
      <c r="L938" s="41"/>
      <c r="M938" s="37"/>
      <c r="N938" s="41"/>
      <c r="O938" s="29"/>
    </row>
    <row r="939">
      <c r="A939" s="29"/>
      <c r="B939" s="36"/>
      <c r="C939" s="37"/>
      <c r="D939" s="37"/>
      <c r="E939" s="37"/>
      <c r="F939" s="38"/>
      <c r="G939" s="38"/>
      <c r="H939" s="39"/>
      <c r="I939" s="40"/>
      <c r="J939" s="37"/>
      <c r="K939" s="40"/>
      <c r="L939" s="41"/>
      <c r="M939" s="37"/>
      <c r="N939" s="41"/>
      <c r="O939" s="29"/>
    </row>
    <row r="940">
      <c r="A940" s="29"/>
      <c r="B940" s="36"/>
      <c r="C940" s="37"/>
      <c r="D940" s="37"/>
      <c r="E940" s="37"/>
      <c r="F940" s="38"/>
      <c r="G940" s="38"/>
      <c r="H940" s="39"/>
      <c r="I940" s="40"/>
      <c r="J940" s="37"/>
      <c r="K940" s="40"/>
      <c r="L940" s="41"/>
      <c r="M940" s="37"/>
      <c r="N940" s="41"/>
      <c r="O940" s="29"/>
    </row>
    <row r="941">
      <c r="A941" s="29"/>
      <c r="B941" s="36"/>
      <c r="C941" s="37"/>
      <c r="D941" s="37"/>
      <c r="E941" s="37"/>
      <c r="F941" s="38"/>
      <c r="G941" s="38"/>
      <c r="H941" s="39"/>
      <c r="I941" s="40"/>
      <c r="J941" s="37"/>
      <c r="K941" s="40"/>
      <c r="L941" s="41"/>
      <c r="M941" s="37"/>
      <c r="N941" s="41"/>
      <c r="O941" s="29"/>
    </row>
    <row r="942">
      <c r="A942" s="29"/>
      <c r="B942" s="36"/>
      <c r="C942" s="37"/>
      <c r="D942" s="37"/>
      <c r="E942" s="37"/>
      <c r="F942" s="38"/>
      <c r="G942" s="38"/>
      <c r="H942" s="39"/>
      <c r="I942" s="40"/>
      <c r="J942" s="37"/>
      <c r="K942" s="40"/>
      <c r="L942" s="41"/>
      <c r="M942" s="37"/>
      <c r="N942" s="41"/>
      <c r="O942" s="29"/>
    </row>
    <row r="943">
      <c r="A943" s="29"/>
      <c r="B943" s="36"/>
      <c r="C943" s="37"/>
      <c r="D943" s="37"/>
      <c r="E943" s="37"/>
      <c r="F943" s="38"/>
      <c r="G943" s="38"/>
      <c r="H943" s="39"/>
      <c r="I943" s="40"/>
      <c r="J943" s="37"/>
      <c r="K943" s="40"/>
      <c r="L943" s="41"/>
      <c r="M943" s="37"/>
      <c r="N943" s="41"/>
      <c r="O943" s="29"/>
    </row>
    <row r="944">
      <c r="A944" s="29"/>
      <c r="B944" s="36"/>
      <c r="C944" s="37"/>
      <c r="D944" s="37"/>
      <c r="E944" s="37"/>
      <c r="F944" s="38"/>
      <c r="G944" s="38"/>
      <c r="H944" s="39"/>
      <c r="I944" s="40"/>
      <c r="J944" s="37"/>
      <c r="K944" s="40"/>
      <c r="L944" s="41"/>
      <c r="M944" s="37"/>
      <c r="N944" s="41"/>
      <c r="O944" s="29"/>
    </row>
    <row r="945">
      <c r="A945" s="29"/>
      <c r="B945" s="36"/>
      <c r="C945" s="37"/>
      <c r="D945" s="37"/>
      <c r="E945" s="37"/>
      <c r="F945" s="38"/>
      <c r="G945" s="38"/>
      <c r="H945" s="39"/>
      <c r="I945" s="40"/>
      <c r="J945" s="37"/>
      <c r="K945" s="40"/>
      <c r="L945" s="41"/>
      <c r="M945" s="37"/>
      <c r="N945" s="41"/>
      <c r="O945" s="29"/>
    </row>
    <row r="946">
      <c r="A946" s="29"/>
      <c r="B946" s="36"/>
      <c r="C946" s="37"/>
      <c r="D946" s="37"/>
      <c r="E946" s="37"/>
      <c r="F946" s="38"/>
      <c r="G946" s="38"/>
      <c r="H946" s="39"/>
      <c r="I946" s="40"/>
      <c r="J946" s="37"/>
      <c r="K946" s="40"/>
      <c r="L946" s="41"/>
      <c r="M946" s="37"/>
      <c r="N946" s="41"/>
      <c r="O946" s="29"/>
    </row>
    <row r="947">
      <c r="A947" s="29"/>
      <c r="B947" s="36"/>
      <c r="C947" s="37"/>
      <c r="D947" s="37"/>
      <c r="E947" s="37"/>
      <c r="F947" s="38"/>
      <c r="G947" s="38"/>
      <c r="H947" s="39"/>
      <c r="I947" s="40"/>
      <c r="J947" s="37"/>
      <c r="K947" s="40"/>
      <c r="L947" s="41"/>
      <c r="M947" s="37"/>
      <c r="N947" s="41"/>
      <c r="O947" s="29"/>
    </row>
    <row r="948">
      <c r="A948" s="29"/>
      <c r="B948" s="36"/>
      <c r="C948" s="37"/>
      <c r="D948" s="37"/>
      <c r="E948" s="37"/>
      <c r="F948" s="38"/>
      <c r="G948" s="38"/>
      <c r="H948" s="39"/>
      <c r="I948" s="40"/>
      <c r="J948" s="37"/>
      <c r="K948" s="40"/>
      <c r="L948" s="41"/>
      <c r="M948" s="37"/>
      <c r="N948" s="41"/>
      <c r="O948" s="29"/>
    </row>
    <row r="949">
      <c r="A949" s="29"/>
      <c r="B949" s="36"/>
      <c r="C949" s="37"/>
      <c r="D949" s="37"/>
      <c r="E949" s="37"/>
      <c r="F949" s="38"/>
      <c r="G949" s="38"/>
      <c r="H949" s="39"/>
      <c r="I949" s="40"/>
      <c r="J949" s="37"/>
      <c r="K949" s="40"/>
      <c r="L949" s="41"/>
      <c r="M949" s="37"/>
      <c r="N949" s="41"/>
      <c r="O949" s="29"/>
    </row>
    <row r="950">
      <c r="A950" s="29"/>
      <c r="B950" s="36"/>
      <c r="C950" s="37"/>
      <c r="D950" s="37"/>
      <c r="E950" s="37"/>
      <c r="F950" s="38"/>
      <c r="G950" s="38"/>
      <c r="H950" s="39"/>
      <c r="I950" s="40"/>
      <c r="J950" s="37"/>
      <c r="K950" s="40"/>
      <c r="L950" s="41"/>
      <c r="M950" s="37"/>
      <c r="N950" s="41"/>
      <c r="O950" s="29"/>
    </row>
    <row r="951">
      <c r="A951" s="29"/>
      <c r="B951" s="36"/>
      <c r="C951" s="37"/>
      <c r="D951" s="37"/>
      <c r="E951" s="37"/>
      <c r="F951" s="38"/>
      <c r="G951" s="38"/>
      <c r="H951" s="39"/>
      <c r="I951" s="40"/>
      <c r="J951" s="37"/>
      <c r="K951" s="40"/>
      <c r="L951" s="41"/>
      <c r="M951" s="37"/>
      <c r="N951" s="41"/>
      <c r="O951" s="29"/>
    </row>
    <row r="952">
      <c r="A952" s="29"/>
      <c r="B952" s="36"/>
      <c r="C952" s="37"/>
      <c r="D952" s="37"/>
      <c r="E952" s="37"/>
      <c r="F952" s="38"/>
      <c r="G952" s="38"/>
      <c r="H952" s="39"/>
      <c r="I952" s="40"/>
      <c r="J952" s="37"/>
      <c r="K952" s="40"/>
      <c r="L952" s="41"/>
      <c r="M952" s="37"/>
      <c r="N952" s="41"/>
      <c r="O952" s="29"/>
    </row>
    <row r="953">
      <c r="A953" s="29"/>
      <c r="B953" s="36"/>
      <c r="C953" s="37"/>
      <c r="D953" s="37"/>
      <c r="E953" s="37"/>
      <c r="F953" s="38"/>
      <c r="G953" s="38"/>
      <c r="H953" s="39"/>
      <c r="I953" s="40"/>
      <c r="J953" s="37"/>
      <c r="K953" s="40"/>
      <c r="L953" s="41"/>
      <c r="M953" s="37"/>
      <c r="N953" s="41"/>
      <c r="O953" s="29"/>
    </row>
    <row r="954">
      <c r="A954" s="29"/>
      <c r="B954" s="36"/>
      <c r="C954" s="37"/>
      <c r="D954" s="37"/>
      <c r="E954" s="37"/>
      <c r="F954" s="38"/>
      <c r="G954" s="38"/>
      <c r="H954" s="39"/>
      <c r="I954" s="40"/>
      <c r="J954" s="37"/>
      <c r="K954" s="40"/>
      <c r="L954" s="41"/>
      <c r="M954" s="37"/>
      <c r="N954" s="41"/>
      <c r="O954" s="29"/>
    </row>
    <row r="955">
      <c r="A955" s="29"/>
      <c r="B955" s="36"/>
      <c r="C955" s="37"/>
      <c r="D955" s="37"/>
      <c r="E955" s="37"/>
      <c r="F955" s="38"/>
      <c r="G955" s="38"/>
      <c r="H955" s="39"/>
      <c r="I955" s="40"/>
      <c r="J955" s="37"/>
      <c r="K955" s="40"/>
      <c r="L955" s="41"/>
      <c r="M955" s="37"/>
      <c r="N955" s="41"/>
      <c r="O955" s="29"/>
    </row>
    <row r="956">
      <c r="A956" s="29"/>
      <c r="B956" s="36"/>
      <c r="C956" s="37"/>
      <c r="D956" s="37"/>
      <c r="E956" s="37"/>
      <c r="F956" s="38"/>
      <c r="G956" s="38"/>
      <c r="H956" s="39"/>
      <c r="I956" s="40"/>
      <c r="J956" s="37"/>
      <c r="K956" s="40"/>
      <c r="L956" s="41"/>
      <c r="M956" s="37"/>
      <c r="N956" s="41"/>
      <c r="O956" s="29"/>
    </row>
    <row r="957">
      <c r="A957" s="29"/>
      <c r="B957" s="36"/>
      <c r="C957" s="37"/>
      <c r="D957" s="37"/>
      <c r="E957" s="37"/>
      <c r="F957" s="38"/>
      <c r="G957" s="38"/>
      <c r="H957" s="39"/>
      <c r="I957" s="40"/>
      <c r="J957" s="37"/>
      <c r="K957" s="40"/>
      <c r="L957" s="41"/>
      <c r="M957" s="37"/>
      <c r="N957" s="41"/>
      <c r="O957" s="29"/>
    </row>
    <row r="958">
      <c r="A958" s="29"/>
      <c r="B958" s="36"/>
      <c r="C958" s="37"/>
      <c r="D958" s="37"/>
      <c r="E958" s="37"/>
      <c r="F958" s="38"/>
      <c r="G958" s="38"/>
      <c r="H958" s="39"/>
      <c r="I958" s="40"/>
      <c r="J958" s="37"/>
      <c r="K958" s="40"/>
      <c r="L958" s="41"/>
      <c r="M958" s="37"/>
      <c r="N958" s="41"/>
      <c r="O958" s="29"/>
    </row>
    <row r="959">
      <c r="A959" s="29"/>
      <c r="B959" s="36"/>
      <c r="C959" s="37"/>
      <c r="D959" s="37"/>
      <c r="E959" s="37"/>
      <c r="F959" s="38"/>
      <c r="G959" s="38"/>
      <c r="H959" s="39"/>
      <c r="I959" s="40"/>
      <c r="J959" s="37"/>
      <c r="K959" s="40"/>
      <c r="L959" s="41"/>
      <c r="M959" s="37"/>
      <c r="N959" s="41"/>
      <c r="O959" s="29"/>
    </row>
    <row r="960">
      <c r="A960" s="29"/>
      <c r="B960" s="36"/>
      <c r="C960" s="37"/>
      <c r="D960" s="37"/>
      <c r="E960" s="37"/>
      <c r="F960" s="38"/>
      <c r="G960" s="38"/>
      <c r="H960" s="39"/>
      <c r="I960" s="40"/>
      <c r="J960" s="37"/>
      <c r="K960" s="40"/>
      <c r="L960" s="41"/>
      <c r="M960" s="37"/>
      <c r="N960" s="41"/>
      <c r="O960" s="29"/>
    </row>
    <row r="961">
      <c r="A961" s="29"/>
      <c r="B961" s="36"/>
      <c r="C961" s="37"/>
      <c r="D961" s="37"/>
      <c r="E961" s="37"/>
      <c r="F961" s="38"/>
      <c r="G961" s="38"/>
      <c r="H961" s="39"/>
      <c r="I961" s="40"/>
      <c r="J961" s="37"/>
      <c r="K961" s="40"/>
      <c r="L961" s="41"/>
      <c r="M961" s="37"/>
      <c r="N961" s="41"/>
      <c r="O961" s="29"/>
    </row>
    <row r="962">
      <c r="A962" s="29"/>
      <c r="B962" s="36"/>
      <c r="C962" s="37"/>
      <c r="D962" s="37"/>
      <c r="E962" s="37"/>
      <c r="F962" s="38"/>
      <c r="G962" s="38"/>
      <c r="H962" s="39"/>
      <c r="I962" s="40"/>
      <c r="J962" s="37"/>
      <c r="K962" s="40"/>
      <c r="L962" s="41"/>
      <c r="M962" s="37"/>
      <c r="N962" s="41"/>
      <c r="O962" s="29"/>
    </row>
    <row r="963">
      <c r="A963" s="29"/>
      <c r="B963" s="36"/>
      <c r="C963" s="37"/>
      <c r="D963" s="37"/>
      <c r="E963" s="37"/>
      <c r="F963" s="38"/>
      <c r="G963" s="38"/>
      <c r="H963" s="39"/>
      <c r="I963" s="40"/>
      <c r="J963" s="37"/>
      <c r="K963" s="40"/>
      <c r="L963" s="41"/>
      <c r="M963" s="37"/>
      <c r="N963" s="41"/>
      <c r="O963" s="29"/>
    </row>
    <row r="964">
      <c r="A964" s="29"/>
      <c r="B964" s="36"/>
      <c r="C964" s="37"/>
      <c r="D964" s="37"/>
      <c r="E964" s="37"/>
      <c r="F964" s="38"/>
      <c r="G964" s="38"/>
      <c r="H964" s="39"/>
      <c r="I964" s="40"/>
      <c r="J964" s="37"/>
      <c r="K964" s="40"/>
      <c r="L964" s="41"/>
      <c r="M964" s="37"/>
      <c r="N964" s="41"/>
      <c r="O964" s="29"/>
    </row>
    <row r="965">
      <c r="A965" s="29"/>
      <c r="B965" s="36"/>
      <c r="C965" s="37"/>
      <c r="D965" s="37"/>
      <c r="E965" s="37"/>
      <c r="F965" s="38"/>
      <c r="G965" s="38"/>
      <c r="H965" s="39"/>
      <c r="I965" s="40"/>
      <c r="J965" s="37"/>
      <c r="K965" s="40"/>
      <c r="L965" s="41"/>
      <c r="M965" s="37"/>
      <c r="N965" s="41"/>
      <c r="O965" s="29"/>
    </row>
    <row r="966">
      <c r="A966" s="29"/>
      <c r="B966" s="36"/>
      <c r="C966" s="37"/>
      <c r="D966" s="37"/>
      <c r="E966" s="37"/>
      <c r="F966" s="38"/>
      <c r="G966" s="38"/>
      <c r="H966" s="39"/>
      <c r="I966" s="40"/>
      <c r="J966" s="37"/>
      <c r="K966" s="40"/>
      <c r="L966" s="41"/>
      <c r="M966" s="37"/>
      <c r="N966" s="41"/>
      <c r="O966" s="29"/>
    </row>
    <row r="967">
      <c r="A967" s="29"/>
      <c r="B967" s="36"/>
      <c r="C967" s="37"/>
      <c r="D967" s="37"/>
      <c r="E967" s="37"/>
      <c r="F967" s="38"/>
      <c r="G967" s="38"/>
      <c r="H967" s="39"/>
      <c r="I967" s="40"/>
      <c r="J967" s="37"/>
      <c r="K967" s="40"/>
      <c r="L967" s="41"/>
      <c r="M967" s="37"/>
      <c r="N967" s="41"/>
      <c r="O967" s="29"/>
    </row>
    <row r="968">
      <c r="A968" s="29"/>
      <c r="B968" s="36"/>
      <c r="C968" s="37"/>
      <c r="D968" s="37"/>
      <c r="E968" s="37"/>
      <c r="F968" s="38"/>
      <c r="G968" s="38"/>
      <c r="H968" s="39"/>
      <c r="I968" s="40"/>
      <c r="J968" s="37"/>
      <c r="K968" s="40"/>
      <c r="L968" s="41"/>
      <c r="M968" s="37"/>
      <c r="N968" s="41"/>
      <c r="O968" s="29"/>
    </row>
    <row r="969">
      <c r="A969" s="29"/>
      <c r="B969" s="36"/>
      <c r="C969" s="37"/>
      <c r="D969" s="37"/>
      <c r="E969" s="37"/>
      <c r="F969" s="38"/>
      <c r="G969" s="38"/>
      <c r="H969" s="39"/>
      <c r="I969" s="40"/>
      <c r="J969" s="37"/>
      <c r="K969" s="40"/>
      <c r="L969" s="41"/>
      <c r="M969" s="37"/>
      <c r="N969" s="41"/>
      <c r="O969" s="29"/>
    </row>
    <row r="970">
      <c r="A970" s="29"/>
      <c r="B970" s="36"/>
      <c r="C970" s="37"/>
      <c r="D970" s="37"/>
      <c r="E970" s="37"/>
      <c r="F970" s="38"/>
      <c r="G970" s="38"/>
      <c r="H970" s="39"/>
      <c r="I970" s="40"/>
      <c r="J970" s="37"/>
      <c r="K970" s="40"/>
      <c r="L970" s="41"/>
      <c r="M970" s="37"/>
      <c r="N970" s="41"/>
      <c r="O970" s="29"/>
    </row>
    <row r="971">
      <c r="A971" s="29"/>
      <c r="B971" s="36"/>
      <c r="C971" s="37"/>
      <c r="D971" s="37"/>
      <c r="E971" s="37"/>
      <c r="F971" s="38"/>
      <c r="G971" s="38"/>
      <c r="H971" s="39"/>
      <c r="I971" s="40"/>
      <c r="J971" s="37"/>
      <c r="K971" s="40"/>
      <c r="L971" s="41"/>
      <c r="M971" s="37"/>
      <c r="N971" s="41"/>
      <c r="O971" s="29"/>
    </row>
    <row r="972">
      <c r="A972" s="29"/>
      <c r="B972" s="36"/>
      <c r="C972" s="37"/>
      <c r="D972" s="37"/>
      <c r="E972" s="37"/>
      <c r="F972" s="38"/>
      <c r="G972" s="38"/>
      <c r="H972" s="39"/>
      <c r="I972" s="40"/>
      <c r="J972" s="37"/>
      <c r="K972" s="40"/>
      <c r="L972" s="41"/>
      <c r="M972" s="37"/>
      <c r="N972" s="41"/>
      <c r="O972" s="29"/>
    </row>
    <row r="973">
      <c r="A973" s="29"/>
      <c r="B973" s="36"/>
      <c r="C973" s="37"/>
      <c r="D973" s="37"/>
      <c r="E973" s="37"/>
      <c r="F973" s="38"/>
      <c r="G973" s="38"/>
      <c r="H973" s="39"/>
      <c r="I973" s="40"/>
      <c r="J973" s="37"/>
      <c r="K973" s="40"/>
      <c r="L973" s="41"/>
      <c r="M973" s="37"/>
      <c r="N973" s="41"/>
      <c r="O973" s="29"/>
    </row>
    <row r="974">
      <c r="A974" s="29"/>
      <c r="B974" s="36"/>
      <c r="C974" s="37"/>
      <c r="D974" s="37"/>
      <c r="E974" s="37"/>
      <c r="F974" s="38"/>
      <c r="G974" s="38"/>
      <c r="H974" s="39"/>
      <c r="I974" s="40"/>
      <c r="J974" s="37"/>
      <c r="K974" s="40"/>
      <c r="L974" s="41"/>
      <c r="M974" s="37"/>
      <c r="N974" s="41"/>
      <c r="O974" s="29"/>
    </row>
    <row r="975">
      <c r="A975" s="29"/>
      <c r="B975" s="36"/>
      <c r="C975" s="37"/>
      <c r="D975" s="37"/>
      <c r="E975" s="37"/>
      <c r="F975" s="38"/>
      <c r="G975" s="38"/>
      <c r="H975" s="39"/>
      <c r="I975" s="40"/>
      <c r="J975" s="37"/>
      <c r="K975" s="40"/>
      <c r="L975" s="41"/>
      <c r="M975" s="37"/>
      <c r="N975" s="41"/>
      <c r="O975" s="29"/>
    </row>
    <row r="976">
      <c r="A976" s="29"/>
      <c r="B976" s="36"/>
      <c r="C976" s="37"/>
      <c r="D976" s="37"/>
      <c r="E976" s="37"/>
      <c r="F976" s="38"/>
      <c r="G976" s="38"/>
      <c r="H976" s="39"/>
      <c r="I976" s="40"/>
      <c r="J976" s="37"/>
      <c r="K976" s="40"/>
      <c r="L976" s="41"/>
      <c r="M976" s="37"/>
      <c r="N976" s="41"/>
      <c r="O976" s="29"/>
    </row>
    <row r="977">
      <c r="A977" s="29"/>
      <c r="B977" s="36"/>
      <c r="C977" s="37"/>
      <c r="D977" s="37"/>
      <c r="E977" s="37"/>
      <c r="F977" s="38"/>
      <c r="G977" s="38"/>
      <c r="H977" s="39"/>
      <c r="I977" s="40"/>
      <c r="J977" s="37"/>
      <c r="K977" s="40"/>
      <c r="L977" s="41"/>
      <c r="M977" s="37"/>
      <c r="N977" s="41"/>
      <c r="O977" s="29"/>
    </row>
    <row r="978">
      <c r="A978" s="29"/>
      <c r="B978" s="36"/>
      <c r="C978" s="37"/>
      <c r="D978" s="37"/>
      <c r="E978" s="37"/>
      <c r="F978" s="38"/>
      <c r="G978" s="38"/>
      <c r="H978" s="39"/>
      <c r="I978" s="40"/>
      <c r="J978" s="37"/>
      <c r="K978" s="40"/>
      <c r="L978" s="41"/>
      <c r="M978" s="37"/>
      <c r="N978" s="41"/>
      <c r="O978" s="29"/>
    </row>
    <row r="979">
      <c r="A979" s="29"/>
      <c r="B979" s="36"/>
      <c r="C979" s="37"/>
      <c r="D979" s="37"/>
      <c r="E979" s="37"/>
      <c r="F979" s="38"/>
      <c r="G979" s="38"/>
      <c r="H979" s="39"/>
      <c r="I979" s="40"/>
      <c r="J979" s="37"/>
      <c r="K979" s="40"/>
      <c r="L979" s="41"/>
      <c r="M979" s="37"/>
      <c r="N979" s="41"/>
      <c r="O979" s="29"/>
    </row>
    <row r="980">
      <c r="A980" s="29"/>
      <c r="B980" s="36"/>
      <c r="C980" s="37"/>
      <c r="D980" s="37"/>
      <c r="E980" s="37"/>
      <c r="F980" s="38"/>
      <c r="G980" s="38"/>
      <c r="H980" s="39"/>
      <c r="I980" s="40"/>
      <c r="J980" s="37"/>
      <c r="K980" s="40"/>
      <c r="L980" s="41"/>
      <c r="M980" s="37"/>
      <c r="N980" s="41"/>
      <c r="O980" s="29"/>
    </row>
    <row r="981">
      <c r="A981" s="29"/>
      <c r="B981" s="36"/>
      <c r="C981" s="37"/>
      <c r="D981" s="37"/>
      <c r="E981" s="37"/>
      <c r="F981" s="38"/>
      <c r="G981" s="38"/>
      <c r="H981" s="39"/>
      <c r="I981" s="40"/>
      <c r="J981" s="37"/>
      <c r="K981" s="40"/>
      <c r="L981" s="41"/>
      <c r="M981" s="37"/>
      <c r="N981" s="41"/>
      <c r="O981" s="29"/>
    </row>
    <row r="982">
      <c r="A982" s="29"/>
      <c r="B982" s="36"/>
      <c r="C982" s="37"/>
      <c r="D982" s="37"/>
      <c r="E982" s="37"/>
      <c r="F982" s="38"/>
      <c r="G982" s="38"/>
      <c r="H982" s="39"/>
      <c r="I982" s="40"/>
      <c r="J982" s="37"/>
      <c r="K982" s="40"/>
      <c r="L982" s="41"/>
      <c r="M982" s="37"/>
      <c r="N982" s="41"/>
      <c r="O982" s="29"/>
    </row>
    <row r="983">
      <c r="A983" s="29"/>
      <c r="B983" s="36"/>
      <c r="C983" s="37"/>
      <c r="D983" s="37"/>
      <c r="E983" s="37"/>
      <c r="F983" s="38"/>
      <c r="G983" s="38"/>
      <c r="H983" s="39"/>
      <c r="I983" s="40"/>
      <c r="J983" s="37"/>
      <c r="K983" s="40"/>
      <c r="L983" s="41"/>
      <c r="M983" s="37"/>
      <c r="N983" s="41"/>
      <c r="O983" s="29"/>
    </row>
    <row r="984">
      <c r="A984" s="29"/>
      <c r="B984" s="36"/>
      <c r="C984" s="37"/>
      <c r="D984" s="37"/>
      <c r="E984" s="37"/>
      <c r="F984" s="38"/>
      <c r="G984" s="38"/>
      <c r="H984" s="39"/>
      <c r="I984" s="40"/>
      <c r="J984" s="37"/>
      <c r="K984" s="40"/>
      <c r="L984" s="41"/>
      <c r="M984" s="37"/>
      <c r="N984" s="41"/>
      <c r="O984" s="29"/>
    </row>
    <row r="985">
      <c r="A985" s="29"/>
      <c r="B985" s="36"/>
      <c r="C985" s="37"/>
      <c r="D985" s="37"/>
      <c r="E985" s="37"/>
      <c r="F985" s="38"/>
      <c r="G985" s="38"/>
      <c r="H985" s="39"/>
      <c r="I985" s="40"/>
      <c r="J985" s="37"/>
      <c r="K985" s="40"/>
      <c r="L985" s="41"/>
      <c r="M985" s="37"/>
      <c r="N985" s="41"/>
      <c r="O985" s="29"/>
    </row>
    <row r="986">
      <c r="A986" s="29"/>
      <c r="B986" s="36"/>
      <c r="C986" s="37"/>
      <c r="D986" s="37"/>
      <c r="E986" s="37"/>
      <c r="F986" s="38"/>
      <c r="G986" s="38"/>
      <c r="H986" s="39"/>
      <c r="I986" s="40"/>
      <c r="J986" s="37"/>
      <c r="K986" s="40"/>
      <c r="L986" s="41"/>
      <c r="M986" s="37"/>
      <c r="N986" s="41"/>
      <c r="O986" s="29"/>
    </row>
    <row r="987">
      <c r="A987" s="29"/>
      <c r="B987" s="36"/>
      <c r="C987" s="37"/>
      <c r="D987" s="37"/>
      <c r="E987" s="37"/>
      <c r="F987" s="38"/>
      <c r="G987" s="38"/>
      <c r="H987" s="39"/>
      <c r="I987" s="40"/>
      <c r="J987" s="37"/>
      <c r="K987" s="40"/>
      <c r="L987" s="41"/>
      <c r="M987" s="37"/>
      <c r="N987" s="41"/>
      <c r="O987" s="29"/>
    </row>
    <row r="988">
      <c r="A988" s="29"/>
      <c r="B988" s="36"/>
      <c r="C988" s="37"/>
      <c r="D988" s="37"/>
      <c r="E988" s="37"/>
      <c r="F988" s="38"/>
      <c r="G988" s="38"/>
      <c r="H988" s="39"/>
      <c r="I988" s="40"/>
      <c r="J988" s="37"/>
      <c r="K988" s="40"/>
      <c r="L988" s="41"/>
      <c r="M988" s="37"/>
      <c r="N988" s="41"/>
      <c r="O988" s="29"/>
    </row>
    <row r="989">
      <c r="A989" s="29"/>
      <c r="B989" s="36"/>
      <c r="C989" s="37"/>
      <c r="D989" s="37"/>
      <c r="E989" s="37"/>
      <c r="F989" s="38"/>
      <c r="G989" s="38"/>
      <c r="H989" s="39"/>
      <c r="I989" s="40"/>
      <c r="J989" s="37"/>
      <c r="K989" s="40"/>
      <c r="L989" s="41"/>
      <c r="M989" s="37"/>
      <c r="N989" s="41"/>
      <c r="O989" s="29"/>
    </row>
    <row r="990">
      <c r="A990" s="29"/>
      <c r="B990" s="36"/>
      <c r="C990" s="37"/>
      <c r="D990" s="37"/>
      <c r="E990" s="37"/>
      <c r="F990" s="38"/>
      <c r="G990" s="38"/>
      <c r="H990" s="39"/>
      <c r="I990" s="40"/>
      <c r="J990" s="37"/>
      <c r="K990" s="40"/>
      <c r="L990" s="41"/>
      <c r="M990" s="37"/>
      <c r="N990" s="41"/>
      <c r="O990" s="29"/>
    </row>
    <row r="991">
      <c r="A991" s="29"/>
      <c r="B991" s="36"/>
      <c r="C991" s="37"/>
      <c r="D991" s="37"/>
      <c r="E991" s="37"/>
      <c r="F991" s="38"/>
      <c r="G991" s="38"/>
      <c r="H991" s="39"/>
      <c r="I991" s="40"/>
      <c r="J991" s="37"/>
      <c r="K991" s="40"/>
      <c r="L991" s="41"/>
      <c r="M991" s="37"/>
      <c r="N991" s="41"/>
      <c r="O991" s="29"/>
    </row>
    <row r="992">
      <c r="A992" s="29"/>
      <c r="B992" s="36"/>
      <c r="C992" s="37"/>
      <c r="D992" s="37"/>
      <c r="E992" s="37"/>
      <c r="F992" s="38"/>
      <c r="G992" s="38"/>
      <c r="H992" s="39"/>
      <c r="I992" s="40"/>
      <c r="J992" s="37"/>
      <c r="K992" s="40"/>
      <c r="L992" s="41"/>
      <c r="M992" s="37"/>
      <c r="N992" s="41"/>
      <c r="O992" s="29"/>
    </row>
    <row r="993">
      <c r="A993" s="29"/>
      <c r="B993" s="36"/>
      <c r="C993" s="37"/>
      <c r="D993" s="37"/>
      <c r="E993" s="37"/>
      <c r="F993" s="38"/>
      <c r="G993" s="38"/>
      <c r="H993" s="39"/>
      <c r="I993" s="40"/>
      <c r="J993" s="37"/>
      <c r="K993" s="40"/>
      <c r="L993" s="41"/>
      <c r="M993" s="37"/>
      <c r="N993" s="41"/>
      <c r="O993" s="29"/>
    </row>
    <row r="994">
      <c r="A994" s="29"/>
      <c r="B994" s="36"/>
      <c r="C994" s="37"/>
      <c r="D994" s="37"/>
      <c r="E994" s="37"/>
      <c r="F994" s="38"/>
      <c r="G994" s="38"/>
      <c r="H994" s="39"/>
      <c r="I994" s="40"/>
      <c r="J994" s="37"/>
      <c r="K994" s="40"/>
      <c r="L994" s="41"/>
      <c r="M994" s="37"/>
      <c r="N994" s="41"/>
      <c r="O994" s="29"/>
    </row>
    <row r="995">
      <c r="A995" s="29"/>
      <c r="B995" s="36"/>
      <c r="C995" s="37"/>
      <c r="D995" s="37"/>
      <c r="E995" s="37"/>
      <c r="F995" s="38"/>
      <c r="G995" s="38"/>
      <c r="H995" s="39"/>
      <c r="I995" s="40"/>
      <c r="J995" s="37"/>
      <c r="K995" s="40"/>
      <c r="L995" s="41"/>
      <c r="M995" s="37"/>
      <c r="N995" s="41"/>
      <c r="O995" s="29"/>
    </row>
    <row r="996">
      <c r="A996" s="29"/>
      <c r="B996" s="36"/>
      <c r="C996" s="37"/>
      <c r="D996" s="37"/>
      <c r="E996" s="37"/>
      <c r="F996" s="38"/>
      <c r="G996" s="38"/>
      <c r="H996" s="39"/>
      <c r="I996" s="40"/>
      <c r="J996" s="37"/>
      <c r="K996" s="40"/>
      <c r="L996" s="41"/>
      <c r="M996" s="37"/>
      <c r="N996" s="41"/>
      <c r="O996" s="29"/>
    </row>
    <row r="997">
      <c r="A997" s="29"/>
      <c r="B997" s="36"/>
      <c r="C997" s="37"/>
      <c r="D997" s="37"/>
      <c r="E997" s="37"/>
      <c r="F997" s="38"/>
      <c r="G997" s="38"/>
      <c r="H997" s="39"/>
      <c r="I997" s="40"/>
      <c r="J997" s="37"/>
      <c r="K997" s="40"/>
      <c r="L997" s="41"/>
      <c r="M997" s="37"/>
      <c r="N997" s="41"/>
      <c r="O997" s="29"/>
    </row>
    <row r="998">
      <c r="A998" s="29"/>
      <c r="B998" s="36"/>
      <c r="C998" s="37"/>
      <c r="D998" s="37"/>
      <c r="E998" s="37"/>
      <c r="F998" s="38"/>
      <c r="G998" s="38"/>
      <c r="H998" s="39"/>
      <c r="I998" s="40"/>
      <c r="J998" s="37"/>
      <c r="K998" s="40"/>
      <c r="L998" s="41"/>
      <c r="M998" s="37"/>
      <c r="N998" s="41"/>
      <c r="O998" s="29"/>
    </row>
    <row r="999">
      <c r="A999" s="29"/>
      <c r="B999" s="36"/>
      <c r="C999" s="37"/>
      <c r="D999" s="37"/>
      <c r="E999" s="37"/>
      <c r="F999" s="38"/>
      <c r="G999" s="38"/>
      <c r="H999" s="39"/>
      <c r="I999" s="40"/>
      <c r="J999" s="37"/>
      <c r="K999" s="40"/>
      <c r="L999" s="41"/>
      <c r="M999" s="37"/>
      <c r="N999" s="41"/>
      <c r="O999" s="29"/>
    </row>
    <row r="1000">
      <c r="A1000" s="29"/>
      <c r="B1000" s="36"/>
      <c r="C1000" s="37"/>
      <c r="D1000" s="37"/>
      <c r="E1000" s="37"/>
      <c r="F1000" s="38"/>
      <c r="G1000" s="38"/>
      <c r="H1000" s="39"/>
      <c r="I1000" s="40"/>
      <c r="J1000" s="37"/>
      <c r="K1000" s="40"/>
      <c r="L1000" s="41"/>
      <c r="M1000" s="37"/>
      <c r="N1000" s="41"/>
      <c r="O1000" s="29"/>
    </row>
    <row r="1001">
      <c r="A1001" s="29"/>
      <c r="B1001" s="36"/>
      <c r="C1001" s="37"/>
      <c r="D1001" s="37"/>
      <c r="E1001" s="37"/>
      <c r="F1001" s="38"/>
      <c r="G1001" s="38"/>
      <c r="H1001" s="39"/>
      <c r="I1001" s="40"/>
      <c r="J1001" s="37"/>
      <c r="K1001" s="40"/>
      <c r="L1001" s="41"/>
      <c r="M1001" s="37"/>
      <c r="N1001" s="41"/>
      <c r="O1001" s="29"/>
    </row>
    <row r="1002">
      <c r="A1002" s="29"/>
      <c r="B1002" s="36"/>
      <c r="C1002" s="37"/>
      <c r="D1002" s="37"/>
      <c r="E1002" s="37"/>
      <c r="F1002" s="38"/>
      <c r="G1002" s="38"/>
      <c r="H1002" s="39"/>
      <c r="I1002" s="40"/>
      <c r="J1002" s="37"/>
      <c r="K1002" s="40"/>
      <c r="L1002" s="41"/>
      <c r="M1002" s="37"/>
      <c r="N1002" s="41"/>
      <c r="O1002" s="29"/>
    </row>
    <row r="1003">
      <c r="A1003" s="29"/>
      <c r="B1003" s="36"/>
      <c r="C1003" s="37"/>
      <c r="D1003" s="37"/>
      <c r="E1003" s="37"/>
      <c r="F1003" s="38"/>
      <c r="G1003" s="38"/>
      <c r="H1003" s="39"/>
      <c r="I1003" s="40"/>
      <c r="J1003" s="37"/>
      <c r="K1003" s="40"/>
      <c r="L1003" s="41"/>
      <c r="M1003" s="37"/>
      <c r="N1003" s="41"/>
      <c r="O1003" s="29"/>
    </row>
    <row r="1004">
      <c r="A1004" s="29"/>
      <c r="B1004" s="36"/>
      <c r="C1004" s="37"/>
      <c r="D1004" s="37"/>
      <c r="E1004" s="37"/>
      <c r="F1004" s="38"/>
      <c r="G1004" s="38"/>
      <c r="H1004" s="39"/>
      <c r="I1004" s="40"/>
      <c r="J1004" s="37"/>
      <c r="K1004" s="40"/>
      <c r="L1004" s="41"/>
      <c r="M1004" s="37"/>
      <c r="N1004" s="41"/>
      <c r="O1004" s="29"/>
    </row>
    <row r="1005">
      <c r="A1005" s="29"/>
      <c r="B1005" s="36"/>
      <c r="C1005" s="37"/>
      <c r="D1005" s="37"/>
      <c r="E1005" s="37"/>
      <c r="F1005" s="38"/>
      <c r="G1005" s="38"/>
      <c r="H1005" s="39"/>
      <c r="I1005" s="40"/>
      <c r="J1005" s="37"/>
      <c r="K1005" s="40"/>
      <c r="L1005" s="41"/>
      <c r="M1005" s="37"/>
      <c r="N1005" s="41"/>
      <c r="O1005" s="29"/>
    </row>
    <row r="1006">
      <c r="A1006" s="29"/>
      <c r="B1006" s="36"/>
      <c r="C1006" s="37"/>
      <c r="D1006" s="37"/>
      <c r="E1006" s="37"/>
      <c r="F1006" s="38"/>
      <c r="G1006" s="38"/>
      <c r="H1006" s="39"/>
      <c r="I1006" s="40"/>
      <c r="J1006" s="37"/>
      <c r="K1006" s="40"/>
      <c r="L1006" s="41"/>
      <c r="M1006" s="37"/>
      <c r="N1006" s="41"/>
      <c r="O1006" s="29"/>
    </row>
    <row r="1007">
      <c r="A1007" s="29"/>
      <c r="B1007" s="36"/>
      <c r="C1007" s="37"/>
      <c r="D1007" s="37"/>
      <c r="E1007" s="37"/>
      <c r="F1007" s="38"/>
      <c r="G1007" s="38"/>
      <c r="H1007" s="39"/>
      <c r="I1007" s="40"/>
      <c r="J1007" s="37"/>
      <c r="K1007" s="40"/>
      <c r="L1007" s="41"/>
      <c r="M1007" s="37"/>
      <c r="N1007" s="41"/>
      <c r="O1007" s="29"/>
    </row>
    <row r="1008">
      <c r="A1008" s="29"/>
      <c r="B1008" s="36"/>
      <c r="C1008" s="37"/>
      <c r="D1008" s="37"/>
      <c r="E1008" s="37"/>
      <c r="F1008" s="38"/>
      <c r="G1008" s="38"/>
      <c r="H1008" s="39"/>
      <c r="I1008" s="40"/>
      <c r="J1008" s="37"/>
      <c r="K1008" s="40"/>
      <c r="L1008" s="41"/>
      <c r="M1008" s="37"/>
      <c r="N1008" s="41"/>
      <c r="O1008" s="29"/>
    </row>
    <row r="1009">
      <c r="A1009" s="29"/>
      <c r="B1009" s="36"/>
      <c r="C1009" s="37"/>
      <c r="D1009" s="37"/>
      <c r="E1009" s="37"/>
      <c r="F1009" s="38"/>
      <c r="G1009" s="38"/>
      <c r="H1009" s="39"/>
      <c r="I1009" s="40"/>
      <c r="J1009" s="37"/>
      <c r="K1009" s="40"/>
      <c r="L1009" s="41"/>
      <c r="M1009" s="37"/>
      <c r="N1009" s="41"/>
      <c r="O1009" s="29"/>
    </row>
    <row r="1010">
      <c r="A1010" s="29"/>
      <c r="B1010" s="36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29"/>
    </row>
    <row r="1011">
      <c r="A1011" s="29"/>
      <c r="B1011" s="36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29"/>
    </row>
    <row r="1012">
      <c r="A1012" s="29"/>
      <c r="B1012" s="36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29"/>
    </row>
    <row r="1013">
      <c r="A1013" s="29"/>
      <c r="B1013" s="36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29"/>
    </row>
    <row r="1014">
      <c r="A1014" s="29"/>
      <c r="B1014" s="36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29"/>
    </row>
    <row r="1015">
      <c r="A1015" s="29"/>
      <c r="B1015" s="36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29"/>
    </row>
    <row r="1016">
      <c r="A1016" s="29"/>
      <c r="B1016" s="36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29"/>
    </row>
    <row r="1017">
      <c r="A1017" s="29"/>
      <c r="B1017" s="36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29"/>
    </row>
    <row r="1018">
      <c r="A1018" s="29"/>
      <c r="B1018" s="36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29"/>
    </row>
    <row r="1019">
      <c r="A1019" s="29"/>
      <c r="B1019" s="36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29"/>
    </row>
    <row r="1020">
      <c r="A1020" s="29"/>
      <c r="B1020" s="36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29"/>
    </row>
    <row r="1021">
      <c r="A1021" s="29"/>
      <c r="B1021" s="36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29"/>
    </row>
    <row r="1022">
      <c r="A1022" s="29"/>
      <c r="B1022" s="36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29"/>
    </row>
    <row r="1023">
      <c r="A1023" s="29"/>
      <c r="B1023" s="36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29"/>
    </row>
    <row r="1024">
      <c r="A1024" s="29"/>
      <c r="B1024" s="36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29"/>
    </row>
    <row r="1025">
      <c r="A1025" s="29"/>
      <c r="B1025" s="36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29"/>
    </row>
    <row r="1026">
      <c r="A1026" s="29"/>
      <c r="B1026" s="36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29"/>
    </row>
    <row r="1027">
      <c r="A1027" s="29"/>
      <c r="B1027" s="36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29"/>
    </row>
    <row r="1028">
      <c r="A1028" s="29"/>
      <c r="B1028" s="36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29"/>
    </row>
    <row r="1029">
      <c r="A1029" s="29"/>
      <c r="B1029" s="36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29"/>
    </row>
    <row r="1030">
      <c r="A1030" s="29"/>
      <c r="B1030" s="36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29"/>
    </row>
    <row r="1031">
      <c r="A1031" s="29"/>
      <c r="B1031" s="36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29"/>
    </row>
    <row r="1032">
      <c r="A1032" s="29"/>
      <c r="B1032" s="36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29"/>
    </row>
    <row r="1033">
      <c r="A1033" s="29"/>
      <c r="B1033" s="36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29"/>
    </row>
    <row r="1034">
      <c r="A1034" s="29"/>
      <c r="B1034" s="36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29"/>
    </row>
    <row r="1035">
      <c r="A1035" s="29"/>
      <c r="B1035" s="36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29"/>
    </row>
    <row r="1036">
      <c r="A1036" s="29"/>
      <c r="B1036" s="36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29"/>
    </row>
    <row r="1037">
      <c r="A1037" s="29"/>
      <c r="B1037" s="36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29"/>
    </row>
    <row r="1038">
      <c r="A1038" s="29"/>
      <c r="B1038" s="36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29"/>
    </row>
    <row r="1039">
      <c r="A1039" s="29"/>
      <c r="B1039" s="36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29"/>
    </row>
    <row r="1040">
      <c r="A1040" s="29"/>
      <c r="B1040" s="36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29"/>
    </row>
    <row r="1041">
      <c r="A1041" s="29"/>
      <c r="B1041" s="36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29"/>
    </row>
    <row r="1042">
      <c r="A1042" s="29"/>
      <c r="B1042" s="36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29"/>
    </row>
    <row r="1043">
      <c r="A1043" s="29"/>
      <c r="B1043" s="36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29"/>
    </row>
    <row r="1044">
      <c r="A1044" s="29"/>
      <c r="B1044" s="36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29"/>
    </row>
    <row r="1045">
      <c r="A1045" s="29"/>
      <c r="B1045" s="36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29"/>
    </row>
    <row r="1046">
      <c r="A1046" s="29"/>
      <c r="B1046" s="36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29"/>
    </row>
    <row r="1047">
      <c r="A1047" s="29"/>
      <c r="B1047" s="36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29"/>
    </row>
    <row r="1048">
      <c r="A1048" s="29"/>
      <c r="B1048" s="36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29"/>
    </row>
    <row r="1049">
      <c r="A1049" s="29"/>
      <c r="B1049" s="36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29"/>
    </row>
    <row r="1050">
      <c r="A1050" s="29"/>
      <c r="B1050" s="36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29"/>
    </row>
    <row r="1051">
      <c r="A1051" s="29"/>
      <c r="B1051" s="36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29"/>
    </row>
    <row r="1052">
      <c r="A1052" s="29"/>
      <c r="B1052" s="36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29"/>
    </row>
    <row r="1053">
      <c r="A1053" s="29"/>
      <c r="B1053" s="36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29"/>
    </row>
    <row r="1054">
      <c r="A1054" s="29"/>
      <c r="B1054" s="36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29"/>
    </row>
    <row r="1055">
      <c r="A1055" s="29"/>
      <c r="B1055" s="36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29"/>
    </row>
    <row r="1056">
      <c r="A1056" s="29"/>
      <c r="B1056" s="36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29"/>
    </row>
    <row r="1057">
      <c r="A1057" s="29"/>
      <c r="B1057" s="36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29"/>
    </row>
    <row r="1058">
      <c r="A1058" s="29"/>
      <c r="B1058" s="36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29"/>
    </row>
    <row r="1059">
      <c r="A1059" s="29"/>
      <c r="B1059" s="36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29"/>
    </row>
    <row r="1060">
      <c r="A1060" s="29"/>
      <c r="B1060" s="36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29"/>
    </row>
    <row r="1061">
      <c r="A1061" s="29"/>
      <c r="B1061" s="36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29"/>
    </row>
    <row r="1062">
      <c r="A1062" s="29"/>
      <c r="B1062" s="36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29"/>
    </row>
    <row r="1063">
      <c r="A1063" s="29"/>
      <c r="B1063" s="36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29"/>
    </row>
    <row r="1064">
      <c r="A1064" s="29"/>
      <c r="B1064" s="36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29"/>
    </row>
    <row r="1065">
      <c r="A1065" s="29"/>
      <c r="B1065" s="36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29"/>
    </row>
    <row r="1066">
      <c r="A1066" s="29"/>
      <c r="B1066" s="36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29"/>
    </row>
    <row r="1067">
      <c r="A1067" s="29"/>
      <c r="B1067" s="36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29"/>
    </row>
    <row r="1068">
      <c r="A1068" s="29"/>
      <c r="B1068" s="36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29"/>
    </row>
    <row r="1069">
      <c r="A1069" s="29"/>
      <c r="B1069" s="36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29"/>
    </row>
    <row r="1070">
      <c r="A1070" s="29"/>
      <c r="B1070" s="36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29"/>
    </row>
    <row r="1071">
      <c r="A1071" s="29"/>
      <c r="B1071" s="36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29"/>
    </row>
    <row r="1072">
      <c r="A1072" s="29"/>
      <c r="B1072" s="36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29"/>
    </row>
    <row r="1073">
      <c r="A1073" s="29"/>
      <c r="B1073" s="36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29"/>
    </row>
    <row r="1074">
      <c r="A1074" s="29"/>
      <c r="B1074" s="36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29"/>
    </row>
    <row r="1075">
      <c r="A1075" s="29"/>
      <c r="B1075" s="36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29"/>
    </row>
    <row r="1076">
      <c r="A1076" s="29"/>
      <c r="B1076" s="36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29"/>
    </row>
    <row r="1077">
      <c r="A1077" s="29"/>
      <c r="B1077" s="36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29"/>
    </row>
    <row r="1078">
      <c r="A1078" s="29"/>
      <c r="B1078" s="36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29"/>
    </row>
    <row r="1079">
      <c r="A1079" s="29"/>
      <c r="B1079" s="36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29"/>
    </row>
    <row r="1080">
      <c r="A1080" s="29"/>
      <c r="B1080" s="36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29"/>
    </row>
    <row r="1081">
      <c r="A1081" s="29"/>
      <c r="B1081" s="36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29"/>
    </row>
    <row r="1082">
      <c r="A1082" s="29"/>
      <c r="B1082" s="36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29"/>
    </row>
    <row r="1083">
      <c r="A1083" s="29"/>
      <c r="B1083" s="36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29"/>
    </row>
    <row r="1084">
      <c r="A1084" s="29"/>
      <c r="B1084" s="36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O1084" s="29"/>
    </row>
    <row r="1085">
      <c r="A1085" s="29"/>
      <c r="B1085" s="36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O1085" s="29"/>
    </row>
    <row r="1086">
      <c r="A1086" s="29"/>
      <c r="B1086" s="36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29"/>
    </row>
    <row r="1087">
      <c r="A1087" s="29"/>
      <c r="B1087" s="36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O1087" s="29"/>
    </row>
    <row r="1088">
      <c r="A1088" s="29"/>
      <c r="B1088" s="36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29"/>
    </row>
    <row r="1089">
      <c r="A1089" s="29"/>
      <c r="B1089" s="36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29"/>
    </row>
    <row r="1090">
      <c r="A1090" s="29"/>
      <c r="B1090" s="36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29"/>
    </row>
    <row r="1091">
      <c r="A1091" s="29"/>
      <c r="B1091" s="36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29"/>
    </row>
    <row r="1092">
      <c r="A1092" s="29"/>
      <c r="B1092" s="36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29"/>
    </row>
    <row r="1093">
      <c r="A1093" s="29"/>
      <c r="B1093" s="36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29"/>
    </row>
    <row r="1094">
      <c r="A1094" s="29"/>
      <c r="B1094" s="36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29"/>
    </row>
    <row r="1095">
      <c r="A1095" s="29"/>
      <c r="B1095" s="36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29"/>
    </row>
    <row r="1096">
      <c r="A1096" s="29"/>
      <c r="B1096" s="36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29"/>
    </row>
    <row r="1097">
      <c r="A1097" s="29"/>
      <c r="B1097" s="36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O1097" s="29"/>
    </row>
    <row r="1098">
      <c r="A1098" s="29"/>
      <c r="B1098" s="36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29"/>
    </row>
    <row r="1099">
      <c r="A1099" s="29"/>
      <c r="B1099" s="36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O1099" s="29"/>
    </row>
    <row r="1100">
      <c r="A1100" s="29"/>
      <c r="B1100" s="36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29"/>
    </row>
    <row r="1101">
      <c r="A1101" s="29"/>
      <c r="B1101" s="36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29"/>
    </row>
    <row r="1102">
      <c r="A1102" s="29"/>
      <c r="B1102" s="36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29"/>
    </row>
    <row r="1103">
      <c r="A1103" s="29"/>
      <c r="B1103" s="36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O1103" s="29"/>
    </row>
    <row r="1104">
      <c r="A1104" s="29"/>
      <c r="B1104" s="36"/>
      <c r="C1104" s="37"/>
      <c r="D1104" s="37"/>
      <c r="E1104" s="37"/>
      <c r="F1104" s="37"/>
      <c r="G1104" s="37"/>
      <c r="H1104" s="37"/>
      <c r="I1104" s="37"/>
      <c r="J1104" s="37"/>
      <c r="K1104" s="37"/>
      <c r="L1104" s="37"/>
      <c r="M1104" s="37"/>
      <c r="N1104" s="37"/>
      <c r="O1104" s="29"/>
    </row>
    <row r="1105">
      <c r="A1105" s="29"/>
      <c r="B1105" s="36"/>
      <c r="C1105" s="37"/>
      <c r="D1105" s="37"/>
      <c r="E1105" s="37"/>
      <c r="F1105" s="37"/>
      <c r="G1105" s="37"/>
      <c r="H1105" s="37"/>
      <c r="I1105" s="37"/>
      <c r="J1105" s="37"/>
      <c r="K1105" s="37"/>
      <c r="L1105" s="37"/>
      <c r="M1105" s="37"/>
      <c r="N1105" s="37"/>
      <c r="O1105" s="29"/>
    </row>
    <row r="1106">
      <c r="A1106" s="29"/>
      <c r="B1106" s="36"/>
      <c r="C1106" s="37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29"/>
    </row>
    <row r="1107">
      <c r="A1107" s="29"/>
      <c r="B1107" s="36"/>
      <c r="C1107" s="37"/>
      <c r="D1107" s="37"/>
      <c r="E1107" s="37"/>
      <c r="F1107" s="37"/>
      <c r="G1107" s="37"/>
      <c r="H1107" s="37"/>
      <c r="I1107" s="37"/>
      <c r="J1107" s="37"/>
      <c r="K1107" s="37"/>
      <c r="L1107" s="37"/>
      <c r="M1107" s="37"/>
      <c r="N1107" s="37"/>
      <c r="O1107" s="29"/>
    </row>
    <row r="1108">
      <c r="A1108" s="29"/>
      <c r="B1108" s="36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O1108" s="29"/>
    </row>
    <row r="1109">
      <c r="A1109" s="29"/>
      <c r="B1109" s="36"/>
      <c r="C1109" s="37"/>
      <c r="D1109" s="37"/>
      <c r="E1109" s="37"/>
      <c r="F1109" s="37"/>
      <c r="G1109" s="37"/>
      <c r="H1109" s="37"/>
      <c r="I1109" s="37"/>
      <c r="J1109" s="37"/>
      <c r="K1109" s="37"/>
      <c r="L1109" s="37"/>
      <c r="M1109" s="37"/>
      <c r="N1109" s="37"/>
      <c r="O1109" s="29"/>
    </row>
    <row r="1110">
      <c r="A1110" s="29"/>
      <c r="B1110" s="36"/>
      <c r="C1110" s="37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29"/>
    </row>
    <row r="1111">
      <c r="A1111" s="29"/>
      <c r="B1111" s="36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O1111" s="29"/>
    </row>
    <row r="1112">
      <c r="A1112" s="29"/>
      <c r="B1112" s="36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O1112" s="29"/>
    </row>
    <row r="1113">
      <c r="A1113" s="29"/>
      <c r="B1113" s="36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O1113" s="29"/>
    </row>
    <row r="1114">
      <c r="A1114" s="29"/>
      <c r="B1114" s="36"/>
      <c r="C1114" s="37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29"/>
    </row>
    <row r="1115">
      <c r="A1115" s="29"/>
      <c r="B1115" s="36"/>
      <c r="C1115" s="37"/>
      <c r="D1115" s="37"/>
      <c r="E1115" s="37"/>
      <c r="F1115" s="37"/>
      <c r="G1115" s="37"/>
      <c r="H1115" s="37"/>
      <c r="I1115" s="37"/>
      <c r="J1115" s="37"/>
      <c r="K1115" s="37"/>
      <c r="L1115" s="37"/>
      <c r="M1115" s="37"/>
      <c r="N1115" s="37"/>
      <c r="O1115" s="29"/>
    </row>
    <row r="1116">
      <c r="A1116" s="29"/>
      <c r="B1116" s="36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O1116" s="29"/>
    </row>
    <row r="1117">
      <c r="A1117" s="29"/>
      <c r="B1117" s="36"/>
      <c r="C1117" s="37"/>
      <c r="D1117" s="37"/>
      <c r="E1117" s="37"/>
      <c r="F1117" s="37"/>
      <c r="G1117" s="37"/>
      <c r="H1117" s="37"/>
      <c r="I1117" s="37"/>
      <c r="J1117" s="37"/>
      <c r="K1117" s="37"/>
      <c r="L1117" s="37"/>
      <c r="M1117" s="37"/>
      <c r="N1117" s="37"/>
      <c r="O1117" s="29"/>
    </row>
    <row r="1118">
      <c r="A1118" s="29"/>
      <c r="B1118" s="36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29"/>
    </row>
    <row r="1119">
      <c r="A1119" s="29"/>
      <c r="B1119" s="36"/>
      <c r="C1119" s="37"/>
      <c r="D1119" s="37"/>
      <c r="E1119" s="37"/>
      <c r="F1119" s="37"/>
      <c r="G1119" s="37"/>
      <c r="H1119" s="37"/>
      <c r="I1119" s="37"/>
      <c r="J1119" s="37"/>
      <c r="K1119" s="37"/>
      <c r="L1119" s="37"/>
      <c r="M1119" s="37"/>
      <c r="N1119" s="37"/>
      <c r="O1119" s="29"/>
    </row>
    <row r="1120">
      <c r="A1120" s="29"/>
      <c r="B1120" s="36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O1120" s="29"/>
    </row>
    <row r="1121">
      <c r="A1121" s="29"/>
      <c r="B1121" s="36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O1121" s="29"/>
    </row>
    <row r="1122">
      <c r="A1122" s="29"/>
      <c r="B1122" s="36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29"/>
    </row>
    <row r="1123">
      <c r="A1123" s="29"/>
      <c r="B1123" s="36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O1123" s="29"/>
    </row>
    <row r="1124">
      <c r="A1124" s="29"/>
      <c r="B1124" s="36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29"/>
    </row>
    <row r="1125">
      <c r="A1125" s="29"/>
      <c r="B1125" s="36"/>
      <c r="C1125" s="37"/>
      <c r="D1125" s="37"/>
      <c r="E1125" s="37"/>
      <c r="F1125" s="37"/>
      <c r="G1125" s="37"/>
      <c r="H1125" s="37"/>
      <c r="I1125" s="37"/>
      <c r="J1125" s="37"/>
      <c r="K1125" s="37"/>
      <c r="L1125" s="37"/>
      <c r="M1125" s="37"/>
      <c r="N1125" s="37"/>
      <c r="O1125" s="29"/>
    </row>
    <row r="1126">
      <c r="A1126" s="29"/>
      <c r="B1126" s="36"/>
      <c r="C1126" s="37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29"/>
    </row>
    <row r="1127">
      <c r="A1127" s="29"/>
      <c r="B1127" s="36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/>
      <c r="M1127" s="37"/>
      <c r="N1127" s="37"/>
      <c r="O1127" s="29"/>
    </row>
    <row r="1128">
      <c r="A1128" s="29"/>
      <c r="B1128" s="36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/>
      <c r="M1128" s="37"/>
      <c r="N1128" s="37"/>
      <c r="O1128" s="29"/>
    </row>
    <row r="1129">
      <c r="A1129" s="29"/>
      <c r="B1129" s="36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  <c r="M1129" s="37"/>
      <c r="N1129" s="37"/>
      <c r="O1129" s="29"/>
    </row>
    <row r="1130">
      <c r="A1130" s="29"/>
      <c r="B1130" s="36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29"/>
    </row>
    <row r="1131">
      <c r="A1131" s="29"/>
      <c r="B1131" s="36"/>
      <c r="C1131" s="37"/>
      <c r="D1131" s="37"/>
      <c r="E1131" s="37"/>
      <c r="F1131" s="37"/>
      <c r="G1131" s="37"/>
      <c r="H1131" s="37"/>
      <c r="I1131" s="37"/>
      <c r="J1131" s="37"/>
      <c r="K1131" s="37"/>
      <c r="L1131" s="37"/>
      <c r="M1131" s="37"/>
      <c r="N1131" s="37"/>
      <c r="O1131" s="29"/>
    </row>
    <row r="1132">
      <c r="A1132" s="29"/>
      <c r="B1132" s="36"/>
      <c r="C1132" s="37"/>
      <c r="D1132" s="37"/>
      <c r="E1132" s="37"/>
      <c r="F1132" s="37"/>
      <c r="G1132" s="37"/>
      <c r="H1132" s="37"/>
      <c r="I1132" s="37"/>
      <c r="J1132" s="37"/>
      <c r="K1132" s="37"/>
      <c r="L1132" s="37"/>
      <c r="M1132" s="37"/>
      <c r="N1132" s="37"/>
      <c r="O1132" s="29"/>
    </row>
    <row r="1133">
      <c r="A1133" s="29"/>
      <c r="B1133" s="36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29"/>
    </row>
    <row r="1134">
      <c r="A1134" s="29"/>
      <c r="B1134" s="36"/>
      <c r="C1134" s="37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29"/>
    </row>
    <row r="1135">
      <c r="A1135" s="29"/>
      <c r="B1135" s="36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  <c r="M1135" s="37"/>
      <c r="N1135" s="37"/>
      <c r="O1135" s="29"/>
    </row>
    <row r="1136">
      <c r="A1136" s="29"/>
      <c r="B1136" s="36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O1136" s="29"/>
    </row>
    <row r="1137">
      <c r="A1137" s="29"/>
      <c r="B1137" s="36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  <c r="M1137" s="37"/>
      <c r="N1137" s="37"/>
      <c r="O1137" s="29"/>
    </row>
    <row r="1138">
      <c r="A1138" s="29"/>
      <c r="B1138" s="36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29"/>
    </row>
    <row r="1139">
      <c r="A1139" s="29"/>
      <c r="B1139" s="36"/>
      <c r="C1139" s="37"/>
      <c r="D1139" s="37"/>
      <c r="E1139" s="37"/>
      <c r="F1139" s="37"/>
      <c r="G1139" s="37"/>
      <c r="H1139" s="37"/>
      <c r="I1139" s="37"/>
      <c r="J1139" s="37"/>
      <c r="K1139" s="37"/>
      <c r="L1139" s="37"/>
      <c r="M1139" s="37"/>
      <c r="N1139" s="37"/>
      <c r="O1139" s="29"/>
    </row>
    <row r="1140">
      <c r="A1140" s="29"/>
      <c r="B1140" s="36"/>
      <c r="C1140" s="37"/>
      <c r="D1140" s="37"/>
      <c r="E1140" s="37"/>
      <c r="F1140" s="37"/>
      <c r="G1140" s="37"/>
      <c r="H1140" s="37"/>
      <c r="I1140" s="37"/>
      <c r="J1140" s="37"/>
      <c r="K1140" s="37"/>
      <c r="L1140" s="37"/>
      <c r="M1140" s="37"/>
      <c r="N1140" s="37"/>
      <c r="O1140" s="29"/>
    </row>
    <row r="1141">
      <c r="A1141" s="29"/>
      <c r="B1141" s="36"/>
      <c r="C1141" s="37"/>
      <c r="D1141" s="37"/>
      <c r="E1141" s="37"/>
      <c r="F1141" s="37"/>
      <c r="G1141" s="37"/>
      <c r="H1141" s="37"/>
      <c r="I1141" s="37"/>
      <c r="J1141" s="37"/>
      <c r="K1141" s="37"/>
      <c r="L1141" s="37"/>
      <c r="M1141" s="37"/>
      <c r="N1141" s="37"/>
      <c r="O1141" s="29"/>
    </row>
    <row r="1142">
      <c r="A1142" s="29"/>
      <c r="B1142" s="36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29"/>
    </row>
    <row r="1143">
      <c r="A1143" s="29"/>
      <c r="B1143" s="36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  <c r="M1143" s="37"/>
      <c r="N1143" s="37"/>
      <c r="O1143" s="29"/>
    </row>
    <row r="1144">
      <c r="A1144" s="29"/>
      <c r="B1144" s="36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7"/>
      <c r="N1144" s="37"/>
      <c r="O1144" s="29"/>
    </row>
    <row r="1145">
      <c r="A1145" s="29"/>
      <c r="B1145" s="36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O1145" s="29"/>
    </row>
    <row r="1146">
      <c r="A1146" s="29"/>
      <c r="B1146" s="36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29"/>
    </row>
    <row r="1147">
      <c r="A1147" s="29"/>
      <c r="B1147" s="36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O1147" s="29"/>
    </row>
    <row r="1148">
      <c r="A1148" s="29"/>
      <c r="B1148" s="36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O1148" s="29"/>
    </row>
    <row r="1149">
      <c r="A1149" s="29"/>
      <c r="B1149" s="36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O1149" s="29"/>
    </row>
    <row r="1150">
      <c r="A1150" s="29"/>
      <c r="B1150" s="36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29"/>
    </row>
    <row r="1151">
      <c r="A1151" s="29"/>
      <c r="B1151" s="36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  <c r="M1151" s="37"/>
      <c r="N1151" s="37"/>
      <c r="O1151" s="29"/>
    </row>
    <row r="1152">
      <c r="A1152" s="29"/>
      <c r="B1152" s="36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  <c r="M1152" s="37"/>
      <c r="N1152" s="37"/>
      <c r="O1152" s="29"/>
    </row>
    <row r="1153">
      <c r="A1153" s="29"/>
      <c r="B1153" s="36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  <c r="M1153" s="37"/>
      <c r="N1153" s="37"/>
      <c r="O1153" s="29"/>
    </row>
    <row r="1154">
      <c r="A1154" s="29"/>
      <c r="B1154" s="36"/>
      <c r="C1154" s="37"/>
      <c r="D1154" s="37"/>
      <c r="E1154" s="37"/>
      <c r="F1154" s="37"/>
      <c r="G1154" s="37"/>
      <c r="H1154" s="37"/>
      <c r="I1154" s="37"/>
      <c r="J1154" s="37"/>
      <c r="K1154" s="37"/>
      <c r="L1154" s="37"/>
      <c r="M1154" s="37"/>
      <c r="N1154" s="37"/>
      <c r="O1154" s="29"/>
    </row>
    <row r="1155">
      <c r="A1155" s="29"/>
      <c r="B1155" s="36"/>
      <c r="C1155" s="37"/>
      <c r="D1155" s="37"/>
      <c r="E1155" s="37"/>
      <c r="F1155" s="37"/>
      <c r="G1155" s="37"/>
      <c r="H1155" s="37"/>
      <c r="I1155" s="37"/>
      <c r="J1155" s="37"/>
      <c r="K1155" s="37"/>
      <c r="L1155" s="37"/>
      <c r="M1155" s="37"/>
      <c r="N1155" s="37"/>
      <c r="O1155" s="29"/>
    </row>
    <row r="1156">
      <c r="A1156" s="29"/>
      <c r="B1156" s="36"/>
      <c r="C1156" s="37"/>
      <c r="D1156" s="37"/>
      <c r="E1156" s="37"/>
      <c r="F1156" s="37"/>
      <c r="G1156" s="37"/>
      <c r="H1156" s="37"/>
      <c r="I1156" s="37"/>
      <c r="J1156" s="37"/>
      <c r="K1156" s="37"/>
      <c r="L1156" s="37"/>
      <c r="M1156" s="37"/>
      <c r="N1156" s="37"/>
      <c r="O1156" s="29"/>
    </row>
    <row r="1157">
      <c r="A1157" s="29"/>
      <c r="B1157" s="36"/>
      <c r="C1157" s="37"/>
      <c r="D1157" s="37"/>
      <c r="E1157" s="37"/>
      <c r="F1157" s="37"/>
      <c r="G1157" s="37"/>
      <c r="H1157" s="37"/>
      <c r="I1157" s="37"/>
      <c r="J1157" s="37"/>
      <c r="K1157" s="37"/>
      <c r="L1157" s="37"/>
      <c r="M1157" s="37"/>
      <c r="N1157" s="37"/>
      <c r="O1157" s="29"/>
    </row>
    <row r="1158">
      <c r="A1158" s="29"/>
      <c r="B1158" s="36"/>
      <c r="C1158" s="37"/>
      <c r="D1158" s="37"/>
      <c r="E1158" s="37"/>
      <c r="F1158" s="37"/>
      <c r="G1158" s="37"/>
      <c r="H1158" s="37"/>
      <c r="I1158" s="37"/>
      <c r="J1158" s="37"/>
      <c r="K1158" s="37"/>
      <c r="L1158" s="37"/>
      <c r="M1158" s="37"/>
      <c r="N1158" s="37"/>
      <c r="O1158" s="29"/>
    </row>
    <row r="1159">
      <c r="A1159" s="29"/>
      <c r="B1159" s="36"/>
      <c r="C1159" s="37"/>
      <c r="D1159" s="37"/>
      <c r="E1159" s="37"/>
      <c r="F1159" s="37"/>
      <c r="G1159" s="37"/>
      <c r="H1159" s="37"/>
      <c r="I1159" s="37"/>
      <c r="J1159" s="37"/>
      <c r="K1159" s="37"/>
      <c r="L1159" s="37"/>
      <c r="M1159" s="37"/>
      <c r="N1159" s="37"/>
      <c r="O1159" s="29"/>
    </row>
    <row r="1160">
      <c r="A1160" s="29"/>
      <c r="B1160" s="36"/>
      <c r="C1160" s="37"/>
      <c r="D1160" s="37"/>
      <c r="E1160" s="37"/>
      <c r="F1160" s="37"/>
      <c r="G1160" s="37"/>
      <c r="H1160" s="37"/>
      <c r="I1160" s="37"/>
      <c r="J1160" s="37"/>
      <c r="K1160" s="37"/>
      <c r="L1160" s="37"/>
      <c r="M1160" s="37"/>
      <c r="N1160" s="37"/>
      <c r="O1160" s="29"/>
    </row>
    <row r="1161">
      <c r="A1161" s="29"/>
      <c r="B1161" s="36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  <c r="M1161" s="37"/>
      <c r="N1161" s="37"/>
      <c r="O1161" s="29"/>
    </row>
    <row r="1162">
      <c r="A1162" s="29"/>
      <c r="B1162" s="36"/>
      <c r="C1162" s="37"/>
      <c r="D1162" s="37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29"/>
    </row>
    <row r="1163">
      <c r="A1163" s="29"/>
      <c r="B1163" s="36"/>
      <c r="C1163" s="37"/>
      <c r="D1163" s="37"/>
      <c r="E1163" s="37"/>
      <c r="F1163" s="37"/>
      <c r="G1163" s="37"/>
      <c r="H1163" s="37"/>
      <c r="I1163" s="37"/>
      <c r="J1163" s="37"/>
      <c r="K1163" s="37"/>
      <c r="L1163" s="37"/>
      <c r="M1163" s="37"/>
      <c r="N1163" s="37"/>
      <c r="O1163" s="29"/>
    </row>
    <row r="1164">
      <c r="A1164" s="29"/>
      <c r="B1164" s="36"/>
      <c r="C1164" s="37"/>
      <c r="D1164" s="37"/>
      <c r="E1164" s="37"/>
      <c r="F1164" s="37"/>
      <c r="G1164" s="37"/>
      <c r="H1164" s="37"/>
      <c r="I1164" s="37"/>
      <c r="J1164" s="37"/>
      <c r="K1164" s="37"/>
      <c r="L1164" s="37"/>
      <c r="M1164" s="37"/>
      <c r="N1164" s="37"/>
      <c r="O1164" s="29"/>
    </row>
    <row r="1165">
      <c r="A1165" s="29"/>
      <c r="B1165" s="36"/>
      <c r="C1165" s="37"/>
      <c r="D1165" s="37"/>
      <c r="E1165" s="37"/>
      <c r="F1165" s="37"/>
      <c r="G1165" s="37"/>
      <c r="H1165" s="37"/>
      <c r="I1165" s="37"/>
      <c r="J1165" s="37"/>
      <c r="K1165" s="37"/>
      <c r="L1165" s="37"/>
      <c r="M1165" s="37"/>
      <c r="N1165" s="37"/>
      <c r="O1165" s="29"/>
    </row>
    <row r="1166">
      <c r="A1166" s="29"/>
      <c r="B1166" s="36"/>
      <c r="C1166" s="37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29"/>
    </row>
    <row r="1167">
      <c r="A1167" s="29"/>
      <c r="B1167" s="36"/>
      <c r="C1167" s="37"/>
      <c r="D1167" s="37"/>
      <c r="E1167" s="37"/>
      <c r="F1167" s="37"/>
      <c r="G1167" s="37"/>
      <c r="H1167" s="37"/>
      <c r="I1167" s="37"/>
      <c r="J1167" s="37"/>
      <c r="K1167" s="37"/>
      <c r="L1167" s="37"/>
      <c r="M1167" s="37"/>
      <c r="N1167" s="37"/>
      <c r="O1167" s="29"/>
    </row>
    <row r="1168">
      <c r="A1168" s="29"/>
      <c r="B1168" s="36"/>
      <c r="C1168" s="37"/>
      <c r="D1168" s="37"/>
      <c r="E1168" s="37"/>
      <c r="F1168" s="37"/>
      <c r="G1168" s="37"/>
      <c r="H1168" s="37"/>
      <c r="I1168" s="37"/>
      <c r="J1168" s="37"/>
      <c r="K1168" s="37"/>
      <c r="L1168" s="37"/>
      <c r="M1168" s="37"/>
      <c r="N1168" s="37"/>
      <c r="O1168" s="29"/>
    </row>
    <row r="1169">
      <c r="A1169" s="29"/>
      <c r="B1169" s="36"/>
      <c r="C1169" s="37"/>
      <c r="D1169" s="37"/>
      <c r="E1169" s="37"/>
      <c r="F1169" s="37"/>
      <c r="G1169" s="37"/>
      <c r="H1169" s="37"/>
      <c r="I1169" s="37"/>
      <c r="J1169" s="37"/>
      <c r="K1169" s="37"/>
      <c r="L1169" s="37"/>
      <c r="M1169" s="37"/>
      <c r="N1169" s="37"/>
      <c r="O1169" s="29"/>
    </row>
    <row r="1170">
      <c r="A1170" s="29"/>
      <c r="B1170" s="36"/>
      <c r="C1170" s="37"/>
      <c r="D1170" s="37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29"/>
    </row>
    <row r="1171">
      <c r="A1171" s="29"/>
      <c r="B1171" s="36"/>
      <c r="C1171" s="37"/>
      <c r="D1171" s="37"/>
      <c r="E1171" s="37"/>
      <c r="F1171" s="37"/>
      <c r="G1171" s="37"/>
      <c r="H1171" s="37"/>
      <c r="I1171" s="37"/>
      <c r="J1171" s="37"/>
      <c r="K1171" s="37"/>
      <c r="L1171" s="37"/>
      <c r="M1171" s="37"/>
      <c r="N1171" s="37"/>
      <c r="O1171" s="29"/>
    </row>
    <row r="1172">
      <c r="A1172" s="29"/>
      <c r="B1172" s="36"/>
      <c r="C1172" s="37"/>
      <c r="D1172" s="37"/>
      <c r="E1172" s="37"/>
      <c r="F1172" s="37"/>
      <c r="G1172" s="37"/>
      <c r="H1172" s="37"/>
      <c r="I1172" s="37"/>
      <c r="J1172" s="37"/>
      <c r="K1172" s="37"/>
      <c r="L1172" s="37"/>
      <c r="M1172" s="37"/>
      <c r="N1172" s="37"/>
      <c r="O1172" s="29"/>
    </row>
    <row r="1173">
      <c r="A1173" s="29"/>
      <c r="B1173" s="36"/>
      <c r="C1173" s="37"/>
      <c r="D1173" s="37"/>
      <c r="E1173" s="37"/>
      <c r="F1173" s="37"/>
      <c r="G1173" s="37"/>
      <c r="H1173" s="37"/>
      <c r="I1173" s="37"/>
      <c r="J1173" s="37"/>
      <c r="K1173" s="37"/>
      <c r="L1173" s="37"/>
      <c r="M1173" s="37"/>
      <c r="N1173" s="37"/>
      <c r="O1173" s="29"/>
    </row>
    <row r="1174">
      <c r="A1174" s="29"/>
      <c r="B1174" s="36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29"/>
    </row>
    <row r="1175">
      <c r="A1175" s="29"/>
      <c r="B1175" s="36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  <c r="M1175" s="37"/>
      <c r="N1175" s="37"/>
      <c r="O1175" s="29"/>
    </row>
    <row r="1176">
      <c r="A1176" s="29"/>
      <c r="B1176" s="36"/>
      <c r="C1176" s="37"/>
      <c r="D1176" s="37"/>
      <c r="E1176" s="37"/>
      <c r="F1176" s="37"/>
      <c r="G1176" s="37"/>
      <c r="H1176" s="37"/>
      <c r="I1176" s="37"/>
      <c r="J1176" s="37"/>
      <c r="K1176" s="37"/>
      <c r="L1176" s="37"/>
      <c r="M1176" s="37"/>
      <c r="N1176" s="37"/>
      <c r="O1176" s="29"/>
    </row>
    <row r="1177">
      <c r="A1177" s="29"/>
      <c r="B1177" s="36"/>
      <c r="C1177" s="37"/>
      <c r="D1177" s="37"/>
      <c r="E1177" s="37"/>
      <c r="F1177" s="37"/>
      <c r="G1177" s="37"/>
      <c r="H1177" s="37"/>
      <c r="I1177" s="37"/>
      <c r="J1177" s="37"/>
      <c r="K1177" s="37"/>
      <c r="L1177" s="37"/>
      <c r="M1177" s="37"/>
      <c r="N1177" s="37"/>
      <c r="O1177" s="29"/>
    </row>
    <row r="1178">
      <c r="A1178" s="29"/>
      <c r="B1178" s="36"/>
      <c r="C1178" s="37"/>
      <c r="D1178" s="37"/>
      <c r="E1178" s="37"/>
      <c r="F1178" s="37"/>
      <c r="G1178" s="37"/>
      <c r="H1178" s="37"/>
      <c r="I1178" s="37"/>
      <c r="J1178" s="37"/>
      <c r="K1178" s="37"/>
      <c r="L1178" s="37"/>
      <c r="M1178" s="37"/>
      <c r="N1178" s="37"/>
      <c r="O1178" s="29"/>
    </row>
    <row r="1179">
      <c r="A1179" s="29"/>
      <c r="B1179" s="36"/>
      <c r="C1179" s="37"/>
      <c r="D1179" s="37"/>
      <c r="E1179" s="37"/>
      <c r="F1179" s="37"/>
      <c r="G1179" s="37"/>
      <c r="H1179" s="37"/>
      <c r="I1179" s="37"/>
      <c r="J1179" s="37"/>
      <c r="K1179" s="37"/>
      <c r="L1179" s="37"/>
      <c r="M1179" s="37"/>
      <c r="N1179" s="37"/>
      <c r="O1179" s="29"/>
    </row>
    <row r="1180">
      <c r="A1180" s="29"/>
      <c r="B1180" s="36"/>
      <c r="C1180" s="37"/>
      <c r="D1180" s="37"/>
      <c r="E1180" s="37"/>
      <c r="F1180" s="37"/>
      <c r="G1180" s="37"/>
      <c r="H1180" s="37"/>
      <c r="I1180" s="37"/>
      <c r="J1180" s="37"/>
      <c r="K1180" s="37"/>
      <c r="L1180" s="37"/>
      <c r="M1180" s="37"/>
      <c r="N1180" s="37"/>
      <c r="O1180" s="29"/>
    </row>
    <row r="1181">
      <c r="A1181" s="29"/>
      <c r="B1181" s="36"/>
      <c r="C1181" s="37"/>
      <c r="D1181" s="37"/>
      <c r="E1181" s="37"/>
      <c r="F1181" s="37"/>
      <c r="G1181" s="37"/>
      <c r="H1181" s="37"/>
      <c r="I1181" s="37"/>
      <c r="J1181" s="37"/>
      <c r="K1181" s="37"/>
      <c r="L1181" s="37"/>
      <c r="M1181" s="37"/>
      <c r="N1181" s="37"/>
      <c r="O1181" s="29"/>
    </row>
    <row r="1182">
      <c r="A1182" s="29"/>
      <c r="B1182" s="36"/>
      <c r="C1182" s="37"/>
      <c r="D1182" s="37"/>
      <c r="E1182" s="37"/>
      <c r="F1182" s="37"/>
      <c r="G1182" s="37"/>
      <c r="H1182" s="37"/>
      <c r="I1182" s="37"/>
      <c r="J1182" s="37"/>
      <c r="K1182" s="37"/>
      <c r="L1182" s="37"/>
      <c r="M1182" s="37"/>
      <c r="N1182" s="37"/>
      <c r="O1182" s="29"/>
    </row>
    <row r="1183">
      <c r="A1183" s="29"/>
      <c r="B1183" s="36"/>
      <c r="C1183" s="37"/>
      <c r="D1183" s="37"/>
      <c r="E1183" s="37"/>
      <c r="F1183" s="37"/>
      <c r="G1183" s="37"/>
      <c r="H1183" s="37"/>
      <c r="I1183" s="37"/>
      <c r="J1183" s="37"/>
      <c r="K1183" s="37"/>
      <c r="L1183" s="37"/>
      <c r="M1183" s="37"/>
      <c r="N1183" s="37"/>
      <c r="O1183" s="29"/>
    </row>
    <row r="1184">
      <c r="A1184" s="29"/>
      <c r="B1184" s="36"/>
      <c r="C1184" s="37"/>
      <c r="D1184" s="37"/>
      <c r="E1184" s="37"/>
      <c r="F1184" s="37"/>
      <c r="G1184" s="37"/>
      <c r="H1184" s="37"/>
      <c r="I1184" s="37"/>
      <c r="J1184" s="37"/>
      <c r="K1184" s="37"/>
      <c r="L1184" s="37"/>
      <c r="M1184" s="37"/>
      <c r="N1184" s="37"/>
      <c r="O1184" s="29"/>
    </row>
    <row r="1185">
      <c r="A1185" s="29"/>
      <c r="B1185" s="36"/>
      <c r="C1185" s="37"/>
      <c r="D1185" s="37"/>
      <c r="E1185" s="37"/>
      <c r="F1185" s="37"/>
      <c r="G1185" s="37"/>
      <c r="H1185" s="37"/>
      <c r="I1185" s="37"/>
      <c r="J1185" s="37"/>
      <c r="K1185" s="37"/>
      <c r="L1185" s="37"/>
      <c r="M1185" s="37"/>
      <c r="N1185" s="37"/>
      <c r="O1185" s="29"/>
    </row>
    <row r="1186">
      <c r="A1186" s="29"/>
      <c r="B1186" s="36"/>
      <c r="C1186" s="37"/>
      <c r="D1186" s="37"/>
      <c r="E1186" s="37"/>
      <c r="F1186" s="37"/>
      <c r="G1186" s="37"/>
      <c r="H1186" s="37"/>
      <c r="I1186" s="37"/>
      <c r="J1186" s="37"/>
      <c r="K1186" s="37"/>
      <c r="L1186" s="37"/>
      <c r="M1186" s="37"/>
      <c r="N1186" s="37"/>
      <c r="O1186" s="29"/>
    </row>
    <row r="1187">
      <c r="A1187" s="29"/>
      <c r="B1187" s="36"/>
      <c r="C1187" s="37"/>
      <c r="D1187" s="37"/>
      <c r="E1187" s="37"/>
      <c r="F1187" s="37"/>
      <c r="G1187" s="37"/>
      <c r="H1187" s="37"/>
      <c r="I1187" s="37"/>
      <c r="J1187" s="37"/>
      <c r="K1187" s="37"/>
      <c r="L1187" s="37"/>
      <c r="M1187" s="37"/>
      <c r="N1187" s="37"/>
      <c r="O1187" s="29"/>
    </row>
    <row r="1188">
      <c r="A1188" s="29"/>
      <c r="B1188" s="36"/>
      <c r="C1188" s="37"/>
      <c r="D1188" s="37"/>
      <c r="E1188" s="37"/>
      <c r="F1188" s="37"/>
      <c r="G1188" s="37"/>
      <c r="H1188" s="37"/>
      <c r="I1188" s="37"/>
      <c r="J1188" s="37"/>
      <c r="K1188" s="37"/>
      <c r="L1188" s="37"/>
      <c r="M1188" s="37"/>
      <c r="N1188" s="37"/>
      <c r="O1188" s="29"/>
    </row>
    <row r="1189">
      <c r="A1189" s="29"/>
      <c r="B1189" s="36"/>
      <c r="C1189" s="37"/>
      <c r="D1189" s="37"/>
      <c r="E1189" s="37"/>
      <c r="F1189" s="37"/>
      <c r="G1189" s="37"/>
      <c r="H1189" s="37"/>
      <c r="I1189" s="37"/>
      <c r="J1189" s="37"/>
      <c r="K1189" s="37"/>
      <c r="L1189" s="37"/>
      <c r="M1189" s="37"/>
      <c r="N1189" s="37"/>
      <c r="O1189" s="29"/>
    </row>
    <row r="1190">
      <c r="A1190" s="29"/>
      <c r="B1190" s="36"/>
      <c r="C1190" s="37"/>
      <c r="D1190" s="37"/>
      <c r="E1190" s="37"/>
      <c r="F1190" s="37"/>
      <c r="G1190" s="37"/>
      <c r="H1190" s="37"/>
      <c r="I1190" s="37"/>
      <c r="J1190" s="37"/>
      <c r="K1190" s="37"/>
      <c r="L1190" s="37"/>
      <c r="M1190" s="37"/>
      <c r="N1190" s="37"/>
      <c r="O1190" s="29"/>
    </row>
    <row r="1191">
      <c r="A1191" s="29"/>
      <c r="B1191" s="36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  <c r="M1191" s="37"/>
      <c r="N1191" s="37"/>
      <c r="O1191" s="29"/>
    </row>
    <row r="1192">
      <c r="A1192" s="29"/>
      <c r="B1192" s="36"/>
      <c r="C1192" s="37"/>
      <c r="D1192" s="37"/>
      <c r="E1192" s="37"/>
      <c r="F1192" s="37"/>
      <c r="G1192" s="37"/>
      <c r="H1192" s="37"/>
      <c r="I1192" s="37"/>
      <c r="J1192" s="37"/>
      <c r="K1192" s="37"/>
      <c r="L1192" s="37"/>
      <c r="M1192" s="37"/>
      <c r="N1192" s="37"/>
      <c r="O1192" s="29"/>
    </row>
    <row r="1193">
      <c r="A1193" s="29"/>
      <c r="B1193" s="36"/>
      <c r="C1193" s="37"/>
      <c r="D1193" s="37"/>
      <c r="E1193" s="37"/>
      <c r="F1193" s="37"/>
      <c r="G1193" s="37"/>
      <c r="H1193" s="37"/>
      <c r="I1193" s="37"/>
      <c r="J1193" s="37"/>
      <c r="K1193" s="37"/>
      <c r="L1193" s="37"/>
      <c r="M1193" s="37"/>
      <c r="N1193" s="37"/>
      <c r="O1193" s="29"/>
    </row>
    <row r="1194">
      <c r="A1194" s="29"/>
      <c r="B1194" s="36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29"/>
    </row>
    <row r="1195">
      <c r="A1195" s="29"/>
      <c r="B1195" s="36"/>
      <c r="C1195" s="37"/>
      <c r="D1195" s="37"/>
      <c r="E1195" s="37"/>
      <c r="F1195" s="37"/>
      <c r="G1195" s="37"/>
      <c r="H1195" s="37"/>
      <c r="I1195" s="37"/>
      <c r="J1195" s="37"/>
      <c r="K1195" s="37"/>
      <c r="L1195" s="37"/>
      <c r="M1195" s="37"/>
      <c r="N1195" s="37"/>
      <c r="O1195" s="29"/>
    </row>
    <row r="1196">
      <c r="A1196" s="29"/>
      <c r="B1196" s="36"/>
      <c r="C1196" s="37"/>
      <c r="D1196" s="37"/>
      <c r="E1196" s="37"/>
      <c r="F1196" s="37"/>
      <c r="G1196" s="37"/>
      <c r="H1196" s="37"/>
      <c r="I1196" s="37"/>
      <c r="J1196" s="37"/>
      <c r="K1196" s="37"/>
      <c r="L1196" s="37"/>
      <c r="M1196" s="37"/>
      <c r="N1196" s="37"/>
      <c r="O1196" s="29"/>
    </row>
    <row r="1197">
      <c r="A1197" s="29"/>
      <c r="B1197" s="36"/>
      <c r="C1197" s="37"/>
      <c r="D1197" s="37"/>
      <c r="E1197" s="37"/>
      <c r="F1197" s="37"/>
      <c r="G1197" s="37"/>
      <c r="H1197" s="37"/>
      <c r="I1197" s="37"/>
      <c r="J1197" s="37"/>
      <c r="K1197" s="37"/>
      <c r="L1197" s="37"/>
      <c r="M1197" s="37"/>
      <c r="N1197" s="37"/>
      <c r="O1197" s="29"/>
    </row>
    <row r="1198">
      <c r="A1198" s="29"/>
      <c r="B1198" s="36"/>
      <c r="C1198" s="37"/>
      <c r="D1198" s="37"/>
      <c r="E1198" s="37"/>
      <c r="F1198" s="37"/>
      <c r="G1198" s="37"/>
      <c r="H1198" s="37"/>
      <c r="I1198" s="37"/>
      <c r="J1198" s="37"/>
      <c r="K1198" s="37"/>
      <c r="L1198" s="37"/>
      <c r="M1198" s="37"/>
      <c r="N1198" s="37"/>
      <c r="O1198" s="29"/>
    </row>
    <row r="1199">
      <c r="A1199" s="29"/>
      <c r="B1199" s="36"/>
      <c r="C1199" s="37"/>
      <c r="D1199" s="37"/>
      <c r="E1199" s="37"/>
      <c r="F1199" s="37"/>
      <c r="G1199" s="37"/>
      <c r="H1199" s="37"/>
      <c r="I1199" s="37"/>
      <c r="J1199" s="37"/>
      <c r="K1199" s="37"/>
      <c r="L1199" s="37"/>
      <c r="M1199" s="37"/>
      <c r="N1199" s="37"/>
      <c r="O1199" s="29"/>
    </row>
    <row r="1200">
      <c r="A1200" s="29"/>
      <c r="B1200" s="36"/>
      <c r="C1200" s="37"/>
      <c r="D1200" s="37"/>
      <c r="E1200" s="37"/>
      <c r="F1200" s="37"/>
      <c r="G1200" s="37"/>
      <c r="H1200" s="37"/>
      <c r="I1200" s="37"/>
      <c r="J1200" s="37"/>
      <c r="K1200" s="37"/>
      <c r="L1200" s="37"/>
      <c r="M1200" s="37"/>
      <c r="N1200" s="37"/>
      <c r="O1200" s="29"/>
    </row>
    <row r="1201">
      <c r="A1201" s="29"/>
      <c r="B1201" s="36"/>
      <c r="C1201" s="37"/>
      <c r="D1201" s="37"/>
      <c r="E1201" s="37"/>
      <c r="F1201" s="37"/>
      <c r="G1201" s="37"/>
      <c r="H1201" s="37"/>
      <c r="I1201" s="37"/>
      <c r="J1201" s="37"/>
      <c r="K1201" s="37"/>
      <c r="L1201" s="37"/>
      <c r="M1201" s="37"/>
      <c r="N1201" s="37"/>
      <c r="O1201" s="29"/>
    </row>
    <row r="1202">
      <c r="A1202" s="29"/>
      <c r="B1202" s="36"/>
      <c r="C1202" s="37"/>
      <c r="D1202" s="37"/>
      <c r="E1202" s="37"/>
      <c r="F1202" s="37"/>
      <c r="G1202" s="37"/>
      <c r="H1202" s="37"/>
      <c r="I1202" s="37"/>
      <c r="J1202" s="37"/>
      <c r="K1202" s="37"/>
      <c r="L1202" s="37"/>
      <c r="M1202" s="37"/>
      <c r="N1202" s="37"/>
      <c r="O1202" s="29"/>
    </row>
    <row r="1203">
      <c r="A1203" s="29"/>
      <c r="B1203" s="36"/>
      <c r="C1203" s="37"/>
      <c r="D1203" s="37"/>
      <c r="E1203" s="37"/>
      <c r="F1203" s="37"/>
      <c r="G1203" s="37"/>
      <c r="H1203" s="37"/>
      <c r="I1203" s="37"/>
      <c r="J1203" s="37"/>
      <c r="K1203" s="37"/>
      <c r="L1203" s="37"/>
      <c r="M1203" s="37"/>
      <c r="N1203" s="37"/>
      <c r="O1203" s="29"/>
    </row>
    <row r="1204">
      <c r="A1204" s="29"/>
      <c r="B1204" s="36"/>
      <c r="C1204" s="37"/>
      <c r="D1204" s="37"/>
      <c r="E1204" s="37"/>
      <c r="F1204" s="37"/>
      <c r="G1204" s="37"/>
      <c r="H1204" s="37"/>
      <c r="I1204" s="37"/>
      <c r="J1204" s="37"/>
      <c r="K1204" s="37"/>
      <c r="L1204" s="37"/>
      <c r="M1204" s="37"/>
      <c r="N1204" s="37"/>
      <c r="O1204" s="29"/>
    </row>
    <row r="1205">
      <c r="A1205" s="29"/>
      <c r="B1205" s="36"/>
      <c r="C1205" s="37"/>
      <c r="D1205" s="37"/>
      <c r="E1205" s="37"/>
      <c r="F1205" s="37"/>
      <c r="G1205" s="37"/>
      <c r="H1205" s="37"/>
      <c r="I1205" s="37"/>
      <c r="J1205" s="37"/>
      <c r="K1205" s="37"/>
      <c r="L1205" s="37"/>
      <c r="M1205" s="37"/>
      <c r="N1205" s="37"/>
      <c r="O1205" s="29"/>
    </row>
    <row r="1206">
      <c r="A1206" s="29"/>
      <c r="B1206" s="36"/>
      <c r="C1206" s="37"/>
      <c r="D1206" s="37"/>
      <c r="E1206" s="37"/>
      <c r="F1206" s="37"/>
      <c r="G1206" s="37"/>
      <c r="H1206" s="37"/>
      <c r="I1206" s="37"/>
      <c r="J1206" s="37"/>
      <c r="K1206" s="37"/>
      <c r="L1206" s="37"/>
      <c r="M1206" s="37"/>
      <c r="N1206" s="37"/>
      <c r="O1206" s="29"/>
    </row>
    <row r="1207">
      <c r="A1207" s="29"/>
      <c r="B1207" s="36"/>
      <c r="C1207" s="37"/>
      <c r="D1207" s="37"/>
      <c r="E1207" s="37"/>
      <c r="F1207" s="37"/>
      <c r="G1207" s="37"/>
      <c r="H1207" s="37"/>
      <c r="I1207" s="37"/>
      <c r="J1207" s="37"/>
      <c r="K1207" s="37"/>
      <c r="L1207" s="37"/>
      <c r="M1207" s="37"/>
      <c r="N1207" s="37"/>
      <c r="O1207" s="29"/>
    </row>
    <row r="1208">
      <c r="A1208" s="29"/>
      <c r="B1208" s="36"/>
      <c r="C1208" s="37"/>
      <c r="D1208" s="37"/>
      <c r="E1208" s="37"/>
      <c r="F1208" s="37"/>
      <c r="G1208" s="37"/>
      <c r="H1208" s="37"/>
      <c r="I1208" s="37"/>
      <c r="J1208" s="37"/>
      <c r="K1208" s="37"/>
      <c r="L1208" s="37"/>
      <c r="M1208" s="37"/>
      <c r="N1208" s="37"/>
      <c r="O1208" s="29"/>
    </row>
    <row r="1209">
      <c r="A1209" s="29"/>
      <c r="B1209" s="36"/>
      <c r="C1209" s="37"/>
      <c r="D1209" s="37"/>
      <c r="E1209" s="37"/>
      <c r="F1209" s="37"/>
      <c r="G1209" s="37"/>
      <c r="H1209" s="37"/>
      <c r="I1209" s="37"/>
      <c r="J1209" s="37"/>
      <c r="K1209" s="37"/>
      <c r="L1209" s="37"/>
      <c r="M1209" s="37"/>
      <c r="N1209" s="37"/>
      <c r="O1209" s="29"/>
    </row>
    <row r="1210">
      <c r="A1210" s="29"/>
      <c r="B1210" s="36"/>
      <c r="C1210" s="37"/>
      <c r="D1210" s="37"/>
      <c r="E1210" s="37"/>
      <c r="F1210" s="37"/>
      <c r="G1210" s="37"/>
      <c r="H1210" s="37"/>
      <c r="I1210" s="37"/>
      <c r="J1210" s="37"/>
      <c r="K1210" s="37"/>
      <c r="L1210" s="37"/>
      <c r="M1210" s="37"/>
      <c r="N1210" s="37"/>
      <c r="O1210" s="29"/>
    </row>
    <row r="1211">
      <c r="A1211" s="29"/>
      <c r="B1211" s="36"/>
      <c r="C1211" s="37"/>
      <c r="D1211" s="37"/>
      <c r="E1211" s="37"/>
      <c r="F1211" s="37"/>
      <c r="G1211" s="37"/>
      <c r="H1211" s="37"/>
      <c r="I1211" s="37"/>
      <c r="J1211" s="37"/>
      <c r="K1211" s="37"/>
      <c r="L1211" s="37"/>
      <c r="M1211" s="37"/>
      <c r="N1211" s="37"/>
      <c r="O1211" s="29"/>
    </row>
    <row r="1212">
      <c r="A1212" s="29"/>
      <c r="B1212" s="36"/>
      <c r="C1212" s="37"/>
      <c r="D1212" s="37"/>
      <c r="E1212" s="37"/>
      <c r="F1212" s="37"/>
      <c r="G1212" s="37"/>
      <c r="H1212" s="37"/>
      <c r="I1212" s="37"/>
      <c r="J1212" s="37"/>
      <c r="K1212" s="37"/>
      <c r="L1212" s="37"/>
      <c r="M1212" s="37"/>
      <c r="N1212" s="37"/>
      <c r="O1212" s="29"/>
    </row>
    <row r="1213">
      <c r="A1213" s="29"/>
      <c r="B1213" s="36"/>
      <c r="C1213" s="37"/>
      <c r="D1213" s="37"/>
      <c r="E1213" s="37"/>
      <c r="F1213" s="37"/>
      <c r="G1213" s="37"/>
      <c r="H1213" s="37"/>
      <c r="I1213" s="37"/>
      <c r="J1213" s="37"/>
      <c r="K1213" s="37"/>
      <c r="L1213" s="37"/>
      <c r="M1213" s="37"/>
      <c r="N1213" s="37"/>
      <c r="O1213" s="29"/>
    </row>
    <row r="1214">
      <c r="A1214" s="29"/>
      <c r="B1214" s="36"/>
      <c r="C1214" s="37"/>
      <c r="D1214" s="37"/>
      <c r="E1214" s="37"/>
      <c r="F1214" s="37"/>
      <c r="G1214" s="37"/>
      <c r="H1214" s="37"/>
      <c r="I1214" s="37"/>
      <c r="J1214" s="37"/>
      <c r="K1214" s="37"/>
      <c r="L1214" s="37"/>
      <c r="M1214" s="37"/>
      <c r="N1214" s="37"/>
      <c r="O1214" s="29"/>
    </row>
    <row r="1215">
      <c r="A1215" s="29"/>
      <c r="B1215" s="36"/>
      <c r="C1215" s="37"/>
      <c r="D1215" s="37"/>
      <c r="E1215" s="37"/>
      <c r="F1215" s="37"/>
      <c r="G1215" s="37"/>
      <c r="H1215" s="37"/>
      <c r="I1215" s="37"/>
      <c r="J1215" s="37"/>
      <c r="K1215" s="37"/>
      <c r="L1215" s="37"/>
      <c r="M1215" s="37"/>
      <c r="N1215" s="37"/>
      <c r="O1215" s="29"/>
    </row>
    <row r="1216">
      <c r="A1216" s="29"/>
      <c r="B1216" s="36"/>
      <c r="C1216" s="37"/>
      <c r="D1216" s="37"/>
      <c r="E1216" s="37"/>
      <c r="F1216" s="37"/>
      <c r="G1216" s="37"/>
      <c r="H1216" s="37"/>
      <c r="I1216" s="37"/>
      <c r="J1216" s="37"/>
      <c r="K1216" s="37"/>
      <c r="L1216" s="37"/>
      <c r="M1216" s="37"/>
      <c r="N1216" s="37"/>
      <c r="O1216" s="29"/>
    </row>
    <row r="1217">
      <c r="A1217" s="29"/>
      <c r="B1217" s="36"/>
      <c r="C1217" s="37"/>
      <c r="D1217" s="37"/>
      <c r="E1217" s="37"/>
      <c r="F1217" s="37"/>
      <c r="G1217" s="37"/>
      <c r="H1217" s="37"/>
      <c r="I1217" s="37"/>
      <c r="J1217" s="37"/>
      <c r="K1217" s="37"/>
      <c r="L1217" s="37"/>
      <c r="M1217" s="37"/>
      <c r="N1217" s="37"/>
      <c r="O1217" s="29"/>
    </row>
    <row r="1218">
      <c r="A1218" s="29"/>
      <c r="B1218" s="36"/>
      <c r="C1218" s="37"/>
      <c r="D1218" s="37"/>
      <c r="E1218" s="37"/>
      <c r="F1218" s="37"/>
      <c r="G1218" s="37"/>
      <c r="H1218" s="37"/>
      <c r="I1218" s="37"/>
      <c r="J1218" s="37"/>
      <c r="K1218" s="37"/>
      <c r="L1218" s="37"/>
      <c r="M1218" s="37"/>
      <c r="N1218" s="37"/>
      <c r="O1218" s="29"/>
    </row>
    <row r="1219">
      <c r="A1219" s="29"/>
      <c r="B1219" s="36"/>
      <c r="C1219" s="37"/>
      <c r="D1219" s="37"/>
      <c r="E1219" s="37"/>
      <c r="F1219" s="37"/>
      <c r="G1219" s="37"/>
      <c r="H1219" s="37"/>
      <c r="I1219" s="37"/>
      <c r="J1219" s="37"/>
      <c r="K1219" s="37"/>
      <c r="L1219" s="37"/>
      <c r="M1219" s="37"/>
      <c r="N1219" s="37"/>
      <c r="O1219" s="29"/>
    </row>
    <row r="1220">
      <c r="A1220" s="29"/>
      <c r="B1220" s="36"/>
      <c r="C1220" s="37"/>
      <c r="D1220" s="37"/>
      <c r="E1220" s="37"/>
      <c r="F1220" s="37"/>
      <c r="G1220" s="37"/>
      <c r="H1220" s="37"/>
      <c r="I1220" s="37"/>
      <c r="J1220" s="37"/>
      <c r="K1220" s="37"/>
      <c r="L1220" s="37"/>
      <c r="M1220" s="37"/>
      <c r="N1220" s="37"/>
      <c r="O1220" s="29"/>
    </row>
    <row r="1221">
      <c r="A1221" s="29"/>
      <c r="B1221" s="36"/>
      <c r="C1221" s="37"/>
      <c r="D1221" s="37"/>
      <c r="E1221" s="37"/>
      <c r="F1221" s="37"/>
      <c r="G1221" s="37"/>
      <c r="H1221" s="37"/>
      <c r="I1221" s="37"/>
      <c r="J1221" s="37"/>
      <c r="K1221" s="37"/>
      <c r="L1221" s="37"/>
      <c r="M1221" s="37"/>
      <c r="N1221" s="37"/>
      <c r="O1221" s="29"/>
    </row>
    <row r="1222">
      <c r="A1222" s="29"/>
      <c r="B1222" s="36"/>
      <c r="C1222" s="37"/>
      <c r="D1222" s="37"/>
      <c r="E1222" s="37"/>
      <c r="F1222" s="37"/>
      <c r="G1222" s="37"/>
      <c r="H1222" s="37"/>
      <c r="I1222" s="37"/>
      <c r="J1222" s="37"/>
      <c r="K1222" s="37"/>
      <c r="L1222" s="37"/>
      <c r="M1222" s="37"/>
      <c r="N1222" s="37"/>
      <c r="O1222" s="29"/>
    </row>
    <row r="1223">
      <c r="A1223" s="29"/>
      <c r="B1223" s="36"/>
      <c r="C1223" s="37"/>
      <c r="D1223" s="37"/>
      <c r="E1223" s="37"/>
      <c r="F1223" s="37"/>
      <c r="G1223" s="37"/>
      <c r="H1223" s="37"/>
      <c r="I1223" s="37"/>
      <c r="J1223" s="37"/>
      <c r="K1223" s="37"/>
      <c r="L1223" s="37"/>
      <c r="M1223" s="37"/>
      <c r="N1223" s="37"/>
      <c r="O1223" s="29"/>
    </row>
    <row r="1224">
      <c r="A1224" s="29"/>
      <c r="B1224" s="36"/>
      <c r="C1224" s="37"/>
      <c r="D1224" s="37"/>
      <c r="E1224" s="37"/>
      <c r="F1224" s="37"/>
      <c r="G1224" s="37"/>
      <c r="H1224" s="37"/>
      <c r="I1224" s="37"/>
      <c r="J1224" s="37"/>
      <c r="K1224" s="37"/>
      <c r="L1224" s="37"/>
      <c r="M1224" s="37"/>
      <c r="N1224" s="37"/>
      <c r="O1224" s="29"/>
    </row>
    <row r="1225">
      <c r="A1225" s="29"/>
      <c r="B1225" s="36"/>
      <c r="C1225" s="37"/>
      <c r="D1225" s="37"/>
      <c r="E1225" s="37"/>
      <c r="F1225" s="37"/>
      <c r="G1225" s="37"/>
      <c r="H1225" s="37"/>
      <c r="I1225" s="37"/>
      <c r="J1225" s="37"/>
      <c r="K1225" s="37"/>
      <c r="L1225" s="37"/>
      <c r="M1225" s="37"/>
      <c r="N1225" s="37"/>
      <c r="O1225" s="29"/>
    </row>
    <row r="1226">
      <c r="A1226" s="29"/>
      <c r="B1226" s="36"/>
      <c r="C1226" s="37"/>
      <c r="D1226" s="37"/>
      <c r="E1226" s="37"/>
      <c r="F1226" s="37"/>
      <c r="G1226" s="37"/>
      <c r="H1226" s="37"/>
      <c r="I1226" s="37"/>
      <c r="J1226" s="37"/>
      <c r="K1226" s="37"/>
      <c r="L1226" s="37"/>
      <c r="M1226" s="37"/>
      <c r="N1226" s="37"/>
      <c r="O1226" s="29"/>
    </row>
    <row r="1227">
      <c r="A1227" s="29"/>
      <c r="B1227" s="36"/>
      <c r="C1227" s="37"/>
      <c r="D1227" s="37"/>
      <c r="E1227" s="37"/>
      <c r="F1227" s="37"/>
      <c r="G1227" s="37"/>
      <c r="H1227" s="37"/>
      <c r="I1227" s="37"/>
      <c r="J1227" s="37"/>
      <c r="K1227" s="37"/>
      <c r="L1227" s="37"/>
      <c r="M1227" s="37"/>
      <c r="N1227" s="37"/>
      <c r="O1227" s="29"/>
    </row>
    <row r="1228">
      <c r="A1228" s="29"/>
      <c r="B1228" s="36"/>
      <c r="C1228" s="37"/>
      <c r="D1228" s="37"/>
      <c r="E1228" s="37"/>
      <c r="F1228" s="37"/>
      <c r="G1228" s="37"/>
      <c r="H1228" s="37"/>
      <c r="I1228" s="37"/>
      <c r="J1228" s="37"/>
      <c r="K1228" s="37"/>
      <c r="L1228" s="37"/>
      <c r="M1228" s="37"/>
      <c r="N1228" s="37"/>
      <c r="O1228" s="29"/>
    </row>
    <row r="1229">
      <c r="A1229" s="29"/>
      <c r="B1229" s="36"/>
      <c r="C1229" s="37"/>
      <c r="D1229" s="37"/>
      <c r="E1229" s="37"/>
      <c r="F1229" s="37"/>
      <c r="G1229" s="37"/>
      <c r="H1229" s="37"/>
      <c r="I1229" s="37"/>
      <c r="J1229" s="37"/>
      <c r="K1229" s="37"/>
      <c r="L1229" s="37"/>
      <c r="M1229" s="37"/>
      <c r="N1229" s="37"/>
      <c r="O1229" s="29"/>
    </row>
    <row r="1230">
      <c r="A1230" s="29"/>
      <c r="B1230" s="36"/>
      <c r="C1230" s="37"/>
      <c r="D1230" s="37"/>
      <c r="E1230" s="37"/>
      <c r="F1230" s="37"/>
      <c r="G1230" s="37"/>
      <c r="H1230" s="37"/>
      <c r="I1230" s="37"/>
      <c r="J1230" s="37"/>
      <c r="K1230" s="37"/>
      <c r="L1230" s="37"/>
      <c r="M1230" s="37"/>
      <c r="N1230" s="37"/>
      <c r="O1230" s="29"/>
    </row>
    <row r="1231">
      <c r="A1231" s="29"/>
      <c r="B1231" s="36"/>
      <c r="C1231" s="37"/>
      <c r="D1231" s="37"/>
      <c r="E1231" s="37"/>
      <c r="F1231" s="37"/>
      <c r="G1231" s="37"/>
      <c r="H1231" s="37"/>
      <c r="I1231" s="37"/>
      <c r="J1231" s="37"/>
      <c r="K1231" s="37"/>
      <c r="L1231" s="37"/>
      <c r="M1231" s="37"/>
      <c r="N1231" s="37"/>
      <c r="O1231" s="29"/>
    </row>
    <row r="1232">
      <c r="A1232" s="29"/>
      <c r="B1232" s="36"/>
      <c r="C1232" s="37"/>
      <c r="D1232" s="37"/>
      <c r="E1232" s="37"/>
      <c r="F1232" s="37"/>
      <c r="G1232" s="37"/>
      <c r="H1232" s="37"/>
      <c r="I1232" s="37"/>
      <c r="J1232" s="37"/>
      <c r="K1232" s="37"/>
      <c r="L1232" s="37"/>
      <c r="M1232" s="37"/>
      <c r="N1232" s="37"/>
      <c r="O1232" s="29"/>
    </row>
    <row r="1233">
      <c r="A1233" s="29"/>
      <c r="B1233" s="36"/>
      <c r="C1233" s="37"/>
      <c r="D1233" s="37"/>
      <c r="E1233" s="37"/>
      <c r="F1233" s="37"/>
      <c r="G1233" s="37"/>
      <c r="H1233" s="37"/>
      <c r="I1233" s="37"/>
      <c r="J1233" s="37"/>
      <c r="K1233" s="37"/>
      <c r="L1233" s="37"/>
      <c r="M1233" s="37"/>
      <c r="N1233" s="37"/>
      <c r="O1233" s="29"/>
    </row>
    <row r="1234">
      <c r="A1234" s="29"/>
      <c r="B1234" s="36"/>
      <c r="C1234" s="37"/>
      <c r="D1234" s="37"/>
      <c r="E1234" s="37"/>
      <c r="F1234" s="37"/>
      <c r="G1234" s="37"/>
      <c r="H1234" s="37"/>
      <c r="I1234" s="37"/>
      <c r="J1234" s="37"/>
      <c r="K1234" s="37"/>
      <c r="L1234" s="37"/>
      <c r="M1234" s="37"/>
      <c r="N1234" s="37"/>
      <c r="O1234" s="29"/>
    </row>
    <row r="1235">
      <c r="A1235" s="29"/>
      <c r="B1235" s="36"/>
      <c r="C1235" s="37"/>
      <c r="D1235" s="37"/>
      <c r="E1235" s="37"/>
      <c r="F1235" s="37"/>
      <c r="G1235" s="37"/>
      <c r="H1235" s="37"/>
      <c r="I1235" s="37"/>
      <c r="J1235" s="37"/>
      <c r="K1235" s="37"/>
      <c r="L1235" s="37"/>
      <c r="M1235" s="37"/>
      <c r="N1235" s="37"/>
      <c r="O1235" s="29"/>
    </row>
    <row r="1236">
      <c r="A1236" s="29"/>
      <c r="B1236" s="36"/>
      <c r="C1236" s="37"/>
      <c r="D1236" s="37"/>
      <c r="E1236" s="37"/>
      <c r="F1236" s="37"/>
      <c r="G1236" s="37"/>
      <c r="H1236" s="37"/>
      <c r="I1236" s="37"/>
      <c r="J1236" s="37"/>
      <c r="K1236" s="37"/>
      <c r="L1236" s="37"/>
      <c r="M1236" s="37"/>
      <c r="N1236" s="37"/>
      <c r="O1236" s="29"/>
    </row>
    <row r="1237">
      <c r="A1237" s="29"/>
      <c r="B1237" s="36"/>
      <c r="C1237" s="37"/>
      <c r="D1237" s="37"/>
      <c r="E1237" s="37"/>
      <c r="F1237" s="37"/>
      <c r="G1237" s="37"/>
      <c r="H1237" s="37"/>
      <c r="I1237" s="37"/>
      <c r="J1237" s="37"/>
      <c r="K1237" s="37"/>
      <c r="L1237" s="37"/>
      <c r="M1237" s="37"/>
      <c r="N1237" s="37"/>
      <c r="O1237" s="29"/>
    </row>
    <row r="1238">
      <c r="A1238" s="29"/>
      <c r="B1238" s="36"/>
      <c r="C1238" s="37"/>
      <c r="D1238" s="37"/>
      <c r="E1238" s="37"/>
      <c r="F1238" s="37"/>
      <c r="G1238" s="37"/>
      <c r="H1238" s="37"/>
      <c r="I1238" s="37"/>
      <c r="J1238" s="37"/>
      <c r="K1238" s="37"/>
      <c r="L1238" s="37"/>
      <c r="M1238" s="37"/>
      <c r="N1238" s="37"/>
      <c r="O1238" s="29"/>
    </row>
    <row r="1239">
      <c r="A1239" s="29"/>
      <c r="B1239" s="36"/>
      <c r="C1239" s="37"/>
      <c r="D1239" s="37"/>
      <c r="E1239" s="37"/>
      <c r="F1239" s="37"/>
      <c r="G1239" s="37"/>
      <c r="H1239" s="37"/>
      <c r="I1239" s="37"/>
      <c r="J1239" s="37"/>
      <c r="K1239" s="37"/>
      <c r="L1239" s="37"/>
      <c r="M1239" s="37"/>
      <c r="N1239" s="37"/>
      <c r="O1239" s="29"/>
    </row>
    <row r="1240">
      <c r="A1240" s="29"/>
      <c r="B1240" s="36"/>
      <c r="C1240" s="37"/>
      <c r="D1240" s="37"/>
      <c r="E1240" s="37"/>
      <c r="F1240" s="37"/>
      <c r="G1240" s="37"/>
      <c r="H1240" s="37"/>
      <c r="I1240" s="37"/>
      <c r="J1240" s="37"/>
      <c r="K1240" s="37"/>
      <c r="L1240" s="37"/>
      <c r="M1240" s="37"/>
      <c r="N1240" s="37"/>
      <c r="O1240" s="29"/>
    </row>
    <row r="1241">
      <c r="A1241" s="29"/>
      <c r="B1241" s="36"/>
      <c r="C1241" s="37"/>
      <c r="D1241" s="37"/>
      <c r="E1241" s="37"/>
      <c r="F1241" s="37"/>
      <c r="G1241" s="37"/>
      <c r="H1241" s="37"/>
      <c r="I1241" s="37"/>
      <c r="J1241" s="37"/>
      <c r="K1241" s="37"/>
      <c r="L1241" s="37"/>
      <c r="M1241" s="37"/>
      <c r="N1241" s="37"/>
      <c r="O1241" s="29"/>
    </row>
    <row r="1242">
      <c r="A1242" s="29"/>
      <c r="B1242" s="36"/>
      <c r="C1242" s="37"/>
      <c r="D1242" s="37"/>
      <c r="E1242" s="37"/>
      <c r="F1242" s="37"/>
      <c r="G1242" s="37"/>
      <c r="H1242" s="37"/>
      <c r="I1242" s="37"/>
      <c r="J1242" s="37"/>
      <c r="K1242" s="37"/>
      <c r="L1242" s="37"/>
      <c r="M1242" s="37"/>
      <c r="N1242" s="37"/>
      <c r="O1242" s="29"/>
    </row>
    <row r="1243">
      <c r="A1243" s="29"/>
      <c r="B1243" s="36"/>
      <c r="C1243" s="37"/>
      <c r="D1243" s="37"/>
      <c r="E1243" s="37"/>
      <c r="F1243" s="37"/>
      <c r="G1243" s="37"/>
      <c r="H1243" s="37"/>
      <c r="I1243" s="37"/>
      <c r="J1243" s="37"/>
      <c r="K1243" s="37"/>
      <c r="L1243" s="37"/>
      <c r="M1243" s="37"/>
      <c r="N1243" s="37"/>
      <c r="O1243" s="29"/>
    </row>
    <row r="1244">
      <c r="A1244" s="29"/>
      <c r="B1244" s="36"/>
      <c r="C1244" s="37"/>
      <c r="D1244" s="37"/>
      <c r="E1244" s="37"/>
      <c r="F1244" s="37"/>
      <c r="G1244" s="37"/>
      <c r="H1244" s="37"/>
      <c r="I1244" s="37"/>
      <c r="J1244" s="37"/>
      <c r="K1244" s="37"/>
      <c r="L1244" s="37"/>
      <c r="M1244" s="37"/>
      <c r="N1244" s="37"/>
      <c r="O1244" s="29"/>
    </row>
    <row r="1245">
      <c r="A1245" s="29"/>
      <c r="B1245" s="36"/>
      <c r="C1245" s="37"/>
      <c r="D1245" s="37"/>
      <c r="E1245" s="37"/>
      <c r="F1245" s="37"/>
      <c r="G1245" s="37"/>
      <c r="H1245" s="37"/>
      <c r="I1245" s="37"/>
      <c r="J1245" s="37"/>
      <c r="K1245" s="37"/>
      <c r="L1245" s="37"/>
      <c r="M1245" s="37"/>
      <c r="N1245" s="37"/>
      <c r="O1245" s="29"/>
    </row>
    <row r="1246">
      <c r="A1246" s="29"/>
      <c r="B1246" s="36"/>
      <c r="C1246" s="37"/>
      <c r="D1246" s="37"/>
      <c r="E1246" s="37"/>
      <c r="F1246" s="37"/>
      <c r="G1246" s="37"/>
      <c r="H1246" s="37"/>
      <c r="I1246" s="37"/>
      <c r="J1246" s="37"/>
      <c r="K1246" s="37"/>
      <c r="L1246" s="37"/>
      <c r="M1246" s="37"/>
      <c r="N1246" s="37"/>
      <c r="O1246" s="29"/>
    </row>
    <row r="1247">
      <c r="A1247" s="29"/>
      <c r="B1247" s="36"/>
      <c r="C1247" s="37"/>
      <c r="D1247" s="37"/>
      <c r="E1247" s="37"/>
      <c r="F1247" s="37"/>
      <c r="G1247" s="37"/>
      <c r="H1247" s="37"/>
      <c r="I1247" s="37"/>
      <c r="J1247" s="37"/>
      <c r="K1247" s="37"/>
      <c r="L1247" s="37"/>
      <c r="M1247" s="37"/>
      <c r="N1247" s="37"/>
      <c r="O1247" s="29"/>
    </row>
    <row r="1248">
      <c r="A1248" s="29"/>
      <c r="B1248" s="36"/>
      <c r="C1248" s="37"/>
      <c r="D1248" s="37"/>
      <c r="E1248" s="37"/>
      <c r="F1248" s="37"/>
      <c r="G1248" s="37"/>
      <c r="H1248" s="37"/>
      <c r="I1248" s="37"/>
      <c r="J1248" s="37"/>
      <c r="K1248" s="37"/>
      <c r="L1248" s="37"/>
      <c r="M1248" s="37"/>
      <c r="N1248" s="37"/>
      <c r="O1248" s="29"/>
    </row>
    <row r="1249">
      <c r="A1249" s="29"/>
      <c r="B1249" s="36"/>
      <c r="C1249" s="37"/>
      <c r="D1249" s="37"/>
      <c r="E1249" s="37"/>
      <c r="F1249" s="37"/>
      <c r="G1249" s="37"/>
      <c r="H1249" s="37"/>
      <c r="I1249" s="37"/>
      <c r="J1249" s="37"/>
      <c r="K1249" s="37"/>
      <c r="L1249" s="37"/>
      <c r="M1249" s="37"/>
      <c r="N1249" s="37"/>
      <c r="O1249" s="29"/>
    </row>
    <row r="1250">
      <c r="A1250" s="29"/>
      <c r="B1250" s="36"/>
      <c r="C1250" s="37"/>
      <c r="D1250" s="37"/>
      <c r="E1250" s="37"/>
      <c r="F1250" s="37"/>
      <c r="G1250" s="37"/>
      <c r="H1250" s="37"/>
      <c r="I1250" s="37"/>
      <c r="J1250" s="37"/>
      <c r="K1250" s="37"/>
      <c r="L1250" s="37"/>
      <c r="M1250" s="37"/>
      <c r="N1250" s="37"/>
      <c r="O1250" s="29"/>
    </row>
    <row r="1251">
      <c r="A1251" s="29"/>
      <c r="B1251" s="36"/>
      <c r="C1251" s="37"/>
      <c r="D1251" s="37"/>
      <c r="E1251" s="37"/>
      <c r="F1251" s="37"/>
      <c r="G1251" s="37"/>
      <c r="H1251" s="37"/>
      <c r="I1251" s="37"/>
      <c r="J1251" s="37"/>
      <c r="K1251" s="37"/>
      <c r="L1251" s="37"/>
      <c r="M1251" s="37"/>
      <c r="N1251" s="37"/>
      <c r="O1251" s="29"/>
    </row>
    <row r="1252">
      <c r="A1252" s="29"/>
      <c r="B1252" s="36"/>
      <c r="C1252" s="37"/>
      <c r="D1252" s="37"/>
      <c r="E1252" s="37"/>
      <c r="F1252" s="37"/>
      <c r="G1252" s="37"/>
      <c r="H1252" s="37"/>
      <c r="I1252" s="37"/>
      <c r="J1252" s="37"/>
      <c r="K1252" s="37"/>
      <c r="L1252" s="37"/>
      <c r="M1252" s="37"/>
      <c r="N1252" s="37"/>
      <c r="O1252" s="29"/>
    </row>
    <row r="1253">
      <c r="A1253" s="29"/>
      <c r="B1253" s="36"/>
      <c r="C1253" s="37"/>
      <c r="D1253" s="37"/>
      <c r="E1253" s="37"/>
      <c r="F1253" s="37"/>
      <c r="G1253" s="37"/>
      <c r="H1253" s="37"/>
      <c r="I1253" s="37"/>
      <c r="J1253" s="37"/>
      <c r="K1253" s="37"/>
      <c r="L1253" s="37"/>
      <c r="M1253" s="37"/>
      <c r="N1253" s="37"/>
      <c r="O1253" s="29"/>
    </row>
    <row r="1254">
      <c r="A1254" s="29"/>
      <c r="B1254" s="36"/>
      <c r="C1254" s="37"/>
      <c r="D1254" s="37"/>
      <c r="E1254" s="37"/>
      <c r="F1254" s="37"/>
      <c r="G1254" s="37"/>
      <c r="H1254" s="37"/>
      <c r="I1254" s="37"/>
      <c r="J1254" s="37"/>
      <c r="K1254" s="37"/>
      <c r="L1254" s="37"/>
      <c r="M1254" s="37"/>
      <c r="N1254" s="37"/>
      <c r="O1254" s="29"/>
    </row>
    <row r="1255">
      <c r="A1255" s="29"/>
      <c r="B1255" s="36"/>
      <c r="C1255" s="37"/>
      <c r="D1255" s="37"/>
      <c r="E1255" s="37"/>
      <c r="F1255" s="37"/>
      <c r="G1255" s="37"/>
      <c r="H1255" s="37"/>
      <c r="I1255" s="37"/>
      <c r="J1255" s="37"/>
      <c r="K1255" s="37"/>
      <c r="L1255" s="37"/>
      <c r="M1255" s="37"/>
      <c r="N1255" s="37"/>
      <c r="O1255" s="29"/>
    </row>
    <row r="1256">
      <c r="A1256" s="29"/>
      <c r="B1256" s="36"/>
      <c r="C1256" s="37"/>
      <c r="D1256" s="37"/>
      <c r="E1256" s="37"/>
      <c r="F1256" s="37"/>
      <c r="G1256" s="37"/>
      <c r="H1256" s="37"/>
      <c r="I1256" s="37"/>
      <c r="J1256" s="37"/>
      <c r="K1256" s="37"/>
      <c r="L1256" s="37"/>
      <c r="M1256" s="37"/>
      <c r="N1256" s="37"/>
      <c r="O1256" s="29"/>
    </row>
    <row r="1257">
      <c r="A1257" s="29"/>
      <c r="B1257" s="36"/>
      <c r="C1257" s="37"/>
      <c r="D1257" s="37"/>
      <c r="E1257" s="37"/>
      <c r="F1257" s="37"/>
      <c r="G1257" s="37"/>
      <c r="H1257" s="37"/>
      <c r="I1257" s="37"/>
      <c r="J1257" s="37"/>
      <c r="K1257" s="37"/>
      <c r="L1257" s="37"/>
      <c r="M1257" s="37"/>
      <c r="N1257" s="37"/>
      <c r="O1257" s="29"/>
    </row>
    <row r="1258">
      <c r="A1258" s="29"/>
      <c r="B1258" s="36"/>
      <c r="C1258" s="37"/>
      <c r="D1258" s="37"/>
      <c r="E1258" s="37"/>
      <c r="F1258" s="37"/>
      <c r="G1258" s="37"/>
      <c r="H1258" s="37"/>
      <c r="I1258" s="37"/>
      <c r="J1258" s="37"/>
      <c r="K1258" s="37"/>
      <c r="L1258" s="37"/>
      <c r="M1258" s="37"/>
      <c r="N1258" s="37"/>
      <c r="O1258" s="29"/>
    </row>
    <row r="1259">
      <c r="A1259" s="29"/>
      <c r="B1259" s="36"/>
      <c r="C1259" s="37"/>
      <c r="D1259" s="37"/>
      <c r="E1259" s="37"/>
      <c r="F1259" s="37"/>
      <c r="G1259" s="37"/>
      <c r="H1259" s="37"/>
      <c r="I1259" s="37"/>
      <c r="J1259" s="37"/>
      <c r="K1259" s="37"/>
      <c r="L1259" s="37"/>
      <c r="M1259" s="37"/>
      <c r="N1259" s="37"/>
      <c r="O1259" s="29"/>
    </row>
    <row r="1260">
      <c r="A1260" s="29"/>
      <c r="B1260" s="36"/>
      <c r="C1260" s="37"/>
      <c r="D1260" s="37"/>
      <c r="E1260" s="37"/>
      <c r="F1260" s="37"/>
      <c r="G1260" s="37"/>
      <c r="H1260" s="37"/>
      <c r="I1260" s="37"/>
      <c r="J1260" s="37"/>
      <c r="K1260" s="37"/>
      <c r="L1260" s="37"/>
      <c r="M1260" s="37"/>
      <c r="N1260" s="37"/>
      <c r="O1260" s="29"/>
    </row>
    <row r="1261">
      <c r="A1261" s="29"/>
      <c r="B1261" s="36"/>
      <c r="C1261" s="37"/>
      <c r="D1261" s="37"/>
      <c r="E1261" s="37"/>
      <c r="F1261" s="37"/>
      <c r="G1261" s="37"/>
      <c r="H1261" s="37"/>
      <c r="I1261" s="37"/>
      <c r="J1261" s="37"/>
      <c r="K1261" s="37"/>
      <c r="L1261" s="37"/>
      <c r="M1261" s="37"/>
      <c r="N1261" s="37"/>
      <c r="O1261" s="29"/>
    </row>
    <row r="1262">
      <c r="A1262" s="29"/>
      <c r="B1262" s="36"/>
      <c r="C1262" s="37"/>
      <c r="D1262" s="37"/>
      <c r="E1262" s="37"/>
      <c r="F1262" s="37"/>
      <c r="G1262" s="37"/>
      <c r="H1262" s="37"/>
      <c r="I1262" s="37"/>
      <c r="J1262" s="37"/>
      <c r="K1262" s="37"/>
      <c r="L1262" s="37"/>
      <c r="M1262" s="37"/>
      <c r="N1262" s="37"/>
      <c r="O1262" s="29"/>
    </row>
    <row r="1263">
      <c r="A1263" s="29"/>
      <c r="B1263" s="36"/>
      <c r="C1263" s="37"/>
      <c r="D1263" s="37"/>
      <c r="E1263" s="37"/>
      <c r="F1263" s="37"/>
      <c r="G1263" s="37"/>
      <c r="H1263" s="37"/>
      <c r="I1263" s="37"/>
      <c r="J1263" s="37"/>
      <c r="K1263" s="37"/>
      <c r="L1263" s="37"/>
      <c r="M1263" s="37"/>
      <c r="N1263" s="37"/>
      <c r="O1263" s="29"/>
    </row>
    <row r="1264">
      <c r="A1264" s="29"/>
      <c r="B1264" s="36"/>
      <c r="C1264" s="37"/>
      <c r="D1264" s="37"/>
      <c r="E1264" s="37"/>
      <c r="F1264" s="37"/>
      <c r="G1264" s="37"/>
      <c r="H1264" s="37"/>
      <c r="I1264" s="37"/>
      <c r="J1264" s="37"/>
      <c r="K1264" s="37"/>
      <c r="L1264" s="37"/>
      <c r="M1264" s="37"/>
      <c r="N1264" s="37"/>
      <c r="O1264" s="29"/>
    </row>
    <row r="1265">
      <c r="A1265" s="29"/>
      <c r="B1265" s="36"/>
      <c r="C1265" s="37"/>
      <c r="D1265" s="37"/>
      <c r="E1265" s="37"/>
      <c r="F1265" s="37"/>
      <c r="G1265" s="37"/>
      <c r="H1265" s="37"/>
      <c r="I1265" s="37"/>
      <c r="J1265" s="37"/>
      <c r="K1265" s="37"/>
      <c r="L1265" s="37"/>
      <c r="M1265" s="37"/>
      <c r="N1265" s="37"/>
      <c r="O1265" s="29"/>
    </row>
    <row r="1266">
      <c r="A1266" s="29"/>
      <c r="B1266" s="36"/>
      <c r="C1266" s="37"/>
      <c r="D1266" s="37"/>
      <c r="E1266" s="37"/>
      <c r="F1266" s="37"/>
      <c r="G1266" s="37"/>
      <c r="H1266" s="37"/>
      <c r="I1266" s="37"/>
      <c r="J1266" s="37"/>
      <c r="K1266" s="37"/>
      <c r="L1266" s="37"/>
      <c r="M1266" s="37"/>
      <c r="N1266" s="37"/>
      <c r="O1266" s="29"/>
    </row>
    <row r="1267">
      <c r="A1267" s="29"/>
      <c r="B1267" s="36"/>
      <c r="C1267" s="37"/>
      <c r="D1267" s="37"/>
      <c r="E1267" s="37"/>
      <c r="F1267" s="37"/>
      <c r="G1267" s="37"/>
      <c r="H1267" s="37"/>
      <c r="I1267" s="37"/>
      <c r="J1267" s="37"/>
      <c r="K1267" s="37"/>
      <c r="L1267" s="37"/>
      <c r="M1267" s="37"/>
      <c r="N1267" s="37"/>
      <c r="O1267" s="29"/>
    </row>
    <row r="1268">
      <c r="A1268" s="29"/>
      <c r="B1268" s="36"/>
      <c r="C1268" s="37"/>
      <c r="D1268" s="37"/>
      <c r="E1268" s="37"/>
      <c r="F1268" s="37"/>
      <c r="G1268" s="37"/>
      <c r="H1268" s="37"/>
      <c r="I1268" s="37"/>
      <c r="J1268" s="37"/>
      <c r="K1268" s="37"/>
      <c r="L1268" s="37"/>
      <c r="M1268" s="37"/>
      <c r="N1268" s="37"/>
      <c r="O1268" s="29"/>
    </row>
    <row r="1269">
      <c r="A1269" s="29"/>
      <c r="B1269" s="36"/>
      <c r="C1269" s="37"/>
      <c r="D1269" s="37"/>
      <c r="E1269" s="37"/>
      <c r="F1269" s="37"/>
      <c r="G1269" s="37"/>
      <c r="H1269" s="37"/>
      <c r="I1269" s="37"/>
      <c r="J1269" s="37"/>
      <c r="K1269" s="37"/>
      <c r="L1269" s="37"/>
      <c r="M1269" s="37"/>
      <c r="N1269" s="37"/>
      <c r="O1269" s="29"/>
    </row>
    <row r="1270">
      <c r="A1270" s="29"/>
      <c r="B1270" s="36"/>
      <c r="C1270" s="37"/>
      <c r="D1270" s="37"/>
      <c r="E1270" s="37"/>
      <c r="F1270" s="37"/>
      <c r="G1270" s="37"/>
      <c r="H1270" s="37"/>
      <c r="I1270" s="37"/>
      <c r="J1270" s="37"/>
      <c r="K1270" s="37"/>
      <c r="L1270" s="37"/>
      <c r="M1270" s="37"/>
      <c r="N1270" s="37"/>
      <c r="O1270" s="29"/>
    </row>
    <row r="1271">
      <c r="A1271" s="29"/>
      <c r="B1271" s="36"/>
      <c r="C1271" s="37"/>
      <c r="D1271" s="37"/>
      <c r="E1271" s="37"/>
      <c r="F1271" s="37"/>
      <c r="G1271" s="37"/>
      <c r="H1271" s="37"/>
      <c r="I1271" s="37"/>
      <c r="J1271" s="37"/>
      <c r="K1271" s="37"/>
      <c r="L1271" s="37"/>
      <c r="M1271" s="37"/>
      <c r="N1271" s="37"/>
      <c r="O1271" s="29"/>
    </row>
    <row r="1272">
      <c r="A1272" s="29"/>
      <c r="B1272" s="36"/>
      <c r="C1272" s="37"/>
      <c r="D1272" s="37"/>
      <c r="E1272" s="37"/>
      <c r="F1272" s="37"/>
      <c r="G1272" s="37"/>
      <c r="H1272" s="37"/>
      <c r="I1272" s="37"/>
      <c r="J1272" s="37"/>
      <c r="K1272" s="37"/>
      <c r="L1272" s="37"/>
      <c r="M1272" s="37"/>
      <c r="N1272" s="37"/>
      <c r="O1272" s="29"/>
    </row>
    <row r="1273">
      <c r="A1273" s="29"/>
      <c r="B1273" s="36"/>
      <c r="C1273" s="37"/>
      <c r="D1273" s="37"/>
      <c r="E1273" s="37"/>
      <c r="F1273" s="37"/>
      <c r="G1273" s="37"/>
      <c r="H1273" s="37"/>
      <c r="I1273" s="37"/>
      <c r="J1273" s="37"/>
      <c r="K1273" s="37"/>
      <c r="L1273" s="37"/>
      <c r="M1273" s="37"/>
      <c r="N1273" s="37"/>
      <c r="O1273" s="29"/>
    </row>
    <row r="1274">
      <c r="A1274" s="29"/>
      <c r="B1274" s="36"/>
      <c r="C1274" s="37"/>
      <c r="D1274" s="37"/>
      <c r="E1274" s="37"/>
      <c r="F1274" s="37"/>
      <c r="G1274" s="37"/>
      <c r="H1274" s="37"/>
      <c r="I1274" s="37"/>
      <c r="J1274" s="37"/>
      <c r="K1274" s="37"/>
      <c r="L1274" s="37"/>
      <c r="M1274" s="37"/>
      <c r="N1274" s="37"/>
      <c r="O1274" s="29"/>
    </row>
    <row r="1275">
      <c r="A1275" s="29"/>
      <c r="B1275" s="36"/>
      <c r="C1275" s="37"/>
      <c r="D1275" s="37"/>
      <c r="E1275" s="37"/>
      <c r="F1275" s="37"/>
      <c r="G1275" s="37"/>
      <c r="H1275" s="37"/>
      <c r="I1275" s="37"/>
      <c r="J1275" s="37"/>
      <c r="K1275" s="37"/>
      <c r="L1275" s="37"/>
      <c r="M1275" s="37"/>
      <c r="N1275" s="37"/>
      <c r="O1275" s="29"/>
    </row>
    <row r="1276">
      <c r="A1276" s="29"/>
      <c r="B1276" s="36"/>
      <c r="C1276" s="37"/>
      <c r="D1276" s="37"/>
      <c r="E1276" s="37"/>
      <c r="F1276" s="37"/>
      <c r="G1276" s="37"/>
      <c r="H1276" s="37"/>
      <c r="I1276" s="37"/>
      <c r="J1276" s="37"/>
      <c r="K1276" s="37"/>
      <c r="L1276" s="37"/>
      <c r="M1276" s="37"/>
      <c r="N1276" s="37"/>
      <c r="O1276" s="29"/>
    </row>
    <row r="1277">
      <c r="A1277" s="29"/>
      <c r="B1277" s="36"/>
      <c r="C1277" s="37"/>
      <c r="D1277" s="37"/>
      <c r="E1277" s="37"/>
      <c r="F1277" s="37"/>
      <c r="G1277" s="37"/>
      <c r="H1277" s="37"/>
      <c r="I1277" s="37"/>
      <c r="J1277" s="37"/>
      <c r="K1277" s="37"/>
      <c r="L1277" s="37"/>
      <c r="M1277" s="37"/>
      <c r="N1277" s="37"/>
      <c r="O1277" s="29"/>
    </row>
    <row r="1278">
      <c r="A1278" s="29"/>
      <c r="B1278" s="36"/>
      <c r="C1278" s="37"/>
      <c r="D1278" s="37"/>
      <c r="E1278" s="37"/>
      <c r="F1278" s="37"/>
      <c r="G1278" s="37"/>
      <c r="H1278" s="37"/>
      <c r="I1278" s="37"/>
      <c r="J1278" s="37"/>
      <c r="K1278" s="37"/>
      <c r="L1278" s="37"/>
      <c r="M1278" s="37"/>
      <c r="N1278" s="37"/>
      <c r="O1278" s="29"/>
    </row>
    <row r="1279">
      <c r="A1279" s="29"/>
      <c r="B1279" s="36"/>
      <c r="C1279" s="37"/>
      <c r="D1279" s="37"/>
      <c r="E1279" s="37"/>
      <c r="F1279" s="37"/>
      <c r="G1279" s="37"/>
      <c r="H1279" s="37"/>
      <c r="I1279" s="37"/>
      <c r="J1279" s="37"/>
      <c r="K1279" s="37"/>
      <c r="L1279" s="37"/>
      <c r="M1279" s="37"/>
      <c r="N1279" s="37"/>
      <c r="O1279" s="29"/>
    </row>
    <row r="1280">
      <c r="A1280" s="29"/>
      <c r="B1280" s="36"/>
      <c r="C1280" s="37"/>
      <c r="D1280" s="37"/>
      <c r="E1280" s="37"/>
      <c r="F1280" s="37"/>
      <c r="G1280" s="37"/>
      <c r="H1280" s="37"/>
      <c r="I1280" s="37"/>
      <c r="J1280" s="37"/>
      <c r="K1280" s="37"/>
      <c r="L1280" s="37"/>
      <c r="M1280" s="37"/>
      <c r="N1280" s="37"/>
      <c r="O1280" s="29"/>
    </row>
    <row r="1281">
      <c r="A1281" s="29"/>
      <c r="B1281" s="36"/>
      <c r="C1281" s="37"/>
      <c r="D1281" s="37"/>
      <c r="E1281" s="37"/>
      <c r="F1281" s="37"/>
      <c r="G1281" s="37"/>
      <c r="H1281" s="37"/>
      <c r="I1281" s="37"/>
      <c r="J1281" s="37"/>
      <c r="K1281" s="37"/>
      <c r="L1281" s="37"/>
      <c r="M1281" s="37"/>
      <c r="N1281" s="37"/>
      <c r="O1281" s="29"/>
    </row>
    <row r="1282">
      <c r="A1282" s="29"/>
      <c r="B1282" s="36"/>
      <c r="C1282" s="37"/>
      <c r="D1282" s="37"/>
      <c r="E1282" s="37"/>
      <c r="F1282" s="37"/>
      <c r="G1282" s="37"/>
      <c r="H1282" s="37"/>
      <c r="I1282" s="37"/>
      <c r="J1282" s="37"/>
      <c r="K1282" s="37"/>
      <c r="L1282" s="37"/>
      <c r="M1282" s="37"/>
      <c r="N1282" s="37"/>
      <c r="O1282" s="29"/>
    </row>
    <row r="1283">
      <c r="A1283" s="29"/>
      <c r="B1283" s="36"/>
      <c r="C1283" s="37"/>
      <c r="D1283" s="37"/>
      <c r="E1283" s="37"/>
      <c r="F1283" s="37"/>
      <c r="G1283" s="37"/>
      <c r="H1283" s="37"/>
      <c r="I1283" s="37"/>
      <c r="J1283" s="37"/>
      <c r="K1283" s="37"/>
      <c r="L1283" s="37"/>
      <c r="M1283" s="37"/>
      <c r="N1283" s="37"/>
      <c r="O1283" s="29"/>
    </row>
    <row r="1284">
      <c r="A1284" s="29"/>
      <c r="B1284" s="36"/>
      <c r="C1284" s="37"/>
      <c r="D1284" s="37"/>
      <c r="E1284" s="37"/>
      <c r="F1284" s="37"/>
      <c r="G1284" s="37"/>
      <c r="H1284" s="37"/>
      <c r="I1284" s="37"/>
      <c r="J1284" s="37"/>
      <c r="K1284" s="37"/>
      <c r="L1284" s="37"/>
      <c r="M1284" s="37"/>
      <c r="N1284" s="37"/>
      <c r="O1284" s="29"/>
    </row>
    <row r="1285">
      <c r="A1285" s="29"/>
      <c r="B1285" s="36"/>
      <c r="C1285" s="37"/>
      <c r="D1285" s="37"/>
      <c r="E1285" s="37"/>
      <c r="F1285" s="37"/>
      <c r="G1285" s="37"/>
      <c r="H1285" s="37"/>
      <c r="I1285" s="37"/>
      <c r="J1285" s="37"/>
      <c r="K1285" s="37"/>
      <c r="L1285" s="37"/>
      <c r="M1285" s="37"/>
      <c r="N1285" s="37"/>
      <c r="O1285" s="29"/>
    </row>
    <row r="1286">
      <c r="A1286" s="29"/>
      <c r="B1286" s="36"/>
      <c r="C1286" s="37"/>
      <c r="D1286" s="37"/>
      <c r="E1286" s="37"/>
      <c r="F1286" s="37"/>
      <c r="G1286" s="37"/>
      <c r="H1286" s="37"/>
      <c r="I1286" s="37"/>
      <c r="J1286" s="37"/>
      <c r="K1286" s="37"/>
      <c r="L1286" s="37"/>
      <c r="M1286" s="37"/>
      <c r="N1286" s="37"/>
      <c r="O1286" s="29"/>
    </row>
    <row r="1287">
      <c r="A1287" s="29"/>
      <c r="B1287" s="36"/>
      <c r="C1287" s="37"/>
      <c r="D1287" s="37"/>
      <c r="E1287" s="37"/>
      <c r="F1287" s="37"/>
      <c r="G1287" s="37"/>
      <c r="H1287" s="37"/>
      <c r="I1287" s="37"/>
      <c r="J1287" s="37"/>
      <c r="K1287" s="37"/>
      <c r="L1287" s="37"/>
      <c r="M1287" s="37"/>
      <c r="N1287" s="37"/>
      <c r="O1287" s="29"/>
    </row>
    <row r="1288">
      <c r="A1288" s="29"/>
      <c r="B1288" s="36"/>
      <c r="C1288" s="37"/>
      <c r="D1288" s="37"/>
      <c r="E1288" s="37"/>
      <c r="F1288" s="37"/>
      <c r="G1288" s="37"/>
      <c r="H1288" s="37"/>
      <c r="I1288" s="37"/>
      <c r="J1288" s="37"/>
      <c r="K1288" s="37"/>
      <c r="L1288" s="37"/>
      <c r="M1288" s="37"/>
      <c r="N1288" s="37"/>
      <c r="O1288" s="29"/>
    </row>
    <row r="1289">
      <c r="A1289" s="29"/>
      <c r="B1289" s="36"/>
      <c r="C1289" s="37"/>
      <c r="D1289" s="37"/>
      <c r="E1289" s="37"/>
      <c r="F1289" s="37"/>
      <c r="G1289" s="37"/>
      <c r="H1289" s="37"/>
      <c r="I1289" s="37"/>
      <c r="J1289" s="37"/>
      <c r="K1289" s="37"/>
      <c r="L1289" s="37"/>
      <c r="M1289" s="37"/>
      <c r="N1289" s="37"/>
      <c r="O1289" s="29"/>
    </row>
    <row r="1290">
      <c r="A1290" s="29"/>
      <c r="B1290" s="36"/>
      <c r="C1290" s="37"/>
      <c r="D1290" s="37"/>
      <c r="E1290" s="37"/>
      <c r="F1290" s="37"/>
      <c r="G1290" s="37"/>
      <c r="H1290" s="37"/>
      <c r="I1290" s="37"/>
      <c r="J1290" s="37"/>
      <c r="K1290" s="37"/>
      <c r="L1290" s="37"/>
      <c r="M1290" s="37"/>
      <c r="N1290" s="37"/>
      <c r="O1290" s="29"/>
    </row>
    <row r="1291">
      <c r="A1291" s="29"/>
      <c r="B1291" s="36"/>
      <c r="C1291" s="37"/>
      <c r="D1291" s="37"/>
      <c r="E1291" s="37"/>
      <c r="F1291" s="37"/>
      <c r="G1291" s="37"/>
      <c r="H1291" s="37"/>
      <c r="I1291" s="37"/>
      <c r="J1291" s="37"/>
      <c r="K1291" s="37"/>
      <c r="L1291" s="37"/>
      <c r="M1291" s="37"/>
      <c r="N1291" s="37"/>
      <c r="O1291" s="29"/>
    </row>
    <row r="1292">
      <c r="A1292" s="29"/>
      <c r="B1292" s="36"/>
      <c r="C1292" s="37"/>
      <c r="D1292" s="37"/>
      <c r="E1292" s="37"/>
      <c r="F1292" s="37"/>
      <c r="G1292" s="37"/>
      <c r="H1292" s="37"/>
      <c r="I1292" s="37"/>
      <c r="J1292" s="37"/>
      <c r="K1292" s="37"/>
      <c r="L1292" s="37"/>
      <c r="M1292" s="37"/>
      <c r="N1292" s="37"/>
      <c r="O1292" s="29"/>
    </row>
    <row r="1293">
      <c r="A1293" s="29"/>
      <c r="B1293" s="36"/>
      <c r="C1293" s="37"/>
      <c r="D1293" s="37"/>
      <c r="E1293" s="37"/>
      <c r="F1293" s="37"/>
      <c r="G1293" s="37"/>
      <c r="H1293" s="37"/>
      <c r="I1293" s="37"/>
      <c r="J1293" s="37"/>
      <c r="K1293" s="37"/>
      <c r="L1293" s="37"/>
      <c r="M1293" s="37"/>
      <c r="N1293" s="37"/>
      <c r="O1293" s="29"/>
    </row>
    <row r="1294">
      <c r="A1294" s="29"/>
      <c r="B1294" s="36"/>
      <c r="C1294" s="37"/>
      <c r="D1294" s="37"/>
      <c r="E1294" s="37"/>
      <c r="F1294" s="37"/>
      <c r="G1294" s="37"/>
      <c r="H1294" s="37"/>
      <c r="I1294" s="37"/>
      <c r="J1294" s="37"/>
      <c r="K1294" s="37"/>
      <c r="L1294" s="37"/>
      <c r="M1294" s="37"/>
      <c r="N1294" s="37"/>
      <c r="O1294" s="29"/>
    </row>
    <row r="1295">
      <c r="A1295" s="29"/>
      <c r="B1295" s="36"/>
      <c r="C1295" s="37"/>
      <c r="D1295" s="37"/>
      <c r="E1295" s="37"/>
      <c r="F1295" s="37"/>
      <c r="G1295" s="37"/>
      <c r="H1295" s="37"/>
      <c r="I1295" s="37"/>
      <c r="J1295" s="37"/>
      <c r="K1295" s="37"/>
      <c r="L1295" s="37"/>
      <c r="M1295" s="37"/>
      <c r="N1295" s="37"/>
      <c r="O1295" s="29"/>
    </row>
    <row r="1296">
      <c r="A1296" s="29"/>
      <c r="B1296" s="36"/>
      <c r="C1296" s="37"/>
      <c r="D1296" s="37"/>
      <c r="E1296" s="37"/>
      <c r="F1296" s="37"/>
      <c r="G1296" s="37"/>
      <c r="H1296" s="37"/>
      <c r="I1296" s="37"/>
      <c r="J1296" s="37"/>
      <c r="K1296" s="37"/>
      <c r="L1296" s="37"/>
      <c r="M1296" s="37"/>
      <c r="N1296" s="37"/>
      <c r="O1296" s="29"/>
    </row>
    <row r="1297">
      <c r="A1297" s="29"/>
      <c r="B1297" s="36"/>
      <c r="C1297" s="37"/>
      <c r="D1297" s="37"/>
      <c r="E1297" s="37"/>
      <c r="F1297" s="37"/>
      <c r="G1297" s="37"/>
      <c r="H1297" s="37"/>
      <c r="I1297" s="37"/>
      <c r="J1297" s="37"/>
      <c r="K1297" s="37"/>
      <c r="L1297" s="37"/>
      <c r="M1297" s="37"/>
      <c r="N1297" s="37"/>
      <c r="O1297" s="29"/>
    </row>
    <row r="1298">
      <c r="A1298" s="29"/>
      <c r="B1298" s="36"/>
      <c r="C1298" s="37"/>
      <c r="D1298" s="37"/>
      <c r="E1298" s="37"/>
      <c r="F1298" s="37"/>
      <c r="G1298" s="37"/>
      <c r="H1298" s="37"/>
      <c r="I1298" s="37"/>
      <c r="J1298" s="37"/>
      <c r="K1298" s="37"/>
      <c r="L1298" s="37"/>
      <c r="M1298" s="37"/>
      <c r="N1298" s="37"/>
      <c r="O1298" s="29"/>
    </row>
    <row r="1299">
      <c r="A1299" s="29"/>
      <c r="B1299" s="36"/>
      <c r="C1299" s="37"/>
      <c r="D1299" s="37"/>
      <c r="E1299" s="37"/>
      <c r="F1299" s="37"/>
      <c r="G1299" s="37"/>
      <c r="H1299" s="37"/>
      <c r="I1299" s="37"/>
      <c r="J1299" s="37"/>
      <c r="K1299" s="37"/>
      <c r="L1299" s="37"/>
      <c r="M1299" s="37"/>
      <c r="N1299" s="37"/>
      <c r="O1299" s="29"/>
    </row>
    <row r="1300">
      <c r="A1300" s="29"/>
      <c r="B1300" s="36"/>
      <c r="C1300" s="37"/>
      <c r="D1300" s="37"/>
      <c r="E1300" s="37"/>
      <c r="F1300" s="37"/>
      <c r="G1300" s="37"/>
      <c r="H1300" s="37"/>
      <c r="I1300" s="37"/>
      <c r="J1300" s="37"/>
      <c r="K1300" s="37"/>
      <c r="L1300" s="37"/>
      <c r="M1300" s="37"/>
      <c r="N1300" s="37"/>
      <c r="O1300" s="29"/>
    </row>
    <row r="1301">
      <c r="A1301" s="29"/>
      <c r="B1301" s="36"/>
      <c r="C1301" s="37"/>
      <c r="D1301" s="37"/>
      <c r="E1301" s="37"/>
      <c r="F1301" s="37"/>
      <c r="G1301" s="37"/>
      <c r="H1301" s="37"/>
      <c r="I1301" s="37"/>
      <c r="J1301" s="37"/>
      <c r="K1301" s="37"/>
      <c r="L1301" s="37"/>
      <c r="M1301" s="37"/>
      <c r="N1301" s="37"/>
      <c r="O1301" s="29"/>
    </row>
    <row r="1302">
      <c r="A1302" s="29"/>
      <c r="B1302" s="36"/>
      <c r="C1302" s="37"/>
      <c r="D1302" s="37"/>
      <c r="E1302" s="37"/>
      <c r="F1302" s="37"/>
      <c r="G1302" s="37"/>
      <c r="H1302" s="37"/>
      <c r="I1302" s="37"/>
      <c r="J1302" s="37"/>
      <c r="K1302" s="37"/>
      <c r="L1302" s="37"/>
      <c r="M1302" s="37"/>
      <c r="N1302" s="37"/>
      <c r="O1302" s="29"/>
    </row>
    <row r="1303">
      <c r="A1303" s="29"/>
      <c r="B1303" s="36"/>
      <c r="C1303" s="37"/>
      <c r="D1303" s="37"/>
      <c r="E1303" s="37"/>
      <c r="F1303" s="37"/>
      <c r="G1303" s="37"/>
      <c r="H1303" s="37"/>
      <c r="I1303" s="37"/>
      <c r="J1303" s="37"/>
      <c r="K1303" s="37"/>
      <c r="L1303" s="37"/>
      <c r="M1303" s="37"/>
      <c r="N1303" s="37"/>
      <c r="O1303" s="29"/>
    </row>
    <row r="1304">
      <c r="A1304" s="29"/>
      <c r="B1304" s="36"/>
      <c r="C1304" s="37"/>
      <c r="D1304" s="37"/>
      <c r="E1304" s="37"/>
      <c r="F1304" s="37"/>
      <c r="G1304" s="37"/>
      <c r="H1304" s="37"/>
      <c r="I1304" s="37"/>
      <c r="J1304" s="37"/>
      <c r="K1304" s="37"/>
      <c r="L1304" s="37"/>
      <c r="M1304" s="37"/>
      <c r="N1304" s="37"/>
      <c r="O1304" s="29"/>
    </row>
    <row r="1305">
      <c r="A1305" s="29"/>
      <c r="B1305" s="36"/>
      <c r="C1305" s="37"/>
      <c r="D1305" s="37"/>
      <c r="E1305" s="37"/>
      <c r="F1305" s="37"/>
      <c r="G1305" s="37"/>
      <c r="H1305" s="37"/>
      <c r="I1305" s="37"/>
      <c r="J1305" s="37"/>
      <c r="K1305" s="37"/>
      <c r="L1305" s="37"/>
      <c r="M1305" s="37"/>
      <c r="N1305" s="37"/>
      <c r="O1305" s="29"/>
    </row>
    <row r="1306">
      <c r="A1306" s="29"/>
      <c r="B1306" s="36"/>
      <c r="C1306" s="37"/>
      <c r="D1306" s="37"/>
      <c r="E1306" s="37"/>
      <c r="F1306" s="37"/>
      <c r="G1306" s="37"/>
      <c r="H1306" s="37"/>
      <c r="I1306" s="37"/>
      <c r="J1306" s="37"/>
      <c r="K1306" s="37"/>
      <c r="L1306" s="37"/>
      <c r="M1306" s="37"/>
      <c r="N1306" s="37"/>
      <c r="O1306" s="29"/>
    </row>
    <row r="1307">
      <c r="A1307" s="29"/>
      <c r="B1307" s="36"/>
      <c r="C1307" s="37"/>
      <c r="D1307" s="37"/>
      <c r="E1307" s="37"/>
      <c r="F1307" s="37"/>
      <c r="G1307" s="37"/>
      <c r="H1307" s="37"/>
      <c r="I1307" s="37"/>
      <c r="J1307" s="37"/>
      <c r="K1307" s="37"/>
      <c r="L1307" s="37"/>
      <c r="M1307" s="37"/>
      <c r="N1307" s="37"/>
      <c r="O1307" s="29"/>
    </row>
    <row r="1308">
      <c r="A1308" s="29"/>
      <c r="B1308" s="36"/>
      <c r="C1308" s="37"/>
      <c r="D1308" s="37"/>
      <c r="E1308" s="37"/>
      <c r="F1308" s="37"/>
      <c r="G1308" s="37"/>
      <c r="H1308" s="37"/>
      <c r="I1308" s="37"/>
      <c r="J1308" s="37"/>
      <c r="K1308" s="37"/>
      <c r="L1308" s="37"/>
      <c r="M1308" s="37"/>
      <c r="N1308" s="37"/>
      <c r="O1308" s="29"/>
    </row>
    <row r="1309">
      <c r="A1309" s="29"/>
      <c r="B1309" s="36"/>
      <c r="C1309" s="37"/>
      <c r="D1309" s="37"/>
      <c r="E1309" s="37"/>
      <c r="F1309" s="37"/>
      <c r="G1309" s="37"/>
      <c r="H1309" s="37"/>
      <c r="I1309" s="37"/>
      <c r="J1309" s="37"/>
      <c r="K1309" s="37"/>
      <c r="L1309" s="37"/>
      <c r="M1309" s="37"/>
      <c r="N1309" s="37"/>
      <c r="O1309" s="29"/>
    </row>
    <row r="1310">
      <c r="A1310" s="29"/>
      <c r="B1310" s="36"/>
      <c r="C1310" s="37"/>
      <c r="D1310" s="37"/>
      <c r="E1310" s="37"/>
      <c r="F1310" s="37"/>
      <c r="G1310" s="37"/>
      <c r="H1310" s="37"/>
      <c r="I1310" s="37"/>
      <c r="J1310" s="37"/>
      <c r="K1310" s="37"/>
      <c r="L1310" s="37"/>
      <c r="M1310" s="37"/>
      <c r="N1310" s="37"/>
      <c r="O1310" s="29"/>
    </row>
    <row r="1311">
      <c r="A1311" s="29"/>
      <c r="B1311" s="36"/>
      <c r="C1311" s="37"/>
      <c r="D1311" s="37"/>
      <c r="E1311" s="37"/>
      <c r="F1311" s="37"/>
      <c r="G1311" s="37"/>
      <c r="H1311" s="37"/>
      <c r="I1311" s="37"/>
      <c r="J1311" s="37"/>
      <c r="K1311" s="37"/>
      <c r="L1311" s="37"/>
      <c r="M1311" s="37"/>
      <c r="N1311" s="37"/>
      <c r="O1311" s="29"/>
    </row>
    <row r="1312">
      <c r="A1312" s="29"/>
      <c r="B1312" s="36"/>
      <c r="C1312" s="37"/>
      <c r="D1312" s="37"/>
      <c r="E1312" s="37"/>
      <c r="F1312" s="37"/>
      <c r="G1312" s="37"/>
      <c r="H1312" s="37"/>
      <c r="I1312" s="37"/>
      <c r="J1312" s="37"/>
      <c r="K1312" s="37"/>
      <c r="L1312" s="37"/>
      <c r="M1312" s="37"/>
      <c r="N1312" s="37"/>
      <c r="O1312" s="29"/>
    </row>
    <row r="1313">
      <c r="A1313" s="29"/>
      <c r="B1313" s="36"/>
      <c r="C1313" s="37"/>
      <c r="D1313" s="37"/>
      <c r="E1313" s="37"/>
      <c r="F1313" s="37"/>
      <c r="G1313" s="37"/>
      <c r="H1313" s="37"/>
      <c r="I1313" s="37"/>
      <c r="J1313" s="37"/>
      <c r="K1313" s="37"/>
      <c r="L1313" s="37"/>
      <c r="M1313" s="37"/>
      <c r="N1313" s="37"/>
      <c r="O1313" s="29"/>
    </row>
    <row r="1314">
      <c r="A1314" s="29"/>
      <c r="B1314" s="36"/>
      <c r="C1314" s="37"/>
      <c r="D1314" s="37"/>
      <c r="E1314" s="37"/>
      <c r="F1314" s="37"/>
      <c r="G1314" s="37"/>
      <c r="H1314" s="37"/>
      <c r="I1314" s="37"/>
      <c r="J1314" s="37"/>
      <c r="K1314" s="37"/>
      <c r="L1314" s="37"/>
      <c r="M1314" s="37"/>
      <c r="N1314" s="37"/>
      <c r="O1314" s="29"/>
    </row>
    <row r="1315">
      <c r="A1315" s="29"/>
      <c r="B1315" s="36"/>
      <c r="C1315" s="37"/>
      <c r="D1315" s="37"/>
      <c r="E1315" s="37"/>
      <c r="F1315" s="37"/>
      <c r="G1315" s="37"/>
      <c r="H1315" s="37"/>
      <c r="I1315" s="37"/>
      <c r="J1315" s="37"/>
      <c r="K1315" s="37"/>
      <c r="L1315" s="37"/>
      <c r="M1315" s="37"/>
      <c r="N1315" s="37"/>
      <c r="O1315" s="29"/>
    </row>
    <row r="1316">
      <c r="A1316" s="29"/>
      <c r="B1316" s="36"/>
      <c r="C1316" s="37"/>
      <c r="D1316" s="37"/>
      <c r="E1316" s="37"/>
      <c r="F1316" s="37"/>
      <c r="G1316" s="37"/>
      <c r="H1316" s="37"/>
      <c r="I1316" s="37"/>
      <c r="J1316" s="37"/>
      <c r="K1316" s="37"/>
      <c r="L1316" s="37"/>
      <c r="M1316" s="37"/>
      <c r="N1316" s="37"/>
      <c r="O1316" s="29"/>
    </row>
    <row r="1317">
      <c r="A1317" s="29"/>
      <c r="B1317" s="36"/>
      <c r="C1317" s="37"/>
      <c r="D1317" s="37"/>
      <c r="E1317" s="37"/>
      <c r="F1317" s="37"/>
      <c r="G1317" s="37"/>
      <c r="H1317" s="37"/>
      <c r="I1317" s="37"/>
      <c r="J1317" s="37"/>
      <c r="K1317" s="37"/>
      <c r="L1317" s="37"/>
      <c r="M1317" s="37"/>
      <c r="N1317" s="37"/>
      <c r="O1317" s="29"/>
    </row>
    <row r="1318">
      <c r="A1318" s="29"/>
      <c r="B1318" s="36"/>
      <c r="C1318" s="37"/>
      <c r="D1318" s="37"/>
      <c r="E1318" s="37"/>
      <c r="F1318" s="37"/>
      <c r="G1318" s="37"/>
      <c r="H1318" s="37"/>
      <c r="I1318" s="37"/>
      <c r="J1318" s="37"/>
      <c r="K1318" s="37"/>
      <c r="L1318" s="37"/>
      <c r="M1318" s="37"/>
      <c r="N1318" s="37"/>
      <c r="O1318" s="29"/>
    </row>
    <row r="1319">
      <c r="A1319" s="29"/>
      <c r="B1319" s="36"/>
      <c r="C1319" s="37"/>
      <c r="D1319" s="37"/>
      <c r="E1319" s="37"/>
      <c r="F1319" s="37"/>
      <c r="G1319" s="37"/>
      <c r="H1319" s="37"/>
      <c r="I1319" s="37"/>
      <c r="J1319" s="37"/>
      <c r="K1319" s="37"/>
      <c r="L1319" s="37"/>
      <c r="M1319" s="37"/>
      <c r="N1319" s="37"/>
      <c r="O1319" s="29"/>
    </row>
    <row r="1320">
      <c r="A1320" s="29"/>
      <c r="B1320" s="36"/>
      <c r="C1320" s="37"/>
      <c r="D1320" s="37"/>
      <c r="E1320" s="37"/>
      <c r="F1320" s="37"/>
      <c r="G1320" s="37"/>
      <c r="H1320" s="37"/>
      <c r="I1320" s="37"/>
      <c r="J1320" s="37"/>
      <c r="K1320" s="37"/>
      <c r="L1320" s="37"/>
      <c r="M1320" s="37"/>
      <c r="N1320" s="37"/>
      <c r="O1320" s="29"/>
    </row>
    <row r="1321">
      <c r="A1321" s="29"/>
      <c r="B1321" s="36"/>
      <c r="C1321" s="37"/>
      <c r="D1321" s="37"/>
      <c r="E1321" s="37"/>
      <c r="F1321" s="37"/>
      <c r="G1321" s="37"/>
      <c r="H1321" s="37"/>
      <c r="I1321" s="37"/>
      <c r="J1321" s="37"/>
      <c r="K1321" s="37"/>
      <c r="L1321" s="37"/>
      <c r="M1321" s="37"/>
      <c r="N1321" s="37"/>
      <c r="O1321" s="29"/>
    </row>
    <row r="1322">
      <c r="A1322" s="29"/>
      <c r="B1322" s="36"/>
      <c r="C1322" s="37"/>
      <c r="D1322" s="37"/>
      <c r="E1322" s="37"/>
      <c r="F1322" s="37"/>
      <c r="G1322" s="37"/>
      <c r="H1322" s="37"/>
      <c r="I1322" s="37"/>
      <c r="J1322" s="37"/>
      <c r="K1322" s="37"/>
      <c r="L1322" s="37"/>
      <c r="M1322" s="37"/>
      <c r="N1322" s="37"/>
      <c r="O1322" s="29"/>
    </row>
    <row r="1323">
      <c r="A1323" s="29"/>
      <c r="B1323" s="36"/>
      <c r="C1323" s="37"/>
      <c r="D1323" s="37"/>
      <c r="E1323" s="37"/>
      <c r="F1323" s="37"/>
      <c r="G1323" s="37"/>
      <c r="H1323" s="37"/>
      <c r="I1323" s="37"/>
      <c r="J1323" s="37"/>
      <c r="K1323" s="37"/>
      <c r="L1323" s="37"/>
      <c r="M1323" s="37"/>
      <c r="N1323" s="37"/>
      <c r="O1323" s="29"/>
    </row>
    <row r="1324">
      <c r="A1324" s="29"/>
      <c r="B1324" s="36"/>
      <c r="C1324" s="37"/>
      <c r="D1324" s="37"/>
      <c r="E1324" s="37"/>
      <c r="F1324" s="37"/>
      <c r="G1324" s="37"/>
      <c r="H1324" s="37"/>
      <c r="I1324" s="37"/>
      <c r="J1324" s="37"/>
      <c r="K1324" s="37"/>
      <c r="L1324" s="37"/>
      <c r="M1324" s="37"/>
      <c r="N1324" s="37"/>
      <c r="O1324" s="29"/>
    </row>
    <row r="1325">
      <c r="A1325" s="29"/>
      <c r="B1325" s="36"/>
      <c r="C1325" s="37"/>
      <c r="D1325" s="37"/>
      <c r="E1325" s="37"/>
      <c r="F1325" s="37"/>
      <c r="G1325" s="37"/>
      <c r="H1325" s="37"/>
      <c r="I1325" s="37"/>
      <c r="J1325" s="37"/>
      <c r="K1325" s="37"/>
      <c r="L1325" s="37"/>
      <c r="M1325" s="37"/>
      <c r="N1325" s="37"/>
      <c r="O1325" s="29"/>
    </row>
    <row r="1326">
      <c r="A1326" s="29"/>
      <c r="B1326" s="36"/>
      <c r="C1326" s="37"/>
      <c r="D1326" s="37"/>
      <c r="E1326" s="37"/>
      <c r="F1326" s="37"/>
      <c r="G1326" s="37"/>
      <c r="H1326" s="37"/>
      <c r="I1326" s="37"/>
      <c r="J1326" s="37"/>
      <c r="K1326" s="37"/>
      <c r="L1326" s="37"/>
      <c r="M1326" s="37"/>
      <c r="N1326" s="37"/>
      <c r="O1326" s="29"/>
    </row>
    <row r="1327">
      <c r="A1327" s="29"/>
      <c r="B1327" s="36"/>
      <c r="C1327" s="37"/>
      <c r="D1327" s="37"/>
      <c r="E1327" s="37"/>
      <c r="F1327" s="37"/>
      <c r="G1327" s="37"/>
      <c r="H1327" s="37"/>
      <c r="I1327" s="37"/>
      <c r="J1327" s="37"/>
      <c r="K1327" s="37"/>
      <c r="L1327" s="37"/>
      <c r="M1327" s="37"/>
      <c r="N1327" s="37"/>
      <c r="O1327" s="29"/>
    </row>
    <row r="1328">
      <c r="A1328" s="29"/>
      <c r="B1328" s="36"/>
      <c r="C1328" s="37"/>
      <c r="D1328" s="37"/>
      <c r="E1328" s="37"/>
      <c r="F1328" s="37"/>
      <c r="G1328" s="37"/>
      <c r="H1328" s="37"/>
      <c r="I1328" s="37"/>
      <c r="J1328" s="37"/>
      <c r="K1328" s="37"/>
      <c r="L1328" s="37"/>
      <c r="M1328" s="37"/>
      <c r="N1328" s="37"/>
      <c r="O1328" s="29"/>
    </row>
    <row r="1329">
      <c r="A1329" s="29"/>
      <c r="B1329" s="36"/>
      <c r="C1329" s="37"/>
      <c r="D1329" s="37"/>
      <c r="E1329" s="37"/>
      <c r="F1329" s="37"/>
      <c r="G1329" s="37"/>
      <c r="H1329" s="37"/>
      <c r="I1329" s="37"/>
      <c r="J1329" s="37"/>
      <c r="K1329" s="37"/>
      <c r="L1329" s="37"/>
      <c r="M1329" s="37"/>
      <c r="N1329" s="37"/>
      <c r="O1329" s="29"/>
    </row>
    <row r="1330">
      <c r="A1330" s="29"/>
      <c r="B1330" s="36"/>
      <c r="C1330" s="37"/>
      <c r="D1330" s="37"/>
      <c r="E1330" s="37"/>
      <c r="F1330" s="37"/>
      <c r="G1330" s="37"/>
      <c r="H1330" s="37"/>
      <c r="I1330" s="37"/>
      <c r="J1330" s="37"/>
      <c r="K1330" s="37"/>
      <c r="L1330" s="37"/>
      <c r="M1330" s="37"/>
      <c r="N1330" s="37"/>
      <c r="O1330" s="29"/>
    </row>
    <row r="1331">
      <c r="A1331" s="29"/>
      <c r="B1331" s="36"/>
      <c r="C1331" s="37"/>
      <c r="D1331" s="37"/>
      <c r="E1331" s="37"/>
      <c r="F1331" s="37"/>
      <c r="G1331" s="37"/>
      <c r="H1331" s="37"/>
      <c r="I1331" s="37"/>
      <c r="J1331" s="37"/>
      <c r="K1331" s="37"/>
      <c r="L1331" s="37"/>
      <c r="M1331" s="37"/>
      <c r="N1331" s="37"/>
      <c r="O1331" s="29"/>
    </row>
    <row r="1332">
      <c r="A1332" s="29"/>
      <c r="B1332" s="36"/>
      <c r="C1332" s="37"/>
      <c r="D1332" s="37"/>
      <c r="E1332" s="37"/>
      <c r="F1332" s="37"/>
      <c r="G1332" s="37"/>
      <c r="H1332" s="37"/>
      <c r="I1332" s="37"/>
      <c r="J1332" s="37"/>
      <c r="K1332" s="37"/>
      <c r="L1332" s="37"/>
      <c r="M1332" s="37"/>
      <c r="N1332" s="37"/>
      <c r="O1332" s="29"/>
    </row>
    <row r="1333">
      <c r="A1333" s="29"/>
      <c r="B1333" s="36"/>
      <c r="C1333" s="37"/>
      <c r="D1333" s="37"/>
      <c r="E1333" s="37"/>
      <c r="F1333" s="37"/>
      <c r="G1333" s="37"/>
      <c r="H1333" s="37"/>
      <c r="I1333" s="37"/>
      <c r="J1333" s="37"/>
      <c r="K1333" s="37"/>
      <c r="L1333" s="37"/>
      <c r="M1333" s="37"/>
      <c r="N1333" s="37"/>
      <c r="O1333" s="29"/>
    </row>
    <row r="1334">
      <c r="A1334" s="29"/>
      <c r="B1334" s="36"/>
      <c r="C1334" s="37"/>
      <c r="D1334" s="37"/>
      <c r="E1334" s="37"/>
      <c r="F1334" s="37"/>
      <c r="G1334" s="37"/>
      <c r="H1334" s="37"/>
      <c r="I1334" s="37"/>
      <c r="J1334" s="37"/>
      <c r="K1334" s="37"/>
      <c r="L1334" s="37"/>
      <c r="M1334" s="37"/>
      <c r="N1334" s="37"/>
      <c r="O1334" s="29"/>
    </row>
    <row r="1335">
      <c r="A1335" s="29"/>
      <c r="B1335" s="36"/>
      <c r="C1335" s="37"/>
      <c r="D1335" s="37"/>
      <c r="E1335" s="37"/>
      <c r="F1335" s="37"/>
      <c r="G1335" s="37"/>
      <c r="H1335" s="37"/>
      <c r="I1335" s="37"/>
      <c r="J1335" s="37"/>
      <c r="K1335" s="37"/>
      <c r="L1335" s="37"/>
      <c r="M1335" s="37"/>
      <c r="N1335" s="37"/>
      <c r="O1335" s="29"/>
    </row>
    <row r="1336">
      <c r="A1336" s="29"/>
      <c r="B1336" s="36"/>
      <c r="C1336" s="37"/>
      <c r="D1336" s="37"/>
      <c r="E1336" s="37"/>
      <c r="F1336" s="37"/>
      <c r="G1336" s="37"/>
      <c r="H1336" s="37"/>
      <c r="I1336" s="37"/>
      <c r="J1336" s="37"/>
      <c r="K1336" s="37"/>
      <c r="L1336" s="37"/>
      <c r="M1336" s="37"/>
      <c r="N1336" s="37"/>
      <c r="O1336" s="29"/>
    </row>
    <row r="1337">
      <c r="A1337" s="29"/>
      <c r="B1337" s="36"/>
      <c r="C1337" s="37"/>
      <c r="D1337" s="37"/>
      <c r="E1337" s="37"/>
      <c r="F1337" s="37"/>
      <c r="G1337" s="37"/>
      <c r="H1337" s="37"/>
      <c r="I1337" s="37"/>
      <c r="J1337" s="37"/>
      <c r="K1337" s="37"/>
      <c r="L1337" s="37"/>
      <c r="M1337" s="37"/>
      <c r="N1337" s="37"/>
      <c r="O1337" s="29"/>
    </row>
    <row r="1338">
      <c r="A1338" s="29"/>
      <c r="B1338" s="36"/>
      <c r="C1338" s="37"/>
      <c r="D1338" s="37"/>
      <c r="E1338" s="37"/>
      <c r="F1338" s="37"/>
      <c r="G1338" s="37"/>
      <c r="H1338" s="37"/>
      <c r="I1338" s="37"/>
      <c r="J1338" s="37"/>
      <c r="K1338" s="37"/>
      <c r="L1338" s="37"/>
      <c r="M1338" s="37"/>
      <c r="N1338" s="37"/>
      <c r="O1338" s="29"/>
    </row>
    <row r="1339">
      <c r="A1339" s="29"/>
      <c r="B1339" s="36"/>
      <c r="C1339" s="37"/>
      <c r="D1339" s="37"/>
      <c r="E1339" s="37"/>
      <c r="F1339" s="37"/>
      <c r="G1339" s="37"/>
      <c r="H1339" s="37"/>
      <c r="I1339" s="37"/>
      <c r="J1339" s="37"/>
      <c r="K1339" s="37"/>
      <c r="L1339" s="37"/>
      <c r="M1339" s="37"/>
      <c r="N1339" s="37"/>
      <c r="O1339" s="29"/>
    </row>
    <row r="1340">
      <c r="A1340" s="29"/>
      <c r="B1340" s="36"/>
      <c r="C1340" s="37"/>
      <c r="D1340" s="37"/>
      <c r="E1340" s="37"/>
      <c r="F1340" s="37"/>
      <c r="G1340" s="37"/>
      <c r="H1340" s="37"/>
      <c r="I1340" s="37"/>
      <c r="J1340" s="37"/>
      <c r="K1340" s="37"/>
      <c r="L1340" s="37"/>
      <c r="M1340" s="37"/>
      <c r="N1340" s="37"/>
      <c r="O1340" s="29"/>
    </row>
    <row r="1341">
      <c r="A1341" s="29"/>
      <c r="B1341" s="36"/>
      <c r="C1341" s="37"/>
      <c r="D1341" s="37"/>
      <c r="E1341" s="37"/>
      <c r="F1341" s="37"/>
      <c r="G1341" s="37"/>
      <c r="H1341" s="37"/>
      <c r="I1341" s="37"/>
      <c r="J1341" s="37"/>
      <c r="K1341" s="37"/>
      <c r="L1341" s="37"/>
      <c r="M1341" s="37"/>
      <c r="N1341" s="37"/>
      <c r="O1341" s="29"/>
    </row>
    <row r="1342">
      <c r="A1342" s="29"/>
      <c r="B1342" s="36"/>
      <c r="C1342" s="37"/>
      <c r="D1342" s="37"/>
      <c r="E1342" s="37"/>
      <c r="F1342" s="37"/>
      <c r="G1342" s="37"/>
      <c r="H1342" s="37"/>
      <c r="I1342" s="37"/>
      <c r="J1342" s="37"/>
      <c r="K1342" s="37"/>
      <c r="L1342" s="37"/>
      <c r="M1342" s="37"/>
      <c r="N1342" s="37"/>
      <c r="O1342" s="29"/>
    </row>
    <row r="1343">
      <c r="A1343" s="29"/>
      <c r="B1343" s="36"/>
      <c r="C1343" s="37"/>
      <c r="D1343" s="37"/>
      <c r="E1343" s="37"/>
      <c r="F1343" s="37"/>
      <c r="G1343" s="37"/>
      <c r="H1343" s="37"/>
      <c r="I1343" s="37"/>
      <c r="J1343" s="37"/>
      <c r="K1343" s="37"/>
      <c r="L1343" s="37"/>
      <c r="M1343" s="37"/>
      <c r="N1343" s="37"/>
      <c r="O1343" s="29"/>
    </row>
    <row r="1344">
      <c r="A1344" s="29"/>
      <c r="B1344" s="36"/>
      <c r="C1344" s="37"/>
      <c r="D1344" s="37"/>
      <c r="E1344" s="37"/>
      <c r="F1344" s="37"/>
      <c r="G1344" s="37"/>
      <c r="H1344" s="37"/>
      <c r="I1344" s="37"/>
      <c r="J1344" s="37"/>
      <c r="K1344" s="37"/>
      <c r="L1344" s="37"/>
      <c r="M1344" s="37"/>
      <c r="N1344" s="37"/>
      <c r="O1344" s="29"/>
    </row>
    <row r="1345">
      <c r="A1345" s="29"/>
      <c r="B1345" s="36"/>
      <c r="C1345" s="37"/>
      <c r="D1345" s="37"/>
      <c r="E1345" s="37"/>
      <c r="F1345" s="37"/>
      <c r="G1345" s="37"/>
      <c r="H1345" s="37"/>
      <c r="I1345" s="37"/>
      <c r="J1345" s="37"/>
      <c r="K1345" s="37"/>
      <c r="L1345" s="37"/>
      <c r="M1345" s="37"/>
      <c r="N1345" s="37"/>
      <c r="O1345" s="29"/>
    </row>
    <row r="1346">
      <c r="A1346" s="29"/>
      <c r="B1346" s="36"/>
      <c r="C1346" s="37"/>
      <c r="D1346" s="37"/>
      <c r="E1346" s="37"/>
      <c r="F1346" s="37"/>
      <c r="G1346" s="37"/>
      <c r="H1346" s="37"/>
      <c r="I1346" s="37"/>
      <c r="J1346" s="37"/>
      <c r="K1346" s="37"/>
      <c r="L1346" s="37"/>
      <c r="M1346" s="37"/>
      <c r="N1346" s="37"/>
      <c r="O1346" s="29"/>
    </row>
    <row r="1347">
      <c r="A1347" s="29"/>
      <c r="B1347" s="36"/>
      <c r="C1347" s="37"/>
      <c r="D1347" s="37"/>
      <c r="E1347" s="37"/>
      <c r="F1347" s="37"/>
      <c r="G1347" s="37"/>
      <c r="H1347" s="37"/>
      <c r="I1347" s="37"/>
      <c r="J1347" s="37"/>
      <c r="K1347" s="37"/>
      <c r="L1347" s="37"/>
      <c r="M1347" s="37"/>
      <c r="N1347" s="37"/>
      <c r="O1347" s="29"/>
    </row>
    <row r="1348">
      <c r="A1348" s="29"/>
      <c r="B1348" s="36"/>
      <c r="C1348" s="37"/>
      <c r="D1348" s="37"/>
      <c r="E1348" s="37"/>
      <c r="F1348" s="37"/>
      <c r="G1348" s="37"/>
      <c r="H1348" s="37"/>
      <c r="I1348" s="37"/>
      <c r="J1348" s="37"/>
      <c r="K1348" s="37"/>
      <c r="L1348" s="37"/>
      <c r="M1348" s="37"/>
      <c r="N1348" s="37"/>
      <c r="O1348" s="29"/>
    </row>
    <row r="1349">
      <c r="A1349" s="29"/>
      <c r="B1349" s="36"/>
      <c r="C1349" s="37"/>
      <c r="D1349" s="37"/>
      <c r="E1349" s="37"/>
      <c r="F1349" s="37"/>
      <c r="G1349" s="37"/>
      <c r="H1349" s="37"/>
      <c r="I1349" s="37"/>
      <c r="J1349" s="37"/>
      <c r="K1349" s="37"/>
      <c r="L1349" s="37"/>
      <c r="M1349" s="37"/>
      <c r="N1349" s="37"/>
      <c r="O1349" s="29"/>
    </row>
    <row r="1350">
      <c r="A1350" s="29"/>
      <c r="B1350" s="36"/>
      <c r="C1350" s="37"/>
      <c r="D1350" s="37"/>
      <c r="E1350" s="37"/>
      <c r="F1350" s="37"/>
      <c r="G1350" s="37"/>
      <c r="H1350" s="37"/>
      <c r="I1350" s="37"/>
      <c r="J1350" s="37"/>
      <c r="K1350" s="37"/>
      <c r="L1350" s="37"/>
      <c r="M1350" s="37"/>
      <c r="N1350" s="37"/>
      <c r="O1350" s="29"/>
    </row>
    <row r="1351">
      <c r="A1351" s="29"/>
      <c r="B1351" s="36"/>
      <c r="C1351" s="37"/>
      <c r="D1351" s="37"/>
      <c r="E1351" s="37"/>
      <c r="F1351" s="37"/>
      <c r="G1351" s="37"/>
      <c r="H1351" s="37"/>
      <c r="I1351" s="37"/>
      <c r="J1351" s="37"/>
      <c r="K1351" s="37"/>
      <c r="L1351" s="37"/>
      <c r="M1351" s="37"/>
      <c r="N1351" s="37"/>
      <c r="O1351" s="29"/>
    </row>
    <row r="1352">
      <c r="A1352" s="29"/>
      <c r="B1352" s="36"/>
      <c r="C1352" s="37"/>
      <c r="D1352" s="37"/>
      <c r="E1352" s="37"/>
      <c r="F1352" s="37"/>
      <c r="G1352" s="37"/>
      <c r="H1352" s="37"/>
      <c r="I1352" s="37"/>
      <c r="J1352" s="37"/>
      <c r="K1352" s="37"/>
      <c r="L1352" s="37"/>
      <c r="M1352" s="37"/>
      <c r="N1352" s="37"/>
      <c r="O1352" s="29"/>
    </row>
    <row r="1353">
      <c r="A1353" s="29"/>
      <c r="B1353" s="36"/>
      <c r="C1353" s="37"/>
      <c r="D1353" s="37"/>
      <c r="E1353" s="37"/>
      <c r="F1353" s="37"/>
      <c r="G1353" s="37"/>
      <c r="H1353" s="37"/>
      <c r="I1353" s="37"/>
      <c r="J1353" s="37"/>
      <c r="K1353" s="37"/>
      <c r="L1353" s="37"/>
      <c r="M1353" s="37"/>
      <c r="N1353" s="37"/>
      <c r="O1353" s="29"/>
    </row>
    <row r="1354">
      <c r="A1354" s="29"/>
      <c r="B1354" s="36"/>
      <c r="C1354" s="37"/>
      <c r="D1354" s="37"/>
      <c r="E1354" s="37"/>
      <c r="F1354" s="37"/>
      <c r="G1354" s="37"/>
      <c r="H1354" s="37"/>
      <c r="I1354" s="37"/>
      <c r="J1354" s="37"/>
      <c r="K1354" s="37"/>
      <c r="L1354" s="37"/>
      <c r="M1354" s="37"/>
      <c r="N1354" s="37"/>
      <c r="O1354" s="29"/>
    </row>
    <row r="1355">
      <c r="A1355" s="29"/>
      <c r="B1355" s="36"/>
      <c r="C1355" s="37"/>
      <c r="D1355" s="37"/>
      <c r="E1355" s="37"/>
      <c r="F1355" s="37"/>
      <c r="G1355" s="37"/>
      <c r="H1355" s="37"/>
      <c r="I1355" s="37"/>
      <c r="J1355" s="37"/>
      <c r="K1355" s="37"/>
      <c r="L1355" s="37"/>
      <c r="M1355" s="37"/>
      <c r="N1355" s="37"/>
      <c r="O1355" s="29"/>
    </row>
    <row r="1356">
      <c r="A1356" s="29"/>
      <c r="B1356" s="36"/>
      <c r="C1356" s="37"/>
      <c r="D1356" s="37"/>
      <c r="E1356" s="37"/>
      <c r="F1356" s="37"/>
      <c r="G1356" s="37"/>
      <c r="H1356" s="37"/>
      <c r="I1356" s="37"/>
      <c r="J1356" s="37"/>
      <c r="K1356" s="37"/>
      <c r="L1356" s="37"/>
      <c r="M1356" s="37"/>
      <c r="N1356" s="37"/>
      <c r="O1356" s="29"/>
    </row>
    <row r="1357">
      <c r="A1357" s="29"/>
      <c r="B1357" s="36"/>
      <c r="C1357" s="37"/>
      <c r="D1357" s="37"/>
      <c r="E1357" s="37"/>
      <c r="F1357" s="37"/>
      <c r="G1357" s="37"/>
      <c r="H1357" s="37"/>
      <c r="I1357" s="37"/>
      <c r="J1357" s="37"/>
      <c r="K1357" s="37"/>
      <c r="L1357" s="37"/>
      <c r="M1357" s="37"/>
      <c r="N1357" s="37"/>
      <c r="O1357" s="29"/>
    </row>
    <row r="1358">
      <c r="A1358" s="29"/>
      <c r="B1358" s="36"/>
      <c r="C1358" s="37"/>
      <c r="D1358" s="37"/>
      <c r="E1358" s="37"/>
      <c r="F1358" s="37"/>
      <c r="G1358" s="37"/>
      <c r="H1358" s="37"/>
      <c r="I1358" s="37"/>
      <c r="J1358" s="37"/>
      <c r="K1358" s="37"/>
      <c r="L1358" s="37"/>
      <c r="M1358" s="37"/>
      <c r="N1358" s="37"/>
      <c r="O1358" s="29"/>
    </row>
    <row r="1359">
      <c r="A1359" s="29"/>
      <c r="B1359" s="36"/>
      <c r="C1359" s="37"/>
      <c r="D1359" s="37"/>
      <c r="E1359" s="37"/>
      <c r="F1359" s="37"/>
      <c r="G1359" s="37"/>
      <c r="H1359" s="37"/>
      <c r="I1359" s="37"/>
      <c r="J1359" s="37"/>
      <c r="K1359" s="37"/>
      <c r="L1359" s="37"/>
      <c r="M1359" s="37"/>
      <c r="N1359" s="37"/>
      <c r="O1359" s="29"/>
    </row>
    <row r="1360">
      <c r="A1360" s="29"/>
      <c r="B1360" s="36"/>
      <c r="C1360" s="37"/>
      <c r="D1360" s="37"/>
      <c r="E1360" s="37"/>
      <c r="F1360" s="37"/>
      <c r="G1360" s="37"/>
      <c r="H1360" s="37"/>
      <c r="I1360" s="37"/>
      <c r="J1360" s="37"/>
      <c r="K1360" s="37"/>
      <c r="L1360" s="37"/>
      <c r="M1360" s="37"/>
      <c r="N1360" s="37"/>
      <c r="O1360" s="29"/>
    </row>
    <row r="1361">
      <c r="A1361" s="29"/>
      <c r="B1361" s="36"/>
      <c r="C1361" s="37"/>
      <c r="D1361" s="37"/>
      <c r="E1361" s="37"/>
      <c r="F1361" s="37"/>
      <c r="G1361" s="37"/>
      <c r="H1361" s="37"/>
      <c r="I1361" s="37"/>
      <c r="J1361" s="37"/>
      <c r="K1361" s="37"/>
      <c r="L1361" s="37"/>
      <c r="M1361" s="37"/>
      <c r="N1361" s="37"/>
      <c r="O1361" s="29"/>
    </row>
    <row r="1362">
      <c r="A1362" s="29"/>
      <c r="B1362" s="36"/>
      <c r="C1362" s="37"/>
      <c r="D1362" s="37"/>
      <c r="E1362" s="37"/>
      <c r="F1362" s="37"/>
      <c r="G1362" s="37"/>
      <c r="H1362" s="37"/>
      <c r="I1362" s="37"/>
      <c r="J1362" s="37"/>
      <c r="K1362" s="37"/>
      <c r="L1362" s="37"/>
      <c r="M1362" s="37"/>
      <c r="N1362" s="37"/>
      <c r="O1362" s="29"/>
    </row>
    <row r="1363">
      <c r="A1363" s="29"/>
      <c r="B1363" s="36"/>
      <c r="C1363" s="37"/>
      <c r="D1363" s="37"/>
      <c r="E1363" s="37"/>
      <c r="F1363" s="37"/>
      <c r="G1363" s="37"/>
      <c r="H1363" s="37"/>
      <c r="I1363" s="37"/>
      <c r="J1363" s="37"/>
      <c r="K1363" s="37"/>
      <c r="L1363" s="37"/>
      <c r="M1363" s="37"/>
      <c r="N1363" s="37"/>
      <c r="O1363" s="29"/>
    </row>
    <row r="1364">
      <c r="A1364" s="29"/>
      <c r="B1364" s="36"/>
      <c r="C1364" s="37"/>
      <c r="D1364" s="37"/>
      <c r="E1364" s="37"/>
      <c r="F1364" s="37"/>
      <c r="G1364" s="37"/>
      <c r="H1364" s="37"/>
      <c r="I1364" s="37"/>
      <c r="J1364" s="37"/>
      <c r="K1364" s="37"/>
      <c r="L1364" s="37"/>
      <c r="M1364" s="37"/>
      <c r="N1364" s="37"/>
      <c r="O1364" s="29"/>
    </row>
    <row r="1365">
      <c r="A1365" s="29"/>
      <c r="B1365" s="36"/>
      <c r="C1365" s="37"/>
      <c r="D1365" s="37"/>
      <c r="E1365" s="37"/>
      <c r="F1365" s="37"/>
      <c r="G1365" s="37"/>
      <c r="H1365" s="37"/>
      <c r="I1365" s="37"/>
      <c r="J1365" s="37"/>
      <c r="K1365" s="37"/>
      <c r="L1365" s="37"/>
      <c r="M1365" s="37"/>
      <c r="N1365" s="37"/>
      <c r="O1365" s="29"/>
    </row>
    <row r="1366">
      <c r="A1366" s="29"/>
      <c r="B1366" s="36"/>
      <c r="C1366" s="37"/>
      <c r="D1366" s="37"/>
      <c r="E1366" s="37"/>
      <c r="F1366" s="37"/>
      <c r="G1366" s="37"/>
      <c r="H1366" s="37"/>
      <c r="I1366" s="37"/>
      <c r="J1366" s="37"/>
      <c r="K1366" s="37"/>
      <c r="L1366" s="37"/>
      <c r="M1366" s="37"/>
      <c r="N1366" s="37"/>
      <c r="O1366" s="29"/>
    </row>
    <row r="1367">
      <c r="A1367" s="29"/>
      <c r="B1367" s="36"/>
      <c r="C1367" s="37"/>
      <c r="D1367" s="37"/>
      <c r="E1367" s="37"/>
      <c r="F1367" s="37"/>
      <c r="G1367" s="37"/>
      <c r="H1367" s="37"/>
      <c r="I1367" s="37"/>
      <c r="J1367" s="37"/>
      <c r="K1367" s="37"/>
      <c r="L1367" s="37"/>
      <c r="M1367" s="37"/>
      <c r="N1367" s="37"/>
      <c r="O1367" s="29"/>
    </row>
    <row r="1368">
      <c r="A1368" s="29"/>
      <c r="B1368" s="36"/>
      <c r="C1368" s="37"/>
      <c r="D1368" s="37"/>
      <c r="E1368" s="37"/>
      <c r="F1368" s="37"/>
      <c r="G1368" s="37"/>
      <c r="H1368" s="37"/>
      <c r="I1368" s="37"/>
      <c r="J1368" s="37"/>
      <c r="K1368" s="37"/>
      <c r="L1368" s="37"/>
      <c r="M1368" s="37"/>
      <c r="N1368" s="37"/>
      <c r="O1368" s="29"/>
    </row>
    <row r="1369">
      <c r="A1369" s="29"/>
      <c r="B1369" s="36"/>
      <c r="C1369" s="37"/>
      <c r="D1369" s="37"/>
      <c r="E1369" s="37"/>
      <c r="F1369" s="37"/>
      <c r="G1369" s="37"/>
      <c r="H1369" s="37"/>
      <c r="I1369" s="37"/>
      <c r="J1369" s="37"/>
      <c r="K1369" s="37"/>
      <c r="L1369" s="37"/>
      <c r="M1369" s="37"/>
      <c r="N1369" s="37"/>
      <c r="O1369" s="29"/>
    </row>
    <row r="1370">
      <c r="A1370" s="29"/>
      <c r="B1370" s="36"/>
      <c r="C1370" s="37"/>
      <c r="D1370" s="37"/>
      <c r="E1370" s="37"/>
      <c r="F1370" s="37"/>
      <c r="G1370" s="37"/>
      <c r="H1370" s="37"/>
      <c r="I1370" s="37"/>
      <c r="J1370" s="37"/>
      <c r="K1370" s="37"/>
      <c r="L1370" s="37"/>
      <c r="M1370" s="37"/>
      <c r="N1370" s="37"/>
      <c r="O1370" s="29"/>
    </row>
    <row r="1371">
      <c r="A1371" s="29"/>
      <c r="B1371" s="36"/>
      <c r="C1371" s="37"/>
      <c r="D1371" s="37"/>
      <c r="E1371" s="37"/>
      <c r="F1371" s="37"/>
      <c r="G1371" s="37"/>
      <c r="H1371" s="37"/>
      <c r="I1371" s="37"/>
      <c r="J1371" s="37"/>
      <c r="K1371" s="37"/>
      <c r="L1371" s="37"/>
      <c r="M1371" s="37"/>
      <c r="N1371" s="37"/>
      <c r="O1371" s="29"/>
    </row>
    <row r="1372">
      <c r="A1372" s="29"/>
      <c r="B1372" s="36"/>
      <c r="C1372" s="37"/>
      <c r="D1372" s="37"/>
      <c r="E1372" s="37"/>
      <c r="F1372" s="37"/>
      <c r="G1372" s="37"/>
      <c r="H1372" s="37"/>
      <c r="I1372" s="37"/>
      <c r="J1372" s="37"/>
      <c r="K1372" s="37"/>
      <c r="L1372" s="37"/>
      <c r="M1372" s="37"/>
      <c r="N1372" s="37"/>
      <c r="O1372" s="29"/>
    </row>
    <row r="1373">
      <c r="A1373" s="29"/>
      <c r="B1373" s="36"/>
      <c r="C1373" s="37"/>
      <c r="D1373" s="37"/>
      <c r="E1373" s="37"/>
      <c r="F1373" s="37"/>
      <c r="G1373" s="37"/>
      <c r="H1373" s="37"/>
      <c r="I1373" s="37"/>
      <c r="J1373" s="37"/>
      <c r="K1373" s="37"/>
      <c r="L1373" s="37"/>
      <c r="M1373" s="37"/>
      <c r="N1373" s="37"/>
      <c r="O1373" s="29"/>
    </row>
    <row r="1374">
      <c r="A1374" s="29"/>
      <c r="B1374" s="36"/>
      <c r="C1374" s="37"/>
      <c r="D1374" s="37"/>
      <c r="E1374" s="37"/>
      <c r="F1374" s="37"/>
      <c r="G1374" s="37"/>
      <c r="H1374" s="37"/>
      <c r="I1374" s="37"/>
      <c r="J1374" s="37"/>
      <c r="K1374" s="37"/>
      <c r="L1374" s="37"/>
      <c r="M1374" s="37"/>
      <c r="N1374" s="37"/>
      <c r="O1374" s="29"/>
    </row>
    <row r="1375">
      <c r="A1375" s="29"/>
      <c r="B1375" s="36"/>
      <c r="C1375" s="37"/>
      <c r="D1375" s="37"/>
      <c r="E1375" s="37"/>
      <c r="F1375" s="37"/>
      <c r="G1375" s="37"/>
      <c r="H1375" s="37"/>
      <c r="I1375" s="37"/>
      <c r="J1375" s="37"/>
      <c r="K1375" s="37"/>
      <c r="L1375" s="37"/>
      <c r="M1375" s="37"/>
      <c r="N1375" s="37"/>
      <c r="O1375" s="29"/>
    </row>
    <row r="1376">
      <c r="A1376" s="29"/>
      <c r="B1376" s="36"/>
      <c r="C1376" s="37"/>
      <c r="D1376" s="37"/>
      <c r="E1376" s="37"/>
      <c r="F1376" s="37"/>
      <c r="G1376" s="37"/>
      <c r="H1376" s="37"/>
      <c r="I1376" s="37"/>
      <c r="J1376" s="37"/>
      <c r="K1376" s="37"/>
      <c r="L1376" s="37"/>
      <c r="M1376" s="37"/>
      <c r="N1376" s="37"/>
      <c r="O1376" s="29"/>
    </row>
    <row r="1377">
      <c r="A1377" s="29"/>
      <c r="B1377" s="36"/>
      <c r="C1377" s="37"/>
      <c r="D1377" s="37"/>
      <c r="E1377" s="37"/>
      <c r="F1377" s="37"/>
      <c r="G1377" s="37"/>
      <c r="H1377" s="37"/>
      <c r="I1377" s="37"/>
      <c r="J1377" s="37"/>
      <c r="K1377" s="37"/>
      <c r="L1377" s="37"/>
      <c r="M1377" s="37"/>
      <c r="N1377" s="37"/>
      <c r="O1377" s="29"/>
    </row>
    <row r="1378">
      <c r="A1378" s="29"/>
      <c r="B1378" s="36"/>
      <c r="C1378" s="37"/>
      <c r="D1378" s="37"/>
      <c r="E1378" s="37"/>
      <c r="F1378" s="37"/>
      <c r="G1378" s="37"/>
      <c r="H1378" s="37"/>
      <c r="I1378" s="37"/>
      <c r="J1378" s="37"/>
      <c r="K1378" s="37"/>
      <c r="L1378" s="37"/>
      <c r="M1378" s="37"/>
      <c r="N1378" s="37"/>
      <c r="O1378" s="29"/>
    </row>
    <row r="1379">
      <c r="A1379" s="29"/>
      <c r="B1379" s="36"/>
      <c r="C1379" s="37"/>
      <c r="D1379" s="37"/>
      <c r="E1379" s="37"/>
      <c r="F1379" s="37"/>
      <c r="G1379" s="37"/>
      <c r="H1379" s="37"/>
      <c r="I1379" s="37"/>
      <c r="J1379" s="37"/>
      <c r="K1379" s="37"/>
      <c r="L1379" s="37"/>
      <c r="M1379" s="37"/>
      <c r="N1379" s="37"/>
      <c r="O1379" s="29"/>
    </row>
    <row r="1380">
      <c r="A1380" s="29"/>
      <c r="B1380" s="36"/>
      <c r="C1380" s="37"/>
      <c r="D1380" s="37"/>
      <c r="E1380" s="37"/>
      <c r="F1380" s="37"/>
      <c r="G1380" s="37"/>
      <c r="H1380" s="37"/>
      <c r="I1380" s="37"/>
      <c r="J1380" s="37"/>
      <c r="K1380" s="37"/>
      <c r="L1380" s="37"/>
      <c r="M1380" s="37"/>
      <c r="N1380" s="37"/>
      <c r="O1380" s="29"/>
    </row>
    <row r="1381">
      <c r="A1381" s="29"/>
      <c r="B1381" s="36"/>
      <c r="C1381" s="37"/>
      <c r="D1381" s="37"/>
      <c r="E1381" s="37"/>
      <c r="F1381" s="37"/>
      <c r="G1381" s="37"/>
      <c r="H1381" s="37"/>
      <c r="I1381" s="37"/>
      <c r="J1381" s="37"/>
      <c r="K1381" s="37"/>
      <c r="L1381" s="37"/>
      <c r="M1381" s="37"/>
      <c r="N1381" s="37"/>
      <c r="O1381" s="29"/>
    </row>
    <row r="1382">
      <c r="A1382" s="29"/>
      <c r="B1382" s="36"/>
      <c r="C1382" s="37"/>
      <c r="D1382" s="37"/>
      <c r="E1382" s="37"/>
      <c r="F1382" s="37"/>
      <c r="G1382" s="37"/>
      <c r="H1382" s="37"/>
      <c r="I1382" s="37"/>
      <c r="J1382" s="37"/>
      <c r="K1382" s="37"/>
      <c r="L1382" s="37"/>
      <c r="M1382" s="37"/>
      <c r="N1382" s="37"/>
      <c r="O1382" s="29"/>
    </row>
    <row r="1383">
      <c r="A1383" s="29"/>
      <c r="B1383" s="36"/>
      <c r="C1383" s="37"/>
      <c r="D1383" s="37"/>
      <c r="E1383" s="37"/>
      <c r="F1383" s="37"/>
      <c r="G1383" s="37"/>
      <c r="H1383" s="37"/>
      <c r="I1383" s="37"/>
      <c r="J1383" s="37"/>
      <c r="K1383" s="37"/>
      <c r="L1383" s="37"/>
      <c r="M1383" s="37"/>
      <c r="N1383" s="37"/>
      <c r="O1383" s="29"/>
    </row>
    <row r="1384">
      <c r="A1384" s="29"/>
      <c r="B1384" s="36"/>
      <c r="C1384" s="37"/>
      <c r="D1384" s="37"/>
      <c r="E1384" s="37"/>
      <c r="F1384" s="37"/>
      <c r="G1384" s="37"/>
      <c r="H1384" s="37"/>
      <c r="I1384" s="37"/>
      <c r="J1384" s="37"/>
      <c r="K1384" s="37"/>
      <c r="L1384" s="37"/>
      <c r="M1384" s="37"/>
      <c r="N1384" s="37"/>
      <c r="O1384" s="29"/>
    </row>
    <row r="1385">
      <c r="A1385" s="29"/>
      <c r="B1385" s="36"/>
      <c r="C1385" s="37"/>
      <c r="D1385" s="37"/>
      <c r="E1385" s="37"/>
      <c r="F1385" s="37"/>
      <c r="G1385" s="37"/>
      <c r="H1385" s="37"/>
      <c r="I1385" s="37"/>
      <c r="J1385" s="37"/>
      <c r="K1385" s="37"/>
      <c r="L1385" s="37"/>
      <c r="M1385" s="37"/>
      <c r="N1385" s="37"/>
      <c r="O1385" s="29"/>
    </row>
    <row r="1386">
      <c r="A1386" s="29"/>
      <c r="B1386" s="36"/>
      <c r="C1386" s="37"/>
      <c r="D1386" s="37"/>
      <c r="E1386" s="37"/>
      <c r="F1386" s="37"/>
      <c r="G1386" s="37"/>
      <c r="H1386" s="37"/>
      <c r="I1386" s="37"/>
      <c r="J1386" s="37"/>
      <c r="K1386" s="37"/>
      <c r="L1386" s="37"/>
      <c r="M1386" s="37"/>
      <c r="N1386" s="37"/>
      <c r="O1386" s="29"/>
    </row>
    <row r="1387">
      <c r="A1387" s="29"/>
      <c r="B1387" s="36"/>
      <c r="C1387" s="37"/>
      <c r="D1387" s="37"/>
      <c r="E1387" s="37"/>
      <c r="F1387" s="37"/>
      <c r="G1387" s="37"/>
      <c r="H1387" s="37"/>
      <c r="I1387" s="37"/>
      <c r="J1387" s="37"/>
      <c r="K1387" s="37"/>
      <c r="L1387" s="37"/>
      <c r="M1387" s="37"/>
      <c r="N1387" s="37"/>
      <c r="O1387" s="29"/>
    </row>
    <row r="1388">
      <c r="A1388" s="29"/>
      <c r="B1388" s="36"/>
      <c r="C1388" s="37"/>
      <c r="D1388" s="37"/>
      <c r="E1388" s="37"/>
      <c r="F1388" s="37"/>
      <c r="G1388" s="37"/>
      <c r="H1388" s="37"/>
      <c r="I1388" s="37"/>
      <c r="J1388" s="37"/>
      <c r="K1388" s="37"/>
      <c r="L1388" s="37"/>
      <c r="M1388" s="37"/>
      <c r="N1388" s="37"/>
      <c r="O1388" s="29"/>
    </row>
    <row r="1389">
      <c r="A1389" s="29"/>
      <c r="B1389" s="36"/>
      <c r="C1389" s="37"/>
      <c r="D1389" s="37"/>
      <c r="E1389" s="37"/>
      <c r="F1389" s="37"/>
      <c r="G1389" s="37"/>
      <c r="H1389" s="37"/>
      <c r="I1389" s="37"/>
      <c r="J1389" s="37"/>
      <c r="K1389" s="37"/>
      <c r="L1389" s="37"/>
      <c r="M1389" s="37"/>
      <c r="N1389" s="37"/>
      <c r="O1389" s="29"/>
    </row>
    <row r="1390">
      <c r="A1390" s="29"/>
      <c r="B1390" s="36"/>
      <c r="C1390" s="37"/>
      <c r="D1390" s="37"/>
      <c r="E1390" s="37"/>
      <c r="F1390" s="37"/>
      <c r="G1390" s="37"/>
      <c r="H1390" s="37"/>
      <c r="I1390" s="37"/>
      <c r="J1390" s="37"/>
      <c r="K1390" s="37"/>
      <c r="L1390" s="37"/>
      <c r="M1390" s="37"/>
      <c r="N1390" s="37"/>
      <c r="O1390" s="29"/>
    </row>
    <row r="1391">
      <c r="A1391" s="29"/>
      <c r="B1391" s="36"/>
      <c r="C1391" s="37"/>
      <c r="D1391" s="37"/>
      <c r="E1391" s="37"/>
      <c r="F1391" s="37"/>
      <c r="G1391" s="37"/>
      <c r="H1391" s="37"/>
      <c r="I1391" s="37"/>
      <c r="J1391" s="37"/>
      <c r="K1391" s="37"/>
      <c r="L1391" s="37"/>
      <c r="M1391" s="37"/>
      <c r="N1391" s="37"/>
      <c r="O1391" s="29"/>
    </row>
    <row r="1392">
      <c r="A1392" s="29"/>
      <c r="B1392" s="36"/>
      <c r="C1392" s="37"/>
      <c r="D1392" s="37"/>
      <c r="E1392" s="37"/>
      <c r="F1392" s="37"/>
      <c r="G1392" s="37"/>
      <c r="H1392" s="37"/>
      <c r="I1392" s="37"/>
      <c r="J1392" s="37"/>
      <c r="K1392" s="37"/>
      <c r="L1392" s="37"/>
      <c r="M1392" s="37"/>
      <c r="N1392" s="37"/>
      <c r="O1392" s="29"/>
    </row>
    <row r="1393">
      <c r="A1393" s="29"/>
      <c r="B1393" s="36"/>
      <c r="C1393" s="37"/>
      <c r="D1393" s="37"/>
      <c r="E1393" s="37"/>
      <c r="F1393" s="37"/>
      <c r="G1393" s="37"/>
      <c r="H1393" s="37"/>
      <c r="I1393" s="37"/>
      <c r="J1393" s="37"/>
      <c r="K1393" s="37"/>
      <c r="L1393" s="37"/>
      <c r="M1393" s="37"/>
      <c r="N1393" s="37"/>
      <c r="O1393" s="29"/>
    </row>
    <row r="1394">
      <c r="A1394" s="29"/>
      <c r="B1394" s="36"/>
      <c r="C1394" s="37"/>
      <c r="D1394" s="37"/>
      <c r="E1394" s="37"/>
      <c r="F1394" s="37"/>
      <c r="G1394" s="37"/>
      <c r="H1394" s="37"/>
      <c r="I1394" s="37"/>
      <c r="J1394" s="37"/>
      <c r="K1394" s="37"/>
      <c r="L1394" s="37"/>
      <c r="M1394" s="37"/>
      <c r="N1394" s="37"/>
      <c r="O1394" s="29"/>
    </row>
    <row r="1395">
      <c r="A1395" s="29"/>
      <c r="B1395" s="36"/>
      <c r="C1395" s="37"/>
      <c r="D1395" s="37"/>
      <c r="E1395" s="37"/>
      <c r="F1395" s="37"/>
      <c r="G1395" s="37"/>
      <c r="H1395" s="37"/>
      <c r="I1395" s="37"/>
      <c r="J1395" s="37"/>
      <c r="K1395" s="37"/>
      <c r="L1395" s="37"/>
      <c r="M1395" s="37"/>
      <c r="N1395" s="37"/>
      <c r="O1395" s="29"/>
    </row>
    <row r="1396">
      <c r="A1396" s="29"/>
      <c r="B1396" s="36"/>
      <c r="C1396" s="37"/>
      <c r="D1396" s="37"/>
      <c r="E1396" s="37"/>
      <c r="F1396" s="37"/>
      <c r="G1396" s="37"/>
      <c r="H1396" s="37"/>
      <c r="I1396" s="37"/>
      <c r="J1396" s="37"/>
      <c r="K1396" s="37"/>
      <c r="L1396" s="37"/>
      <c r="M1396" s="37"/>
      <c r="N1396" s="37"/>
      <c r="O1396" s="29"/>
    </row>
    <row r="1397">
      <c r="A1397" s="29"/>
      <c r="B1397" s="36"/>
      <c r="C1397" s="37"/>
      <c r="D1397" s="37"/>
      <c r="E1397" s="37"/>
      <c r="F1397" s="37"/>
      <c r="G1397" s="37"/>
      <c r="H1397" s="37"/>
      <c r="I1397" s="37"/>
      <c r="J1397" s="37"/>
      <c r="K1397" s="37"/>
      <c r="L1397" s="37"/>
      <c r="M1397" s="37"/>
      <c r="N1397" s="37"/>
      <c r="O1397" s="29"/>
    </row>
    <row r="1398">
      <c r="A1398" s="29"/>
      <c r="B1398" s="36"/>
      <c r="C1398" s="37"/>
      <c r="D1398" s="37"/>
      <c r="E1398" s="37"/>
      <c r="F1398" s="37"/>
      <c r="G1398" s="37"/>
      <c r="H1398" s="37"/>
      <c r="I1398" s="37"/>
      <c r="J1398" s="37"/>
      <c r="K1398" s="37"/>
      <c r="L1398" s="37"/>
      <c r="M1398" s="37"/>
      <c r="N1398" s="37"/>
      <c r="O1398" s="29"/>
    </row>
    <row r="1399">
      <c r="A1399" s="29"/>
      <c r="B1399" s="36"/>
      <c r="C1399" s="37"/>
      <c r="D1399" s="37"/>
      <c r="E1399" s="37"/>
      <c r="F1399" s="37"/>
      <c r="G1399" s="37"/>
      <c r="H1399" s="37"/>
      <c r="I1399" s="37"/>
      <c r="J1399" s="37"/>
      <c r="K1399" s="37"/>
      <c r="L1399" s="37"/>
      <c r="M1399" s="37"/>
      <c r="N1399" s="37"/>
      <c r="O1399" s="29"/>
    </row>
    <row r="1400">
      <c r="A1400" s="29"/>
      <c r="B1400" s="36"/>
      <c r="C1400" s="37"/>
      <c r="D1400" s="37"/>
      <c r="E1400" s="37"/>
      <c r="F1400" s="37"/>
      <c r="G1400" s="37"/>
      <c r="H1400" s="37"/>
      <c r="I1400" s="37"/>
      <c r="J1400" s="37"/>
      <c r="K1400" s="37"/>
      <c r="L1400" s="37"/>
      <c r="M1400" s="37"/>
      <c r="N1400" s="37"/>
      <c r="O1400" s="29"/>
    </row>
    <row r="1401">
      <c r="A1401" s="29"/>
      <c r="B1401" s="36"/>
      <c r="C1401" s="37"/>
      <c r="D1401" s="37"/>
      <c r="E1401" s="37"/>
      <c r="F1401" s="37"/>
      <c r="G1401" s="37"/>
      <c r="H1401" s="37"/>
      <c r="I1401" s="37"/>
      <c r="J1401" s="37"/>
      <c r="K1401" s="37"/>
      <c r="L1401" s="37"/>
      <c r="M1401" s="37"/>
      <c r="N1401" s="37"/>
      <c r="O1401" s="29"/>
    </row>
    <row r="1402">
      <c r="A1402" s="29"/>
      <c r="B1402" s="36"/>
      <c r="C1402" s="37"/>
      <c r="D1402" s="37"/>
      <c r="E1402" s="37"/>
      <c r="F1402" s="37"/>
      <c r="G1402" s="37"/>
      <c r="H1402" s="37"/>
      <c r="I1402" s="37"/>
      <c r="J1402" s="37"/>
      <c r="K1402" s="37"/>
      <c r="L1402" s="37"/>
      <c r="M1402" s="37"/>
      <c r="N1402" s="37"/>
      <c r="O1402" s="29"/>
    </row>
    <row r="1403">
      <c r="A1403" s="29"/>
      <c r="B1403" s="36"/>
      <c r="C1403" s="37"/>
      <c r="D1403" s="37"/>
      <c r="E1403" s="37"/>
      <c r="F1403" s="37"/>
      <c r="G1403" s="37"/>
      <c r="H1403" s="37"/>
      <c r="I1403" s="37"/>
      <c r="J1403" s="37"/>
      <c r="K1403" s="37"/>
      <c r="L1403" s="37"/>
      <c r="M1403" s="37"/>
      <c r="N1403" s="37"/>
      <c r="O1403" s="29"/>
    </row>
    <row r="1404">
      <c r="A1404" s="29"/>
      <c r="B1404" s="36"/>
      <c r="C1404" s="37"/>
      <c r="D1404" s="37"/>
      <c r="E1404" s="37"/>
      <c r="F1404" s="37"/>
      <c r="G1404" s="37"/>
      <c r="H1404" s="37"/>
      <c r="I1404" s="37"/>
      <c r="J1404" s="37"/>
      <c r="K1404" s="37"/>
      <c r="L1404" s="37"/>
      <c r="M1404" s="37"/>
      <c r="N1404" s="37"/>
      <c r="O1404" s="29"/>
    </row>
    <row r="1405">
      <c r="A1405" s="29"/>
      <c r="B1405" s="36"/>
      <c r="C1405" s="37"/>
      <c r="D1405" s="37"/>
      <c r="E1405" s="37"/>
      <c r="F1405" s="37"/>
      <c r="G1405" s="37"/>
      <c r="H1405" s="37"/>
      <c r="I1405" s="37"/>
      <c r="J1405" s="37"/>
      <c r="K1405" s="37"/>
      <c r="L1405" s="37"/>
      <c r="M1405" s="37"/>
      <c r="N1405" s="37"/>
      <c r="O1405" s="29"/>
    </row>
    <row r="1406">
      <c r="A1406" s="29"/>
      <c r="B1406" s="36"/>
      <c r="C1406" s="37"/>
      <c r="D1406" s="37"/>
      <c r="E1406" s="37"/>
      <c r="F1406" s="37"/>
      <c r="G1406" s="37"/>
      <c r="H1406" s="37"/>
      <c r="I1406" s="37"/>
      <c r="J1406" s="37"/>
      <c r="K1406" s="37"/>
      <c r="L1406" s="37"/>
      <c r="M1406" s="37"/>
      <c r="N1406" s="37"/>
      <c r="O1406" s="29"/>
    </row>
    <row r="1407">
      <c r="A1407" s="29"/>
      <c r="B1407" s="36"/>
      <c r="C1407" s="37"/>
      <c r="D1407" s="37"/>
      <c r="E1407" s="37"/>
      <c r="F1407" s="37"/>
      <c r="G1407" s="37"/>
      <c r="H1407" s="37"/>
      <c r="I1407" s="37"/>
      <c r="J1407" s="37"/>
      <c r="K1407" s="37"/>
      <c r="L1407" s="37"/>
      <c r="M1407" s="37"/>
      <c r="N1407" s="37"/>
      <c r="O1407" s="29"/>
    </row>
    <row r="1408">
      <c r="A1408" s="29"/>
      <c r="B1408" s="36"/>
      <c r="C1408" s="37"/>
      <c r="D1408" s="37"/>
      <c r="E1408" s="37"/>
      <c r="F1408" s="37"/>
      <c r="G1408" s="37"/>
      <c r="H1408" s="37"/>
      <c r="I1408" s="37"/>
      <c r="J1408" s="37"/>
      <c r="K1408" s="37"/>
      <c r="L1408" s="37"/>
      <c r="M1408" s="37"/>
      <c r="N1408" s="37"/>
      <c r="O1408" s="29"/>
    </row>
    <row r="1409">
      <c r="A1409" s="29"/>
      <c r="B1409" s="36"/>
      <c r="C1409" s="37"/>
      <c r="D1409" s="37"/>
      <c r="E1409" s="37"/>
      <c r="F1409" s="37"/>
      <c r="G1409" s="37"/>
      <c r="H1409" s="37"/>
      <c r="I1409" s="37"/>
      <c r="J1409" s="37"/>
      <c r="K1409" s="37"/>
      <c r="L1409" s="37"/>
      <c r="M1409" s="37"/>
      <c r="N1409" s="37"/>
      <c r="O1409" s="29"/>
    </row>
    <row r="1410">
      <c r="A1410" s="29"/>
      <c r="B1410" s="36"/>
      <c r="C1410" s="37"/>
      <c r="D1410" s="37"/>
      <c r="E1410" s="37"/>
      <c r="F1410" s="37"/>
      <c r="G1410" s="37"/>
      <c r="H1410" s="37"/>
      <c r="I1410" s="37"/>
      <c r="J1410" s="37"/>
      <c r="K1410" s="37"/>
      <c r="L1410" s="37"/>
      <c r="M1410" s="37"/>
      <c r="N1410" s="37"/>
      <c r="O1410" s="29"/>
    </row>
    <row r="1411">
      <c r="A1411" s="29"/>
      <c r="B1411" s="36"/>
      <c r="C1411" s="37"/>
      <c r="D1411" s="37"/>
      <c r="E1411" s="37"/>
      <c r="F1411" s="37"/>
      <c r="G1411" s="37"/>
      <c r="H1411" s="37"/>
      <c r="I1411" s="37"/>
      <c r="J1411" s="37"/>
      <c r="K1411" s="37"/>
      <c r="L1411" s="37"/>
      <c r="M1411" s="37"/>
      <c r="N1411" s="37"/>
      <c r="O1411" s="29"/>
    </row>
    <row r="1412">
      <c r="A1412" s="29"/>
      <c r="B1412" s="36"/>
      <c r="C1412" s="37"/>
      <c r="D1412" s="37"/>
      <c r="E1412" s="37"/>
      <c r="F1412" s="37"/>
      <c r="G1412" s="37"/>
      <c r="H1412" s="37"/>
      <c r="I1412" s="37"/>
      <c r="J1412" s="37"/>
      <c r="K1412" s="37"/>
      <c r="L1412" s="37"/>
      <c r="M1412" s="37"/>
      <c r="N1412" s="37"/>
      <c r="O1412" s="29"/>
    </row>
    <row r="1413">
      <c r="A1413" s="29"/>
      <c r="B1413" s="36"/>
      <c r="C1413" s="37"/>
      <c r="D1413" s="37"/>
      <c r="E1413" s="37"/>
      <c r="F1413" s="37"/>
      <c r="G1413" s="37"/>
      <c r="H1413" s="37"/>
      <c r="I1413" s="37"/>
      <c r="J1413" s="37"/>
      <c r="K1413" s="37"/>
      <c r="L1413" s="37"/>
      <c r="M1413" s="37"/>
      <c r="N1413" s="37"/>
      <c r="O1413" s="29"/>
    </row>
    <row r="1414">
      <c r="A1414" s="29"/>
      <c r="B1414" s="36"/>
      <c r="C1414" s="37"/>
      <c r="D1414" s="37"/>
      <c r="E1414" s="37"/>
      <c r="F1414" s="37"/>
      <c r="G1414" s="37"/>
      <c r="H1414" s="37"/>
      <c r="I1414" s="37"/>
      <c r="J1414" s="37"/>
      <c r="K1414" s="37"/>
      <c r="L1414" s="37"/>
      <c r="M1414" s="37"/>
      <c r="N1414" s="37"/>
      <c r="O1414" s="29"/>
    </row>
    <row r="1415">
      <c r="A1415" s="29"/>
      <c r="B1415" s="36"/>
      <c r="C1415" s="37"/>
      <c r="D1415" s="37"/>
      <c r="E1415" s="37"/>
      <c r="F1415" s="37"/>
      <c r="G1415" s="37"/>
      <c r="H1415" s="37"/>
      <c r="I1415" s="37"/>
      <c r="J1415" s="37"/>
      <c r="K1415" s="37"/>
      <c r="L1415" s="37"/>
      <c r="M1415" s="37"/>
      <c r="N1415" s="37"/>
      <c r="O1415" s="29"/>
    </row>
    <row r="1416">
      <c r="A1416" s="29"/>
      <c r="B1416" s="36"/>
      <c r="C1416" s="37"/>
      <c r="D1416" s="37"/>
      <c r="E1416" s="37"/>
      <c r="F1416" s="37"/>
      <c r="G1416" s="37"/>
      <c r="H1416" s="37"/>
      <c r="I1416" s="37"/>
      <c r="J1416" s="37"/>
      <c r="K1416" s="37"/>
      <c r="L1416" s="37"/>
      <c r="M1416" s="37"/>
      <c r="N1416" s="37"/>
      <c r="O1416" s="29"/>
    </row>
    <row r="1417">
      <c r="A1417" s="29"/>
      <c r="B1417" s="36"/>
      <c r="C1417" s="37"/>
      <c r="D1417" s="37"/>
      <c r="E1417" s="37"/>
      <c r="F1417" s="37"/>
      <c r="G1417" s="37"/>
      <c r="H1417" s="37"/>
      <c r="I1417" s="37"/>
      <c r="J1417" s="37"/>
      <c r="K1417" s="37"/>
      <c r="L1417" s="37"/>
      <c r="M1417" s="37"/>
      <c r="N1417" s="37"/>
      <c r="O1417" s="29"/>
    </row>
    <row r="1418">
      <c r="A1418" s="29"/>
      <c r="B1418" s="36"/>
      <c r="C1418" s="37"/>
      <c r="D1418" s="37"/>
      <c r="E1418" s="37"/>
      <c r="F1418" s="37"/>
      <c r="G1418" s="37"/>
      <c r="H1418" s="37"/>
      <c r="I1418" s="37"/>
      <c r="J1418" s="37"/>
      <c r="K1418" s="37"/>
      <c r="L1418" s="37"/>
      <c r="M1418" s="37"/>
      <c r="N1418" s="37"/>
      <c r="O1418" s="29"/>
    </row>
    <row r="1419">
      <c r="A1419" s="29"/>
      <c r="B1419" s="36"/>
      <c r="C1419" s="37"/>
      <c r="D1419" s="37"/>
      <c r="E1419" s="37"/>
      <c r="F1419" s="37"/>
      <c r="G1419" s="37"/>
      <c r="H1419" s="37"/>
      <c r="I1419" s="37"/>
      <c r="J1419" s="37"/>
      <c r="K1419" s="37"/>
      <c r="L1419" s="37"/>
      <c r="M1419" s="37"/>
      <c r="N1419" s="37"/>
      <c r="O1419" s="29"/>
    </row>
    <row r="1420">
      <c r="A1420" s="29"/>
      <c r="B1420" s="36"/>
      <c r="C1420" s="37"/>
      <c r="D1420" s="37"/>
      <c r="E1420" s="37"/>
      <c r="F1420" s="37"/>
      <c r="G1420" s="37"/>
      <c r="H1420" s="37"/>
      <c r="I1420" s="37"/>
      <c r="J1420" s="37"/>
      <c r="K1420" s="37"/>
      <c r="L1420" s="37"/>
      <c r="M1420" s="37"/>
      <c r="N1420" s="37"/>
      <c r="O1420" s="29"/>
    </row>
    <row r="1421">
      <c r="A1421" s="29"/>
      <c r="B1421" s="36"/>
      <c r="C1421" s="37"/>
      <c r="D1421" s="37"/>
      <c r="E1421" s="37"/>
      <c r="F1421" s="37"/>
      <c r="G1421" s="37"/>
      <c r="H1421" s="37"/>
      <c r="I1421" s="37"/>
      <c r="J1421" s="37"/>
      <c r="K1421" s="37"/>
      <c r="L1421" s="37"/>
      <c r="M1421" s="37"/>
      <c r="N1421" s="37"/>
      <c r="O1421" s="29"/>
    </row>
    <row r="1422">
      <c r="A1422" s="29"/>
      <c r="B1422" s="36"/>
      <c r="C1422" s="37"/>
      <c r="D1422" s="37"/>
      <c r="E1422" s="37"/>
      <c r="F1422" s="37"/>
      <c r="G1422" s="37"/>
      <c r="H1422" s="37"/>
      <c r="I1422" s="37"/>
      <c r="J1422" s="37"/>
      <c r="K1422" s="37"/>
      <c r="L1422" s="37"/>
      <c r="M1422" s="37"/>
      <c r="N1422" s="37"/>
      <c r="O1422" s="29"/>
    </row>
    <row r="1423">
      <c r="A1423" s="29"/>
      <c r="B1423" s="36"/>
      <c r="C1423" s="37"/>
      <c r="D1423" s="37"/>
      <c r="E1423" s="37"/>
      <c r="F1423" s="37"/>
      <c r="G1423" s="37"/>
      <c r="H1423" s="37"/>
      <c r="I1423" s="37"/>
      <c r="J1423" s="37"/>
      <c r="K1423" s="37"/>
      <c r="L1423" s="37"/>
      <c r="M1423" s="37"/>
      <c r="N1423" s="37"/>
      <c r="O1423" s="29"/>
    </row>
    <row r="1424">
      <c r="A1424" s="29"/>
      <c r="B1424" s="36"/>
      <c r="C1424" s="37"/>
      <c r="D1424" s="37"/>
      <c r="E1424" s="37"/>
      <c r="F1424" s="37"/>
      <c r="G1424" s="37"/>
      <c r="H1424" s="37"/>
      <c r="I1424" s="37"/>
      <c r="J1424" s="37"/>
      <c r="K1424" s="37"/>
      <c r="L1424" s="37"/>
      <c r="M1424" s="37"/>
      <c r="N1424" s="37"/>
      <c r="O1424" s="29"/>
    </row>
    <row r="1425">
      <c r="A1425" s="29"/>
      <c r="B1425" s="36"/>
      <c r="C1425" s="37"/>
      <c r="D1425" s="37"/>
      <c r="E1425" s="37"/>
      <c r="F1425" s="37"/>
      <c r="G1425" s="37"/>
      <c r="H1425" s="37"/>
      <c r="I1425" s="37"/>
      <c r="J1425" s="37"/>
      <c r="K1425" s="37"/>
      <c r="L1425" s="37"/>
      <c r="M1425" s="37"/>
      <c r="N1425" s="37"/>
      <c r="O1425" s="29"/>
    </row>
    <row r="1426">
      <c r="A1426" s="29"/>
      <c r="B1426" s="36"/>
      <c r="C1426" s="37"/>
      <c r="D1426" s="37"/>
      <c r="E1426" s="37"/>
      <c r="F1426" s="37"/>
      <c r="G1426" s="37"/>
      <c r="H1426" s="37"/>
      <c r="I1426" s="37"/>
      <c r="J1426" s="37"/>
      <c r="K1426" s="37"/>
      <c r="L1426" s="37"/>
      <c r="M1426" s="37"/>
      <c r="N1426" s="37"/>
      <c r="O1426" s="29"/>
    </row>
    <row r="1427">
      <c r="A1427" s="29"/>
      <c r="B1427" s="36"/>
      <c r="C1427" s="37"/>
      <c r="D1427" s="37"/>
      <c r="E1427" s="37"/>
      <c r="F1427" s="37"/>
      <c r="G1427" s="37"/>
      <c r="H1427" s="37"/>
      <c r="I1427" s="37"/>
      <c r="J1427" s="37"/>
      <c r="K1427" s="37"/>
      <c r="L1427" s="37"/>
      <c r="M1427" s="37"/>
      <c r="N1427" s="37"/>
      <c r="O1427" s="29"/>
    </row>
    <row r="1428">
      <c r="A1428" s="29"/>
      <c r="B1428" s="36"/>
      <c r="C1428" s="37"/>
      <c r="D1428" s="37"/>
      <c r="E1428" s="37"/>
      <c r="F1428" s="37"/>
      <c r="G1428" s="37"/>
      <c r="H1428" s="37"/>
      <c r="I1428" s="37"/>
      <c r="J1428" s="37"/>
      <c r="K1428" s="37"/>
      <c r="L1428" s="37"/>
      <c r="M1428" s="37"/>
      <c r="N1428" s="37"/>
      <c r="O1428" s="29"/>
    </row>
    <row r="1429">
      <c r="A1429" s="29"/>
      <c r="B1429" s="36"/>
      <c r="C1429" s="37"/>
      <c r="D1429" s="37"/>
      <c r="E1429" s="37"/>
      <c r="F1429" s="37"/>
      <c r="G1429" s="37"/>
      <c r="H1429" s="37"/>
      <c r="I1429" s="37"/>
      <c r="J1429" s="37"/>
      <c r="K1429" s="37"/>
      <c r="L1429" s="37"/>
      <c r="M1429" s="37"/>
      <c r="N1429" s="37"/>
      <c r="O1429" s="29"/>
    </row>
    <row r="1430">
      <c r="A1430" s="29"/>
      <c r="B1430" s="36"/>
      <c r="C1430" s="37"/>
      <c r="D1430" s="37"/>
      <c r="E1430" s="37"/>
      <c r="F1430" s="37"/>
      <c r="G1430" s="37"/>
      <c r="H1430" s="37"/>
      <c r="I1430" s="37"/>
      <c r="J1430" s="37"/>
      <c r="K1430" s="37"/>
      <c r="L1430" s="37"/>
      <c r="M1430" s="37"/>
      <c r="N1430" s="37"/>
      <c r="O1430" s="29"/>
    </row>
    <row r="1431">
      <c r="A1431" s="29"/>
      <c r="B1431" s="36"/>
      <c r="C1431" s="37"/>
      <c r="D1431" s="37"/>
      <c r="E1431" s="37"/>
      <c r="F1431" s="37"/>
      <c r="G1431" s="37"/>
      <c r="H1431" s="37"/>
      <c r="I1431" s="37"/>
      <c r="J1431" s="37"/>
      <c r="K1431" s="37"/>
      <c r="L1431" s="37"/>
      <c r="M1431" s="37"/>
      <c r="N1431" s="37"/>
      <c r="O1431" s="29"/>
    </row>
    <row r="1432">
      <c r="A1432" s="29"/>
      <c r="B1432" s="36"/>
      <c r="C1432" s="37"/>
      <c r="D1432" s="37"/>
      <c r="E1432" s="37"/>
      <c r="F1432" s="37"/>
      <c r="G1432" s="37"/>
      <c r="H1432" s="37"/>
      <c r="I1432" s="37"/>
      <c r="J1432" s="37"/>
      <c r="K1432" s="37"/>
      <c r="L1432" s="37"/>
      <c r="M1432" s="37"/>
      <c r="N1432" s="37"/>
      <c r="O1432" s="29"/>
    </row>
    <row r="1433">
      <c r="A1433" s="29"/>
      <c r="B1433" s="36"/>
      <c r="C1433" s="37"/>
      <c r="D1433" s="37"/>
      <c r="E1433" s="37"/>
      <c r="F1433" s="37"/>
      <c r="G1433" s="37"/>
      <c r="H1433" s="37"/>
      <c r="I1433" s="37"/>
      <c r="J1433" s="37"/>
      <c r="K1433" s="37"/>
      <c r="L1433" s="37"/>
      <c r="M1433" s="37"/>
      <c r="N1433" s="37"/>
      <c r="O1433" s="29"/>
    </row>
    <row r="1434">
      <c r="A1434" s="29"/>
      <c r="B1434" s="36"/>
      <c r="C1434" s="37"/>
      <c r="D1434" s="37"/>
      <c r="E1434" s="37"/>
      <c r="F1434" s="37"/>
      <c r="G1434" s="37"/>
      <c r="H1434" s="37"/>
      <c r="I1434" s="37"/>
      <c r="J1434" s="37"/>
      <c r="K1434" s="37"/>
      <c r="L1434" s="37"/>
      <c r="M1434" s="37"/>
      <c r="N1434" s="37"/>
      <c r="O1434" s="29"/>
    </row>
    <row r="1435">
      <c r="A1435" s="29"/>
      <c r="B1435" s="36"/>
      <c r="C1435" s="37"/>
      <c r="D1435" s="37"/>
      <c r="E1435" s="37"/>
      <c r="F1435" s="37"/>
      <c r="G1435" s="37"/>
      <c r="H1435" s="37"/>
      <c r="I1435" s="37"/>
      <c r="J1435" s="37"/>
      <c r="K1435" s="37"/>
      <c r="L1435" s="37"/>
      <c r="M1435" s="37"/>
      <c r="N1435" s="37"/>
      <c r="O1435" s="29"/>
    </row>
    <row r="1436">
      <c r="A1436" s="29"/>
      <c r="B1436" s="36"/>
      <c r="C1436" s="37"/>
      <c r="D1436" s="37"/>
      <c r="E1436" s="37"/>
      <c r="F1436" s="37"/>
      <c r="G1436" s="37"/>
      <c r="H1436" s="37"/>
      <c r="I1436" s="37"/>
      <c r="J1436" s="37"/>
      <c r="K1436" s="37"/>
      <c r="L1436" s="37"/>
      <c r="M1436" s="37"/>
      <c r="N1436" s="37"/>
      <c r="O1436" s="29"/>
    </row>
    <row r="1437">
      <c r="A1437" s="29"/>
      <c r="B1437" s="36"/>
      <c r="C1437" s="37"/>
      <c r="D1437" s="37"/>
      <c r="E1437" s="37"/>
      <c r="F1437" s="37"/>
      <c r="G1437" s="37"/>
      <c r="H1437" s="37"/>
      <c r="I1437" s="37"/>
      <c r="J1437" s="37"/>
      <c r="K1437" s="37"/>
      <c r="L1437" s="37"/>
      <c r="M1437" s="37"/>
      <c r="N1437" s="37"/>
      <c r="O1437" s="29"/>
    </row>
    <row r="1438">
      <c r="A1438" s="29"/>
      <c r="B1438" s="36"/>
      <c r="C1438" s="37"/>
      <c r="D1438" s="37"/>
      <c r="E1438" s="37"/>
      <c r="F1438" s="37"/>
      <c r="G1438" s="37"/>
      <c r="H1438" s="37"/>
      <c r="I1438" s="37"/>
      <c r="J1438" s="37"/>
      <c r="K1438" s="37"/>
      <c r="L1438" s="37"/>
      <c r="M1438" s="37"/>
      <c r="N1438" s="37"/>
      <c r="O1438" s="29"/>
    </row>
    <row r="1439">
      <c r="A1439" s="29"/>
      <c r="B1439" s="36"/>
      <c r="C1439" s="37"/>
      <c r="D1439" s="37"/>
      <c r="E1439" s="37"/>
      <c r="F1439" s="37"/>
      <c r="G1439" s="37"/>
      <c r="H1439" s="37"/>
      <c r="I1439" s="37"/>
      <c r="J1439" s="37"/>
      <c r="K1439" s="37"/>
      <c r="L1439" s="37"/>
      <c r="M1439" s="37"/>
      <c r="N1439" s="37"/>
      <c r="O1439" s="29"/>
    </row>
    <row r="1440">
      <c r="A1440" s="29"/>
      <c r="B1440" s="36"/>
      <c r="C1440" s="37"/>
      <c r="D1440" s="37"/>
      <c r="E1440" s="37"/>
      <c r="F1440" s="37"/>
      <c r="G1440" s="37"/>
      <c r="H1440" s="37"/>
      <c r="I1440" s="37"/>
      <c r="J1440" s="37"/>
      <c r="K1440" s="37"/>
      <c r="L1440" s="37"/>
      <c r="M1440" s="37"/>
      <c r="N1440" s="37"/>
      <c r="O1440" s="29"/>
    </row>
    <row r="1441">
      <c r="A1441" s="29"/>
      <c r="B1441" s="36"/>
      <c r="C1441" s="37"/>
      <c r="D1441" s="37"/>
      <c r="E1441" s="37"/>
      <c r="F1441" s="37"/>
      <c r="G1441" s="37"/>
      <c r="H1441" s="37"/>
      <c r="I1441" s="37"/>
      <c r="J1441" s="37"/>
      <c r="K1441" s="37"/>
      <c r="L1441" s="37"/>
      <c r="M1441" s="37"/>
      <c r="N1441" s="37"/>
      <c r="O1441" s="29"/>
    </row>
    <row r="1442">
      <c r="A1442" s="29"/>
      <c r="B1442" s="36"/>
      <c r="C1442" s="37"/>
      <c r="D1442" s="37"/>
      <c r="E1442" s="37"/>
      <c r="F1442" s="37"/>
      <c r="G1442" s="37"/>
      <c r="H1442" s="37"/>
      <c r="I1442" s="37"/>
      <c r="J1442" s="37"/>
      <c r="K1442" s="37"/>
      <c r="L1442" s="37"/>
      <c r="M1442" s="37"/>
      <c r="N1442" s="37"/>
      <c r="O1442" s="29"/>
    </row>
    <row r="1443">
      <c r="A1443" s="29"/>
      <c r="B1443" s="36"/>
      <c r="C1443" s="37"/>
      <c r="D1443" s="37"/>
      <c r="E1443" s="37"/>
      <c r="F1443" s="37"/>
      <c r="G1443" s="37"/>
      <c r="H1443" s="37"/>
      <c r="I1443" s="37"/>
      <c r="J1443" s="37"/>
      <c r="K1443" s="37"/>
      <c r="L1443" s="37"/>
      <c r="M1443" s="37"/>
      <c r="N1443" s="37"/>
      <c r="O1443" s="29"/>
    </row>
    <row r="1444">
      <c r="A1444" s="29"/>
      <c r="B1444" s="36"/>
      <c r="C1444" s="37"/>
      <c r="D1444" s="37"/>
      <c r="E1444" s="37"/>
      <c r="F1444" s="37"/>
      <c r="G1444" s="37"/>
      <c r="H1444" s="37"/>
      <c r="I1444" s="37"/>
      <c r="J1444" s="37"/>
      <c r="K1444" s="37"/>
      <c r="L1444" s="37"/>
      <c r="M1444" s="37"/>
      <c r="N1444" s="37"/>
      <c r="O1444" s="29"/>
    </row>
    <row r="1445">
      <c r="A1445" s="29"/>
      <c r="B1445" s="36"/>
      <c r="C1445" s="37"/>
      <c r="D1445" s="37"/>
      <c r="E1445" s="37"/>
      <c r="F1445" s="37"/>
      <c r="G1445" s="37"/>
      <c r="H1445" s="37"/>
      <c r="I1445" s="37"/>
      <c r="J1445" s="37"/>
      <c r="K1445" s="37"/>
      <c r="L1445" s="37"/>
      <c r="M1445" s="37"/>
      <c r="N1445" s="37"/>
      <c r="O1445" s="29"/>
    </row>
    <row r="1446">
      <c r="A1446" s="29"/>
      <c r="B1446" s="36"/>
      <c r="C1446" s="37"/>
      <c r="D1446" s="37"/>
      <c r="E1446" s="37"/>
      <c r="F1446" s="37"/>
      <c r="G1446" s="37"/>
      <c r="H1446" s="37"/>
      <c r="I1446" s="37"/>
      <c r="J1446" s="37"/>
      <c r="K1446" s="37"/>
      <c r="L1446" s="37"/>
      <c r="M1446" s="37"/>
      <c r="N1446" s="37"/>
      <c r="O1446" s="29"/>
    </row>
    <row r="1447">
      <c r="A1447" s="29"/>
      <c r="B1447" s="36"/>
      <c r="C1447" s="37"/>
      <c r="D1447" s="37"/>
      <c r="E1447" s="37"/>
      <c r="F1447" s="37"/>
      <c r="G1447" s="37"/>
      <c r="H1447" s="37"/>
      <c r="I1447" s="37"/>
      <c r="J1447" s="37"/>
      <c r="K1447" s="37"/>
      <c r="L1447" s="37"/>
      <c r="M1447" s="37"/>
      <c r="N1447" s="37"/>
      <c r="O1447" s="29"/>
    </row>
    <row r="1448">
      <c r="A1448" s="29"/>
      <c r="B1448" s="36"/>
      <c r="C1448" s="37"/>
      <c r="D1448" s="37"/>
      <c r="E1448" s="37"/>
      <c r="F1448" s="37"/>
      <c r="G1448" s="37"/>
      <c r="H1448" s="37"/>
      <c r="I1448" s="37"/>
      <c r="J1448" s="37"/>
      <c r="K1448" s="37"/>
      <c r="L1448" s="37"/>
      <c r="M1448" s="37"/>
      <c r="N1448" s="37"/>
      <c r="O1448" s="29"/>
    </row>
    <row r="1449">
      <c r="A1449" s="29"/>
      <c r="B1449" s="36"/>
      <c r="C1449" s="37"/>
      <c r="D1449" s="37"/>
      <c r="E1449" s="37"/>
      <c r="F1449" s="37"/>
      <c r="G1449" s="37"/>
      <c r="H1449" s="37"/>
      <c r="I1449" s="37"/>
      <c r="J1449" s="37"/>
      <c r="K1449" s="37"/>
      <c r="L1449" s="37"/>
      <c r="M1449" s="37"/>
      <c r="N1449" s="37"/>
      <c r="O1449" s="29"/>
    </row>
    <row r="1450">
      <c r="A1450" s="29"/>
      <c r="B1450" s="36"/>
      <c r="C1450" s="37"/>
      <c r="D1450" s="37"/>
      <c r="E1450" s="37"/>
      <c r="F1450" s="37"/>
      <c r="G1450" s="37"/>
      <c r="H1450" s="37"/>
      <c r="I1450" s="37"/>
      <c r="J1450" s="37"/>
      <c r="K1450" s="37"/>
      <c r="L1450" s="37"/>
      <c r="M1450" s="37"/>
      <c r="N1450" s="37"/>
      <c r="O1450" s="29"/>
    </row>
    <row r="1451">
      <c r="A1451" s="29"/>
      <c r="B1451" s="36"/>
      <c r="C1451" s="37"/>
      <c r="D1451" s="37"/>
      <c r="E1451" s="37"/>
      <c r="F1451" s="37"/>
      <c r="G1451" s="37"/>
      <c r="H1451" s="37"/>
      <c r="I1451" s="37"/>
      <c r="J1451" s="37"/>
      <c r="K1451" s="37"/>
      <c r="L1451" s="37"/>
      <c r="M1451" s="37"/>
      <c r="N1451" s="37"/>
      <c r="O1451" s="29"/>
    </row>
    <row r="1452">
      <c r="A1452" s="29"/>
      <c r="B1452" s="36"/>
      <c r="C1452" s="37"/>
      <c r="D1452" s="37"/>
      <c r="E1452" s="37"/>
      <c r="F1452" s="37"/>
      <c r="G1452" s="37"/>
      <c r="H1452" s="37"/>
      <c r="I1452" s="37"/>
      <c r="J1452" s="37"/>
      <c r="K1452" s="37"/>
      <c r="L1452" s="37"/>
      <c r="M1452" s="37"/>
      <c r="N1452" s="37"/>
      <c r="O1452" s="29"/>
    </row>
    <row r="1453">
      <c r="A1453" s="29"/>
      <c r="B1453" s="36"/>
      <c r="C1453" s="37"/>
      <c r="D1453" s="37"/>
      <c r="E1453" s="37"/>
      <c r="F1453" s="37"/>
      <c r="G1453" s="37"/>
      <c r="H1453" s="37"/>
      <c r="I1453" s="37"/>
      <c r="J1453" s="37"/>
      <c r="K1453" s="37"/>
      <c r="L1453" s="37"/>
      <c r="M1453" s="37"/>
      <c r="N1453" s="37"/>
      <c r="O1453" s="29"/>
    </row>
    <row r="1454">
      <c r="A1454" s="29"/>
      <c r="B1454" s="36"/>
      <c r="C1454" s="37"/>
      <c r="D1454" s="37"/>
      <c r="E1454" s="37"/>
      <c r="F1454" s="37"/>
      <c r="G1454" s="37"/>
      <c r="H1454" s="37"/>
      <c r="I1454" s="37"/>
      <c r="J1454" s="37"/>
      <c r="K1454" s="37"/>
      <c r="L1454" s="37"/>
      <c r="M1454" s="37"/>
      <c r="N1454" s="37"/>
      <c r="O1454" s="29"/>
    </row>
    <row r="1455">
      <c r="A1455" s="29"/>
      <c r="B1455" s="36"/>
      <c r="C1455" s="37"/>
      <c r="D1455" s="37"/>
      <c r="E1455" s="37"/>
      <c r="F1455" s="37"/>
      <c r="G1455" s="37"/>
      <c r="H1455" s="37"/>
      <c r="I1455" s="37"/>
      <c r="J1455" s="37"/>
      <c r="K1455" s="37"/>
      <c r="L1455" s="37"/>
      <c r="M1455" s="37"/>
      <c r="N1455" s="37"/>
      <c r="O1455" s="29"/>
    </row>
    <row r="1456">
      <c r="A1456" s="29"/>
      <c r="B1456" s="36"/>
      <c r="C1456" s="37"/>
      <c r="D1456" s="37"/>
      <c r="E1456" s="37"/>
      <c r="F1456" s="37"/>
      <c r="G1456" s="37"/>
      <c r="H1456" s="37"/>
      <c r="I1456" s="37"/>
      <c r="J1456" s="37"/>
      <c r="K1456" s="37"/>
      <c r="L1456" s="37"/>
      <c r="M1456" s="37"/>
      <c r="N1456" s="37"/>
      <c r="O1456" s="29"/>
    </row>
    <row r="1457">
      <c r="A1457" s="29"/>
      <c r="B1457" s="36"/>
      <c r="C1457" s="37"/>
      <c r="D1457" s="37"/>
      <c r="E1457" s="37"/>
      <c r="F1457" s="37"/>
      <c r="G1457" s="37"/>
      <c r="H1457" s="37"/>
      <c r="I1457" s="37"/>
      <c r="J1457" s="37"/>
      <c r="K1457" s="37"/>
      <c r="L1457" s="37"/>
      <c r="M1457" s="37"/>
      <c r="N1457" s="37"/>
      <c r="O1457" s="29"/>
    </row>
    <row r="1458">
      <c r="A1458" s="29"/>
      <c r="B1458" s="36"/>
      <c r="C1458" s="37"/>
      <c r="D1458" s="37"/>
      <c r="E1458" s="37"/>
      <c r="F1458" s="37"/>
      <c r="G1458" s="37"/>
      <c r="H1458" s="37"/>
      <c r="I1458" s="37"/>
      <c r="J1458" s="37"/>
      <c r="K1458" s="37"/>
      <c r="L1458" s="37"/>
      <c r="M1458" s="37"/>
      <c r="N1458" s="37"/>
      <c r="O1458" s="29"/>
    </row>
    <row r="1459">
      <c r="A1459" s="29"/>
      <c r="B1459" s="36"/>
      <c r="C1459" s="37"/>
      <c r="D1459" s="37"/>
      <c r="E1459" s="37"/>
      <c r="F1459" s="37"/>
      <c r="G1459" s="37"/>
      <c r="H1459" s="37"/>
      <c r="I1459" s="37"/>
      <c r="J1459" s="37"/>
      <c r="K1459" s="37"/>
      <c r="L1459" s="37"/>
      <c r="M1459" s="37"/>
      <c r="N1459" s="37"/>
      <c r="O1459" s="29"/>
    </row>
    <row r="1460">
      <c r="A1460" s="29"/>
      <c r="B1460" s="36"/>
      <c r="C1460" s="37"/>
      <c r="D1460" s="37"/>
      <c r="E1460" s="37"/>
      <c r="F1460" s="37"/>
      <c r="G1460" s="37"/>
      <c r="H1460" s="37"/>
      <c r="I1460" s="37"/>
      <c r="J1460" s="37"/>
      <c r="K1460" s="37"/>
      <c r="L1460" s="37"/>
      <c r="M1460" s="37"/>
      <c r="N1460" s="37"/>
      <c r="O1460" s="29"/>
    </row>
    <row r="1461">
      <c r="A1461" s="29"/>
      <c r="B1461" s="36"/>
      <c r="C1461" s="37"/>
      <c r="D1461" s="37"/>
      <c r="E1461" s="37"/>
      <c r="F1461" s="37"/>
      <c r="G1461" s="37"/>
      <c r="H1461" s="37"/>
      <c r="I1461" s="37"/>
      <c r="J1461" s="37"/>
      <c r="K1461" s="37"/>
      <c r="L1461" s="37"/>
      <c r="M1461" s="37"/>
      <c r="N1461" s="37"/>
      <c r="O1461" s="29"/>
    </row>
    <row r="1462">
      <c r="A1462" s="29"/>
      <c r="B1462" s="36"/>
      <c r="C1462" s="37"/>
      <c r="D1462" s="37"/>
      <c r="E1462" s="37"/>
      <c r="F1462" s="37"/>
      <c r="G1462" s="37"/>
      <c r="H1462" s="37"/>
      <c r="I1462" s="37"/>
      <c r="J1462" s="37"/>
      <c r="K1462" s="37"/>
      <c r="L1462" s="37"/>
      <c r="M1462" s="37"/>
      <c r="N1462" s="37"/>
      <c r="O1462" s="29"/>
    </row>
    <row r="1463">
      <c r="A1463" s="29"/>
      <c r="B1463" s="36"/>
      <c r="C1463" s="37"/>
      <c r="D1463" s="37"/>
      <c r="E1463" s="37"/>
      <c r="F1463" s="37"/>
      <c r="G1463" s="37"/>
      <c r="H1463" s="37"/>
      <c r="I1463" s="37"/>
      <c r="J1463" s="37"/>
      <c r="K1463" s="37"/>
      <c r="L1463" s="37"/>
      <c r="M1463" s="37"/>
      <c r="N1463" s="37"/>
      <c r="O1463" s="29"/>
    </row>
    <row r="1464">
      <c r="A1464" s="29"/>
      <c r="B1464" s="36"/>
      <c r="C1464" s="37"/>
      <c r="D1464" s="37"/>
      <c r="E1464" s="37"/>
      <c r="F1464" s="37"/>
      <c r="G1464" s="37"/>
      <c r="H1464" s="37"/>
      <c r="I1464" s="37"/>
      <c r="J1464" s="37"/>
      <c r="K1464" s="37"/>
      <c r="L1464" s="37"/>
      <c r="M1464" s="37"/>
      <c r="N1464" s="37"/>
      <c r="O1464" s="29"/>
    </row>
    <row r="1465">
      <c r="A1465" s="29"/>
      <c r="B1465" s="36"/>
      <c r="C1465" s="37"/>
      <c r="D1465" s="37"/>
      <c r="E1465" s="37"/>
      <c r="F1465" s="37"/>
      <c r="G1465" s="37"/>
      <c r="H1465" s="37"/>
      <c r="I1465" s="37"/>
      <c r="J1465" s="37"/>
      <c r="K1465" s="37"/>
      <c r="L1465" s="37"/>
      <c r="M1465" s="37"/>
      <c r="N1465" s="37"/>
      <c r="O1465" s="29"/>
    </row>
    <row r="1466">
      <c r="A1466" s="29"/>
      <c r="B1466" s="36"/>
      <c r="C1466" s="37"/>
      <c r="D1466" s="37"/>
      <c r="E1466" s="37"/>
      <c r="F1466" s="37"/>
      <c r="G1466" s="37"/>
      <c r="H1466" s="37"/>
      <c r="I1466" s="37"/>
      <c r="J1466" s="37"/>
      <c r="K1466" s="37"/>
      <c r="L1466" s="37"/>
      <c r="M1466" s="37"/>
      <c r="N1466" s="37"/>
      <c r="O1466" s="29"/>
    </row>
    <row r="1467">
      <c r="A1467" s="29"/>
      <c r="B1467" s="36"/>
      <c r="C1467" s="37"/>
      <c r="D1467" s="37"/>
      <c r="E1467" s="37"/>
      <c r="F1467" s="37"/>
      <c r="G1467" s="37"/>
      <c r="H1467" s="37"/>
      <c r="I1467" s="37"/>
      <c r="J1467" s="37"/>
      <c r="K1467" s="37"/>
      <c r="L1467" s="37"/>
      <c r="M1467" s="37"/>
      <c r="N1467" s="37"/>
      <c r="O1467" s="29"/>
    </row>
    <row r="1468">
      <c r="A1468" s="29"/>
      <c r="B1468" s="36"/>
      <c r="C1468" s="37"/>
      <c r="D1468" s="37"/>
      <c r="E1468" s="37"/>
      <c r="F1468" s="37"/>
      <c r="G1468" s="37"/>
      <c r="H1468" s="37"/>
      <c r="I1468" s="37"/>
      <c r="J1468" s="37"/>
      <c r="K1468" s="37"/>
      <c r="L1468" s="37"/>
      <c r="M1468" s="37"/>
      <c r="N1468" s="37"/>
      <c r="O1468" s="29"/>
    </row>
    <row r="1469">
      <c r="A1469" s="29"/>
      <c r="B1469" s="36"/>
      <c r="C1469" s="37"/>
      <c r="D1469" s="37"/>
      <c r="E1469" s="37"/>
      <c r="F1469" s="37"/>
      <c r="G1469" s="37"/>
      <c r="H1469" s="37"/>
      <c r="I1469" s="37"/>
      <c r="J1469" s="37"/>
      <c r="K1469" s="37"/>
      <c r="L1469" s="37"/>
      <c r="M1469" s="37"/>
      <c r="N1469" s="37"/>
      <c r="O1469" s="29"/>
    </row>
    <row r="1470">
      <c r="A1470" s="29"/>
      <c r="B1470" s="36"/>
      <c r="C1470" s="37"/>
      <c r="D1470" s="37"/>
      <c r="E1470" s="37"/>
      <c r="F1470" s="37"/>
      <c r="G1470" s="37"/>
      <c r="H1470" s="37"/>
      <c r="I1470" s="37"/>
      <c r="J1470" s="37"/>
      <c r="K1470" s="37"/>
      <c r="L1470" s="37"/>
      <c r="M1470" s="37"/>
      <c r="N1470" s="37"/>
      <c r="O1470" s="29"/>
    </row>
    <row r="1471">
      <c r="A1471" s="29"/>
      <c r="B1471" s="36"/>
      <c r="C1471" s="37"/>
      <c r="D1471" s="37"/>
      <c r="E1471" s="37"/>
      <c r="F1471" s="37"/>
      <c r="G1471" s="37"/>
      <c r="H1471" s="37"/>
      <c r="I1471" s="37"/>
      <c r="J1471" s="37"/>
      <c r="K1471" s="37"/>
      <c r="L1471" s="37"/>
      <c r="M1471" s="37"/>
      <c r="N1471" s="37"/>
      <c r="O1471" s="29"/>
    </row>
    <row r="1472">
      <c r="A1472" s="29"/>
      <c r="B1472" s="36"/>
      <c r="C1472" s="37"/>
      <c r="D1472" s="37"/>
      <c r="E1472" s="37"/>
      <c r="F1472" s="37"/>
      <c r="G1472" s="37"/>
      <c r="H1472" s="37"/>
      <c r="I1472" s="37"/>
      <c r="J1472" s="37"/>
      <c r="K1472" s="37"/>
      <c r="L1472" s="37"/>
      <c r="M1472" s="37"/>
      <c r="N1472" s="37"/>
      <c r="O1472" s="29"/>
    </row>
    <row r="1473">
      <c r="A1473" s="29"/>
      <c r="B1473" s="36"/>
      <c r="C1473" s="37"/>
      <c r="D1473" s="37"/>
      <c r="E1473" s="37"/>
      <c r="F1473" s="37"/>
      <c r="G1473" s="37"/>
      <c r="H1473" s="37"/>
      <c r="I1473" s="37"/>
      <c r="J1473" s="37"/>
      <c r="K1473" s="37"/>
      <c r="L1473" s="37"/>
      <c r="M1473" s="37"/>
      <c r="N1473" s="37"/>
      <c r="O1473" s="29"/>
    </row>
    <row r="1474">
      <c r="A1474" s="29"/>
      <c r="B1474" s="36"/>
      <c r="C1474" s="37"/>
      <c r="D1474" s="37"/>
      <c r="E1474" s="37"/>
      <c r="F1474" s="37"/>
      <c r="G1474" s="37"/>
      <c r="H1474" s="37"/>
      <c r="I1474" s="37"/>
      <c r="J1474" s="37"/>
      <c r="K1474" s="37"/>
      <c r="L1474" s="37"/>
      <c r="M1474" s="37"/>
      <c r="N1474" s="37"/>
      <c r="O1474" s="29"/>
    </row>
    <row r="1475">
      <c r="A1475" s="29"/>
      <c r="B1475" s="36"/>
      <c r="C1475" s="37"/>
      <c r="D1475" s="37"/>
      <c r="E1475" s="37"/>
      <c r="F1475" s="37"/>
      <c r="G1475" s="37"/>
      <c r="H1475" s="37"/>
      <c r="I1475" s="37"/>
      <c r="J1475" s="37"/>
      <c r="K1475" s="37"/>
      <c r="L1475" s="37"/>
      <c r="M1475" s="37"/>
      <c r="N1475" s="37"/>
      <c r="O1475" s="29"/>
    </row>
    <row r="1476">
      <c r="A1476" s="29"/>
      <c r="B1476" s="36"/>
      <c r="C1476" s="37"/>
      <c r="D1476" s="37"/>
      <c r="E1476" s="37"/>
      <c r="F1476" s="37"/>
      <c r="G1476" s="37"/>
      <c r="H1476" s="37"/>
      <c r="I1476" s="37"/>
      <c r="J1476" s="37"/>
      <c r="K1476" s="37"/>
      <c r="L1476" s="37"/>
      <c r="M1476" s="37"/>
      <c r="N1476" s="37"/>
      <c r="O1476" s="29"/>
    </row>
    <row r="1477">
      <c r="A1477" s="29"/>
      <c r="B1477" s="36"/>
      <c r="C1477" s="37"/>
      <c r="D1477" s="37"/>
      <c r="E1477" s="37"/>
      <c r="F1477" s="37"/>
      <c r="G1477" s="37"/>
      <c r="H1477" s="37"/>
      <c r="I1477" s="37"/>
      <c r="J1477" s="37"/>
      <c r="K1477" s="37"/>
      <c r="L1477" s="37"/>
      <c r="M1477" s="37"/>
      <c r="N1477" s="37"/>
      <c r="O1477" s="29"/>
    </row>
    <row r="1478">
      <c r="A1478" s="29"/>
      <c r="B1478" s="36"/>
      <c r="C1478" s="37"/>
      <c r="D1478" s="37"/>
      <c r="E1478" s="37"/>
      <c r="F1478" s="37"/>
      <c r="G1478" s="37"/>
      <c r="H1478" s="37"/>
      <c r="I1478" s="37"/>
      <c r="J1478" s="37"/>
      <c r="K1478" s="37"/>
      <c r="L1478" s="37"/>
      <c r="M1478" s="37"/>
      <c r="N1478" s="37"/>
      <c r="O1478" s="29"/>
    </row>
    <row r="1479">
      <c r="A1479" s="29"/>
      <c r="B1479" s="36"/>
      <c r="C1479" s="37"/>
      <c r="D1479" s="37"/>
      <c r="E1479" s="37"/>
      <c r="F1479" s="37"/>
      <c r="G1479" s="37"/>
      <c r="H1479" s="37"/>
      <c r="I1479" s="37"/>
      <c r="J1479" s="37"/>
      <c r="K1479" s="37"/>
      <c r="L1479" s="37"/>
      <c r="M1479" s="37"/>
      <c r="N1479" s="37"/>
      <c r="O1479" s="29"/>
    </row>
    <row r="1480">
      <c r="A1480" s="29"/>
      <c r="B1480" s="36"/>
      <c r="C1480" s="37"/>
      <c r="D1480" s="37"/>
      <c r="E1480" s="37"/>
      <c r="F1480" s="37"/>
      <c r="G1480" s="37"/>
      <c r="H1480" s="37"/>
      <c r="I1480" s="37"/>
      <c r="J1480" s="37"/>
      <c r="K1480" s="37"/>
      <c r="L1480" s="37"/>
      <c r="M1480" s="37"/>
      <c r="N1480" s="37"/>
      <c r="O1480" s="29"/>
    </row>
    <row r="1481">
      <c r="A1481" s="29"/>
      <c r="B1481" s="36"/>
      <c r="C1481" s="37"/>
      <c r="D1481" s="37"/>
      <c r="E1481" s="37"/>
      <c r="F1481" s="37"/>
      <c r="G1481" s="37"/>
      <c r="H1481" s="37"/>
      <c r="I1481" s="37"/>
      <c r="J1481" s="37"/>
      <c r="K1481" s="37"/>
      <c r="L1481" s="37"/>
      <c r="M1481" s="37"/>
      <c r="N1481" s="37"/>
      <c r="O1481" s="29"/>
    </row>
    <row r="1482">
      <c r="A1482" s="29"/>
      <c r="B1482" s="36"/>
      <c r="C1482" s="37"/>
      <c r="D1482" s="37"/>
      <c r="E1482" s="37"/>
      <c r="F1482" s="37"/>
      <c r="G1482" s="37"/>
      <c r="H1482" s="37"/>
      <c r="I1482" s="37"/>
      <c r="J1482" s="37"/>
      <c r="K1482" s="37"/>
      <c r="L1482" s="37"/>
      <c r="M1482" s="37"/>
      <c r="N1482" s="37"/>
      <c r="O1482" s="29"/>
    </row>
    <row r="1483">
      <c r="A1483" s="29"/>
      <c r="B1483" s="36"/>
      <c r="C1483" s="37"/>
      <c r="D1483" s="37"/>
      <c r="E1483" s="37"/>
      <c r="F1483" s="37"/>
      <c r="G1483" s="37"/>
      <c r="H1483" s="37"/>
      <c r="I1483" s="37"/>
      <c r="J1483" s="37"/>
      <c r="K1483" s="37"/>
      <c r="L1483" s="37"/>
      <c r="M1483" s="37"/>
      <c r="N1483" s="37"/>
      <c r="O1483" s="29"/>
    </row>
    <row r="1484">
      <c r="A1484" s="29"/>
      <c r="B1484" s="36"/>
      <c r="C1484" s="37"/>
      <c r="D1484" s="37"/>
      <c r="E1484" s="37"/>
      <c r="F1484" s="37"/>
      <c r="G1484" s="37"/>
      <c r="H1484" s="37"/>
      <c r="I1484" s="37"/>
      <c r="J1484" s="37"/>
      <c r="K1484" s="37"/>
      <c r="L1484" s="37"/>
      <c r="M1484" s="37"/>
      <c r="N1484" s="37"/>
      <c r="O1484" s="29"/>
    </row>
    <row r="1485">
      <c r="A1485" s="29"/>
      <c r="B1485" s="36"/>
      <c r="C1485" s="37"/>
      <c r="D1485" s="37"/>
      <c r="E1485" s="37"/>
      <c r="F1485" s="37"/>
      <c r="G1485" s="37"/>
      <c r="H1485" s="37"/>
      <c r="I1485" s="37"/>
      <c r="J1485" s="37"/>
      <c r="K1485" s="37"/>
      <c r="L1485" s="37"/>
      <c r="M1485" s="37"/>
      <c r="N1485" s="37"/>
      <c r="O1485" s="29"/>
    </row>
    <row r="1486">
      <c r="A1486" s="29"/>
      <c r="B1486" s="36"/>
      <c r="C1486" s="37"/>
      <c r="D1486" s="37"/>
      <c r="E1486" s="37"/>
      <c r="F1486" s="37"/>
      <c r="G1486" s="37"/>
      <c r="H1486" s="37"/>
      <c r="I1486" s="37"/>
      <c r="J1486" s="37"/>
      <c r="K1486" s="37"/>
      <c r="L1486" s="37"/>
      <c r="M1486" s="37"/>
      <c r="N1486" s="37"/>
      <c r="O1486" s="29"/>
    </row>
    <row r="1487">
      <c r="A1487" s="29"/>
      <c r="B1487" s="36"/>
      <c r="C1487" s="37"/>
      <c r="D1487" s="37"/>
      <c r="E1487" s="37"/>
      <c r="F1487" s="37"/>
      <c r="G1487" s="37"/>
      <c r="H1487" s="37"/>
      <c r="I1487" s="37"/>
      <c r="J1487" s="37"/>
      <c r="K1487" s="37"/>
      <c r="L1487" s="37"/>
      <c r="M1487" s="37"/>
      <c r="N1487" s="37"/>
      <c r="O1487" s="29"/>
    </row>
    <row r="1488">
      <c r="A1488" s="29"/>
      <c r="B1488" s="36"/>
      <c r="C1488" s="37"/>
      <c r="D1488" s="37"/>
      <c r="E1488" s="37"/>
      <c r="F1488" s="37"/>
      <c r="G1488" s="37"/>
      <c r="H1488" s="37"/>
      <c r="I1488" s="37"/>
      <c r="J1488" s="37"/>
      <c r="K1488" s="37"/>
      <c r="L1488" s="37"/>
      <c r="M1488" s="37"/>
      <c r="N1488" s="37"/>
      <c r="O1488" s="29"/>
    </row>
    <row r="1489">
      <c r="A1489" s="29"/>
      <c r="B1489" s="36"/>
      <c r="C1489" s="37"/>
      <c r="D1489" s="37"/>
      <c r="E1489" s="37"/>
      <c r="F1489" s="37"/>
      <c r="G1489" s="37"/>
      <c r="H1489" s="37"/>
      <c r="I1489" s="37"/>
      <c r="J1489" s="37"/>
      <c r="K1489" s="37"/>
      <c r="L1489" s="37"/>
      <c r="M1489" s="37"/>
      <c r="N1489" s="37"/>
      <c r="O1489" s="29"/>
    </row>
    <row r="1490">
      <c r="A1490" s="29"/>
      <c r="B1490" s="36"/>
      <c r="C1490" s="37"/>
      <c r="D1490" s="37"/>
      <c r="E1490" s="37"/>
      <c r="F1490" s="37"/>
      <c r="G1490" s="37"/>
      <c r="H1490" s="37"/>
      <c r="I1490" s="37"/>
      <c r="J1490" s="37"/>
      <c r="K1490" s="37"/>
      <c r="L1490" s="37"/>
      <c r="M1490" s="37"/>
      <c r="N1490" s="37"/>
      <c r="O1490" s="29"/>
    </row>
    <row r="1491">
      <c r="A1491" s="29"/>
      <c r="B1491" s="36"/>
      <c r="C1491" s="37"/>
      <c r="D1491" s="37"/>
      <c r="E1491" s="37"/>
      <c r="F1491" s="37"/>
      <c r="G1491" s="37"/>
      <c r="H1491" s="37"/>
      <c r="I1491" s="37"/>
      <c r="J1491" s="37"/>
      <c r="K1491" s="37"/>
      <c r="L1491" s="37"/>
      <c r="M1491" s="37"/>
      <c r="N1491" s="37"/>
      <c r="O1491" s="29"/>
    </row>
    <row r="1492">
      <c r="A1492" s="29"/>
      <c r="B1492" s="36"/>
      <c r="C1492" s="37"/>
      <c r="D1492" s="37"/>
      <c r="E1492" s="37"/>
      <c r="F1492" s="37"/>
      <c r="G1492" s="37"/>
      <c r="H1492" s="37"/>
      <c r="I1492" s="37"/>
      <c r="J1492" s="37"/>
      <c r="K1492" s="37"/>
      <c r="L1492" s="37"/>
      <c r="M1492" s="37"/>
      <c r="N1492" s="37"/>
      <c r="O1492" s="29"/>
    </row>
    <row r="1493">
      <c r="A1493" s="29"/>
      <c r="B1493" s="36"/>
      <c r="C1493" s="37"/>
      <c r="D1493" s="37"/>
      <c r="E1493" s="37"/>
      <c r="F1493" s="37"/>
      <c r="G1493" s="37"/>
      <c r="H1493" s="37"/>
      <c r="I1493" s="37"/>
      <c r="J1493" s="37"/>
      <c r="K1493" s="37"/>
      <c r="L1493" s="37"/>
      <c r="M1493" s="37"/>
      <c r="N1493" s="37"/>
      <c r="O1493" s="29"/>
    </row>
    <row r="1494">
      <c r="A1494" s="29"/>
      <c r="B1494" s="36"/>
      <c r="C1494" s="37"/>
      <c r="D1494" s="37"/>
      <c r="E1494" s="37"/>
      <c r="F1494" s="37"/>
      <c r="G1494" s="37"/>
      <c r="H1494" s="37"/>
      <c r="I1494" s="37"/>
      <c r="J1494" s="37"/>
      <c r="K1494" s="37"/>
      <c r="L1494" s="37"/>
      <c r="M1494" s="37"/>
      <c r="N1494" s="37"/>
      <c r="O1494" s="29"/>
    </row>
    <row r="1495">
      <c r="A1495" s="29"/>
      <c r="B1495" s="36"/>
      <c r="C1495" s="37"/>
      <c r="D1495" s="37"/>
      <c r="E1495" s="37"/>
      <c r="F1495" s="37"/>
      <c r="G1495" s="37"/>
      <c r="H1495" s="37"/>
      <c r="I1495" s="37"/>
      <c r="J1495" s="37"/>
      <c r="K1495" s="37"/>
      <c r="L1495" s="37"/>
      <c r="M1495" s="37"/>
      <c r="N1495" s="37"/>
      <c r="O1495" s="29"/>
    </row>
    <row r="1496">
      <c r="A1496" s="29"/>
      <c r="B1496" s="36"/>
      <c r="C1496" s="37"/>
      <c r="D1496" s="37"/>
      <c r="E1496" s="37"/>
      <c r="F1496" s="37"/>
      <c r="G1496" s="37"/>
      <c r="H1496" s="37"/>
      <c r="I1496" s="37"/>
      <c r="J1496" s="37"/>
      <c r="K1496" s="37"/>
      <c r="L1496" s="37"/>
      <c r="M1496" s="37"/>
      <c r="N1496" s="37"/>
      <c r="O1496" s="29"/>
    </row>
    <row r="1497">
      <c r="A1497" s="29"/>
      <c r="B1497" s="36"/>
      <c r="C1497" s="37"/>
      <c r="D1497" s="37"/>
      <c r="E1497" s="37"/>
      <c r="F1497" s="37"/>
      <c r="G1497" s="37"/>
      <c r="H1497" s="37"/>
      <c r="I1497" s="37"/>
      <c r="J1497" s="37"/>
      <c r="K1497" s="37"/>
      <c r="L1497" s="37"/>
      <c r="M1497" s="37"/>
      <c r="N1497" s="37"/>
      <c r="O1497" s="29"/>
    </row>
    <row r="1498">
      <c r="A1498" s="29"/>
      <c r="B1498" s="36"/>
      <c r="C1498" s="37"/>
      <c r="D1498" s="37"/>
      <c r="E1498" s="37"/>
      <c r="F1498" s="37"/>
      <c r="G1498" s="37"/>
      <c r="H1498" s="37"/>
      <c r="I1498" s="37"/>
      <c r="J1498" s="37"/>
      <c r="K1498" s="37"/>
      <c r="L1498" s="37"/>
      <c r="M1498" s="37"/>
      <c r="N1498" s="37"/>
      <c r="O1498" s="29"/>
    </row>
    <row r="1499">
      <c r="A1499" s="29"/>
      <c r="B1499" s="36"/>
      <c r="C1499" s="37"/>
      <c r="D1499" s="37"/>
      <c r="E1499" s="37"/>
      <c r="F1499" s="37"/>
      <c r="G1499" s="37"/>
      <c r="H1499" s="37"/>
      <c r="I1499" s="37"/>
      <c r="J1499" s="37"/>
      <c r="K1499" s="37"/>
      <c r="L1499" s="37"/>
      <c r="M1499" s="37"/>
      <c r="N1499" s="37"/>
      <c r="O1499" s="29"/>
    </row>
    <row r="1500">
      <c r="A1500" s="29"/>
      <c r="B1500" s="36"/>
      <c r="C1500" s="37"/>
      <c r="D1500" s="37"/>
      <c r="E1500" s="37"/>
      <c r="F1500" s="37"/>
      <c r="G1500" s="37"/>
      <c r="H1500" s="37"/>
      <c r="I1500" s="37"/>
      <c r="J1500" s="37"/>
      <c r="K1500" s="37"/>
      <c r="L1500" s="37"/>
      <c r="M1500" s="37"/>
      <c r="N1500" s="37"/>
      <c r="O1500" s="29"/>
    </row>
    <row r="1501">
      <c r="A1501" s="29"/>
      <c r="B1501" s="36"/>
      <c r="C1501" s="37"/>
      <c r="D1501" s="37"/>
      <c r="E1501" s="37"/>
      <c r="F1501" s="37"/>
      <c r="G1501" s="37"/>
      <c r="H1501" s="37"/>
      <c r="I1501" s="37"/>
      <c r="J1501" s="37"/>
      <c r="K1501" s="37"/>
      <c r="L1501" s="37"/>
      <c r="M1501" s="37"/>
      <c r="N1501" s="37"/>
      <c r="O1501" s="29"/>
    </row>
    <row r="1502">
      <c r="A1502" s="29"/>
      <c r="B1502" s="36"/>
      <c r="C1502" s="37"/>
      <c r="D1502" s="37"/>
      <c r="E1502" s="37"/>
      <c r="F1502" s="37"/>
      <c r="G1502" s="37"/>
      <c r="H1502" s="37"/>
      <c r="I1502" s="37"/>
      <c r="J1502" s="37"/>
      <c r="K1502" s="37"/>
      <c r="L1502" s="37"/>
      <c r="M1502" s="37"/>
      <c r="N1502" s="37"/>
      <c r="O1502" s="29"/>
    </row>
    <row r="1503">
      <c r="A1503" s="29"/>
      <c r="B1503" s="36"/>
      <c r="C1503" s="37"/>
      <c r="D1503" s="37"/>
      <c r="E1503" s="37"/>
      <c r="F1503" s="37"/>
      <c r="G1503" s="37"/>
      <c r="H1503" s="37"/>
      <c r="I1503" s="37"/>
      <c r="J1503" s="37"/>
      <c r="K1503" s="37"/>
      <c r="L1503" s="37"/>
      <c r="M1503" s="37"/>
      <c r="N1503" s="37"/>
      <c r="O1503" s="29"/>
    </row>
    <row r="1504">
      <c r="A1504" s="29"/>
      <c r="B1504" s="36"/>
      <c r="C1504" s="37"/>
      <c r="D1504" s="37"/>
      <c r="E1504" s="37"/>
      <c r="F1504" s="37"/>
      <c r="G1504" s="37"/>
      <c r="H1504" s="37"/>
      <c r="I1504" s="37"/>
      <c r="J1504" s="37"/>
      <c r="K1504" s="37"/>
      <c r="L1504" s="37"/>
      <c r="M1504" s="37"/>
      <c r="N1504" s="37"/>
      <c r="O1504" s="29"/>
    </row>
    <row r="1505">
      <c r="A1505" s="29"/>
      <c r="B1505" s="36"/>
      <c r="C1505" s="37"/>
      <c r="D1505" s="37"/>
      <c r="E1505" s="37"/>
      <c r="F1505" s="37"/>
      <c r="G1505" s="37"/>
      <c r="H1505" s="37"/>
      <c r="I1505" s="37"/>
      <c r="J1505" s="37"/>
      <c r="K1505" s="37"/>
      <c r="L1505" s="37"/>
      <c r="M1505" s="37"/>
      <c r="N1505" s="37"/>
      <c r="O1505" s="29"/>
    </row>
    <row r="1506">
      <c r="A1506" s="29"/>
      <c r="B1506" s="36"/>
      <c r="C1506" s="37"/>
      <c r="D1506" s="37"/>
      <c r="E1506" s="37"/>
      <c r="F1506" s="37"/>
      <c r="G1506" s="37"/>
      <c r="H1506" s="37"/>
      <c r="I1506" s="37"/>
      <c r="J1506" s="37"/>
      <c r="K1506" s="37"/>
      <c r="L1506" s="37"/>
      <c r="M1506" s="37"/>
      <c r="N1506" s="37"/>
      <c r="O1506" s="29"/>
    </row>
    <row r="1507">
      <c r="A1507" s="29"/>
      <c r="B1507" s="36"/>
      <c r="C1507" s="37"/>
      <c r="D1507" s="37"/>
      <c r="E1507" s="37"/>
      <c r="F1507" s="37"/>
      <c r="G1507" s="37"/>
      <c r="H1507" s="37"/>
      <c r="I1507" s="37"/>
      <c r="J1507" s="37"/>
      <c r="K1507" s="37"/>
      <c r="L1507" s="37"/>
      <c r="M1507" s="37"/>
      <c r="N1507" s="37"/>
      <c r="O1507" s="29"/>
    </row>
    <row r="1508">
      <c r="A1508" s="29"/>
      <c r="B1508" s="36"/>
      <c r="C1508" s="37"/>
      <c r="D1508" s="37"/>
      <c r="E1508" s="37"/>
      <c r="F1508" s="37"/>
      <c r="G1508" s="37"/>
      <c r="H1508" s="37"/>
      <c r="I1508" s="37"/>
      <c r="J1508" s="37"/>
      <c r="K1508" s="37"/>
      <c r="L1508" s="37"/>
      <c r="M1508" s="37"/>
      <c r="N1508" s="37"/>
      <c r="O1508" s="29"/>
    </row>
    <row r="1509">
      <c r="A1509" s="29"/>
      <c r="B1509" s="36"/>
      <c r="C1509" s="37"/>
      <c r="D1509" s="37"/>
      <c r="E1509" s="37"/>
      <c r="F1509" s="37"/>
      <c r="G1509" s="37"/>
      <c r="H1509" s="37"/>
      <c r="I1509" s="37"/>
      <c r="J1509" s="37"/>
      <c r="K1509" s="37"/>
      <c r="L1509" s="37"/>
      <c r="M1509" s="37"/>
      <c r="N1509" s="37"/>
      <c r="O1509" s="29"/>
    </row>
  </sheetData>
  <conditionalFormatting sqref="J11:J1509">
    <cfRule type="cellIs" dxfId="1" priority="1" operator="equal">
      <formula>"Fast Moving"</formula>
    </cfRule>
  </conditionalFormatting>
  <conditionalFormatting sqref="J11:J1509">
    <cfRule type="cellIs" dxfId="2" priority="2" operator="equal">
      <formula>"Normal Moving"</formula>
    </cfRule>
  </conditionalFormatting>
  <conditionalFormatting sqref="J11:J1509">
    <cfRule type="cellIs" dxfId="3" priority="3" operator="equal">
      <formula>"Slow Moving"</formula>
    </cfRule>
  </conditionalFormatting>
  <conditionalFormatting sqref="J11:J1509">
    <cfRule type="cellIs" dxfId="4" priority="4" operator="equal">
      <formula>"Very Slow Moving"</formula>
    </cfRule>
  </conditionalFormatting>
  <conditionalFormatting sqref="J11:J1509">
    <cfRule type="cellIs" dxfId="5" priority="5" operator="equal">
      <formula>"Deadstock"</formula>
    </cfRule>
  </conditionalFormatting>
  <conditionalFormatting sqref="C6 E11:E1509 J11:J1509">
    <cfRule type="containsText" dxfId="3" priority="6" operator="containsText" text="ควรเติม">
      <formula>NOT(ISERROR(SEARCH(("ควรเติม"),(C6))))</formula>
    </cfRule>
  </conditionalFormatting>
  <conditionalFormatting sqref="C6 E11:E1509 J11:J1509">
    <cfRule type="containsText" dxfId="1" priority="7" operator="containsText" text="OK">
      <formula>NOT(ISERROR(SEARCH(("OK"),(C6))))</formula>
    </cfRule>
  </conditionalFormatting>
  <conditionalFormatting sqref="C6 E11:E1509 J11:J1509">
    <cfRule type="cellIs" dxfId="6" priority="8" operator="equal">
      <formula>"สินค้าหมด"</formula>
    </cfRule>
  </conditionalFormatting>
  <conditionalFormatting sqref="C6">
    <cfRule type="cellIs" dxfId="7" priority="9" operator="equal">
      <formula>"InActive"</formula>
    </cfRule>
  </conditionalFormatting>
  <conditionalFormatting sqref="C7">
    <cfRule type="notContainsBlanks" dxfId="1" priority="10">
      <formula>LEN(TRIM(C7))&gt;0</formula>
    </cfRule>
  </conditionalFormatting>
  <dataValidations>
    <dataValidation type="list" allowBlank="1" showErrorMessage="1" sqref="C6">
      <formula1>"เลือกทั้งหมด,OK,ควรเติมทันที,InActive"</formula1>
    </dataValidation>
    <dataValidation type="list" allowBlank="1" showErrorMessage="1" sqref="C8">
      <formula1>'⚙️ Config'!$A$2:$A1509</formula1>
    </dataValidation>
    <dataValidation type="list" allowBlank="1" showErrorMessage="1" sqref="C7">
      <formula1>'⚙️ Config'!$K$1:$K$6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8.13"/>
    <col customWidth="1" min="3" max="3" width="28.63"/>
    <col customWidth="1" min="4" max="4" width="6.88"/>
    <col customWidth="1" min="5" max="5" width="4.88"/>
    <col customWidth="1" min="6" max="6" width="34.63"/>
    <col customWidth="1" min="7" max="7" width="9.63"/>
    <col customWidth="1" min="8" max="9" width="10.88"/>
    <col customWidth="1" min="10" max="10" width="16.25"/>
    <col customWidth="1" min="11" max="11" width="10.13"/>
    <col customWidth="1" min="12" max="12" width="12.13"/>
    <col customWidth="1" min="13" max="13" width="15.75"/>
    <col customWidth="1" min="14" max="14" width="5.25"/>
  </cols>
  <sheetData>
    <row r="1" ht="48.75" customHeight="1">
      <c r="A1" s="42"/>
      <c r="B1" s="43" t="s">
        <v>59</v>
      </c>
      <c r="M1" s="44"/>
      <c r="N1" s="45"/>
    </row>
    <row r="2">
      <c r="A2" s="46"/>
      <c r="B2" s="47"/>
      <c r="C2" s="47"/>
      <c r="D2" s="47"/>
      <c r="E2" s="47"/>
      <c r="F2" s="47"/>
      <c r="G2" s="47"/>
      <c r="H2" s="47"/>
      <c r="I2" s="47"/>
      <c r="J2" s="13"/>
      <c r="K2" s="13"/>
      <c r="L2" s="13"/>
      <c r="M2" s="13"/>
      <c r="N2" s="48"/>
    </row>
    <row r="3">
      <c r="A3" s="46"/>
      <c r="B3" s="49" t="s">
        <v>60</v>
      </c>
      <c r="C3" s="6" t="s">
        <v>61</v>
      </c>
      <c r="D3" s="16"/>
      <c r="E3" s="16"/>
      <c r="F3" s="50" t="str">
        <f>IFERROR(__xludf.DUMMYFUNCTION("QUERY('📊 รายงานสินค้าคงเหลือ'!A:J,""select A,B,C,D,E,H,I,J where J = '""&amp;C3&amp;""'"",1)"),"ชื่อสินค้า")</f>
        <v>ชื่อสินค้า</v>
      </c>
      <c r="G3" s="50" t="str">
        <f>IFERROR(__xludf.DUMMYFUNCTION("""COMPUTED_VALUE"""),"จำนวนสินค้าคงเหลือ")</f>
        <v>จำนวนสินค้าคงเหลือ</v>
      </c>
      <c r="H3" s="50" t="str">
        <f>IFERROR(__xludf.DUMMYFUNCTION("""COMPUTED_VALUE"""),"จำนวนขั้นต่ำ")</f>
        <v>จำนวนขั้นต่ำ</v>
      </c>
      <c r="I3" s="50" t="str">
        <f>IFERROR(__xludf.DUMMYFUNCTION("""COMPUTED_VALUE"""),"กลุ่มสินค้า")</f>
        <v>กลุ่มสินค้า</v>
      </c>
      <c r="J3" s="50" t="str">
        <f>IFERROR(__xludf.DUMMYFUNCTION("""COMPUTED_VALUE"""),"สถานะการเติมสินค้า")</f>
        <v>สถานะการเติมสินค้า</v>
      </c>
      <c r="K3" s="51" t="str">
        <f>IFERROR(__xludf.DUMMYFUNCTION("""COMPUTED_VALUE"""),"วันที่ขายล่าสุด")</f>
        <v>วันที่ขายล่าสุด</v>
      </c>
      <c r="L3" s="51" t="str">
        <f>IFERROR(__xludf.DUMMYFUNCTION("""COMPUTED_VALUE"""),"จำนวนวันที่ไม่เคลื่อนไหว")</f>
        <v>จำนวนวันที่ไม่เคลื่อนไหว</v>
      </c>
      <c r="M3" s="51" t="str">
        <f>IFERROR(__xludf.DUMMYFUNCTION("""COMPUTED_VALUE"""),"ประเภทการเคลื่อนไหวสินค้า")</f>
        <v>ประเภทการเคลื่อนไหวสินค้า</v>
      </c>
      <c r="N3" s="46"/>
    </row>
    <row r="4">
      <c r="A4" s="46"/>
      <c r="B4" s="52" t="s">
        <v>12</v>
      </c>
      <c r="C4" s="46" t="str">
        <f>"ไม่เคลื่อนไหวตั้งแต่ "&amp;vlookup(C3,'⚙️ Config'!K2:L6,2,false)&amp;" วัน"</f>
        <v>ไม่เคลื่อนไหวตั้งแต่ ตั้งแต่ 15 ถึง 30 วัน</v>
      </c>
      <c r="D4" s="16"/>
      <c r="E4" s="16"/>
      <c r="F4" s="16"/>
      <c r="G4" s="16"/>
      <c r="H4" s="16"/>
      <c r="I4" s="16"/>
      <c r="J4" s="6"/>
      <c r="K4" s="16"/>
      <c r="L4" s="16"/>
      <c r="M4" s="16"/>
      <c r="N4" s="46"/>
    </row>
    <row r="5">
      <c r="A5" s="46"/>
      <c r="B5" s="46"/>
      <c r="C5" s="46"/>
      <c r="D5" s="16"/>
      <c r="E5" s="16"/>
      <c r="F5" s="16"/>
      <c r="G5" s="16"/>
      <c r="H5" s="16"/>
      <c r="I5" s="16"/>
      <c r="J5" s="16"/>
      <c r="K5" s="16"/>
      <c r="L5" s="16"/>
      <c r="M5" s="16"/>
      <c r="N5" s="46"/>
    </row>
    <row r="6" ht="14.25" customHeight="1">
      <c r="A6" s="46"/>
      <c r="B6" s="46"/>
      <c r="E6" s="16"/>
      <c r="F6" s="16"/>
      <c r="G6" s="16"/>
      <c r="H6" s="16"/>
      <c r="I6" s="16"/>
      <c r="J6" s="16"/>
      <c r="K6" s="16"/>
      <c r="L6" s="16"/>
      <c r="M6" s="16"/>
      <c r="N6" s="46"/>
    </row>
    <row r="7">
      <c r="A7" s="46"/>
      <c r="B7" s="46"/>
      <c r="E7" s="16"/>
      <c r="F7" s="16"/>
      <c r="G7" s="16"/>
      <c r="H7" s="16"/>
      <c r="I7" s="16"/>
      <c r="J7" s="16"/>
      <c r="K7" s="16"/>
      <c r="L7" s="16"/>
      <c r="M7" s="16"/>
      <c r="N7" s="46"/>
    </row>
    <row r="8">
      <c r="A8" s="46"/>
      <c r="B8" s="46"/>
      <c r="E8" s="16"/>
      <c r="F8" s="16"/>
      <c r="G8" s="16"/>
      <c r="H8" s="16"/>
      <c r="I8" s="16"/>
      <c r="J8" s="6"/>
      <c r="K8" s="16"/>
      <c r="L8" s="16"/>
      <c r="M8" s="16"/>
      <c r="N8" s="46"/>
    </row>
    <row r="9">
      <c r="A9" s="46"/>
      <c r="B9" s="46"/>
      <c r="E9" s="16"/>
      <c r="F9" s="16"/>
      <c r="G9" s="16"/>
      <c r="H9" s="16"/>
      <c r="I9" s="16"/>
      <c r="J9" s="6"/>
      <c r="K9" s="16"/>
      <c r="L9" s="16"/>
      <c r="M9" s="16"/>
      <c r="N9" s="46"/>
    </row>
    <row r="10">
      <c r="A10" s="46"/>
      <c r="B10" s="46"/>
      <c r="E10" s="16"/>
      <c r="F10" s="16"/>
      <c r="G10" s="16"/>
      <c r="H10" s="16"/>
      <c r="I10" s="16"/>
      <c r="J10" s="6"/>
      <c r="K10" s="16"/>
      <c r="L10" s="16"/>
      <c r="M10" s="16"/>
      <c r="N10" s="46"/>
    </row>
    <row r="11">
      <c r="A11" s="46"/>
      <c r="B11" s="46"/>
      <c r="E11" s="16"/>
      <c r="F11" s="16"/>
      <c r="G11" s="16"/>
      <c r="H11" s="16"/>
      <c r="I11" s="16"/>
      <c r="J11" s="6"/>
      <c r="K11" s="16"/>
      <c r="L11" s="16"/>
      <c r="M11" s="16"/>
      <c r="N11" s="46"/>
    </row>
    <row r="12">
      <c r="A12" s="46"/>
      <c r="B12" s="46"/>
      <c r="C12" s="46"/>
      <c r="D12" s="16"/>
      <c r="E12" s="16"/>
      <c r="F12" s="16"/>
      <c r="G12" s="16"/>
      <c r="H12" s="16"/>
      <c r="I12" s="16"/>
      <c r="J12" s="6"/>
      <c r="K12" s="16"/>
      <c r="L12" s="16"/>
      <c r="M12" s="16"/>
      <c r="N12" s="46"/>
    </row>
    <row r="13">
      <c r="A13" s="46"/>
      <c r="B13" s="46"/>
      <c r="E13" s="16"/>
      <c r="F13" s="16"/>
      <c r="G13" s="16"/>
      <c r="H13" s="16"/>
      <c r="I13" s="16"/>
      <c r="J13" s="6"/>
      <c r="K13" s="16"/>
      <c r="L13" s="16"/>
      <c r="M13" s="16"/>
      <c r="N13" s="46"/>
    </row>
    <row r="14">
      <c r="A14" s="46"/>
      <c r="B14" s="46"/>
      <c r="C14" s="50" t="s">
        <v>62</v>
      </c>
      <c r="E14" s="16"/>
      <c r="F14" s="16"/>
      <c r="G14" s="16"/>
      <c r="H14" s="16"/>
      <c r="I14" s="16"/>
      <c r="J14" s="6"/>
      <c r="K14" s="16"/>
      <c r="L14" s="16"/>
      <c r="M14" s="16"/>
      <c r="N14" s="46"/>
    </row>
    <row r="15">
      <c r="A15" s="46"/>
      <c r="B15" s="46"/>
      <c r="C15" s="6" t="s">
        <v>63</v>
      </c>
      <c r="D15" s="16">
        <f>COUNTIF('📊 รายงานสินค้าคงเหลือ'!J:J,C15)</f>
        <v>0</v>
      </c>
      <c r="E15" s="16"/>
      <c r="F15" s="16"/>
      <c r="G15" s="16"/>
      <c r="H15" s="16"/>
      <c r="I15" s="16"/>
      <c r="J15" s="6"/>
      <c r="K15" s="16"/>
      <c r="L15" s="16"/>
      <c r="M15" s="16"/>
      <c r="N15" s="46"/>
    </row>
    <row r="16">
      <c r="A16" s="46"/>
      <c r="B16" s="46"/>
      <c r="C16" s="6" t="s">
        <v>64</v>
      </c>
      <c r="D16" s="16">
        <f>COUNTIF('📊 รายงานสินค้าคงเหลือ'!J:J,C16)</f>
        <v>0</v>
      </c>
      <c r="E16" s="16"/>
      <c r="F16" s="16"/>
      <c r="G16" s="16"/>
      <c r="H16" s="16"/>
      <c r="I16" s="16"/>
      <c r="J16" s="6"/>
      <c r="K16" s="16"/>
      <c r="L16" s="16"/>
      <c r="M16" s="16"/>
      <c r="N16" s="46"/>
    </row>
    <row r="17">
      <c r="A17" s="46"/>
      <c r="B17" s="46"/>
      <c r="C17" s="6" t="s">
        <v>61</v>
      </c>
      <c r="D17" s="16">
        <f>COUNTIF('📊 รายงานสินค้าคงเหลือ'!J:J,C17)</f>
        <v>0</v>
      </c>
      <c r="E17" s="16"/>
      <c r="F17" s="16"/>
      <c r="G17" s="16"/>
      <c r="H17" s="16"/>
      <c r="I17" s="16"/>
      <c r="J17" s="6"/>
      <c r="K17" s="16"/>
      <c r="L17" s="16"/>
      <c r="M17" s="16"/>
      <c r="N17" s="46"/>
    </row>
    <row r="18">
      <c r="A18" s="46"/>
      <c r="B18" s="46"/>
      <c r="C18" s="6" t="s">
        <v>65</v>
      </c>
      <c r="D18" s="16">
        <f>COUNTIF('📊 รายงานสินค้าคงเหลือ'!J:J,C18)</f>
        <v>0</v>
      </c>
      <c r="E18" s="16"/>
      <c r="F18" s="16"/>
      <c r="G18" s="16"/>
      <c r="H18" s="16"/>
      <c r="I18" s="16"/>
      <c r="J18" s="6"/>
      <c r="K18" s="16"/>
      <c r="L18" s="16"/>
      <c r="M18" s="16"/>
      <c r="N18" s="46"/>
    </row>
    <row r="19">
      <c r="A19" s="46"/>
      <c r="B19" s="46"/>
      <c r="C19" s="6" t="s">
        <v>53</v>
      </c>
      <c r="D19" s="16">
        <f>COUNTIF('📊 รายงานสินค้าคงเหลือ'!J:J,C19)</f>
        <v>13</v>
      </c>
      <c r="E19" s="16"/>
      <c r="F19" s="16"/>
      <c r="G19" s="16"/>
      <c r="H19" s="16"/>
      <c r="I19" s="16"/>
      <c r="J19" s="6"/>
      <c r="K19" s="16"/>
      <c r="L19" s="16"/>
      <c r="M19" s="16"/>
      <c r="N19" s="46"/>
    </row>
    <row r="20">
      <c r="A20" s="46"/>
      <c r="B20" s="46"/>
      <c r="C20" s="46"/>
      <c r="D20" s="16"/>
      <c r="E20" s="16"/>
      <c r="F20" s="16"/>
      <c r="G20" s="16"/>
      <c r="H20" s="16"/>
      <c r="I20" s="16"/>
      <c r="J20" s="6"/>
      <c r="K20" s="16"/>
      <c r="L20" s="16"/>
      <c r="M20" s="16"/>
      <c r="N20" s="46"/>
    </row>
    <row r="21">
      <c r="A21" s="46"/>
      <c r="B21" s="46"/>
      <c r="C21" s="46"/>
      <c r="D21" s="16"/>
      <c r="E21" s="16"/>
      <c r="F21" s="16"/>
      <c r="G21" s="16"/>
      <c r="H21" s="16"/>
      <c r="I21" s="16"/>
      <c r="J21" s="6"/>
      <c r="K21" s="16"/>
      <c r="L21" s="16"/>
      <c r="M21" s="16"/>
      <c r="N21" s="46"/>
    </row>
    <row r="22">
      <c r="A22" s="46"/>
      <c r="B22" s="46"/>
      <c r="C22" s="46"/>
      <c r="D22" s="16"/>
      <c r="E22" s="16"/>
      <c r="F22" s="16"/>
      <c r="G22" s="16"/>
      <c r="H22" s="16"/>
      <c r="I22" s="16"/>
      <c r="J22" s="6"/>
      <c r="K22" s="16"/>
      <c r="L22" s="16"/>
      <c r="M22" s="16"/>
      <c r="N22" s="46"/>
    </row>
    <row r="23">
      <c r="A23" s="46"/>
      <c r="B23" s="46"/>
      <c r="C23" s="46"/>
      <c r="D23" s="16"/>
      <c r="E23" s="16"/>
      <c r="F23" s="16"/>
      <c r="G23" s="16"/>
      <c r="H23" s="16"/>
      <c r="I23" s="16"/>
      <c r="J23" s="6"/>
      <c r="K23" s="16"/>
      <c r="L23" s="16"/>
      <c r="M23" s="16"/>
      <c r="N23" s="46"/>
    </row>
    <row r="24">
      <c r="A24" s="46"/>
      <c r="B24" s="46"/>
      <c r="C24" s="46"/>
      <c r="D24" s="16"/>
      <c r="E24" s="16"/>
      <c r="F24" s="16"/>
      <c r="G24" s="16"/>
      <c r="H24" s="16"/>
      <c r="I24" s="16"/>
      <c r="J24" s="6"/>
      <c r="K24" s="16"/>
      <c r="L24" s="16"/>
      <c r="M24" s="16"/>
      <c r="N24" s="46"/>
    </row>
    <row r="25">
      <c r="A25" s="46"/>
      <c r="B25" s="46"/>
      <c r="C25" s="46"/>
      <c r="D25" s="16"/>
      <c r="E25" s="16"/>
      <c r="F25" s="16"/>
      <c r="G25" s="16"/>
      <c r="H25" s="16"/>
      <c r="I25" s="16"/>
      <c r="J25" s="6"/>
      <c r="K25" s="16"/>
      <c r="L25" s="16"/>
      <c r="M25" s="16"/>
      <c r="N25" s="46"/>
    </row>
    <row r="26">
      <c r="A26" s="46"/>
      <c r="B26" s="46"/>
      <c r="C26" s="46"/>
      <c r="D26" s="16"/>
      <c r="E26" s="16"/>
      <c r="F26" s="16"/>
      <c r="G26" s="16"/>
      <c r="H26" s="16"/>
      <c r="I26" s="16"/>
      <c r="J26" s="6"/>
      <c r="K26" s="16"/>
      <c r="L26" s="16"/>
      <c r="M26" s="16"/>
      <c r="N26" s="46"/>
    </row>
    <row r="27">
      <c r="A27" s="46"/>
      <c r="B27" s="46"/>
      <c r="C27" s="46"/>
      <c r="D27" s="16"/>
      <c r="E27" s="16"/>
      <c r="F27" s="16"/>
      <c r="G27" s="16"/>
      <c r="H27" s="16"/>
      <c r="I27" s="16"/>
      <c r="J27" s="6"/>
      <c r="K27" s="16"/>
      <c r="L27" s="16"/>
      <c r="M27" s="16"/>
      <c r="N27" s="46"/>
    </row>
    <row r="28">
      <c r="A28" s="46"/>
      <c r="B28" s="46"/>
      <c r="C28" s="46"/>
      <c r="D28" s="16"/>
      <c r="E28" s="16"/>
      <c r="F28" s="16"/>
      <c r="G28" s="16"/>
      <c r="H28" s="16"/>
      <c r="I28" s="16"/>
      <c r="J28" s="6"/>
      <c r="K28" s="16"/>
      <c r="L28" s="16"/>
      <c r="M28" s="16"/>
      <c r="N28" s="46"/>
    </row>
    <row r="29">
      <c r="A29" s="46"/>
      <c r="B29" s="46"/>
      <c r="C29" s="46"/>
      <c r="D29" s="16"/>
      <c r="E29" s="16"/>
      <c r="F29" s="16"/>
      <c r="G29" s="16"/>
      <c r="H29" s="16"/>
      <c r="I29" s="16"/>
      <c r="J29" s="6"/>
      <c r="K29" s="16"/>
      <c r="L29" s="16"/>
      <c r="M29" s="16"/>
      <c r="N29" s="46"/>
    </row>
    <row r="30">
      <c r="A30" s="46"/>
      <c r="B30" s="46"/>
      <c r="C30" s="46"/>
      <c r="D30" s="16"/>
      <c r="E30" s="16"/>
      <c r="F30" s="16"/>
      <c r="G30" s="16"/>
      <c r="H30" s="16"/>
      <c r="I30" s="16"/>
      <c r="J30" s="6"/>
      <c r="K30" s="16"/>
      <c r="L30" s="16"/>
      <c r="M30" s="16"/>
      <c r="N30" s="46"/>
    </row>
    <row r="31">
      <c r="A31" s="46"/>
      <c r="B31" s="46"/>
      <c r="C31" s="46"/>
      <c r="D31" s="16"/>
      <c r="E31" s="16"/>
      <c r="F31" s="16"/>
      <c r="G31" s="16"/>
      <c r="H31" s="16"/>
      <c r="I31" s="16"/>
      <c r="J31" s="6"/>
      <c r="K31" s="16"/>
      <c r="L31" s="16"/>
      <c r="M31" s="16"/>
      <c r="N31" s="46"/>
    </row>
    <row r="32">
      <c r="A32" s="46"/>
      <c r="B32" s="46"/>
      <c r="C32" s="46"/>
      <c r="D32" s="16"/>
      <c r="E32" s="16"/>
      <c r="F32" s="16"/>
      <c r="G32" s="16"/>
      <c r="H32" s="16"/>
      <c r="I32" s="16"/>
      <c r="J32" s="6"/>
      <c r="K32" s="16"/>
      <c r="L32" s="16"/>
      <c r="M32" s="16"/>
      <c r="N32" s="46"/>
    </row>
    <row r="33">
      <c r="A33" s="46"/>
      <c r="B33" s="46"/>
      <c r="C33" s="46"/>
      <c r="D33" s="16"/>
      <c r="E33" s="16"/>
      <c r="F33" s="16"/>
      <c r="G33" s="16"/>
      <c r="H33" s="16"/>
      <c r="I33" s="16"/>
      <c r="J33" s="6"/>
      <c r="K33" s="16"/>
      <c r="L33" s="16"/>
      <c r="M33" s="16"/>
      <c r="N33" s="46"/>
    </row>
    <row r="34">
      <c r="A34" s="46"/>
      <c r="B34" s="46"/>
      <c r="C34" s="46"/>
      <c r="D34" s="16"/>
      <c r="E34" s="16"/>
      <c r="F34" s="16"/>
      <c r="G34" s="16"/>
      <c r="H34" s="16"/>
      <c r="I34" s="16"/>
      <c r="J34" s="6"/>
      <c r="K34" s="16"/>
      <c r="L34" s="16"/>
      <c r="M34" s="16"/>
      <c r="N34" s="46"/>
    </row>
    <row r="35">
      <c r="A35" s="46"/>
      <c r="B35" s="46"/>
      <c r="C35" s="46"/>
      <c r="D35" s="16"/>
      <c r="E35" s="16"/>
      <c r="F35" s="16"/>
      <c r="G35" s="16"/>
      <c r="H35" s="16"/>
      <c r="I35" s="16"/>
      <c r="J35" s="6"/>
      <c r="K35" s="16"/>
      <c r="L35" s="16"/>
      <c r="M35" s="16"/>
      <c r="N35" s="46"/>
    </row>
    <row r="36">
      <c r="A36" s="46"/>
      <c r="B36" s="46"/>
      <c r="C36" s="46"/>
      <c r="D36" s="16"/>
      <c r="E36" s="16"/>
      <c r="F36" s="16"/>
      <c r="G36" s="16"/>
      <c r="H36" s="16"/>
      <c r="I36" s="16"/>
      <c r="J36" s="6"/>
      <c r="K36" s="16"/>
      <c r="L36" s="16"/>
      <c r="M36" s="16"/>
      <c r="N36" s="46"/>
    </row>
    <row r="37">
      <c r="A37" s="46"/>
      <c r="B37" s="46"/>
      <c r="C37" s="46"/>
      <c r="D37" s="16"/>
      <c r="E37" s="16"/>
      <c r="F37" s="16"/>
      <c r="G37" s="16"/>
      <c r="H37" s="16"/>
      <c r="I37" s="16"/>
      <c r="J37" s="6"/>
      <c r="K37" s="16"/>
      <c r="L37" s="16"/>
      <c r="M37" s="16"/>
      <c r="N37" s="46"/>
    </row>
    <row r="38">
      <c r="A38" s="46"/>
      <c r="B38" s="46"/>
      <c r="C38" s="46"/>
      <c r="D38" s="16"/>
      <c r="E38" s="16"/>
      <c r="F38" s="16"/>
      <c r="G38" s="16"/>
      <c r="H38" s="16"/>
      <c r="I38" s="16"/>
      <c r="J38" s="6"/>
      <c r="K38" s="16"/>
      <c r="L38" s="16"/>
      <c r="M38" s="16"/>
      <c r="N38" s="46"/>
    </row>
    <row r="39">
      <c r="A39" s="46"/>
      <c r="B39" s="46"/>
      <c r="C39" s="46"/>
      <c r="D39" s="16"/>
      <c r="E39" s="16"/>
      <c r="F39" s="16"/>
      <c r="G39" s="16"/>
      <c r="H39" s="16"/>
      <c r="I39" s="16"/>
      <c r="J39" s="6"/>
      <c r="K39" s="16"/>
      <c r="L39" s="16"/>
      <c r="M39" s="16"/>
      <c r="N39" s="46"/>
    </row>
    <row r="40">
      <c r="A40" s="46"/>
      <c r="B40" s="46"/>
      <c r="C40" s="46"/>
      <c r="D40" s="16"/>
      <c r="E40" s="16"/>
      <c r="F40" s="16"/>
      <c r="G40" s="16"/>
      <c r="H40" s="16"/>
      <c r="I40" s="16"/>
      <c r="J40" s="6"/>
      <c r="K40" s="16"/>
      <c r="L40" s="16"/>
      <c r="M40" s="16"/>
      <c r="N40" s="46"/>
    </row>
    <row r="41">
      <c r="A41" s="46"/>
      <c r="B41" s="46"/>
      <c r="C41" s="46"/>
      <c r="D41" s="16"/>
      <c r="E41" s="16"/>
      <c r="F41" s="16"/>
      <c r="G41" s="16"/>
      <c r="H41" s="16"/>
      <c r="I41" s="16"/>
      <c r="J41" s="6"/>
      <c r="K41" s="16"/>
      <c r="L41" s="16"/>
      <c r="M41" s="16"/>
      <c r="N41" s="46"/>
    </row>
    <row r="42">
      <c r="A42" s="46"/>
      <c r="B42" s="46"/>
      <c r="C42" s="46"/>
      <c r="D42" s="16"/>
      <c r="E42" s="16"/>
      <c r="F42" s="16"/>
      <c r="G42" s="16"/>
      <c r="H42" s="16"/>
      <c r="I42" s="16"/>
      <c r="J42" s="6"/>
      <c r="K42" s="16"/>
      <c r="L42" s="16"/>
      <c r="M42" s="16"/>
      <c r="N42" s="46"/>
    </row>
    <row r="43">
      <c r="A43" s="46"/>
      <c r="B43" s="46"/>
      <c r="C43" s="46"/>
      <c r="D43" s="16"/>
      <c r="E43" s="16"/>
      <c r="F43" s="16"/>
      <c r="G43" s="16"/>
      <c r="H43" s="16"/>
      <c r="I43" s="16"/>
      <c r="J43" s="6"/>
      <c r="K43" s="16"/>
      <c r="L43" s="16"/>
      <c r="M43" s="16"/>
      <c r="N43" s="46"/>
    </row>
    <row r="44">
      <c r="A44" s="46"/>
      <c r="B44" s="46"/>
      <c r="C44" s="46"/>
      <c r="D44" s="16"/>
      <c r="E44" s="16"/>
      <c r="F44" s="16"/>
      <c r="G44" s="16"/>
      <c r="H44" s="16"/>
      <c r="I44" s="16"/>
      <c r="J44" s="6"/>
      <c r="K44" s="16"/>
      <c r="L44" s="16"/>
      <c r="M44" s="16"/>
      <c r="N44" s="46"/>
    </row>
    <row r="45">
      <c r="A45" s="46"/>
      <c r="B45" s="46"/>
      <c r="C45" s="46"/>
      <c r="D45" s="16"/>
      <c r="E45" s="16"/>
      <c r="F45" s="16"/>
      <c r="G45" s="16"/>
      <c r="H45" s="16"/>
      <c r="I45" s="16"/>
      <c r="J45" s="6"/>
      <c r="K45" s="16"/>
      <c r="L45" s="16"/>
      <c r="M45" s="16"/>
      <c r="N45" s="46"/>
    </row>
    <row r="46">
      <c r="A46" s="46"/>
      <c r="B46" s="46"/>
      <c r="C46" s="46"/>
      <c r="D46" s="16"/>
      <c r="E46" s="16"/>
      <c r="F46" s="16"/>
      <c r="G46" s="16"/>
      <c r="H46" s="16"/>
      <c r="I46" s="16"/>
      <c r="J46" s="6"/>
      <c r="K46" s="16"/>
      <c r="L46" s="16"/>
      <c r="M46" s="16"/>
      <c r="N46" s="46"/>
    </row>
    <row r="47">
      <c r="A47" s="46"/>
      <c r="B47" s="46"/>
      <c r="C47" s="46"/>
      <c r="D47" s="16"/>
      <c r="E47" s="16"/>
      <c r="F47" s="16"/>
      <c r="G47" s="16"/>
      <c r="H47" s="16"/>
      <c r="I47" s="16"/>
      <c r="J47" s="6"/>
      <c r="K47" s="16"/>
      <c r="L47" s="16"/>
      <c r="M47" s="16"/>
      <c r="N47" s="46"/>
    </row>
    <row r="48">
      <c r="A48" s="46"/>
      <c r="B48" s="46"/>
      <c r="C48" s="46"/>
      <c r="D48" s="16"/>
      <c r="E48" s="16"/>
      <c r="F48" s="16"/>
      <c r="G48" s="16"/>
      <c r="H48" s="16"/>
      <c r="I48" s="16"/>
      <c r="J48" s="6"/>
      <c r="K48" s="16"/>
      <c r="L48" s="16"/>
      <c r="M48" s="16"/>
      <c r="N48" s="46"/>
    </row>
    <row r="49">
      <c r="A49" s="46"/>
      <c r="B49" s="46"/>
      <c r="C49" s="46"/>
      <c r="D49" s="16"/>
      <c r="E49" s="16"/>
      <c r="F49" s="16"/>
      <c r="G49" s="16"/>
      <c r="H49" s="16"/>
      <c r="I49" s="16"/>
      <c r="J49" s="6"/>
      <c r="K49" s="16"/>
      <c r="L49" s="16"/>
      <c r="M49" s="16"/>
      <c r="N49" s="46"/>
    </row>
    <row r="50">
      <c r="A50" s="46"/>
      <c r="B50" s="46"/>
      <c r="C50" s="46"/>
      <c r="D50" s="16"/>
      <c r="E50" s="16"/>
      <c r="F50" s="16"/>
      <c r="G50" s="16"/>
      <c r="H50" s="16"/>
      <c r="I50" s="16"/>
      <c r="J50" s="6"/>
      <c r="K50" s="16"/>
      <c r="L50" s="16"/>
      <c r="M50" s="16"/>
      <c r="N50" s="46"/>
    </row>
    <row r="51">
      <c r="A51" s="46"/>
      <c r="B51" s="46"/>
      <c r="C51" s="46"/>
      <c r="D51" s="16"/>
      <c r="E51" s="16"/>
      <c r="F51" s="16"/>
      <c r="G51" s="16"/>
      <c r="H51" s="16"/>
      <c r="I51" s="16"/>
      <c r="J51" s="6"/>
      <c r="K51" s="16"/>
      <c r="L51" s="16"/>
      <c r="M51" s="16"/>
      <c r="N51" s="46"/>
    </row>
    <row r="52">
      <c r="A52" s="46"/>
      <c r="B52" s="46"/>
      <c r="C52" s="46"/>
      <c r="D52" s="16"/>
      <c r="E52" s="16"/>
      <c r="F52" s="16"/>
      <c r="G52" s="16"/>
      <c r="H52" s="16"/>
      <c r="I52" s="16"/>
      <c r="J52" s="6"/>
      <c r="K52" s="16"/>
      <c r="L52" s="16"/>
      <c r="M52" s="16"/>
      <c r="N52" s="46"/>
    </row>
    <row r="53">
      <c r="A53" s="46"/>
      <c r="B53" s="46"/>
      <c r="C53" s="46"/>
      <c r="D53" s="16"/>
      <c r="E53" s="16"/>
      <c r="F53" s="16"/>
      <c r="G53" s="16"/>
      <c r="H53" s="16"/>
      <c r="I53" s="16"/>
      <c r="J53" s="6"/>
      <c r="K53" s="16"/>
      <c r="L53" s="16"/>
      <c r="M53" s="16"/>
      <c r="N53" s="46"/>
    </row>
    <row r="54">
      <c r="A54" s="46"/>
      <c r="B54" s="46"/>
      <c r="C54" s="46"/>
      <c r="D54" s="16"/>
      <c r="E54" s="16"/>
      <c r="F54" s="16"/>
      <c r="G54" s="16"/>
      <c r="H54" s="16"/>
      <c r="I54" s="16"/>
      <c r="J54" s="6"/>
      <c r="K54" s="16"/>
      <c r="L54" s="16"/>
      <c r="M54" s="16"/>
      <c r="N54" s="46"/>
    </row>
    <row r="55">
      <c r="A55" s="46"/>
      <c r="B55" s="46"/>
      <c r="C55" s="46"/>
      <c r="D55" s="16"/>
      <c r="E55" s="16"/>
      <c r="F55" s="16"/>
      <c r="G55" s="16"/>
      <c r="H55" s="16"/>
      <c r="I55" s="16"/>
      <c r="J55" s="6"/>
      <c r="K55" s="16"/>
      <c r="L55" s="16"/>
      <c r="M55" s="16"/>
      <c r="N55" s="46"/>
    </row>
    <row r="56">
      <c r="A56" s="46"/>
      <c r="B56" s="46"/>
      <c r="C56" s="46"/>
      <c r="D56" s="16"/>
      <c r="E56" s="16"/>
      <c r="F56" s="16"/>
      <c r="G56" s="16"/>
      <c r="H56" s="16"/>
      <c r="I56" s="16"/>
      <c r="J56" s="6"/>
      <c r="K56" s="16"/>
      <c r="L56" s="16"/>
      <c r="M56" s="16"/>
      <c r="N56" s="46"/>
    </row>
    <row r="57">
      <c r="A57" s="46"/>
      <c r="B57" s="46"/>
      <c r="C57" s="46"/>
      <c r="D57" s="16"/>
      <c r="E57" s="16"/>
      <c r="F57" s="16"/>
      <c r="G57" s="16"/>
      <c r="H57" s="16"/>
      <c r="I57" s="16"/>
      <c r="J57" s="6"/>
      <c r="K57" s="16"/>
      <c r="L57" s="16"/>
      <c r="M57" s="16"/>
      <c r="N57" s="46"/>
    </row>
    <row r="58">
      <c r="A58" s="46"/>
      <c r="B58" s="46"/>
      <c r="C58" s="46"/>
      <c r="D58" s="16"/>
      <c r="E58" s="16"/>
      <c r="F58" s="16"/>
      <c r="G58" s="16"/>
      <c r="H58" s="16"/>
      <c r="I58" s="16"/>
      <c r="J58" s="6"/>
      <c r="K58" s="16"/>
      <c r="L58" s="16"/>
      <c r="M58" s="16"/>
      <c r="N58" s="46"/>
    </row>
    <row r="59">
      <c r="A59" s="46"/>
      <c r="B59" s="46"/>
      <c r="C59" s="46"/>
      <c r="D59" s="16"/>
      <c r="E59" s="16"/>
      <c r="F59" s="16"/>
      <c r="G59" s="16"/>
      <c r="H59" s="16"/>
      <c r="I59" s="16"/>
      <c r="J59" s="6"/>
      <c r="K59" s="16"/>
      <c r="L59" s="16"/>
      <c r="M59" s="16"/>
      <c r="N59" s="46"/>
    </row>
    <row r="60">
      <c r="A60" s="46"/>
      <c r="B60" s="46"/>
      <c r="C60" s="46"/>
      <c r="D60" s="16"/>
      <c r="E60" s="16"/>
      <c r="F60" s="16"/>
      <c r="G60" s="16"/>
      <c r="H60" s="16"/>
      <c r="I60" s="16"/>
      <c r="J60" s="6"/>
      <c r="K60" s="16"/>
      <c r="L60" s="16"/>
      <c r="M60" s="16"/>
      <c r="N60" s="46"/>
    </row>
    <row r="61">
      <c r="A61" s="46"/>
      <c r="B61" s="46"/>
      <c r="C61" s="46"/>
      <c r="D61" s="16"/>
      <c r="E61" s="16"/>
      <c r="F61" s="16"/>
      <c r="G61" s="16"/>
      <c r="H61" s="16"/>
      <c r="I61" s="16"/>
      <c r="J61" s="6"/>
      <c r="K61" s="16"/>
      <c r="L61" s="16"/>
      <c r="M61" s="16"/>
      <c r="N61" s="46"/>
    </row>
    <row r="62">
      <c r="A62" s="46"/>
      <c r="B62" s="46"/>
      <c r="C62" s="46"/>
      <c r="D62" s="16"/>
      <c r="E62" s="16"/>
      <c r="F62" s="16"/>
      <c r="G62" s="16"/>
      <c r="H62" s="16"/>
      <c r="I62" s="16"/>
      <c r="J62" s="6"/>
      <c r="K62" s="16"/>
      <c r="L62" s="16"/>
      <c r="M62" s="16"/>
      <c r="N62" s="46"/>
    </row>
    <row r="63">
      <c r="A63" s="46"/>
      <c r="B63" s="46"/>
      <c r="C63" s="46"/>
      <c r="D63" s="16"/>
      <c r="E63" s="16"/>
      <c r="F63" s="16"/>
      <c r="G63" s="16"/>
      <c r="H63" s="16"/>
      <c r="I63" s="16"/>
      <c r="J63" s="6"/>
      <c r="K63" s="16"/>
      <c r="L63" s="16"/>
      <c r="M63" s="16"/>
      <c r="N63" s="46"/>
    </row>
    <row r="64">
      <c r="A64" s="46"/>
      <c r="B64" s="46"/>
      <c r="C64" s="46"/>
      <c r="D64" s="16"/>
      <c r="E64" s="16"/>
      <c r="F64" s="16"/>
      <c r="G64" s="16"/>
      <c r="H64" s="16"/>
      <c r="I64" s="16"/>
      <c r="J64" s="6"/>
      <c r="K64" s="16"/>
      <c r="L64" s="16"/>
      <c r="M64" s="16"/>
      <c r="N64" s="46"/>
    </row>
    <row r="65">
      <c r="A65" s="46"/>
      <c r="B65" s="46"/>
      <c r="C65" s="46"/>
      <c r="D65" s="16"/>
      <c r="E65" s="16"/>
      <c r="F65" s="16"/>
      <c r="G65" s="16"/>
      <c r="H65" s="16"/>
      <c r="I65" s="16"/>
      <c r="J65" s="6"/>
      <c r="K65" s="16"/>
      <c r="L65" s="16"/>
      <c r="M65" s="16"/>
      <c r="N65" s="46"/>
    </row>
    <row r="66">
      <c r="A66" s="46"/>
      <c r="B66" s="46"/>
      <c r="C66" s="46"/>
      <c r="D66" s="16"/>
      <c r="E66" s="16"/>
      <c r="F66" s="16"/>
      <c r="G66" s="16"/>
      <c r="H66" s="16"/>
      <c r="I66" s="16"/>
      <c r="J66" s="6"/>
      <c r="K66" s="16"/>
      <c r="L66" s="16"/>
      <c r="M66" s="16"/>
      <c r="N66" s="46"/>
    </row>
    <row r="67">
      <c r="A67" s="46"/>
      <c r="B67" s="46"/>
      <c r="C67" s="46"/>
      <c r="D67" s="16"/>
      <c r="E67" s="16"/>
      <c r="F67" s="16"/>
      <c r="G67" s="16"/>
      <c r="H67" s="16"/>
      <c r="I67" s="16"/>
      <c r="J67" s="6"/>
      <c r="K67" s="16"/>
      <c r="L67" s="16"/>
      <c r="M67" s="16"/>
      <c r="N67" s="46"/>
    </row>
    <row r="68">
      <c r="A68" s="46"/>
      <c r="B68" s="46"/>
      <c r="C68" s="46"/>
      <c r="D68" s="16"/>
      <c r="E68" s="16"/>
      <c r="F68" s="16"/>
      <c r="G68" s="16"/>
      <c r="H68" s="16"/>
      <c r="I68" s="16"/>
      <c r="J68" s="6"/>
      <c r="K68" s="16"/>
      <c r="L68" s="16"/>
      <c r="M68" s="16"/>
      <c r="N68" s="46"/>
    </row>
    <row r="69">
      <c r="A69" s="46"/>
      <c r="B69" s="46"/>
      <c r="C69" s="46"/>
      <c r="D69" s="16"/>
      <c r="E69" s="16"/>
      <c r="F69" s="16"/>
      <c r="G69" s="16"/>
      <c r="H69" s="16"/>
      <c r="I69" s="16"/>
      <c r="J69" s="6"/>
      <c r="K69" s="16"/>
      <c r="L69" s="16"/>
      <c r="M69" s="16"/>
      <c r="N69" s="46"/>
    </row>
    <row r="70">
      <c r="A70" s="46"/>
      <c r="B70" s="46"/>
      <c r="C70" s="46"/>
      <c r="D70" s="16"/>
      <c r="E70" s="16"/>
      <c r="F70" s="16"/>
      <c r="G70" s="16"/>
      <c r="H70" s="16"/>
      <c r="I70" s="16"/>
      <c r="J70" s="6"/>
      <c r="K70" s="16"/>
      <c r="L70" s="16"/>
      <c r="M70" s="16"/>
      <c r="N70" s="46"/>
    </row>
    <row r="71">
      <c r="A71" s="46"/>
      <c r="B71" s="46"/>
      <c r="C71" s="46"/>
      <c r="D71" s="16"/>
      <c r="E71" s="16"/>
      <c r="F71" s="16"/>
      <c r="G71" s="16"/>
      <c r="H71" s="16"/>
      <c r="I71" s="16"/>
      <c r="J71" s="6"/>
      <c r="K71" s="16"/>
      <c r="L71" s="16"/>
      <c r="M71" s="16"/>
      <c r="N71" s="46"/>
    </row>
    <row r="72">
      <c r="A72" s="46"/>
      <c r="B72" s="46"/>
      <c r="C72" s="46"/>
      <c r="D72" s="16"/>
      <c r="E72" s="16"/>
      <c r="F72" s="16"/>
      <c r="G72" s="16"/>
      <c r="H72" s="16"/>
      <c r="I72" s="16"/>
      <c r="J72" s="6"/>
      <c r="K72" s="16"/>
      <c r="L72" s="16"/>
      <c r="M72" s="16"/>
      <c r="N72" s="46"/>
    </row>
    <row r="73">
      <c r="A73" s="46"/>
      <c r="B73" s="46"/>
      <c r="C73" s="46"/>
      <c r="D73" s="16"/>
      <c r="E73" s="16"/>
      <c r="F73" s="16"/>
      <c r="G73" s="16"/>
      <c r="H73" s="16"/>
      <c r="I73" s="16"/>
      <c r="J73" s="6"/>
      <c r="K73" s="16"/>
      <c r="L73" s="16"/>
      <c r="M73" s="16"/>
      <c r="N73" s="46"/>
    </row>
    <row r="74">
      <c r="A74" s="46"/>
      <c r="B74" s="46"/>
      <c r="C74" s="46"/>
      <c r="D74" s="16"/>
      <c r="E74" s="16"/>
      <c r="F74" s="16"/>
      <c r="G74" s="16"/>
      <c r="H74" s="16"/>
      <c r="I74" s="16"/>
      <c r="J74" s="6"/>
      <c r="K74" s="16"/>
      <c r="L74" s="16"/>
      <c r="M74" s="16"/>
      <c r="N74" s="46"/>
    </row>
    <row r="75">
      <c r="A75" s="46"/>
      <c r="B75" s="46"/>
      <c r="C75" s="46"/>
      <c r="D75" s="16"/>
      <c r="E75" s="16"/>
      <c r="F75" s="16"/>
      <c r="G75" s="16"/>
      <c r="H75" s="16"/>
      <c r="I75" s="16"/>
      <c r="J75" s="6"/>
      <c r="K75" s="16"/>
      <c r="L75" s="16"/>
      <c r="M75" s="16"/>
      <c r="N75" s="46"/>
    </row>
    <row r="76">
      <c r="A76" s="46"/>
      <c r="B76" s="46"/>
      <c r="C76" s="46"/>
      <c r="D76" s="16"/>
      <c r="E76" s="16"/>
      <c r="F76" s="16"/>
      <c r="G76" s="16"/>
      <c r="H76" s="16"/>
      <c r="I76" s="16"/>
      <c r="J76" s="6"/>
      <c r="K76" s="16"/>
      <c r="L76" s="16"/>
      <c r="M76" s="16"/>
      <c r="N76" s="46"/>
    </row>
    <row r="77">
      <c r="A77" s="46"/>
      <c r="B77" s="46"/>
      <c r="C77" s="46"/>
      <c r="D77" s="16"/>
      <c r="E77" s="16"/>
      <c r="F77" s="16"/>
      <c r="G77" s="16"/>
      <c r="H77" s="16"/>
      <c r="I77" s="16"/>
      <c r="J77" s="6"/>
      <c r="K77" s="16"/>
      <c r="L77" s="16"/>
      <c r="M77" s="16"/>
      <c r="N77" s="46"/>
    </row>
    <row r="78">
      <c r="A78" s="46"/>
      <c r="B78" s="46"/>
      <c r="C78" s="46"/>
      <c r="D78" s="16"/>
      <c r="E78" s="16"/>
      <c r="F78" s="16"/>
      <c r="G78" s="16"/>
      <c r="H78" s="16"/>
      <c r="I78" s="16"/>
      <c r="J78" s="6"/>
      <c r="K78" s="16"/>
      <c r="L78" s="16"/>
      <c r="M78" s="16"/>
      <c r="N78" s="46"/>
    </row>
    <row r="79">
      <c r="A79" s="46"/>
      <c r="B79" s="46"/>
      <c r="C79" s="46"/>
      <c r="D79" s="16"/>
      <c r="E79" s="16"/>
      <c r="F79" s="16"/>
      <c r="G79" s="16"/>
      <c r="H79" s="16"/>
      <c r="I79" s="16"/>
      <c r="J79" s="6"/>
      <c r="K79" s="16"/>
      <c r="L79" s="16"/>
      <c r="M79" s="16"/>
      <c r="N79" s="46"/>
    </row>
    <row r="80">
      <c r="A80" s="46"/>
      <c r="B80" s="46"/>
      <c r="C80" s="46"/>
      <c r="D80" s="16"/>
      <c r="E80" s="16"/>
      <c r="F80" s="16"/>
      <c r="G80" s="16"/>
      <c r="H80" s="16"/>
      <c r="I80" s="16"/>
      <c r="J80" s="6"/>
      <c r="K80" s="16"/>
      <c r="L80" s="16"/>
      <c r="M80" s="16"/>
      <c r="N80" s="46"/>
    </row>
    <row r="81">
      <c r="A81" s="46"/>
      <c r="B81" s="46"/>
      <c r="C81" s="46"/>
      <c r="D81" s="16"/>
      <c r="E81" s="16"/>
      <c r="F81" s="16"/>
      <c r="G81" s="16"/>
      <c r="H81" s="16"/>
      <c r="I81" s="16"/>
      <c r="J81" s="6"/>
      <c r="K81" s="16"/>
      <c r="L81" s="16"/>
      <c r="M81" s="16"/>
      <c r="N81" s="46"/>
    </row>
    <row r="82">
      <c r="A82" s="46"/>
      <c r="B82" s="46"/>
      <c r="C82" s="46"/>
      <c r="D82" s="16"/>
      <c r="E82" s="16"/>
      <c r="F82" s="16"/>
      <c r="G82" s="16"/>
      <c r="H82" s="16"/>
      <c r="I82" s="16"/>
      <c r="J82" s="6"/>
      <c r="K82" s="16"/>
      <c r="L82" s="16"/>
      <c r="M82" s="16"/>
      <c r="N82" s="46"/>
    </row>
    <row r="83">
      <c r="A83" s="46"/>
      <c r="B83" s="46"/>
      <c r="C83" s="46"/>
      <c r="D83" s="16"/>
      <c r="E83" s="16"/>
      <c r="F83" s="16"/>
      <c r="G83" s="16"/>
      <c r="H83" s="16"/>
      <c r="I83" s="16"/>
      <c r="J83" s="6"/>
      <c r="K83" s="16"/>
      <c r="L83" s="16"/>
      <c r="M83" s="16"/>
      <c r="N83" s="46"/>
    </row>
    <row r="84">
      <c r="A84" s="46"/>
      <c r="B84" s="46"/>
      <c r="C84" s="46"/>
      <c r="D84" s="16"/>
      <c r="E84" s="16"/>
      <c r="F84" s="16"/>
      <c r="G84" s="16"/>
      <c r="H84" s="16"/>
      <c r="I84" s="16"/>
      <c r="J84" s="6"/>
      <c r="K84" s="16"/>
      <c r="L84" s="16"/>
      <c r="M84" s="16"/>
      <c r="N84" s="46"/>
    </row>
    <row r="85">
      <c r="A85" s="46"/>
      <c r="B85" s="46"/>
      <c r="C85" s="46"/>
      <c r="D85" s="16"/>
      <c r="E85" s="16"/>
      <c r="F85" s="16"/>
      <c r="G85" s="16"/>
      <c r="H85" s="16"/>
      <c r="I85" s="16"/>
      <c r="J85" s="6"/>
      <c r="K85" s="16"/>
      <c r="L85" s="16"/>
      <c r="M85" s="16"/>
      <c r="N85" s="46"/>
    </row>
    <row r="86">
      <c r="A86" s="46"/>
      <c r="B86" s="46"/>
      <c r="C86" s="46"/>
      <c r="D86" s="16"/>
      <c r="E86" s="16"/>
      <c r="F86" s="16"/>
      <c r="G86" s="16"/>
      <c r="H86" s="16"/>
      <c r="I86" s="16"/>
      <c r="J86" s="6"/>
      <c r="K86" s="16"/>
      <c r="L86" s="16"/>
      <c r="M86" s="16"/>
      <c r="N86" s="46"/>
    </row>
    <row r="87">
      <c r="A87" s="46"/>
      <c r="B87" s="46"/>
      <c r="C87" s="46"/>
      <c r="D87" s="16"/>
      <c r="E87" s="16"/>
      <c r="F87" s="16"/>
      <c r="G87" s="16"/>
      <c r="H87" s="16"/>
      <c r="I87" s="16"/>
      <c r="J87" s="6"/>
      <c r="K87" s="16"/>
      <c r="L87" s="16"/>
      <c r="M87" s="16"/>
      <c r="N87" s="46"/>
    </row>
    <row r="88">
      <c r="A88" s="46"/>
      <c r="B88" s="46"/>
      <c r="C88" s="46"/>
      <c r="D88" s="16"/>
      <c r="E88" s="16"/>
      <c r="F88" s="16"/>
      <c r="G88" s="16"/>
      <c r="H88" s="16"/>
      <c r="I88" s="16"/>
      <c r="J88" s="6"/>
      <c r="K88" s="16"/>
      <c r="L88" s="16"/>
      <c r="M88" s="16"/>
      <c r="N88" s="46"/>
    </row>
    <row r="89">
      <c r="A89" s="46"/>
      <c r="B89" s="46"/>
      <c r="C89" s="46"/>
      <c r="D89" s="16"/>
      <c r="E89" s="16"/>
      <c r="F89" s="16"/>
      <c r="G89" s="16"/>
      <c r="H89" s="16"/>
      <c r="I89" s="16"/>
      <c r="J89" s="6"/>
      <c r="K89" s="16"/>
      <c r="L89" s="16"/>
      <c r="M89" s="16"/>
      <c r="N89" s="46"/>
    </row>
    <row r="90">
      <c r="A90" s="46"/>
      <c r="B90" s="46"/>
      <c r="C90" s="46"/>
      <c r="D90" s="16"/>
      <c r="E90" s="16"/>
      <c r="F90" s="16"/>
      <c r="G90" s="16"/>
      <c r="H90" s="16"/>
      <c r="I90" s="16"/>
      <c r="J90" s="6"/>
      <c r="K90" s="16"/>
      <c r="L90" s="16"/>
      <c r="M90" s="16"/>
      <c r="N90" s="46"/>
    </row>
    <row r="91">
      <c r="A91" s="46"/>
      <c r="B91" s="46"/>
      <c r="C91" s="46"/>
      <c r="D91" s="16"/>
      <c r="E91" s="16"/>
      <c r="F91" s="16"/>
      <c r="G91" s="16"/>
      <c r="H91" s="16"/>
      <c r="I91" s="16"/>
      <c r="J91" s="6"/>
      <c r="K91" s="16"/>
      <c r="L91" s="16"/>
      <c r="M91" s="16"/>
      <c r="N91" s="46"/>
    </row>
    <row r="92">
      <c r="A92" s="46"/>
      <c r="B92" s="46"/>
      <c r="C92" s="46"/>
      <c r="D92" s="16"/>
      <c r="E92" s="16"/>
      <c r="F92" s="16"/>
      <c r="G92" s="16"/>
      <c r="H92" s="16"/>
      <c r="I92" s="16"/>
      <c r="J92" s="6"/>
      <c r="K92" s="16"/>
      <c r="L92" s="16"/>
      <c r="M92" s="16"/>
      <c r="N92" s="46"/>
    </row>
    <row r="93">
      <c r="A93" s="46"/>
      <c r="B93" s="46"/>
      <c r="C93" s="46"/>
      <c r="D93" s="16"/>
      <c r="E93" s="16"/>
      <c r="F93" s="16"/>
      <c r="G93" s="16"/>
      <c r="H93" s="16"/>
      <c r="I93" s="16"/>
      <c r="J93" s="6"/>
      <c r="K93" s="16"/>
      <c r="L93" s="16"/>
      <c r="M93" s="16"/>
      <c r="N93" s="46"/>
    </row>
    <row r="94">
      <c r="A94" s="46"/>
      <c r="B94" s="46"/>
      <c r="C94" s="46"/>
      <c r="D94" s="16"/>
      <c r="E94" s="16"/>
      <c r="F94" s="16"/>
      <c r="G94" s="16"/>
      <c r="H94" s="16"/>
      <c r="I94" s="16"/>
      <c r="J94" s="6"/>
      <c r="K94" s="16"/>
      <c r="L94" s="16"/>
      <c r="M94" s="16"/>
      <c r="N94" s="46"/>
    </row>
    <row r="95">
      <c r="A95" s="46"/>
      <c r="B95" s="46"/>
      <c r="C95" s="46"/>
      <c r="D95" s="16"/>
      <c r="E95" s="16"/>
      <c r="F95" s="16"/>
      <c r="G95" s="16"/>
      <c r="H95" s="16"/>
      <c r="I95" s="16"/>
      <c r="J95" s="6"/>
      <c r="K95" s="16"/>
      <c r="L95" s="16"/>
      <c r="M95" s="16"/>
      <c r="N95" s="46"/>
    </row>
    <row r="96">
      <c r="A96" s="46"/>
      <c r="B96" s="46"/>
      <c r="C96" s="46"/>
      <c r="D96" s="16"/>
      <c r="E96" s="16"/>
      <c r="F96" s="16"/>
      <c r="G96" s="16"/>
      <c r="H96" s="16"/>
      <c r="I96" s="16"/>
      <c r="J96" s="6"/>
      <c r="K96" s="16"/>
      <c r="L96" s="16"/>
      <c r="M96" s="16"/>
      <c r="N96" s="46"/>
    </row>
    <row r="97">
      <c r="A97" s="46"/>
      <c r="B97" s="46"/>
      <c r="C97" s="46"/>
      <c r="D97" s="16"/>
      <c r="E97" s="16"/>
      <c r="F97" s="16"/>
      <c r="G97" s="16"/>
      <c r="H97" s="16"/>
      <c r="I97" s="16"/>
      <c r="J97" s="6"/>
      <c r="K97" s="16"/>
      <c r="L97" s="16"/>
      <c r="M97" s="16"/>
      <c r="N97" s="46"/>
    </row>
    <row r="98">
      <c r="A98" s="46"/>
      <c r="B98" s="46"/>
      <c r="C98" s="46"/>
      <c r="D98" s="16"/>
      <c r="E98" s="16"/>
      <c r="F98" s="16"/>
      <c r="G98" s="16"/>
      <c r="H98" s="16"/>
      <c r="I98" s="16"/>
      <c r="J98" s="6"/>
      <c r="K98" s="16"/>
      <c r="L98" s="16"/>
      <c r="M98" s="16"/>
      <c r="N98" s="46"/>
    </row>
    <row r="99">
      <c r="A99" s="46"/>
      <c r="B99" s="46"/>
      <c r="C99" s="46"/>
      <c r="D99" s="16"/>
      <c r="E99" s="16"/>
      <c r="F99" s="16"/>
      <c r="G99" s="16"/>
      <c r="H99" s="16"/>
      <c r="I99" s="16"/>
      <c r="J99" s="6"/>
      <c r="K99" s="16"/>
      <c r="L99" s="16"/>
      <c r="M99" s="16"/>
      <c r="N99" s="46"/>
    </row>
    <row r="100">
      <c r="A100" s="46"/>
      <c r="B100" s="46"/>
      <c r="C100" s="46"/>
      <c r="D100" s="16"/>
      <c r="E100" s="16"/>
      <c r="F100" s="16"/>
      <c r="G100" s="16"/>
      <c r="H100" s="16"/>
      <c r="I100" s="16"/>
      <c r="J100" s="6"/>
      <c r="K100" s="16"/>
      <c r="L100" s="16"/>
      <c r="M100" s="16"/>
      <c r="N100" s="46"/>
    </row>
    <row r="101">
      <c r="A101" s="46"/>
      <c r="B101" s="46"/>
      <c r="C101" s="46"/>
      <c r="D101" s="16"/>
      <c r="E101" s="16"/>
      <c r="F101" s="16"/>
      <c r="G101" s="16"/>
      <c r="H101" s="16"/>
      <c r="I101" s="16"/>
      <c r="J101" s="6"/>
      <c r="K101" s="16"/>
      <c r="L101" s="16"/>
      <c r="M101" s="16"/>
      <c r="N101" s="46"/>
    </row>
    <row r="102">
      <c r="A102" s="46"/>
      <c r="B102" s="46"/>
      <c r="C102" s="46"/>
      <c r="D102" s="16"/>
      <c r="E102" s="16"/>
      <c r="F102" s="16"/>
      <c r="G102" s="16"/>
      <c r="H102" s="16"/>
      <c r="I102" s="16"/>
      <c r="J102" s="6"/>
      <c r="K102" s="16"/>
      <c r="L102" s="16"/>
      <c r="M102" s="16"/>
      <c r="N102" s="46"/>
    </row>
    <row r="103">
      <c r="A103" s="46"/>
      <c r="B103" s="46"/>
      <c r="C103" s="46"/>
      <c r="D103" s="16"/>
      <c r="E103" s="16"/>
      <c r="F103" s="16"/>
      <c r="G103" s="16"/>
      <c r="H103" s="16"/>
      <c r="I103" s="16"/>
      <c r="J103" s="6"/>
      <c r="K103" s="16"/>
      <c r="L103" s="16"/>
      <c r="M103" s="16"/>
      <c r="N103" s="46"/>
    </row>
    <row r="104">
      <c r="A104" s="46"/>
      <c r="B104" s="46"/>
      <c r="C104" s="46"/>
      <c r="D104" s="16"/>
      <c r="E104" s="16"/>
      <c r="F104" s="16"/>
      <c r="G104" s="16"/>
      <c r="H104" s="16"/>
      <c r="I104" s="16"/>
      <c r="J104" s="6"/>
      <c r="K104" s="16"/>
      <c r="L104" s="16"/>
      <c r="M104" s="16"/>
      <c r="N104" s="46"/>
    </row>
    <row r="105">
      <c r="A105" s="46"/>
      <c r="B105" s="46"/>
      <c r="C105" s="46"/>
      <c r="D105" s="16"/>
      <c r="E105" s="16"/>
      <c r="F105" s="16"/>
      <c r="G105" s="16"/>
      <c r="H105" s="16"/>
      <c r="I105" s="16"/>
      <c r="J105" s="6"/>
      <c r="K105" s="16"/>
      <c r="L105" s="16"/>
      <c r="M105" s="16"/>
      <c r="N105" s="46"/>
    </row>
    <row r="106">
      <c r="A106" s="46"/>
      <c r="B106" s="46"/>
      <c r="C106" s="46"/>
      <c r="D106" s="16"/>
      <c r="E106" s="16"/>
      <c r="F106" s="16"/>
      <c r="G106" s="16"/>
      <c r="H106" s="16"/>
      <c r="I106" s="16"/>
      <c r="J106" s="6"/>
      <c r="K106" s="16"/>
      <c r="L106" s="16"/>
      <c r="M106" s="16"/>
      <c r="N106" s="46"/>
    </row>
    <row r="107">
      <c r="A107" s="46"/>
      <c r="B107" s="46"/>
      <c r="C107" s="46"/>
      <c r="D107" s="16"/>
      <c r="E107" s="16"/>
      <c r="F107" s="16"/>
      <c r="G107" s="16"/>
      <c r="H107" s="16"/>
      <c r="I107" s="16"/>
      <c r="J107" s="6"/>
      <c r="K107" s="16"/>
      <c r="L107" s="16"/>
      <c r="M107" s="16"/>
      <c r="N107" s="46"/>
    </row>
    <row r="108">
      <c r="A108" s="46"/>
      <c r="B108" s="46"/>
      <c r="C108" s="46"/>
      <c r="D108" s="16"/>
      <c r="E108" s="16"/>
      <c r="F108" s="16"/>
      <c r="G108" s="16"/>
      <c r="H108" s="16"/>
      <c r="I108" s="16"/>
      <c r="J108" s="6"/>
      <c r="K108" s="16"/>
      <c r="L108" s="16"/>
      <c r="M108" s="16"/>
      <c r="N108" s="46"/>
    </row>
    <row r="109">
      <c r="A109" s="46"/>
      <c r="B109" s="46"/>
      <c r="C109" s="46"/>
      <c r="D109" s="16"/>
      <c r="E109" s="16"/>
      <c r="F109" s="16"/>
      <c r="G109" s="16"/>
      <c r="H109" s="16"/>
      <c r="I109" s="16"/>
      <c r="J109" s="6"/>
      <c r="K109" s="16"/>
      <c r="L109" s="16"/>
      <c r="M109" s="16"/>
      <c r="N109" s="46"/>
    </row>
    <row r="110">
      <c r="A110" s="46"/>
      <c r="B110" s="46"/>
      <c r="C110" s="46"/>
      <c r="D110" s="16"/>
      <c r="E110" s="16"/>
      <c r="F110" s="16"/>
      <c r="G110" s="16"/>
      <c r="H110" s="16"/>
      <c r="I110" s="16"/>
      <c r="J110" s="6"/>
      <c r="K110" s="16"/>
      <c r="L110" s="16"/>
      <c r="M110" s="16"/>
      <c r="N110" s="46"/>
    </row>
    <row r="111">
      <c r="A111" s="46"/>
      <c r="B111" s="46"/>
      <c r="C111" s="46"/>
      <c r="D111" s="16"/>
      <c r="E111" s="16"/>
      <c r="F111" s="16"/>
      <c r="G111" s="16"/>
      <c r="H111" s="16"/>
      <c r="I111" s="16"/>
      <c r="J111" s="6"/>
      <c r="K111" s="16"/>
      <c r="L111" s="16"/>
      <c r="M111" s="16"/>
      <c r="N111" s="46"/>
    </row>
    <row r="112">
      <c r="A112" s="46"/>
      <c r="B112" s="46"/>
      <c r="C112" s="46"/>
      <c r="D112" s="16"/>
      <c r="E112" s="16"/>
      <c r="F112" s="16"/>
      <c r="G112" s="16"/>
      <c r="H112" s="16"/>
      <c r="I112" s="16"/>
      <c r="J112" s="6"/>
      <c r="K112" s="16"/>
      <c r="L112" s="16"/>
      <c r="M112" s="16"/>
      <c r="N112" s="46"/>
    </row>
    <row r="113">
      <c r="A113" s="46"/>
      <c r="B113" s="46"/>
      <c r="C113" s="46"/>
      <c r="D113" s="16"/>
      <c r="E113" s="16"/>
      <c r="F113" s="16"/>
      <c r="G113" s="16"/>
      <c r="H113" s="16"/>
      <c r="I113" s="16"/>
      <c r="J113" s="6"/>
      <c r="K113" s="16"/>
      <c r="L113" s="16"/>
      <c r="M113" s="16"/>
      <c r="N113" s="46"/>
    </row>
    <row r="114">
      <c r="A114" s="46"/>
      <c r="B114" s="46"/>
      <c r="C114" s="46"/>
      <c r="D114" s="16"/>
      <c r="E114" s="16"/>
      <c r="F114" s="16"/>
      <c r="G114" s="16"/>
      <c r="H114" s="16"/>
      <c r="I114" s="16"/>
      <c r="J114" s="6"/>
      <c r="K114" s="16"/>
      <c r="L114" s="16"/>
      <c r="M114" s="16"/>
      <c r="N114" s="46"/>
    </row>
    <row r="115">
      <c r="A115" s="46"/>
      <c r="B115" s="46"/>
      <c r="C115" s="46"/>
      <c r="D115" s="16"/>
      <c r="E115" s="16"/>
      <c r="F115" s="16"/>
      <c r="G115" s="16"/>
      <c r="H115" s="16"/>
      <c r="I115" s="16"/>
      <c r="J115" s="6"/>
      <c r="K115" s="16"/>
      <c r="L115" s="16"/>
      <c r="M115" s="16"/>
      <c r="N115" s="46"/>
    </row>
    <row r="116">
      <c r="A116" s="46"/>
      <c r="B116" s="46"/>
      <c r="C116" s="46"/>
      <c r="D116" s="16"/>
      <c r="E116" s="16"/>
      <c r="F116" s="16"/>
      <c r="G116" s="16"/>
      <c r="H116" s="16"/>
      <c r="I116" s="16"/>
      <c r="J116" s="6"/>
      <c r="K116" s="16"/>
      <c r="L116" s="16"/>
      <c r="M116" s="16"/>
      <c r="N116" s="46"/>
    </row>
    <row r="117">
      <c r="A117" s="46"/>
      <c r="B117" s="46"/>
      <c r="C117" s="46"/>
      <c r="D117" s="16"/>
      <c r="E117" s="16"/>
      <c r="F117" s="16"/>
      <c r="G117" s="16"/>
      <c r="H117" s="16"/>
      <c r="I117" s="16"/>
      <c r="J117" s="6"/>
      <c r="K117" s="16"/>
      <c r="L117" s="16"/>
      <c r="M117" s="16"/>
      <c r="N117" s="46"/>
    </row>
    <row r="118">
      <c r="A118" s="46"/>
      <c r="B118" s="46"/>
      <c r="C118" s="46"/>
      <c r="D118" s="16"/>
      <c r="E118" s="16"/>
      <c r="F118" s="16"/>
      <c r="G118" s="16"/>
      <c r="H118" s="16"/>
      <c r="I118" s="16"/>
      <c r="J118" s="6"/>
      <c r="K118" s="16"/>
      <c r="L118" s="16"/>
      <c r="M118" s="16"/>
      <c r="N118" s="46"/>
    </row>
    <row r="119">
      <c r="A119" s="46"/>
      <c r="B119" s="46"/>
      <c r="C119" s="46"/>
      <c r="D119" s="16"/>
      <c r="E119" s="16"/>
      <c r="F119" s="16"/>
      <c r="G119" s="16"/>
      <c r="H119" s="16"/>
      <c r="I119" s="16"/>
      <c r="J119" s="6"/>
      <c r="K119" s="16"/>
      <c r="L119" s="16"/>
      <c r="M119" s="16"/>
      <c r="N119" s="46"/>
    </row>
    <row r="120">
      <c r="A120" s="46"/>
      <c r="B120" s="46"/>
      <c r="C120" s="46"/>
      <c r="D120" s="16"/>
      <c r="E120" s="16"/>
      <c r="F120" s="16"/>
      <c r="G120" s="16"/>
      <c r="H120" s="16"/>
      <c r="I120" s="16"/>
      <c r="J120" s="6"/>
      <c r="K120" s="16"/>
      <c r="L120" s="16"/>
      <c r="M120" s="16"/>
      <c r="N120" s="46"/>
    </row>
    <row r="121">
      <c r="A121" s="46"/>
      <c r="B121" s="46"/>
      <c r="C121" s="46"/>
      <c r="D121" s="16"/>
      <c r="E121" s="16"/>
      <c r="F121" s="16"/>
      <c r="G121" s="16"/>
      <c r="H121" s="16"/>
      <c r="I121" s="16"/>
      <c r="J121" s="6"/>
      <c r="K121" s="16"/>
      <c r="L121" s="16"/>
      <c r="M121" s="16"/>
      <c r="N121" s="46"/>
    </row>
    <row r="122">
      <c r="A122" s="46"/>
      <c r="B122" s="46"/>
      <c r="C122" s="46"/>
      <c r="D122" s="16"/>
      <c r="E122" s="16"/>
      <c r="F122" s="16"/>
      <c r="G122" s="16"/>
      <c r="H122" s="16"/>
      <c r="I122" s="16"/>
      <c r="J122" s="6"/>
      <c r="K122" s="16"/>
      <c r="L122" s="16"/>
      <c r="M122" s="16"/>
      <c r="N122" s="46"/>
    </row>
    <row r="123">
      <c r="A123" s="46"/>
      <c r="B123" s="46"/>
      <c r="C123" s="46"/>
      <c r="D123" s="16"/>
      <c r="E123" s="16"/>
      <c r="F123" s="16"/>
      <c r="G123" s="16"/>
      <c r="H123" s="16"/>
      <c r="I123" s="16"/>
      <c r="J123" s="6"/>
      <c r="K123" s="16"/>
      <c r="L123" s="16"/>
      <c r="M123" s="16"/>
      <c r="N123" s="46"/>
    </row>
    <row r="124">
      <c r="A124" s="46"/>
      <c r="B124" s="46"/>
      <c r="C124" s="46"/>
      <c r="D124" s="16"/>
      <c r="E124" s="16"/>
      <c r="F124" s="16"/>
      <c r="G124" s="16"/>
      <c r="H124" s="16"/>
      <c r="I124" s="16"/>
      <c r="J124" s="6"/>
      <c r="K124" s="16"/>
      <c r="L124" s="16"/>
      <c r="M124" s="16"/>
      <c r="N124" s="46"/>
    </row>
    <row r="125">
      <c r="A125" s="46"/>
      <c r="B125" s="46"/>
      <c r="C125" s="46"/>
      <c r="D125" s="16"/>
      <c r="E125" s="16"/>
      <c r="F125" s="16"/>
      <c r="G125" s="16"/>
      <c r="H125" s="16"/>
      <c r="I125" s="16"/>
      <c r="J125" s="6"/>
      <c r="K125" s="16"/>
      <c r="L125" s="16"/>
      <c r="M125" s="16"/>
      <c r="N125" s="46"/>
    </row>
    <row r="126">
      <c r="A126" s="46"/>
      <c r="B126" s="46"/>
      <c r="C126" s="46"/>
      <c r="D126" s="16"/>
      <c r="E126" s="16"/>
      <c r="F126" s="16"/>
      <c r="G126" s="16"/>
      <c r="H126" s="16"/>
      <c r="I126" s="16"/>
      <c r="J126" s="6"/>
      <c r="K126" s="16"/>
      <c r="L126" s="16"/>
      <c r="M126" s="16"/>
      <c r="N126" s="46"/>
    </row>
    <row r="127">
      <c r="A127" s="46"/>
      <c r="B127" s="46"/>
      <c r="C127" s="46"/>
      <c r="D127" s="16"/>
      <c r="E127" s="16"/>
      <c r="F127" s="16"/>
      <c r="G127" s="16"/>
      <c r="H127" s="16"/>
      <c r="I127" s="16"/>
      <c r="J127" s="6"/>
      <c r="K127" s="16"/>
      <c r="L127" s="16"/>
      <c r="M127" s="16"/>
      <c r="N127" s="46"/>
    </row>
    <row r="128">
      <c r="A128" s="46"/>
      <c r="B128" s="46"/>
      <c r="C128" s="46"/>
      <c r="D128" s="16"/>
      <c r="E128" s="16"/>
      <c r="F128" s="16"/>
      <c r="G128" s="16"/>
      <c r="H128" s="16"/>
      <c r="I128" s="16"/>
      <c r="J128" s="6"/>
      <c r="K128" s="16"/>
      <c r="L128" s="16"/>
      <c r="M128" s="16"/>
      <c r="N128" s="46"/>
    </row>
    <row r="129">
      <c r="A129" s="46"/>
      <c r="B129" s="46"/>
      <c r="C129" s="46"/>
      <c r="D129" s="16"/>
      <c r="E129" s="16"/>
      <c r="F129" s="16"/>
      <c r="G129" s="16"/>
      <c r="H129" s="16"/>
      <c r="I129" s="16"/>
      <c r="J129" s="6"/>
      <c r="K129" s="16"/>
      <c r="L129" s="16"/>
      <c r="M129" s="16"/>
      <c r="N129" s="46"/>
    </row>
    <row r="130">
      <c r="A130" s="46"/>
      <c r="B130" s="46"/>
      <c r="C130" s="46"/>
      <c r="D130" s="16"/>
      <c r="E130" s="16"/>
      <c r="F130" s="16"/>
      <c r="G130" s="16"/>
      <c r="H130" s="16"/>
      <c r="I130" s="16"/>
      <c r="J130" s="6"/>
      <c r="K130" s="16"/>
      <c r="L130" s="16"/>
      <c r="M130" s="16"/>
      <c r="N130" s="46"/>
    </row>
    <row r="131">
      <c r="A131" s="46"/>
      <c r="B131" s="46"/>
      <c r="C131" s="46"/>
      <c r="D131" s="16"/>
      <c r="E131" s="16"/>
      <c r="F131" s="16"/>
      <c r="G131" s="16"/>
      <c r="H131" s="16"/>
      <c r="I131" s="16"/>
      <c r="J131" s="6"/>
      <c r="K131" s="16"/>
      <c r="L131" s="16"/>
      <c r="M131" s="16"/>
      <c r="N131" s="46"/>
    </row>
    <row r="132">
      <c r="A132" s="46"/>
      <c r="B132" s="46"/>
      <c r="C132" s="46"/>
      <c r="D132" s="16"/>
      <c r="E132" s="16"/>
      <c r="F132" s="16"/>
      <c r="G132" s="16"/>
      <c r="H132" s="16"/>
      <c r="I132" s="16"/>
      <c r="J132" s="6"/>
      <c r="K132" s="16"/>
      <c r="L132" s="16"/>
      <c r="M132" s="16"/>
      <c r="N132" s="46"/>
    </row>
    <row r="133">
      <c r="A133" s="46"/>
      <c r="B133" s="46"/>
      <c r="C133" s="46"/>
      <c r="D133" s="16"/>
      <c r="E133" s="16"/>
      <c r="F133" s="16"/>
      <c r="G133" s="16"/>
      <c r="H133" s="16"/>
      <c r="I133" s="16"/>
      <c r="J133" s="6"/>
      <c r="K133" s="16"/>
      <c r="L133" s="16"/>
      <c r="M133" s="16"/>
      <c r="N133" s="46"/>
    </row>
    <row r="134">
      <c r="A134" s="46"/>
      <c r="B134" s="46"/>
      <c r="C134" s="46"/>
      <c r="D134" s="16"/>
      <c r="E134" s="16"/>
      <c r="F134" s="16"/>
      <c r="G134" s="16"/>
      <c r="H134" s="16"/>
      <c r="I134" s="16"/>
      <c r="J134" s="6"/>
      <c r="K134" s="16"/>
      <c r="L134" s="16"/>
      <c r="M134" s="16"/>
      <c r="N134" s="46"/>
    </row>
    <row r="135">
      <c r="A135" s="46"/>
      <c r="B135" s="46"/>
      <c r="C135" s="46"/>
      <c r="D135" s="16"/>
      <c r="E135" s="16"/>
      <c r="F135" s="16"/>
      <c r="G135" s="16"/>
      <c r="H135" s="16"/>
      <c r="I135" s="16"/>
      <c r="J135" s="6"/>
      <c r="K135" s="16"/>
      <c r="L135" s="16"/>
      <c r="M135" s="16"/>
      <c r="N135" s="46"/>
    </row>
    <row r="136">
      <c r="A136" s="46"/>
      <c r="B136" s="46"/>
      <c r="C136" s="46"/>
      <c r="D136" s="16"/>
      <c r="E136" s="16"/>
      <c r="F136" s="16"/>
      <c r="G136" s="16"/>
      <c r="H136" s="16"/>
      <c r="I136" s="16"/>
      <c r="J136" s="6"/>
      <c r="K136" s="16"/>
      <c r="L136" s="16"/>
      <c r="M136" s="16"/>
      <c r="N136" s="46"/>
    </row>
    <row r="137">
      <c r="A137" s="46"/>
      <c r="B137" s="46"/>
      <c r="C137" s="46"/>
      <c r="D137" s="16"/>
      <c r="E137" s="16"/>
      <c r="F137" s="16"/>
      <c r="G137" s="16"/>
      <c r="H137" s="16"/>
      <c r="I137" s="16"/>
      <c r="J137" s="6"/>
      <c r="K137" s="16"/>
      <c r="L137" s="16"/>
      <c r="M137" s="16"/>
      <c r="N137" s="46"/>
    </row>
    <row r="138">
      <c r="A138" s="46"/>
      <c r="B138" s="46"/>
      <c r="C138" s="46"/>
      <c r="D138" s="16"/>
      <c r="E138" s="16"/>
      <c r="F138" s="16"/>
      <c r="G138" s="16"/>
      <c r="H138" s="16"/>
      <c r="I138" s="16"/>
      <c r="J138" s="6"/>
      <c r="K138" s="16"/>
      <c r="L138" s="16"/>
      <c r="M138" s="16"/>
      <c r="N138" s="46"/>
    </row>
    <row r="139">
      <c r="A139" s="46"/>
      <c r="B139" s="46"/>
      <c r="C139" s="46"/>
      <c r="D139" s="16"/>
      <c r="E139" s="16"/>
      <c r="F139" s="16"/>
      <c r="G139" s="16"/>
      <c r="H139" s="16"/>
      <c r="I139" s="16"/>
      <c r="J139" s="6"/>
      <c r="K139" s="16"/>
      <c r="L139" s="16"/>
      <c r="M139" s="16"/>
      <c r="N139" s="46"/>
    </row>
    <row r="140">
      <c r="A140" s="46"/>
      <c r="B140" s="46"/>
      <c r="C140" s="46"/>
      <c r="D140" s="16"/>
      <c r="E140" s="16"/>
      <c r="F140" s="16"/>
      <c r="G140" s="16"/>
      <c r="H140" s="16"/>
      <c r="I140" s="16"/>
      <c r="J140" s="6"/>
      <c r="K140" s="16"/>
      <c r="L140" s="16"/>
      <c r="M140" s="16"/>
      <c r="N140" s="46"/>
    </row>
    <row r="141">
      <c r="A141" s="46"/>
      <c r="B141" s="46"/>
      <c r="C141" s="46"/>
      <c r="D141" s="16"/>
      <c r="E141" s="16"/>
      <c r="F141" s="16"/>
      <c r="G141" s="16"/>
      <c r="H141" s="16"/>
      <c r="I141" s="16"/>
      <c r="J141" s="6"/>
      <c r="K141" s="16"/>
      <c r="L141" s="16"/>
      <c r="M141" s="16"/>
      <c r="N141" s="46"/>
    </row>
    <row r="142">
      <c r="A142" s="46"/>
      <c r="B142" s="46"/>
      <c r="C142" s="46"/>
      <c r="D142" s="16"/>
      <c r="E142" s="16"/>
      <c r="F142" s="16"/>
      <c r="G142" s="16"/>
      <c r="H142" s="16"/>
      <c r="I142" s="16"/>
      <c r="J142" s="6"/>
      <c r="K142" s="16"/>
      <c r="L142" s="16"/>
      <c r="M142" s="16"/>
      <c r="N142" s="46"/>
    </row>
    <row r="143">
      <c r="A143" s="46"/>
      <c r="B143" s="46"/>
      <c r="C143" s="46"/>
      <c r="D143" s="16"/>
      <c r="E143" s="16"/>
      <c r="F143" s="16"/>
      <c r="G143" s="16"/>
      <c r="H143" s="16"/>
      <c r="I143" s="16"/>
      <c r="J143" s="6"/>
      <c r="K143" s="16"/>
      <c r="L143" s="16"/>
      <c r="M143" s="16"/>
      <c r="N143" s="46"/>
    </row>
    <row r="144">
      <c r="A144" s="46"/>
      <c r="B144" s="46"/>
      <c r="C144" s="46"/>
      <c r="D144" s="16"/>
      <c r="E144" s="16"/>
      <c r="F144" s="16"/>
      <c r="G144" s="16"/>
      <c r="H144" s="16"/>
      <c r="I144" s="16"/>
      <c r="J144" s="6"/>
      <c r="K144" s="16"/>
      <c r="L144" s="16"/>
      <c r="M144" s="16"/>
      <c r="N144" s="46"/>
    </row>
    <row r="145">
      <c r="A145" s="46"/>
      <c r="B145" s="46"/>
      <c r="C145" s="46"/>
      <c r="D145" s="16"/>
      <c r="E145" s="16"/>
      <c r="F145" s="16"/>
      <c r="G145" s="16"/>
      <c r="H145" s="16"/>
      <c r="I145" s="16"/>
      <c r="J145" s="6"/>
      <c r="K145" s="16"/>
      <c r="L145" s="16"/>
      <c r="M145" s="16"/>
      <c r="N145" s="46"/>
    </row>
    <row r="146">
      <c r="A146" s="46"/>
      <c r="B146" s="46"/>
      <c r="C146" s="46"/>
      <c r="D146" s="16"/>
      <c r="E146" s="16"/>
      <c r="F146" s="16"/>
      <c r="G146" s="16"/>
      <c r="H146" s="16"/>
      <c r="I146" s="16"/>
      <c r="J146" s="6"/>
      <c r="K146" s="16"/>
      <c r="L146" s="16"/>
      <c r="M146" s="16"/>
      <c r="N146" s="46"/>
    </row>
    <row r="147">
      <c r="A147" s="46"/>
      <c r="B147" s="46"/>
      <c r="C147" s="46"/>
      <c r="D147" s="16"/>
      <c r="E147" s="16"/>
      <c r="F147" s="16"/>
      <c r="G147" s="16"/>
      <c r="H147" s="16"/>
      <c r="I147" s="16"/>
      <c r="J147" s="6"/>
      <c r="K147" s="16"/>
      <c r="L147" s="16"/>
      <c r="M147" s="16"/>
      <c r="N147" s="46"/>
    </row>
    <row r="148">
      <c r="A148" s="46"/>
      <c r="B148" s="46"/>
      <c r="C148" s="46"/>
      <c r="D148" s="16"/>
      <c r="E148" s="16"/>
      <c r="F148" s="16"/>
      <c r="G148" s="16"/>
      <c r="H148" s="16"/>
      <c r="I148" s="16"/>
      <c r="J148" s="6"/>
      <c r="K148" s="16"/>
      <c r="L148" s="16"/>
      <c r="M148" s="16"/>
      <c r="N148" s="46"/>
    </row>
    <row r="149">
      <c r="A149" s="46"/>
      <c r="B149" s="46"/>
      <c r="C149" s="46"/>
      <c r="D149" s="16"/>
      <c r="E149" s="16"/>
      <c r="F149" s="16"/>
      <c r="G149" s="16"/>
      <c r="H149" s="16"/>
      <c r="I149" s="16"/>
      <c r="J149" s="6"/>
      <c r="K149" s="16"/>
      <c r="L149" s="16"/>
      <c r="M149" s="16"/>
      <c r="N149" s="46"/>
    </row>
    <row r="150">
      <c r="A150" s="46"/>
      <c r="B150" s="46"/>
      <c r="C150" s="46"/>
      <c r="D150" s="16"/>
      <c r="E150" s="16"/>
      <c r="F150" s="16"/>
      <c r="G150" s="16"/>
      <c r="H150" s="16"/>
      <c r="I150" s="16"/>
      <c r="J150" s="6"/>
      <c r="K150" s="16"/>
      <c r="L150" s="16"/>
      <c r="M150" s="16"/>
      <c r="N150" s="46"/>
    </row>
    <row r="151">
      <c r="A151" s="46"/>
      <c r="B151" s="46"/>
      <c r="C151" s="46"/>
      <c r="D151" s="16"/>
      <c r="E151" s="16"/>
      <c r="F151" s="16"/>
      <c r="G151" s="16"/>
      <c r="H151" s="16"/>
      <c r="I151" s="16"/>
      <c r="J151" s="6"/>
      <c r="K151" s="16"/>
      <c r="L151" s="16"/>
      <c r="M151" s="16"/>
      <c r="N151" s="46"/>
    </row>
    <row r="152">
      <c r="A152" s="46"/>
      <c r="B152" s="46"/>
      <c r="C152" s="46"/>
      <c r="D152" s="16"/>
      <c r="E152" s="16"/>
      <c r="F152" s="16"/>
      <c r="G152" s="16"/>
      <c r="H152" s="16"/>
      <c r="I152" s="16"/>
      <c r="J152" s="6"/>
      <c r="K152" s="16"/>
      <c r="L152" s="16"/>
      <c r="M152" s="16"/>
      <c r="N152" s="46"/>
    </row>
    <row r="153">
      <c r="A153" s="46"/>
      <c r="B153" s="46"/>
      <c r="C153" s="46"/>
      <c r="D153" s="16"/>
      <c r="E153" s="16"/>
      <c r="F153" s="16"/>
      <c r="G153" s="16"/>
      <c r="H153" s="16"/>
      <c r="I153" s="16"/>
      <c r="J153" s="6"/>
      <c r="K153" s="16"/>
      <c r="L153" s="16"/>
      <c r="M153" s="16"/>
      <c r="N153" s="46"/>
    </row>
    <row r="154">
      <c r="A154" s="46"/>
      <c r="B154" s="46"/>
      <c r="C154" s="46"/>
      <c r="D154" s="16"/>
      <c r="E154" s="16"/>
      <c r="F154" s="16"/>
      <c r="G154" s="16"/>
      <c r="H154" s="16"/>
      <c r="I154" s="16"/>
      <c r="J154" s="6"/>
      <c r="K154" s="16"/>
      <c r="L154" s="16"/>
      <c r="M154" s="16"/>
      <c r="N154" s="46"/>
    </row>
    <row r="155">
      <c r="A155" s="46"/>
      <c r="B155" s="46"/>
      <c r="C155" s="46"/>
      <c r="D155" s="16"/>
      <c r="E155" s="16"/>
      <c r="F155" s="16"/>
      <c r="G155" s="16"/>
      <c r="H155" s="16"/>
      <c r="I155" s="16"/>
      <c r="J155" s="6"/>
      <c r="K155" s="16"/>
      <c r="L155" s="16"/>
      <c r="M155" s="16"/>
      <c r="N155" s="46"/>
    </row>
    <row r="156">
      <c r="A156" s="46"/>
      <c r="B156" s="46"/>
      <c r="C156" s="46"/>
      <c r="D156" s="16"/>
      <c r="E156" s="16"/>
      <c r="F156" s="16"/>
      <c r="G156" s="16"/>
      <c r="H156" s="16"/>
      <c r="I156" s="16"/>
      <c r="J156" s="6"/>
      <c r="K156" s="16"/>
      <c r="L156" s="16"/>
      <c r="M156" s="16"/>
      <c r="N156" s="46"/>
    </row>
    <row r="157">
      <c r="A157" s="46"/>
      <c r="B157" s="46"/>
      <c r="C157" s="46"/>
      <c r="D157" s="16"/>
      <c r="E157" s="16"/>
      <c r="F157" s="16"/>
      <c r="G157" s="16"/>
      <c r="H157" s="16"/>
      <c r="I157" s="16"/>
      <c r="J157" s="6"/>
      <c r="K157" s="16"/>
      <c r="L157" s="16"/>
      <c r="M157" s="16"/>
      <c r="N157" s="46"/>
    </row>
    <row r="158">
      <c r="A158" s="46"/>
      <c r="B158" s="46"/>
      <c r="C158" s="46"/>
      <c r="D158" s="16"/>
      <c r="E158" s="16"/>
      <c r="F158" s="16"/>
      <c r="G158" s="16"/>
      <c r="H158" s="16"/>
      <c r="I158" s="16"/>
      <c r="J158" s="6"/>
      <c r="K158" s="16"/>
      <c r="L158" s="16"/>
      <c r="M158" s="16"/>
      <c r="N158" s="46"/>
    </row>
    <row r="159">
      <c r="A159" s="46"/>
      <c r="B159" s="46"/>
      <c r="C159" s="46"/>
      <c r="D159" s="16"/>
      <c r="E159" s="16"/>
      <c r="F159" s="16"/>
      <c r="G159" s="16"/>
      <c r="H159" s="16"/>
      <c r="I159" s="16"/>
      <c r="J159" s="6"/>
      <c r="K159" s="16"/>
      <c r="L159" s="16"/>
      <c r="M159" s="16"/>
      <c r="N159" s="46"/>
    </row>
    <row r="160">
      <c r="A160" s="46"/>
      <c r="B160" s="46"/>
      <c r="C160" s="46"/>
      <c r="D160" s="16"/>
      <c r="E160" s="16"/>
      <c r="F160" s="16"/>
      <c r="G160" s="16"/>
      <c r="H160" s="16"/>
      <c r="I160" s="16"/>
      <c r="J160" s="6"/>
      <c r="K160" s="16"/>
      <c r="L160" s="16"/>
      <c r="M160" s="16"/>
      <c r="N160" s="46"/>
    </row>
    <row r="161">
      <c r="A161" s="46"/>
      <c r="B161" s="46"/>
      <c r="C161" s="46"/>
      <c r="D161" s="16"/>
      <c r="E161" s="16"/>
      <c r="F161" s="16"/>
      <c r="G161" s="16"/>
      <c r="H161" s="16"/>
      <c r="I161" s="16"/>
      <c r="J161" s="6"/>
      <c r="K161" s="16"/>
      <c r="L161" s="16"/>
      <c r="M161" s="16"/>
      <c r="N161" s="46"/>
    </row>
    <row r="162">
      <c r="A162" s="46"/>
      <c r="B162" s="46"/>
      <c r="C162" s="46"/>
      <c r="D162" s="16"/>
      <c r="E162" s="16"/>
      <c r="F162" s="16"/>
      <c r="G162" s="16"/>
      <c r="H162" s="16"/>
      <c r="I162" s="16"/>
      <c r="J162" s="6"/>
      <c r="K162" s="16"/>
      <c r="L162" s="16"/>
      <c r="M162" s="16"/>
      <c r="N162" s="46"/>
    </row>
    <row r="163">
      <c r="A163" s="46"/>
      <c r="B163" s="46"/>
      <c r="C163" s="46"/>
      <c r="D163" s="16"/>
      <c r="E163" s="16"/>
      <c r="F163" s="16"/>
      <c r="G163" s="16"/>
      <c r="H163" s="16"/>
      <c r="I163" s="16"/>
      <c r="J163" s="6"/>
      <c r="K163" s="16"/>
      <c r="L163" s="16"/>
      <c r="M163" s="16"/>
      <c r="N163" s="46"/>
    </row>
    <row r="164">
      <c r="A164" s="46"/>
      <c r="B164" s="46"/>
      <c r="C164" s="46"/>
      <c r="D164" s="16"/>
      <c r="E164" s="16"/>
      <c r="F164" s="16"/>
      <c r="G164" s="16"/>
      <c r="H164" s="16"/>
      <c r="I164" s="16"/>
      <c r="J164" s="6"/>
      <c r="K164" s="16"/>
      <c r="L164" s="16"/>
      <c r="M164" s="16"/>
      <c r="N164" s="46"/>
    </row>
    <row r="165">
      <c r="A165" s="46"/>
      <c r="B165" s="46"/>
      <c r="C165" s="46"/>
      <c r="D165" s="16"/>
      <c r="E165" s="16"/>
      <c r="F165" s="16"/>
      <c r="G165" s="16"/>
      <c r="H165" s="16"/>
      <c r="I165" s="16"/>
      <c r="J165" s="6"/>
      <c r="K165" s="16"/>
      <c r="L165" s="16"/>
      <c r="M165" s="16"/>
      <c r="N165" s="46"/>
    </row>
    <row r="166">
      <c r="A166" s="46"/>
      <c r="B166" s="46"/>
      <c r="C166" s="46"/>
      <c r="D166" s="16"/>
      <c r="E166" s="16"/>
      <c r="F166" s="16"/>
      <c r="G166" s="16"/>
      <c r="H166" s="16"/>
      <c r="I166" s="16"/>
      <c r="J166" s="6"/>
      <c r="K166" s="16"/>
      <c r="L166" s="16"/>
      <c r="M166" s="16"/>
      <c r="N166" s="46"/>
    </row>
    <row r="167">
      <c r="A167" s="46"/>
      <c r="B167" s="46"/>
      <c r="C167" s="46"/>
      <c r="D167" s="16"/>
      <c r="E167" s="16"/>
      <c r="F167" s="16"/>
      <c r="G167" s="16"/>
      <c r="H167" s="16"/>
      <c r="I167" s="16"/>
      <c r="J167" s="6"/>
      <c r="K167" s="16"/>
      <c r="L167" s="16"/>
      <c r="M167" s="16"/>
      <c r="N167" s="46"/>
    </row>
    <row r="168">
      <c r="A168" s="46"/>
      <c r="B168" s="46"/>
      <c r="C168" s="46"/>
      <c r="D168" s="16"/>
      <c r="E168" s="16"/>
      <c r="F168" s="16"/>
      <c r="G168" s="16"/>
      <c r="H168" s="16"/>
      <c r="I168" s="16"/>
      <c r="J168" s="6"/>
      <c r="K168" s="16"/>
      <c r="L168" s="16"/>
      <c r="M168" s="16"/>
      <c r="N168" s="46"/>
    </row>
    <row r="169">
      <c r="A169" s="46"/>
      <c r="B169" s="46"/>
      <c r="C169" s="46"/>
      <c r="D169" s="16"/>
      <c r="E169" s="16"/>
      <c r="F169" s="16"/>
      <c r="G169" s="16"/>
      <c r="H169" s="16"/>
      <c r="I169" s="16"/>
      <c r="J169" s="6"/>
      <c r="K169" s="16"/>
      <c r="L169" s="16"/>
      <c r="M169" s="16"/>
      <c r="N169" s="46"/>
    </row>
    <row r="170">
      <c r="A170" s="46"/>
      <c r="B170" s="46"/>
      <c r="C170" s="46"/>
      <c r="D170" s="16"/>
      <c r="E170" s="16"/>
      <c r="F170" s="16"/>
      <c r="G170" s="16"/>
      <c r="H170" s="16"/>
      <c r="I170" s="16"/>
      <c r="J170" s="6"/>
      <c r="K170" s="16"/>
      <c r="L170" s="16"/>
      <c r="M170" s="16"/>
      <c r="N170" s="46"/>
    </row>
    <row r="171">
      <c r="A171" s="46"/>
      <c r="B171" s="46"/>
      <c r="C171" s="46"/>
      <c r="D171" s="16"/>
      <c r="E171" s="16"/>
      <c r="F171" s="16"/>
      <c r="G171" s="16"/>
      <c r="H171" s="16"/>
      <c r="I171" s="16"/>
      <c r="J171" s="6"/>
      <c r="K171" s="16"/>
      <c r="L171" s="16"/>
      <c r="M171" s="16"/>
      <c r="N171" s="46"/>
    </row>
    <row r="172">
      <c r="A172" s="46"/>
      <c r="B172" s="46"/>
      <c r="C172" s="46"/>
      <c r="D172" s="16"/>
      <c r="E172" s="16"/>
      <c r="F172" s="16"/>
      <c r="G172" s="16"/>
      <c r="H172" s="16"/>
      <c r="I172" s="16"/>
      <c r="J172" s="6"/>
      <c r="K172" s="16"/>
      <c r="L172" s="16"/>
      <c r="M172" s="16"/>
      <c r="N172" s="46"/>
    </row>
    <row r="173">
      <c r="A173" s="46"/>
      <c r="B173" s="46"/>
      <c r="C173" s="46"/>
      <c r="D173" s="16"/>
      <c r="E173" s="16"/>
      <c r="F173" s="16"/>
      <c r="G173" s="16"/>
      <c r="H173" s="16"/>
      <c r="I173" s="16"/>
      <c r="J173" s="6"/>
      <c r="K173" s="16"/>
      <c r="L173" s="16"/>
      <c r="M173" s="16"/>
      <c r="N173" s="46"/>
    </row>
    <row r="174">
      <c r="A174" s="46"/>
      <c r="B174" s="46"/>
      <c r="C174" s="46"/>
      <c r="D174" s="16"/>
      <c r="E174" s="16"/>
      <c r="F174" s="16"/>
      <c r="G174" s="16"/>
      <c r="H174" s="16"/>
      <c r="I174" s="16"/>
      <c r="J174" s="6"/>
      <c r="K174" s="16"/>
      <c r="L174" s="16"/>
      <c r="M174" s="16"/>
      <c r="N174" s="46"/>
    </row>
    <row r="175">
      <c r="A175" s="46"/>
      <c r="B175" s="46"/>
      <c r="C175" s="46"/>
      <c r="D175" s="16"/>
      <c r="E175" s="16"/>
      <c r="F175" s="16"/>
      <c r="G175" s="16"/>
      <c r="H175" s="16"/>
      <c r="I175" s="16"/>
      <c r="J175" s="6"/>
      <c r="K175" s="16"/>
      <c r="L175" s="16"/>
      <c r="M175" s="16"/>
      <c r="N175" s="46"/>
    </row>
    <row r="176">
      <c r="A176" s="46"/>
      <c r="B176" s="46"/>
      <c r="C176" s="46"/>
      <c r="D176" s="16"/>
      <c r="E176" s="16"/>
      <c r="F176" s="16"/>
      <c r="G176" s="16"/>
      <c r="H176" s="16"/>
      <c r="I176" s="16"/>
      <c r="J176" s="6"/>
      <c r="K176" s="16"/>
      <c r="L176" s="16"/>
      <c r="M176" s="16"/>
      <c r="N176" s="46"/>
    </row>
    <row r="177">
      <c r="A177" s="46"/>
      <c r="B177" s="46"/>
      <c r="C177" s="46"/>
      <c r="D177" s="16"/>
      <c r="E177" s="16"/>
      <c r="F177" s="16"/>
      <c r="G177" s="16"/>
      <c r="H177" s="16"/>
      <c r="I177" s="16"/>
      <c r="J177" s="6"/>
      <c r="K177" s="16"/>
      <c r="L177" s="16"/>
      <c r="M177" s="16"/>
      <c r="N177" s="46"/>
    </row>
    <row r="178">
      <c r="A178" s="46"/>
      <c r="B178" s="46"/>
      <c r="C178" s="46"/>
      <c r="D178" s="16"/>
      <c r="E178" s="16"/>
      <c r="F178" s="16"/>
      <c r="G178" s="16"/>
      <c r="H178" s="16"/>
      <c r="I178" s="16"/>
      <c r="J178" s="6"/>
      <c r="K178" s="16"/>
      <c r="L178" s="16"/>
      <c r="M178" s="16"/>
      <c r="N178" s="46"/>
    </row>
    <row r="179">
      <c r="A179" s="46"/>
      <c r="B179" s="46"/>
      <c r="C179" s="46"/>
      <c r="D179" s="16"/>
      <c r="E179" s="16"/>
      <c r="F179" s="16"/>
      <c r="G179" s="16"/>
      <c r="H179" s="16"/>
      <c r="I179" s="16"/>
      <c r="J179" s="6"/>
      <c r="K179" s="16"/>
      <c r="L179" s="16"/>
      <c r="M179" s="16"/>
      <c r="N179" s="46"/>
    </row>
    <row r="180">
      <c r="A180" s="46"/>
      <c r="B180" s="46"/>
      <c r="C180" s="46"/>
      <c r="D180" s="16"/>
      <c r="E180" s="16"/>
      <c r="F180" s="16"/>
      <c r="G180" s="16"/>
      <c r="H180" s="16"/>
      <c r="I180" s="16"/>
      <c r="J180" s="6"/>
      <c r="K180" s="16"/>
      <c r="L180" s="16"/>
      <c r="M180" s="16"/>
      <c r="N180" s="46"/>
    </row>
    <row r="181">
      <c r="A181" s="46"/>
      <c r="B181" s="46"/>
      <c r="C181" s="46"/>
      <c r="D181" s="16"/>
      <c r="E181" s="16"/>
      <c r="F181" s="16"/>
      <c r="G181" s="16"/>
      <c r="H181" s="16"/>
      <c r="I181" s="16"/>
      <c r="J181" s="6"/>
      <c r="K181" s="16"/>
      <c r="L181" s="16"/>
      <c r="M181" s="16"/>
      <c r="N181" s="46"/>
    </row>
    <row r="182">
      <c r="A182" s="46"/>
      <c r="B182" s="46"/>
      <c r="C182" s="46"/>
      <c r="D182" s="16"/>
      <c r="E182" s="16"/>
      <c r="F182" s="16"/>
      <c r="G182" s="16"/>
      <c r="H182" s="16"/>
      <c r="I182" s="16"/>
      <c r="J182" s="6"/>
      <c r="K182" s="16"/>
      <c r="L182" s="16"/>
      <c r="M182" s="16"/>
      <c r="N182" s="46"/>
    </row>
    <row r="183">
      <c r="A183" s="46"/>
      <c r="B183" s="46"/>
      <c r="C183" s="46"/>
      <c r="D183" s="16"/>
      <c r="E183" s="16"/>
      <c r="F183" s="16"/>
      <c r="G183" s="16"/>
      <c r="H183" s="16"/>
      <c r="I183" s="16"/>
      <c r="J183" s="6"/>
      <c r="K183" s="16"/>
      <c r="L183" s="16"/>
      <c r="M183" s="16"/>
      <c r="N183" s="46"/>
    </row>
    <row r="184">
      <c r="A184" s="46"/>
      <c r="B184" s="46"/>
      <c r="C184" s="46"/>
      <c r="D184" s="16"/>
      <c r="E184" s="16"/>
      <c r="F184" s="16"/>
      <c r="G184" s="16"/>
      <c r="H184" s="16"/>
      <c r="I184" s="16"/>
      <c r="J184" s="6"/>
      <c r="K184" s="16"/>
      <c r="L184" s="16"/>
      <c r="M184" s="16"/>
      <c r="N184" s="46"/>
    </row>
    <row r="185">
      <c r="A185" s="46"/>
      <c r="B185" s="46"/>
      <c r="C185" s="46"/>
      <c r="D185" s="16"/>
      <c r="E185" s="16"/>
      <c r="F185" s="16"/>
      <c r="G185" s="16"/>
      <c r="H185" s="16"/>
      <c r="I185" s="16"/>
      <c r="J185" s="6"/>
      <c r="K185" s="16"/>
      <c r="L185" s="16"/>
      <c r="M185" s="16"/>
      <c r="N185" s="46"/>
    </row>
    <row r="186">
      <c r="A186" s="46"/>
      <c r="B186" s="46"/>
      <c r="C186" s="46"/>
      <c r="D186" s="16"/>
      <c r="E186" s="16"/>
      <c r="F186" s="16"/>
      <c r="G186" s="16"/>
      <c r="H186" s="16"/>
      <c r="I186" s="16"/>
      <c r="J186" s="6"/>
      <c r="K186" s="16"/>
      <c r="L186" s="16"/>
      <c r="M186" s="16"/>
      <c r="N186" s="46"/>
    </row>
    <row r="187">
      <c r="A187" s="46"/>
      <c r="B187" s="46"/>
      <c r="C187" s="46"/>
      <c r="D187" s="16"/>
      <c r="E187" s="16"/>
      <c r="F187" s="16"/>
      <c r="G187" s="16"/>
      <c r="H187" s="16"/>
      <c r="I187" s="16"/>
      <c r="J187" s="6"/>
      <c r="K187" s="16"/>
      <c r="L187" s="16"/>
      <c r="M187" s="16"/>
      <c r="N187" s="46"/>
    </row>
    <row r="188">
      <c r="A188" s="46"/>
      <c r="B188" s="46"/>
      <c r="C188" s="46"/>
      <c r="D188" s="16"/>
      <c r="E188" s="16"/>
      <c r="F188" s="16"/>
      <c r="G188" s="16"/>
      <c r="H188" s="16"/>
      <c r="I188" s="16"/>
      <c r="J188" s="6"/>
      <c r="K188" s="16"/>
      <c r="L188" s="16"/>
      <c r="M188" s="16"/>
      <c r="N188" s="46"/>
    </row>
    <row r="189">
      <c r="A189" s="46"/>
      <c r="B189" s="46"/>
      <c r="C189" s="46"/>
      <c r="D189" s="16"/>
      <c r="E189" s="16"/>
      <c r="F189" s="16"/>
      <c r="G189" s="16"/>
      <c r="H189" s="16"/>
      <c r="I189" s="16"/>
      <c r="J189" s="6"/>
      <c r="K189" s="16"/>
      <c r="L189" s="16"/>
      <c r="M189" s="16"/>
      <c r="N189" s="46"/>
    </row>
    <row r="190">
      <c r="A190" s="46"/>
      <c r="B190" s="46"/>
      <c r="C190" s="46"/>
      <c r="D190" s="16"/>
      <c r="E190" s="16"/>
      <c r="F190" s="16"/>
      <c r="G190" s="16"/>
      <c r="H190" s="16"/>
      <c r="I190" s="16"/>
      <c r="J190" s="6"/>
      <c r="K190" s="16"/>
      <c r="L190" s="16"/>
      <c r="M190" s="16"/>
      <c r="N190" s="46"/>
    </row>
    <row r="191">
      <c r="A191" s="46"/>
      <c r="B191" s="46"/>
      <c r="C191" s="46"/>
      <c r="D191" s="16"/>
      <c r="E191" s="16"/>
      <c r="F191" s="16"/>
      <c r="G191" s="16"/>
      <c r="H191" s="16"/>
      <c r="I191" s="16"/>
      <c r="J191" s="6"/>
      <c r="K191" s="16"/>
      <c r="L191" s="16"/>
      <c r="M191" s="16"/>
      <c r="N191" s="46"/>
    </row>
    <row r="192">
      <c r="A192" s="46"/>
      <c r="B192" s="46"/>
      <c r="C192" s="46"/>
      <c r="D192" s="16"/>
      <c r="E192" s="16"/>
      <c r="F192" s="16"/>
      <c r="G192" s="16"/>
      <c r="H192" s="16"/>
      <c r="I192" s="16"/>
      <c r="J192" s="6"/>
      <c r="K192" s="16"/>
      <c r="L192" s="16"/>
      <c r="M192" s="16"/>
      <c r="N192" s="46"/>
    </row>
    <row r="193">
      <c r="A193" s="46"/>
      <c r="B193" s="46"/>
      <c r="C193" s="46"/>
      <c r="D193" s="16"/>
      <c r="E193" s="16"/>
      <c r="F193" s="16"/>
      <c r="G193" s="16"/>
      <c r="H193" s="16"/>
      <c r="I193" s="16"/>
      <c r="J193" s="6"/>
      <c r="K193" s="16"/>
      <c r="L193" s="16"/>
      <c r="M193" s="16"/>
      <c r="N193" s="46"/>
    </row>
    <row r="194">
      <c r="A194" s="46"/>
      <c r="B194" s="46"/>
      <c r="C194" s="46"/>
      <c r="D194" s="16"/>
      <c r="E194" s="16"/>
      <c r="F194" s="16"/>
      <c r="G194" s="16"/>
      <c r="H194" s="16"/>
      <c r="I194" s="16"/>
      <c r="J194" s="6"/>
      <c r="K194" s="16"/>
      <c r="L194" s="16"/>
      <c r="M194" s="16"/>
      <c r="N194" s="46"/>
    </row>
    <row r="195">
      <c r="A195" s="46"/>
      <c r="B195" s="46"/>
      <c r="C195" s="46"/>
      <c r="D195" s="16"/>
      <c r="E195" s="16"/>
      <c r="F195" s="16"/>
      <c r="G195" s="16"/>
      <c r="H195" s="16"/>
      <c r="I195" s="16"/>
      <c r="J195" s="6"/>
      <c r="K195" s="16"/>
      <c r="L195" s="16"/>
      <c r="M195" s="16"/>
      <c r="N195" s="46"/>
    </row>
    <row r="196">
      <c r="A196" s="46"/>
      <c r="B196" s="46"/>
      <c r="C196" s="46"/>
      <c r="D196" s="16"/>
      <c r="E196" s="16"/>
      <c r="F196" s="16"/>
      <c r="G196" s="16"/>
      <c r="H196" s="16"/>
      <c r="I196" s="16"/>
      <c r="J196" s="6"/>
      <c r="K196" s="16"/>
      <c r="L196" s="16"/>
      <c r="M196" s="16"/>
      <c r="N196" s="46"/>
    </row>
    <row r="197">
      <c r="A197" s="46"/>
      <c r="B197" s="46"/>
      <c r="C197" s="46"/>
      <c r="D197" s="16"/>
      <c r="E197" s="16"/>
      <c r="F197" s="16"/>
      <c r="G197" s="16"/>
      <c r="H197" s="16"/>
      <c r="I197" s="16"/>
      <c r="J197" s="6"/>
      <c r="K197" s="16"/>
      <c r="L197" s="16"/>
      <c r="M197" s="16"/>
      <c r="N197" s="46"/>
    </row>
    <row r="198">
      <c r="A198" s="46"/>
      <c r="B198" s="46"/>
      <c r="C198" s="46"/>
      <c r="D198" s="16"/>
      <c r="E198" s="16"/>
      <c r="F198" s="16"/>
      <c r="G198" s="16"/>
      <c r="H198" s="16"/>
      <c r="I198" s="16"/>
      <c r="J198" s="6"/>
      <c r="K198" s="16"/>
      <c r="L198" s="16"/>
      <c r="M198" s="16"/>
      <c r="N198" s="46"/>
    </row>
    <row r="199">
      <c r="A199" s="46"/>
      <c r="B199" s="46"/>
      <c r="C199" s="46"/>
      <c r="D199" s="16"/>
      <c r="E199" s="16"/>
      <c r="F199" s="16"/>
      <c r="G199" s="16"/>
      <c r="H199" s="16"/>
      <c r="I199" s="16"/>
      <c r="J199" s="6"/>
      <c r="K199" s="16"/>
      <c r="L199" s="16"/>
      <c r="M199" s="16"/>
      <c r="N199" s="46"/>
    </row>
    <row r="200">
      <c r="A200" s="46"/>
      <c r="B200" s="46"/>
      <c r="C200" s="46"/>
      <c r="D200" s="16"/>
      <c r="E200" s="16"/>
      <c r="F200" s="16"/>
      <c r="G200" s="16"/>
      <c r="H200" s="16"/>
      <c r="I200" s="16"/>
      <c r="J200" s="6"/>
      <c r="K200" s="16"/>
      <c r="L200" s="16"/>
      <c r="M200" s="16"/>
      <c r="N200" s="46"/>
    </row>
    <row r="201">
      <c r="A201" s="46"/>
      <c r="B201" s="46"/>
      <c r="C201" s="46"/>
      <c r="D201" s="16"/>
      <c r="E201" s="16"/>
      <c r="F201" s="16"/>
      <c r="G201" s="16"/>
      <c r="H201" s="16"/>
      <c r="I201" s="16"/>
      <c r="J201" s="6"/>
      <c r="K201" s="16"/>
      <c r="L201" s="16"/>
      <c r="M201" s="16"/>
      <c r="N201" s="46"/>
    </row>
    <row r="202">
      <c r="A202" s="46"/>
      <c r="B202" s="46"/>
      <c r="C202" s="46"/>
      <c r="D202" s="16"/>
      <c r="E202" s="16"/>
      <c r="F202" s="16"/>
      <c r="G202" s="16"/>
      <c r="H202" s="16"/>
      <c r="I202" s="16"/>
      <c r="J202" s="6"/>
      <c r="K202" s="16"/>
      <c r="L202" s="16"/>
      <c r="M202" s="16"/>
      <c r="N202" s="46"/>
    </row>
    <row r="203">
      <c r="A203" s="46"/>
      <c r="B203" s="46"/>
      <c r="C203" s="46"/>
      <c r="D203" s="16"/>
      <c r="E203" s="16"/>
      <c r="F203" s="16"/>
      <c r="G203" s="16"/>
      <c r="H203" s="16"/>
      <c r="I203" s="16"/>
      <c r="J203" s="6"/>
      <c r="K203" s="16"/>
      <c r="L203" s="16"/>
      <c r="M203" s="16"/>
      <c r="N203" s="46"/>
    </row>
    <row r="204">
      <c r="A204" s="46"/>
      <c r="B204" s="46"/>
      <c r="C204" s="46"/>
      <c r="D204" s="16"/>
      <c r="E204" s="16"/>
      <c r="F204" s="16"/>
      <c r="G204" s="16"/>
      <c r="H204" s="16"/>
      <c r="I204" s="16"/>
      <c r="J204" s="6"/>
      <c r="K204" s="16"/>
      <c r="L204" s="16"/>
      <c r="M204" s="16"/>
      <c r="N204" s="46"/>
    </row>
    <row r="205">
      <c r="A205" s="46"/>
      <c r="B205" s="46"/>
      <c r="C205" s="46"/>
      <c r="D205" s="16"/>
      <c r="E205" s="16"/>
      <c r="F205" s="16"/>
      <c r="G205" s="16"/>
      <c r="H205" s="16"/>
      <c r="I205" s="16"/>
      <c r="J205" s="6"/>
      <c r="K205" s="16"/>
      <c r="L205" s="16"/>
      <c r="M205" s="16"/>
      <c r="N205" s="46"/>
    </row>
    <row r="206">
      <c r="A206" s="46"/>
      <c r="B206" s="46"/>
      <c r="C206" s="46"/>
      <c r="D206" s="16"/>
      <c r="E206" s="16"/>
      <c r="F206" s="16"/>
      <c r="G206" s="16"/>
      <c r="H206" s="16"/>
      <c r="I206" s="16"/>
      <c r="J206" s="6"/>
      <c r="K206" s="16"/>
      <c r="L206" s="16"/>
      <c r="M206" s="16"/>
      <c r="N206" s="46"/>
    </row>
    <row r="207">
      <c r="A207" s="46"/>
      <c r="B207" s="46"/>
      <c r="C207" s="46"/>
      <c r="D207" s="16"/>
      <c r="E207" s="16"/>
      <c r="F207" s="16"/>
      <c r="G207" s="16"/>
      <c r="H207" s="16"/>
      <c r="I207" s="16"/>
      <c r="J207" s="6"/>
      <c r="K207" s="16"/>
      <c r="L207" s="16"/>
      <c r="M207" s="16"/>
      <c r="N207" s="46"/>
    </row>
    <row r="208">
      <c r="A208" s="46"/>
      <c r="B208" s="46"/>
      <c r="C208" s="46"/>
      <c r="D208" s="16"/>
      <c r="E208" s="16"/>
      <c r="F208" s="16"/>
      <c r="G208" s="16"/>
      <c r="H208" s="16"/>
      <c r="I208" s="16"/>
      <c r="J208" s="6"/>
      <c r="K208" s="16"/>
      <c r="L208" s="16"/>
      <c r="M208" s="16"/>
      <c r="N208" s="46"/>
    </row>
    <row r="209">
      <c r="A209" s="46"/>
      <c r="B209" s="46"/>
      <c r="C209" s="46"/>
      <c r="D209" s="16"/>
      <c r="E209" s="16"/>
      <c r="F209" s="16"/>
      <c r="G209" s="16"/>
      <c r="H209" s="16"/>
      <c r="I209" s="16"/>
      <c r="J209" s="6"/>
      <c r="K209" s="16"/>
      <c r="L209" s="16"/>
      <c r="M209" s="16"/>
      <c r="N209" s="46"/>
    </row>
    <row r="210">
      <c r="A210" s="46"/>
      <c r="B210" s="46"/>
      <c r="C210" s="46"/>
      <c r="D210" s="16"/>
      <c r="E210" s="16"/>
      <c r="F210" s="16"/>
      <c r="G210" s="16"/>
      <c r="H210" s="16"/>
      <c r="I210" s="16"/>
      <c r="J210" s="6"/>
      <c r="K210" s="16"/>
      <c r="L210" s="16"/>
      <c r="M210" s="16"/>
      <c r="N210" s="46"/>
    </row>
    <row r="211">
      <c r="A211" s="46"/>
      <c r="B211" s="46"/>
      <c r="C211" s="46"/>
      <c r="D211" s="16"/>
      <c r="E211" s="16"/>
      <c r="F211" s="16"/>
      <c r="G211" s="16"/>
      <c r="H211" s="16"/>
      <c r="I211" s="16"/>
      <c r="J211" s="6"/>
      <c r="K211" s="16"/>
      <c r="L211" s="16"/>
      <c r="M211" s="16"/>
      <c r="N211" s="46"/>
    </row>
    <row r="212">
      <c r="A212" s="46"/>
      <c r="B212" s="46"/>
      <c r="C212" s="46"/>
      <c r="D212" s="16"/>
      <c r="E212" s="16"/>
      <c r="F212" s="16"/>
      <c r="G212" s="16"/>
      <c r="H212" s="16"/>
      <c r="I212" s="16"/>
      <c r="J212" s="6"/>
      <c r="K212" s="16"/>
      <c r="L212" s="16"/>
      <c r="M212" s="16"/>
      <c r="N212" s="46"/>
    </row>
    <row r="213">
      <c r="A213" s="46"/>
      <c r="B213" s="46"/>
      <c r="C213" s="46"/>
      <c r="D213" s="16"/>
      <c r="E213" s="16"/>
      <c r="F213" s="16"/>
      <c r="G213" s="16"/>
      <c r="H213" s="16"/>
      <c r="I213" s="16"/>
      <c r="J213" s="6"/>
      <c r="K213" s="16"/>
      <c r="L213" s="16"/>
      <c r="M213" s="16"/>
      <c r="N213" s="46"/>
    </row>
    <row r="214">
      <c r="A214" s="46"/>
      <c r="B214" s="46"/>
      <c r="C214" s="46"/>
      <c r="D214" s="16"/>
      <c r="E214" s="16"/>
      <c r="F214" s="16"/>
      <c r="G214" s="16"/>
      <c r="H214" s="16"/>
      <c r="I214" s="16"/>
      <c r="J214" s="6"/>
      <c r="K214" s="16"/>
      <c r="L214" s="16"/>
      <c r="M214" s="16"/>
      <c r="N214" s="46"/>
    </row>
    <row r="215">
      <c r="A215" s="46"/>
      <c r="B215" s="46"/>
      <c r="C215" s="46"/>
      <c r="D215" s="16"/>
      <c r="E215" s="16"/>
      <c r="F215" s="16"/>
      <c r="G215" s="16"/>
      <c r="H215" s="16"/>
      <c r="I215" s="16"/>
      <c r="J215" s="6"/>
      <c r="K215" s="16"/>
      <c r="L215" s="16"/>
      <c r="M215" s="16"/>
      <c r="N215" s="46"/>
    </row>
    <row r="216">
      <c r="A216" s="46"/>
      <c r="B216" s="46"/>
      <c r="C216" s="46"/>
      <c r="D216" s="16"/>
      <c r="E216" s="16"/>
      <c r="F216" s="16"/>
      <c r="G216" s="16"/>
      <c r="H216" s="16"/>
      <c r="I216" s="16"/>
      <c r="J216" s="6"/>
      <c r="K216" s="16"/>
      <c r="L216" s="16"/>
      <c r="M216" s="16"/>
      <c r="N216" s="46"/>
    </row>
    <row r="217">
      <c r="A217" s="46"/>
      <c r="B217" s="46"/>
      <c r="C217" s="46"/>
      <c r="D217" s="16"/>
      <c r="E217" s="16"/>
      <c r="F217" s="16"/>
      <c r="G217" s="16"/>
      <c r="H217" s="16"/>
      <c r="I217" s="16"/>
      <c r="J217" s="6"/>
      <c r="K217" s="16"/>
      <c r="L217" s="16"/>
      <c r="M217" s="16"/>
      <c r="N217" s="46"/>
    </row>
    <row r="218">
      <c r="A218" s="46"/>
      <c r="B218" s="46"/>
      <c r="C218" s="46"/>
      <c r="D218" s="16"/>
      <c r="E218" s="16"/>
      <c r="F218" s="16"/>
      <c r="G218" s="16"/>
      <c r="H218" s="16"/>
      <c r="I218" s="16"/>
      <c r="J218" s="6"/>
      <c r="K218" s="16"/>
      <c r="L218" s="16"/>
      <c r="M218" s="16"/>
      <c r="N218" s="46"/>
    </row>
    <row r="219">
      <c r="A219" s="46"/>
      <c r="B219" s="46"/>
      <c r="C219" s="46"/>
      <c r="D219" s="16"/>
      <c r="E219" s="16"/>
      <c r="F219" s="16"/>
      <c r="G219" s="16"/>
      <c r="H219" s="16"/>
      <c r="I219" s="16"/>
      <c r="J219" s="6"/>
      <c r="K219" s="16"/>
      <c r="L219" s="16"/>
      <c r="M219" s="16"/>
      <c r="N219" s="46"/>
    </row>
    <row r="220">
      <c r="A220" s="46"/>
      <c r="B220" s="46"/>
      <c r="C220" s="46"/>
      <c r="D220" s="16"/>
      <c r="E220" s="16"/>
      <c r="F220" s="16"/>
      <c r="G220" s="16"/>
      <c r="H220" s="16"/>
      <c r="I220" s="16"/>
      <c r="J220" s="6"/>
      <c r="K220" s="16"/>
      <c r="L220" s="16"/>
      <c r="M220" s="16"/>
      <c r="N220" s="46"/>
    </row>
    <row r="221">
      <c r="A221" s="46"/>
      <c r="B221" s="46"/>
      <c r="C221" s="46"/>
      <c r="D221" s="16"/>
      <c r="E221" s="16"/>
      <c r="F221" s="16"/>
      <c r="G221" s="16"/>
      <c r="H221" s="16"/>
      <c r="I221" s="16"/>
      <c r="J221" s="6"/>
      <c r="K221" s="16"/>
      <c r="L221" s="16"/>
      <c r="M221" s="16"/>
      <c r="N221" s="46"/>
    </row>
    <row r="222">
      <c r="A222" s="46"/>
      <c r="B222" s="46"/>
      <c r="C222" s="46"/>
      <c r="D222" s="16"/>
      <c r="E222" s="16"/>
      <c r="F222" s="16"/>
      <c r="G222" s="16"/>
      <c r="H222" s="16"/>
      <c r="I222" s="16"/>
      <c r="J222" s="6"/>
      <c r="K222" s="16"/>
      <c r="L222" s="16"/>
      <c r="M222" s="16"/>
      <c r="N222" s="46"/>
    </row>
    <row r="223">
      <c r="A223" s="46"/>
      <c r="B223" s="46"/>
      <c r="C223" s="46"/>
      <c r="D223" s="16"/>
      <c r="E223" s="16"/>
      <c r="F223" s="16"/>
      <c r="G223" s="16"/>
      <c r="H223" s="16"/>
      <c r="I223" s="16"/>
      <c r="J223" s="6"/>
      <c r="K223" s="16"/>
      <c r="L223" s="16"/>
      <c r="M223" s="16"/>
      <c r="N223" s="46"/>
    </row>
    <row r="224">
      <c r="A224" s="46"/>
      <c r="B224" s="46"/>
      <c r="C224" s="46"/>
      <c r="D224" s="16"/>
      <c r="E224" s="16"/>
      <c r="F224" s="16"/>
      <c r="G224" s="16"/>
      <c r="H224" s="16"/>
      <c r="I224" s="16"/>
      <c r="J224" s="6"/>
      <c r="K224" s="16"/>
      <c r="L224" s="16"/>
      <c r="M224" s="16"/>
      <c r="N224" s="46"/>
    </row>
    <row r="225">
      <c r="A225" s="46"/>
      <c r="B225" s="46"/>
      <c r="C225" s="46"/>
      <c r="D225" s="16"/>
      <c r="E225" s="16"/>
      <c r="F225" s="16"/>
      <c r="G225" s="16"/>
      <c r="H225" s="16"/>
      <c r="I225" s="16"/>
      <c r="J225" s="6"/>
      <c r="K225" s="16"/>
      <c r="L225" s="16"/>
      <c r="M225" s="16"/>
      <c r="N225" s="46"/>
    </row>
    <row r="226">
      <c r="A226" s="46"/>
      <c r="B226" s="46"/>
      <c r="C226" s="46"/>
      <c r="D226" s="16"/>
      <c r="E226" s="16"/>
      <c r="F226" s="16"/>
      <c r="G226" s="16"/>
      <c r="H226" s="16"/>
      <c r="I226" s="16"/>
      <c r="J226" s="6"/>
      <c r="K226" s="16"/>
      <c r="L226" s="16"/>
      <c r="M226" s="16"/>
      <c r="N226" s="46"/>
    </row>
    <row r="227">
      <c r="A227" s="46"/>
      <c r="B227" s="46"/>
      <c r="C227" s="46"/>
      <c r="D227" s="16"/>
      <c r="E227" s="16"/>
      <c r="F227" s="16"/>
      <c r="G227" s="16"/>
      <c r="H227" s="16"/>
      <c r="I227" s="16"/>
      <c r="J227" s="6"/>
      <c r="K227" s="16"/>
      <c r="L227" s="16"/>
      <c r="M227" s="16"/>
      <c r="N227" s="46"/>
    </row>
    <row r="228">
      <c r="A228" s="46"/>
      <c r="B228" s="46"/>
      <c r="C228" s="46"/>
      <c r="D228" s="16"/>
      <c r="E228" s="16"/>
      <c r="F228" s="16"/>
      <c r="G228" s="16"/>
      <c r="H228" s="16"/>
      <c r="I228" s="16"/>
      <c r="J228" s="6"/>
      <c r="K228" s="16"/>
      <c r="L228" s="16"/>
      <c r="M228" s="16"/>
      <c r="N228" s="46"/>
    </row>
    <row r="229">
      <c r="A229" s="46"/>
      <c r="B229" s="46"/>
      <c r="C229" s="46"/>
      <c r="D229" s="16"/>
      <c r="E229" s="16"/>
      <c r="F229" s="16"/>
      <c r="G229" s="16"/>
      <c r="H229" s="16"/>
      <c r="I229" s="16"/>
      <c r="J229" s="6"/>
      <c r="K229" s="16"/>
      <c r="L229" s="16"/>
      <c r="M229" s="16"/>
      <c r="N229" s="46"/>
    </row>
    <row r="230">
      <c r="A230" s="46"/>
      <c r="B230" s="46"/>
      <c r="C230" s="46"/>
      <c r="D230" s="16"/>
      <c r="E230" s="16"/>
      <c r="F230" s="16"/>
      <c r="G230" s="16"/>
      <c r="H230" s="16"/>
      <c r="I230" s="16"/>
      <c r="J230" s="6"/>
      <c r="K230" s="16"/>
      <c r="L230" s="16"/>
      <c r="M230" s="16"/>
      <c r="N230" s="46"/>
    </row>
    <row r="231">
      <c r="A231" s="46"/>
      <c r="B231" s="46"/>
      <c r="C231" s="46"/>
      <c r="D231" s="16"/>
      <c r="E231" s="16"/>
      <c r="F231" s="16"/>
      <c r="G231" s="16"/>
      <c r="H231" s="16"/>
      <c r="I231" s="16"/>
      <c r="J231" s="6"/>
      <c r="K231" s="16"/>
      <c r="L231" s="16"/>
      <c r="M231" s="16"/>
      <c r="N231" s="46"/>
    </row>
    <row r="232">
      <c r="A232" s="46"/>
      <c r="B232" s="46"/>
      <c r="C232" s="46"/>
      <c r="D232" s="16"/>
      <c r="E232" s="16"/>
      <c r="F232" s="16"/>
      <c r="G232" s="16"/>
      <c r="H232" s="16"/>
      <c r="I232" s="16"/>
      <c r="J232" s="6"/>
      <c r="K232" s="16"/>
      <c r="L232" s="16"/>
      <c r="M232" s="16"/>
      <c r="N232" s="46"/>
    </row>
    <row r="233">
      <c r="A233" s="46"/>
      <c r="B233" s="46"/>
      <c r="C233" s="46"/>
      <c r="D233" s="16"/>
      <c r="E233" s="16"/>
      <c r="F233" s="16"/>
      <c r="G233" s="16"/>
      <c r="H233" s="16"/>
      <c r="I233" s="16"/>
      <c r="J233" s="6"/>
      <c r="K233" s="16"/>
      <c r="L233" s="16"/>
      <c r="M233" s="16"/>
      <c r="N233" s="46"/>
    </row>
    <row r="234">
      <c r="A234" s="46"/>
      <c r="B234" s="46"/>
      <c r="C234" s="46"/>
      <c r="D234" s="16"/>
      <c r="E234" s="16"/>
      <c r="F234" s="16"/>
      <c r="G234" s="16"/>
      <c r="H234" s="16"/>
      <c r="I234" s="16"/>
      <c r="J234" s="6"/>
      <c r="K234" s="16"/>
      <c r="L234" s="16"/>
      <c r="M234" s="16"/>
      <c r="N234" s="46"/>
    </row>
    <row r="235">
      <c r="A235" s="46"/>
      <c r="B235" s="46"/>
      <c r="C235" s="46"/>
      <c r="D235" s="16"/>
      <c r="E235" s="16"/>
      <c r="F235" s="16"/>
      <c r="G235" s="16"/>
      <c r="H235" s="16"/>
      <c r="I235" s="16"/>
      <c r="J235" s="6"/>
      <c r="K235" s="16"/>
      <c r="L235" s="16"/>
      <c r="M235" s="16"/>
      <c r="N235" s="46"/>
    </row>
    <row r="236">
      <c r="A236" s="46"/>
      <c r="B236" s="46"/>
      <c r="C236" s="46"/>
      <c r="D236" s="16"/>
      <c r="E236" s="16"/>
      <c r="F236" s="16"/>
      <c r="G236" s="16"/>
      <c r="H236" s="16"/>
      <c r="I236" s="16"/>
      <c r="J236" s="6"/>
      <c r="K236" s="16"/>
      <c r="L236" s="16"/>
      <c r="M236" s="16"/>
      <c r="N236" s="46"/>
    </row>
    <row r="237">
      <c r="A237" s="46"/>
      <c r="B237" s="46"/>
      <c r="C237" s="46"/>
      <c r="D237" s="16"/>
      <c r="E237" s="16"/>
      <c r="F237" s="16"/>
      <c r="G237" s="16"/>
      <c r="H237" s="16"/>
      <c r="I237" s="16"/>
      <c r="J237" s="6"/>
      <c r="K237" s="16"/>
      <c r="L237" s="16"/>
      <c r="M237" s="16"/>
      <c r="N237" s="46"/>
    </row>
    <row r="238">
      <c r="A238" s="46"/>
      <c r="B238" s="46"/>
      <c r="C238" s="46"/>
      <c r="D238" s="16"/>
      <c r="E238" s="16"/>
      <c r="F238" s="16"/>
      <c r="G238" s="16"/>
      <c r="H238" s="16"/>
      <c r="I238" s="16"/>
      <c r="J238" s="6"/>
      <c r="K238" s="16"/>
      <c r="L238" s="16"/>
      <c r="M238" s="16"/>
      <c r="N238" s="46"/>
    </row>
    <row r="239">
      <c r="A239" s="46"/>
      <c r="B239" s="46"/>
      <c r="C239" s="46"/>
      <c r="D239" s="16"/>
      <c r="E239" s="16"/>
      <c r="F239" s="16"/>
      <c r="G239" s="16"/>
      <c r="H239" s="16"/>
      <c r="I239" s="16"/>
      <c r="J239" s="6"/>
      <c r="K239" s="16"/>
      <c r="L239" s="16"/>
      <c r="M239" s="16"/>
      <c r="N239" s="46"/>
    </row>
    <row r="240">
      <c r="A240" s="46"/>
      <c r="B240" s="46"/>
      <c r="C240" s="46"/>
      <c r="D240" s="16"/>
      <c r="E240" s="16"/>
      <c r="F240" s="16"/>
      <c r="G240" s="16"/>
      <c r="H240" s="16"/>
      <c r="I240" s="16"/>
      <c r="J240" s="6"/>
      <c r="K240" s="16"/>
      <c r="L240" s="16"/>
      <c r="M240" s="16"/>
      <c r="N240" s="46"/>
    </row>
    <row r="241">
      <c r="A241" s="46"/>
      <c r="B241" s="46"/>
      <c r="C241" s="46"/>
      <c r="D241" s="16"/>
      <c r="E241" s="16"/>
      <c r="F241" s="16"/>
      <c r="G241" s="16"/>
      <c r="H241" s="16"/>
      <c r="I241" s="16"/>
      <c r="J241" s="6"/>
      <c r="K241" s="16"/>
      <c r="L241" s="16"/>
      <c r="M241" s="16"/>
      <c r="N241" s="46"/>
    </row>
    <row r="242">
      <c r="A242" s="46"/>
      <c r="B242" s="46"/>
      <c r="C242" s="46"/>
      <c r="D242" s="16"/>
      <c r="E242" s="16"/>
      <c r="F242" s="16"/>
      <c r="G242" s="16"/>
      <c r="H242" s="16"/>
      <c r="I242" s="16"/>
      <c r="J242" s="6"/>
      <c r="K242" s="16"/>
      <c r="L242" s="16"/>
      <c r="M242" s="16"/>
      <c r="N242" s="46"/>
    </row>
    <row r="243">
      <c r="A243" s="46"/>
      <c r="B243" s="46"/>
      <c r="C243" s="46"/>
      <c r="D243" s="16"/>
      <c r="E243" s="16"/>
      <c r="F243" s="16"/>
      <c r="G243" s="16"/>
      <c r="H243" s="16"/>
      <c r="I243" s="16"/>
      <c r="J243" s="6"/>
      <c r="K243" s="16"/>
      <c r="L243" s="16"/>
      <c r="M243" s="16"/>
      <c r="N243" s="46"/>
    </row>
    <row r="244">
      <c r="A244" s="46"/>
      <c r="B244" s="46"/>
      <c r="C244" s="46"/>
      <c r="D244" s="16"/>
      <c r="E244" s="16"/>
      <c r="F244" s="16"/>
      <c r="G244" s="16"/>
      <c r="H244" s="16"/>
      <c r="I244" s="16"/>
      <c r="J244" s="6"/>
      <c r="K244" s="16"/>
      <c r="L244" s="16"/>
      <c r="M244" s="16"/>
      <c r="N244" s="46"/>
    </row>
    <row r="245">
      <c r="A245" s="46"/>
      <c r="B245" s="46"/>
      <c r="C245" s="46"/>
      <c r="D245" s="16"/>
      <c r="E245" s="16"/>
      <c r="F245" s="16"/>
      <c r="G245" s="16"/>
      <c r="H245" s="16"/>
      <c r="I245" s="16"/>
      <c r="J245" s="6"/>
      <c r="K245" s="16"/>
      <c r="L245" s="16"/>
      <c r="M245" s="16"/>
      <c r="N245" s="46"/>
    </row>
    <row r="246">
      <c r="A246" s="46"/>
      <c r="B246" s="46"/>
      <c r="C246" s="46"/>
      <c r="D246" s="16"/>
      <c r="E246" s="16"/>
      <c r="F246" s="16"/>
      <c r="G246" s="16"/>
      <c r="H246" s="16"/>
      <c r="I246" s="16"/>
      <c r="J246" s="6"/>
      <c r="K246" s="16"/>
      <c r="L246" s="16"/>
      <c r="M246" s="16"/>
      <c r="N246" s="46"/>
    </row>
    <row r="247">
      <c r="A247" s="46"/>
      <c r="B247" s="46"/>
      <c r="C247" s="46"/>
      <c r="D247" s="16"/>
      <c r="E247" s="16"/>
      <c r="F247" s="16"/>
      <c r="G247" s="16"/>
      <c r="H247" s="16"/>
      <c r="I247" s="16"/>
      <c r="J247" s="6"/>
      <c r="K247" s="16"/>
      <c r="L247" s="16"/>
      <c r="M247" s="16"/>
      <c r="N247" s="46"/>
    </row>
    <row r="248">
      <c r="A248" s="46"/>
      <c r="B248" s="46"/>
      <c r="C248" s="46"/>
      <c r="D248" s="16"/>
      <c r="E248" s="16"/>
      <c r="F248" s="16"/>
      <c r="G248" s="16"/>
      <c r="H248" s="16"/>
      <c r="I248" s="16"/>
      <c r="J248" s="6"/>
      <c r="K248" s="16"/>
      <c r="L248" s="16"/>
      <c r="M248" s="16"/>
      <c r="N248" s="46"/>
    </row>
    <row r="249">
      <c r="A249" s="46"/>
      <c r="B249" s="46"/>
      <c r="C249" s="46"/>
      <c r="D249" s="16"/>
      <c r="E249" s="16"/>
      <c r="F249" s="16"/>
      <c r="G249" s="16"/>
      <c r="H249" s="16"/>
      <c r="I249" s="16"/>
      <c r="J249" s="6"/>
      <c r="K249" s="16"/>
      <c r="L249" s="16"/>
      <c r="M249" s="16"/>
      <c r="N249" s="46"/>
    </row>
    <row r="250">
      <c r="A250" s="46"/>
      <c r="B250" s="46"/>
      <c r="C250" s="46"/>
      <c r="D250" s="16"/>
      <c r="E250" s="16"/>
      <c r="F250" s="16"/>
      <c r="G250" s="16"/>
      <c r="H250" s="16"/>
      <c r="I250" s="16"/>
      <c r="J250" s="6"/>
      <c r="K250" s="16"/>
      <c r="L250" s="16"/>
      <c r="M250" s="16"/>
      <c r="N250" s="46"/>
    </row>
    <row r="251">
      <c r="A251" s="46"/>
      <c r="B251" s="46"/>
      <c r="C251" s="46"/>
      <c r="D251" s="16"/>
      <c r="E251" s="16"/>
      <c r="F251" s="16"/>
      <c r="G251" s="16"/>
      <c r="H251" s="16"/>
      <c r="I251" s="16"/>
      <c r="J251" s="6"/>
      <c r="K251" s="16"/>
      <c r="L251" s="16"/>
      <c r="M251" s="16"/>
      <c r="N251" s="46"/>
    </row>
    <row r="252">
      <c r="A252" s="46"/>
      <c r="B252" s="46"/>
      <c r="C252" s="46"/>
      <c r="D252" s="16"/>
      <c r="E252" s="16"/>
      <c r="F252" s="16"/>
      <c r="G252" s="16"/>
      <c r="H252" s="16"/>
      <c r="I252" s="16"/>
      <c r="J252" s="6"/>
      <c r="K252" s="16"/>
      <c r="L252" s="16"/>
      <c r="M252" s="16"/>
      <c r="N252" s="46"/>
    </row>
    <row r="253">
      <c r="A253" s="46"/>
      <c r="B253" s="46"/>
      <c r="C253" s="46"/>
      <c r="D253" s="16"/>
      <c r="E253" s="16"/>
      <c r="F253" s="16"/>
      <c r="G253" s="16"/>
      <c r="H253" s="16"/>
      <c r="I253" s="16"/>
      <c r="J253" s="6"/>
      <c r="K253" s="16"/>
      <c r="L253" s="16"/>
      <c r="M253" s="16"/>
      <c r="N253" s="46"/>
    </row>
    <row r="254">
      <c r="A254" s="46"/>
      <c r="B254" s="46"/>
      <c r="C254" s="46"/>
      <c r="D254" s="16"/>
      <c r="E254" s="16"/>
      <c r="F254" s="16"/>
      <c r="G254" s="16"/>
      <c r="H254" s="16"/>
      <c r="I254" s="16"/>
      <c r="J254" s="6"/>
      <c r="K254" s="16"/>
      <c r="L254" s="16"/>
      <c r="M254" s="16"/>
      <c r="N254" s="46"/>
    </row>
    <row r="255">
      <c r="A255" s="46"/>
      <c r="B255" s="46"/>
      <c r="C255" s="46"/>
      <c r="D255" s="16"/>
      <c r="E255" s="16"/>
      <c r="F255" s="16"/>
      <c r="G255" s="16"/>
      <c r="H255" s="16"/>
      <c r="I255" s="16"/>
      <c r="J255" s="6"/>
      <c r="K255" s="16"/>
      <c r="L255" s="16"/>
      <c r="M255" s="16"/>
      <c r="N255" s="46"/>
    </row>
    <row r="256">
      <c r="A256" s="46"/>
      <c r="B256" s="46"/>
      <c r="C256" s="46"/>
      <c r="D256" s="16"/>
      <c r="E256" s="16"/>
      <c r="F256" s="16"/>
      <c r="G256" s="16"/>
      <c r="H256" s="16"/>
      <c r="I256" s="16"/>
      <c r="J256" s="6"/>
      <c r="K256" s="16"/>
      <c r="L256" s="16"/>
      <c r="M256" s="16"/>
      <c r="N256" s="46"/>
    </row>
    <row r="257">
      <c r="A257" s="46"/>
      <c r="B257" s="46"/>
      <c r="C257" s="46"/>
      <c r="D257" s="16"/>
      <c r="E257" s="16"/>
      <c r="F257" s="16"/>
      <c r="G257" s="16"/>
      <c r="H257" s="16"/>
      <c r="I257" s="16"/>
      <c r="J257" s="6"/>
      <c r="K257" s="16"/>
      <c r="L257" s="16"/>
      <c r="M257" s="16"/>
      <c r="N257" s="46"/>
    </row>
    <row r="258">
      <c r="A258" s="46"/>
      <c r="B258" s="46"/>
      <c r="C258" s="46"/>
      <c r="D258" s="16"/>
      <c r="E258" s="16"/>
      <c r="F258" s="16"/>
      <c r="G258" s="16"/>
      <c r="H258" s="16"/>
      <c r="I258" s="16"/>
      <c r="J258" s="6"/>
      <c r="K258" s="16"/>
      <c r="L258" s="16"/>
      <c r="M258" s="16"/>
      <c r="N258" s="46"/>
    </row>
    <row r="259">
      <c r="A259" s="46"/>
      <c r="B259" s="46"/>
      <c r="C259" s="46"/>
      <c r="D259" s="16"/>
      <c r="E259" s="16"/>
      <c r="F259" s="16"/>
      <c r="G259" s="16"/>
      <c r="H259" s="16"/>
      <c r="I259" s="16"/>
      <c r="J259" s="6"/>
      <c r="K259" s="16"/>
      <c r="L259" s="16"/>
      <c r="M259" s="16"/>
      <c r="N259" s="46"/>
    </row>
    <row r="260">
      <c r="A260" s="46"/>
      <c r="B260" s="46"/>
      <c r="C260" s="46"/>
      <c r="D260" s="16"/>
      <c r="E260" s="16"/>
      <c r="F260" s="16"/>
      <c r="G260" s="16"/>
      <c r="H260" s="16"/>
      <c r="I260" s="16"/>
      <c r="J260" s="6"/>
      <c r="K260" s="16"/>
      <c r="L260" s="16"/>
      <c r="M260" s="16"/>
      <c r="N260" s="46"/>
    </row>
    <row r="261">
      <c r="A261" s="46"/>
      <c r="B261" s="46"/>
      <c r="C261" s="46"/>
      <c r="D261" s="16"/>
      <c r="E261" s="16"/>
      <c r="F261" s="16"/>
      <c r="G261" s="16"/>
      <c r="H261" s="16"/>
      <c r="I261" s="16"/>
      <c r="J261" s="6"/>
      <c r="K261" s="16"/>
      <c r="L261" s="16"/>
      <c r="M261" s="16"/>
      <c r="N261" s="46"/>
    </row>
    <row r="262">
      <c r="A262" s="46"/>
      <c r="B262" s="46"/>
      <c r="C262" s="46"/>
      <c r="D262" s="16"/>
      <c r="E262" s="16"/>
      <c r="F262" s="16"/>
      <c r="G262" s="16"/>
      <c r="H262" s="16"/>
      <c r="I262" s="16"/>
      <c r="J262" s="6"/>
      <c r="K262" s="16"/>
      <c r="L262" s="16"/>
      <c r="M262" s="16"/>
      <c r="N262" s="46"/>
    </row>
    <row r="263">
      <c r="A263" s="46"/>
      <c r="B263" s="46"/>
      <c r="C263" s="46"/>
      <c r="D263" s="16"/>
      <c r="E263" s="16"/>
      <c r="F263" s="16"/>
      <c r="G263" s="16"/>
      <c r="H263" s="16"/>
      <c r="I263" s="16"/>
      <c r="J263" s="6"/>
      <c r="K263" s="16"/>
      <c r="L263" s="16"/>
      <c r="M263" s="16"/>
      <c r="N263" s="46"/>
    </row>
    <row r="264">
      <c r="A264" s="46"/>
      <c r="B264" s="46"/>
      <c r="C264" s="46"/>
      <c r="D264" s="16"/>
      <c r="E264" s="16"/>
      <c r="F264" s="16"/>
      <c r="G264" s="16"/>
      <c r="H264" s="16"/>
      <c r="I264" s="16"/>
      <c r="J264" s="6"/>
      <c r="K264" s="16"/>
      <c r="L264" s="16"/>
      <c r="M264" s="16"/>
      <c r="N264" s="46"/>
    </row>
    <row r="265">
      <c r="A265" s="46"/>
      <c r="B265" s="46"/>
      <c r="C265" s="46"/>
      <c r="D265" s="16"/>
      <c r="E265" s="16"/>
      <c r="F265" s="16"/>
      <c r="G265" s="16"/>
      <c r="H265" s="16"/>
      <c r="I265" s="16"/>
      <c r="J265" s="6"/>
      <c r="K265" s="16"/>
      <c r="L265" s="16"/>
      <c r="M265" s="16"/>
      <c r="N265" s="46"/>
    </row>
    <row r="266">
      <c r="A266" s="46"/>
      <c r="B266" s="46"/>
      <c r="C266" s="46"/>
      <c r="D266" s="16"/>
      <c r="E266" s="16"/>
      <c r="F266" s="16"/>
      <c r="G266" s="16"/>
      <c r="H266" s="16"/>
      <c r="I266" s="16"/>
      <c r="J266" s="6"/>
      <c r="K266" s="16"/>
      <c r="L266" s="16"/>
      <c r="M266" s="16"/>
      <c r="N266" s="46"/>
    </row>
    <row r="267">
      <c r="A267" s="46"/>
      <c r="B267" s="46"/>
      <c r="C267" s="46"/>
      <c r="D267" s="16"/>
      <c r="E267" s="16"/>
      <c r="F267" s="16"/>
      <c r="G267" s="16"/>
      <c r="H267" s="16"/>
      <c r="I267" s="16"/>
      <c r="J267" s="6"/>
      <c r="K267" s="16"/>
      <c r="L267" s="16"/>
      <c r="M267" s="16"/>
      <c r="N267" s="46"/>
    </row>
    <row r="268">
      <c r="A268" s="46"/>
      <c r="B268" s="46"/>
      <c r="C268" s="46"/>
      <c r="D268" s="16"/>
      <c r="E268" s="16"/>
      <c r="F268" s="16"/>
      <c r="G268" s="16"/>
      <c r="H268" s="16"/>
      <c r="I268" s="16"/>
      <c r="J268" s="6"/>
      <c r="K268" s="16"/>
      <c r="L268" s="16"/>
      <c r="M268" s="16"/>
      <c r="N268" s="46"/>
    </row>
    <row r="269">
      <c r="A269" s="46"/>
      <c r="B269" s="46"/>
      <c r="C269" s="46"/>
      <c r="D269" s="16"/>
      <c r="E269" s="16"/>
      <c r="F269" s="16"/>
      <c r="G269" s="16"/>
      <c r="H269" s="16"/>
      <c r="I269" s="16"/>
      <c r="J269" s="6"/>
      <c r="K269" s="16"/>
      <c r="L269" s="16"/>
      <c r="M269" s="16"/>
      <c r="N269" s="46"/>
    </row>
    <row r="270">
      <c r="A270" s="46"/>
      <c r="B270" s="46"/>
      <c r="C270" s="46"/>
      <c r="D270" s="16"/>
      <c r="E270" s="16"/>
      <c r="F270" s="16"/>
      <c r="G270" s="16"/>
      <c r="H270" s="16"/>
      <c r="I270" s="16"/>
      <c r="J270" s="6"/>
      <c r="K270" s="16"/>
      <c r="L270" s="16"/>
      <c r="M270" s="16"/>
      <c r="N270" s="46"/>
    </row>
    <row r="271">
      <c r="A271" s="46"/>
      <c r="B271" s="46"/>
      <c r="C271" s="46"/>
      <c r="D271" s="16"/>
      <c r="E271" s="16"/>
      <c r="F271" s="16"/>
      <c r="G271" s="16"/>
      <c r="H271" s="16"/>
      <c r="I271" s="16"/>
      <c r="J271" s="6"/>
      <c r="K271" s="16"/>
      <c r="L271" s="16"/>
      <c r="M271" s="16"/>
      <c r="N271" s="46"/>
    </row>
    <row r="272">
      <c r="A272" s="46"/>
      <c r="B272" s="46"/>
      <c r="C272" s="46"/>
      <c r="D272" s="16"/>
      <c r="E272" s="16"/>
      <c r="F272" s="16"/>
      <c r="G272" s="16"/>
      <c r="H272" s="16"/>
      <c r="I272" s="16"/>
      <c r="J272" s="6"/>
      <c r="K272" s="16"/>
      <c r="L272" s="16"/>
      <c r="M272" s="16"/>
      <c r="N272" s="46"/>
    </row>
    <row r="273">
      <c r="A273" s="46"/>
      <c r="B273" s="46"/>
      <c r="C273" s="46"/>
      <c r="D273" s="16"/>
      <c r="E273" s="16"/>
      <c r="F273" s="16"/>
      <c r="G273" s="16"/>
      <c r="H273" s="16"/>
      <c r="I273" s="16"/>
      <c r="J273" s="6"/>
      <c r="K273" s="16"/>
      <c r="L273" s="16"/>
      <c r="M273" s="16"/>
      <c r="N273" s="46"/>
    </row>
    <row r="274">
      <c r="A274" s="46"/>
      <c r="B274" s="46"/>
      <c r="C274" s="46"/>
      <c r="D274" s="16"/>
      <c r="E274" s="16"/>
      <c r="F274" s="16"/>
      <c r="G274" s="16"/>
      <c r="H274" s="16"/>
      <c r="I274" s="16"/>
      <c r="J274" s="6"/>
      <c r="K274" s="16"/>
      <c r="L274" s="16"/>
      <c r="M274" s="16"/>
      <c r="N274" s="46"/>
    </row>
    <row r="275">
      <c r="A275" s="46"/>
      <c r="B275" s="46"/>
      <c r="C275" s="46"/>
      <c r="D275" s="16"/>
      <c r="E275" s="16"/>
      <c r="F275" s="16"/>
      <c r="G275" s="16"/>
      <c r="H275" s="16"/>
      <c r="I275" s="16"/>
      <c r="J275" s="6"/>
      <c r="K275" s="16"/>
      <c r="L275" s="16"/>
      <c r="M275" s="16"/>
      <c r="N275" s="46"/>
    </row>
    <row r="276">
      <c r="A276" s="46"/>
      <c r="B276" s="46"/>
      <c r="C276" s="46"/>
      <c r="D276" s="16"/>
      <c r="E276" s="16"/>
      <c r="F276" s="16"/>
      <c r="G276" s="16"/>
      <c r="H276" s="16"/>
      <c r="I276" s="16"/>
      <c r="J276" s="6"/>
      <c r="K276" s="16"/>
      <c r="L276" s="16"/>
      <c r="M276" s="16"/>
      <c r="N276" s="46"/>
    </row>
    <row r="277">
      <c r="A277" s="46"/>
      <c r="B277" s="46"/>
      <c r="C277" s="46"/>
      <c r="D277" s="16"/>
      <c r="E277" s="16"/>
      <c r="F277" s="16"/>
      <c r="G277" s="16"/>
      <c r="H277" s="16"/>
      <c r="I277" s="16"/>
      <c r="J277" s="6"/>
      <c r="K277" s="16"/>
      <c r="L277" s="16"/>
      <c r="M277" s="16"/>
      <c r="N277" s="46"/>
    </row>
    <row r="278">
      <c r="A278" s="46"/>
      <c r="B278" s="46"/>
      <c r="C278" s="46"/>
      <c r="D278" s="16"/>
      <c r="E278" s="16"/>
      <c r="F278" s="16"/>
      <c r="G278" s="16"/>
      <c r="H278" s="16"/>
      <c r="I278" s="16"/>
      <c r="J278" s="6"/>
      <c r="K278" s="16"/>
      <c r="L278" s="16"/>
      <c r="M278" s="16"/>
      <c r="N278" s="46"/>
    </row>
    <row r="279">
      <c r="A279" s="46"/>
      <c r="B279" s="46"/>
      <c r="C279" s="46"/>
      <c r="D279" s="16"/>
      <c r="E279" s="16"/>
      <c r="F279" s="16"/>
      <c r="G279" s="16"/>
      <c r="H279" s="16"/>
      <c r="I279" s="16"/>
      <c r="J279" s="6"/>
      <c r="K279" s="16"/>
      <c r="L279" s="16"/>
      <c r="M279" s="16"/>
      <c r="N279" s="46"/>
    </row>
    <row r="280">
      <c r="A280" s="46"/>
      <c r="B280" s="46"/>
      <c r="C280" s="46"/>
      <c r="D280" s="16"/>
      <c r="E280" s="16"/>
      <c r="F280" s="16"/>
      <c r="G280" s="16"/>
      <c r="H280" s="16"/>
      <c r="I280" s="16"/>
      <c r="J280" s="6"/>
      <c r="K280" s="16"/>
      <c r="L280" s="16"/>
      <c r="M280" s="16"/>
      <c r="N280" s="46"/>
    </row>
    <row r="281">
      <c r="A281" s="46"/>
      <c r="B281" s="46"/>
      <c r="C281" s="46"/>
      <c r="D281" s="16"/>
      <c r="E281" s="16"/>
      <c r="F281" s="16"/>
      <c r="G281" s="16"/>
      <c r="H281" s="16"/>
      <c r="I281" s="16"/>
      <c r="J281" s="6"/>
      <c r="K281" s="16"/>
      <c r="L281" s="16"/>
      <c r="M281" s="16"/>
      <c r="N281" s="46"/>
    </row>
    <row r="282">
      <c r="A282" s="46"/>
      <c r="B282" s="46"/>
      <c r="C282" s="46"/>
      <c r="D282" s="16"/>
      <c r="E282" s="16"/>
      <c r="F282" s="16"/>
      <c r="G282" s="16"/>
      <c r="H282" s="16"/>
      <c r="I282" s="16"/>
      <c r="J282" s="6"/>
      <c r="K282" s="16"/>
      <c r="L282" s="16"/>
      <c r="M282" s="16"/>
      <c r="N282" s="46"/>
    </row>
    <row r="283">
      <c r="A283" s="46"/>
      <c r="B283" s="46"/>
      <c r="C283" s="46"/>
      <c r="D283" s="16"/>
      <c r="E283" s="16"/>
      <c r="F283" s="16"/>
      <c r="G283" s="16"/>
      <c r="H283" s="16"/>
      <c r="I283" s="16"/>
      <c r="J283" s="6"/>
      <c r="K283" s="16"/>
      <c r="L283" s="16"/>
      <c r="M283" s="16"/>
      <c r="N283" s="46"/>
    </row>
    <row r="284">
      <c r="A284" s="46"/>
      <c r="B284" s="46"/>
      <c r="C284" s="46"/>
      <c r="D284" s="16"/>
      <c r="E284" s="16"/>
      <c r="F284" s="16"/>
      <c r="G284" s="16"/>
      <c r="H284" s="16"/>
      <c r="I284" s="16"/>
      <c r="J284" s="6"/>
      <c r="K284" s="16"/>
      <c r="L284" s="16"/>
      <c r="M284" s="16"/>
      <c r="N284" s="46"/>
    </row>
    <row r="285">
      <c r="A285" s="46"/>
      <c r="B285" s="46"/>
      <c r="C285" s="46"/>
      <c r="D285" s="16"/>
      <c r="E285" s="16"/>
      <c r="F285" s="16"/>
      <c r="G285" s="16"/>
      <c r="H285" s="16"/>
      <c r="I285" s="16"/>
      <c r="J285" s="6"/>
      <c r="K285" s="16"/>
      <c r="L285" s="16"/>
      <c r="M285" s="16"/>
      <c r="N285" s="46"/>
    </row>
    <row r="286">
      <c r="A286" s="46"/>
      <c r="B286" s="46"/>
      <c r="C286" s="46"/>
      <c r="D286" s="16"/>
      <c r="E286" s="16"/>
      <c r="F286" s="16"/>
      <c r="G286" s="16"/>
      <c r="H286" s="16"/>
      <c r="I286" s="16"/>
      <c r="J286" s="6"/>
      <c r="K286" s="16"/>
      <c r="L286" s="16"/>
      <c r="M286" s="16"/>
      <c r="N286" s="46"/>
    </row>
    <row r="287">
      <c r="A287" s="46"/>
      <c r="B287" s="46"/>
      <c r="C287" s="46"/>
      <c r="D287" s="16"/>
      <c r="E287" s="16"/>
      <c r="F287" s="16"/>
      <c r="G287" s="16"/>
      <c r="H287" s="16"/>
      <c r="I287" s="16"/>
      <c r="J287" s="6"/>
      <c r="K287" s="16"/>
      <c r="L287" s="16"/>
      <c r="M287" s="16"/>
      <c r="N287" s="46"/>
    </row>
    <row r="288">
      <c r="A288" s="46"/>
      <c r="B288" s="46"/>
      <c r="C288" s="46"/>
      <c r="D288" s="16"/>
      <c r="E288" s="16"/>
      <c r="F288" s="16"/>
      <c r="G288" s="16"/>
      <c r="H288" s="16"/>
      <c r="I288" s="16"/>
      <c r="J288" s="6"/>
      <c r="K288" s="16"/>
      <c r="L288" s="16"/>
      <c r="M288" s="16"/>
      <c r="N288" s="46"/>
    </row>
    <row r="289">
      <c r="A289" s="46"/>
      <c r="B289" s="46"/>
      <c r="C289" s="46"/>
      <c r="D289" s="16"/>
      <c r="E289" s="16"/>
      <c r="F289" s="16"/>
      <c r="G289" s="16"/>
      <c r="H289" s="16"/>
      <c r="I289" s="16"/>
      <c r="J289" s="6"/>
      <c r="K289" s="16"/>
      <c r="L289" s="16"/>
      <c r="M289" s="16"/>
      <c r="N289" s="46"/>
    </row>
    <row r="290">
      <c r="A290" s="46"/>
      <c r="B290" s="46"/>
      <c r="C290" s="46"/>
      <c r="D290" s="16"/>
      <c r="E290" s="16"/>
      <c r="F290" s="16"/>
      <c r="G290" s="16"/>
      <c r="H290" s="16"/>
      <c r="I290" s="16"/>
      <c r="J290" s="6"/>
      <c r="K290" s="16"/>
      <c r="L290" s="16"/>
      <c r="M290" s="16"/>
      <c r="N290" s="46"/>
    </row>
    <row r="291">
      <c r="A291" s="46"/>
      <c r="B291" s="46"/>
      <c r="C291" s="46"/>
      <c r="D291" s="16"/>
      <c r="E291" s="16"/>
      <c r="F291" s="16"/>
      <c r="G291" s="16"/>
      <c r="H291" s="16"/>
      <c r="I291" s="16"/>
      <c r="J291" s="6"/>
      <c r="K291" s="16"/>
      <c r="L291" s="16"/>
      <c r="M291" s="16"/>
      <c r="N291" s="46"/>
    </row>
    <row r="292">
      <c r="A292" s="46"/>
      <c r="B292" s="46"/>
      <c r="C292" s="46"/>
      <c r="D292" s="16"/>
      <c r="E292" s="16"/>
      <c r="F292" s="16"/>
      <c r="G292" s="16"/>
      <c r="H292" s="16"/>
      <c r="I292" s="16"/>
      <c r="J292" s="6"/>
      <c r="K292" s="16"/>
      <c r="L292" s="16"/>
      <c r="M292" s="16"/>
      <c r="N292" s="46"/>
    </row>
    <row r="293">
      <c r="A293" s="46"/>
      <c r="B293" s="46"/>
      <c r="C293" s="46"/>
      <c r="D293" s="16"/>
      <c r="E293" s="16"/>
      <c r="F293" s="16"/>
      <c r="G293" s="16"/>
      <c r="H293" s="16"/>
      <c r="I293" s="16"/>
      <c r="J293" s="6"/>
      <c r="K293" s="16"/>
      <c r="L293" s="16"/>
      <c r="M293" s="16"/>
      <c r="N293" s="46"/>
    </row>
    <row r="294">
      <c r="A294" s="46"/>
      <c r="B294" s="46"/>
      <c r="C294" s="46"/>
      <c r="D294" s="16"/>
      <c r="E294" s="16"/>
      <c r="F294" s="16"/>
      <c r="G294" s="16"/>
      <c r="H294" s="16"/>
      <c r="I294" s="16"/>
      <c r="J294" s="6"/>
      <c r="K294" s="16"/>
      <c r="L294" s="16"/>
      <c r="M294" s="16"/>
      <c r="N294" s="46"/>
    </row>
    <row r="295">
      <c r="A295" s="46"/>
      <c r="B295" s="46"/>
      <c r="C295" s="46"/>
      <c r="D295" s="16"/>
      <c r="E295" s="16"/>
      <c r="F295" s="16"/>
      <c r="G295" s="16"/>
      <c r="H295" s="16"/>
      <c r="I295" s="16"/>
      <c r="J295" s="6"/>
      <c r="K295" s="16"/>
      <c r="L295" s="16"/>
      <c r="M295" s="16"/>
      <c r="N295" s="46"/>
    </row>
    <row r="296">
      <c r="A296" s="46"/>
      <c r="B296" s="46"/>
      <c r="C296" s="46"/>
      <c r="D296" s="16"/>
      <c r="E296" s="16"/>
      <c r="F296" s="16"/>
      <c r="G296" s="16"/>
      <c r="H296" s="16"/>
      <c r="I296" s="16"/>
      <c r="J296" s="6"/>
      <c r="K296" s="16"/>
      <c r="L296" s="16"/>
      <c r="M296" s="16"/>
      <c r="N296" s="46"/>
    </row>
    <row r="297">
      <c r="A297" s="46"/>
      <c r="B297" s="46"/>
      <c r="C297" s="46"/>
      <c r="D297" s="16"/>
      <c r="E297" s="16"/>
      <c r="F297" s="16"/>
      <c r="G297" s="16"/>
      <c r="H297" s="16"/>
      <c r="I297" s="16"/>
      <c r="J297" s="6"/>
      <c r="K297" s="16"/>
      <c r="L297" s="16"/>
      <c r="M297" s="16"/>
      <c r="N297" s="46"/>
    </row>
    <row r="298">
      <c r="A298" s="46"/>
      <c r="B298" s="46"/>
      <c r="C298" s="46"/>
      <c r="D298" s="16"/>
      <c r="E298" s="16"/>
      <c r="F298" s="16"/>
      <c r="G298" s="16"/>
      <c r="H298" s="16"/>
      <c r="I298" s="16"/>
      <c r="J298" s="6"/>
      <c r="K298" s="16"/>
      <c r="L298" s="16"/>
      <c r="M298" s="16"/>
      <c r="N298" s="46"/>
    </row>
    <row r="299">
      <c r="A299" s="46"/>
      <c r="B299" s="46"/>
      <c r="C299" s="46"/>
      <c r="D299" s="16"/>
      <c r="E299" s="16"/>
      <c r="F299" s="16"/>
      <c r="G299" s="16"/>
      <c r="H299" s="16"/>
      <c r="I299" s="16"/>
      <c r="J299" s="6"/>
      <c r="K299" s="16"/>
      <c r="L299" s="16"/>
      <c r="M299" s="16"/>
      <c r="N299" s="46"/>
    </row>
    <row r="300">
      <c r="A300" s="46"/>
      <c r="B300" s="46"/>
      <c r="C300" s="46"/>
      <c r="D300" s="16"/>
      <c r="E300" s="16"/>
      <c r="F300" s="16"/>
      <c r="G300" s="16"/>
      <c r="H300" s="16"/>
      <c r="I300" s="16"/>
      <c r="J300" s="6"/>
      <c r="K300" s="16"/>
      <c r="L300" s="16"/>
      <c r="M300" s="16"/>
      <c r="N300" s="46"/>
    </row>
    <row r="301">
      <c r="A301" s="46"/>
      <c r="B301" s="46"/>
      <c r="C301" s="46"/>
      <c r="D301" s="16"/>
      <c r="E301" s="16"/>
      <c r="F301" s="16"/>
      <c r="G301" s="16"/>
      <c r="H301" s="16"/>
      <c r="I301" s="16"/>
      <c r="J301" s="6"/>
      <c r="K301" s="16"/>
      <c r="L301" s="16"/>
      <c r="M301" s="16"/>
      <c r="N301" s="46"/>
    </row>
    <row r="302">
      <c r="A302" s="46"/>
      <c r="B302" s="46"/>
      <c r="C302" s="46"/>
      <c r="D302" s="16"/>
      <c r="E302" s="16"/>
      <c r="F302" s="16"/>
      <c r="G302" s="16"/>
      <c r="H302" s="16"/>
      <c r="I302" s="16"/>
      <c r="J302" s="6"/>
      <c r="K302" s="16"/>
      <c r="L302" s="16"/>
      <c r="M302" s="16"/>
      <c r="N302" s="46"/>
    </row>
    <row r="303">
      <c r="A303" s="46"/>
      <c r="B303" s="46"/>
      <c r="C303" s="46"/>
      <c r="D303" s="16"/>
      <c r="E303" s="16"/>
      <c r="F303" s="16"/>
      <c r="G303" s="16"/>
      <c r="H303" s="16"/>
      <c r="I303" s="16"/>
      <c r="J303" s="6"/>
      <c r="K303" s="16"/>
      <c r="L303" s="16"/>
      <c r="M303" s="16"/>
      <c r="N303" s="46"/>
    </row>
    <row r="304">
      <c r="A304" s="46"/>
      <c r="B304" s="46"/>
      <c r="C304" s="46"/>
      <c r="D304" s="16"/>
      <c r="E304" s="16"/>
      <c r="F304" s="16"/>
      <c r="G304" s="16"/>
      <c r="H304" s="16"/>
      <c r="I304" s="16"/>
      <c r="J304" s="6"/>
      <c r="K304" s="16"/>
      <c r="L304" s="16"/>
      <c r="M304" s="16"/>
      <c r="N304" s="46"/>
    </row>
    <row r="305">
      <c r="A305" s="46"/>
      <c r="B305" s="46"/>
      <c r="C305" s="46"/>
      <c r="D305" s="16"/>
      <c r="E305" s="16"/>
      <c r="F305" s="16"/>
      <c r="G305" s="16"/>
      <c r="H305" s="16"/>
      <c r="I305" s="16"/>
      <c r="J305" s="6"/>
      <c r="K305" s="16"/>
      <c r="L305" s="16"/>
      <c r="M305" s="16"/>
      <c r="N305" s="46"/>
    </row>
    <row r="306">
      <c r="A306" s="46"/>
      <c r="B306" s="46"/>
      <c r="C306" s="46"/>
      <c r="D306" s="16"/>
      <c r="E306" s="16"/>
      <c r="F306" s="16"/>
      <c r="G306" s="16"/>
      <c r="H306" s="16"/>
      <c r="I306" s="16"/>
      <c r="J306" s="6"/>
      <c r="K306" s="16"/>
      <c r="L306" s="16"/>
      <c r="M306" s="16"/>
      <c r="N306" s="46"/>
    </row>
    <row r="307">
      <c r="A307" s="46"/>
      <c r="B307" s="46"/>
      <c r="C307" s="46"/>
      <c r="D307" s="16"/>
      <c r="E307" s="16"/>
      <c r="F307" s="16"/>
      <c r="G307" s="16"/>
      <c r="H307" s="16"/>
      <c r="I307" s="16"/>
      <c r="J307" s="6"/>
      <c r="K307" s="16"/>
      <c r="L307" s="16"/>
      <c r="M307" s="16"/>
      <c r="N307" s="46"/>
    </row>
    <row r="308">
      <c r="A308" s="46"/>
      <c r="B308" s="46"/>
      <c r="C308" s="46"/>
      <c r="D308" s="16"/>
      <c r="E308" s="16"/>
      <c r="F308" s="16"/>
      <c r="G308" s="16"/>
      <c r="H308" s="16"/>
      <c r="I308" s="16"/>
      <c r="J308" s="6"/>
      <c r="K308" s="16"/>
      <c r="L308" s="16"/>
      <c r="M308" s="16"/>
      <c r="N308" s="46"/>
    </row>
    <row r="309">
      <c r="A309" s="46"/>
      <c r="B309" s="46"/>
      <c r="C309" s="46"/>
      <c r="D309" s="16"/>
      <c r="E309" s="16"/>
      <c r="F309" s="16"/>
      <c r="G309" s="16"/>
      <c r="H309" s="16"/>
      <c r="I309" s="16"/>
      <c r="J309" s="6"/>
      <c r="K309" s="16"/>
      <c r="L309" s="16"/>
      <c r="M309" s="16"/>
      <c r="N309" s="46"/>
    </row>
    <row r="310">
      <c r="A310" s="46"/>
      <c r="B310" s="46"/>
      <c r="C310" s="46"/>
      <c r="D310" s="16"/>
      <c r="E310" s="16"/>
      <c r="F310" s="16"/>
      <c r="G310" s="16"/>
      <c r="H310" s="16"/>
      <c r="I310" s="16"/>
      <c r="J310" s="6"/>
      <c r="K310" s="16"/>
      <c r="L310" s="16"/>
      <c r="M310" s="16"/>
      <c r="N310" s="46"/>
    </row>
    <row r="311">
      <c r="A311" s="46"/>
      <c r="B311" s="46"/>
      <c r="C311" s="46"/>
      <c r="D311" s="16"/>
      <c r="E311" s="16"/>
      <c r="F311" s="16"/>
      <c r="G311" s="16"/>
      <c r="H311" s="16"/>
      <c r="I311" s="16"/>
      <c r="J311" s="6"/>
      <c r="K311" s="16"/>
      <c r="L311" s="16"/>
      <c r="M311" s="16"/>
      <c r="N311" s="46"/>
    </row>
    <row r="312">
      <c r="A312" s="46"/>
      <c r="B312" s="46"/>
      <c r="C312" s="46"/>
      <c r="D312" s="16"/>
      <c r="E312" s="16"/>
      <c r="F312" s="16"/>
      <c r="G312" s="16"/>
      <c r="H312" s="16"/>
      <c r="I312" s="16"/>
      <c r="J312" s="6"/>
      <c r="K312" s="16"/>
      <c r="L312" s="16"/>
      <c r="M312" s="16"/>
      <c r="N312" s="46"/>
    </row>
    <row r="313">
      <c r="A313" s="46"/>
      <c r="B313" s="46"/>
      <c r="C313" s="46"/>
      <c r="D313" s="16"/>
      <c r="E313" s="16"/>
      <c r="F313" s="16"/>
      <c r="G313" s="16"/>
      <c r="H313" s="16"/>
      <c r="I313" s="16"/>
      <c r="J313" s="6"/>
      <c r="K313" s="16"/>
      <c r="L313" s="16"/>
      <c r="M313" s="16"/>
      <c r="N313" s="46"/>
    </row>
    <row r="314">
      <c r="A314" s="46"/>
      <c r="B314" s="46"/>
      <c r="C314" s="46"/>
      <c r="D314" s="16"/>
      <c r="E314" s="16"/>
      <c r="F314" s="16"/>
      <c r="G314" s="16"/>
      <c r="H314" s="16"/>
      <c r="I314" s="16"/>
      <c r="J314" s="6"/>
      <c r="K314" s="16"/>
      <c r="L314" s="16"/>
      <c r="M314" s="16"/>
      <c r="N314" s="46"/>
    </row>
    <row r="315">
      <c r="A315" s="46"/>
      <c r="B315" s="46"/>
      <c r="C315" s="46"/>
      <c r="D315" s="16"/>
      <c r="E315" s="16"/>
      <c r="F315" s="16"/>
      <c r="G315" s="16"/>
      <c r="H315" s="16"/>
      <c r="I315" s="16"/>
      <c r="J315" s="6"/>
      <c r="K315" s="16"/>
      <c r="L315" s="16"/>
      <c r="M315" s="16"/>
      <c r="N315" s="46"/>
    </row>
    <row r="316">
      <c r="A316" s="46"/>
      <c r="B316" s="46"/>
      <c r="C316" s="46"/>
      <c r="D316" s="16"/>
      <c r="E316" s="16"/>
      <c r="F316" s="16"/>
      <c r="G316" s="16"/>
      <c r="H316" s="16"/>
      <c r="I316" s="16"/>
      <c r="J316" s="6"/>
      <c r="K316" s="16"/>
      <c r="L316" s="16"/>
      <c r="M316" s="16"/>
      <c r="N316" s="46"/>
    </row>
    <row r="317">
      <c r="A317" s="46"/>
      <c r="B317" s="46"/>
      <c r="C317" s="46"/>
      <c r="D317" s="16"/>
      <c r="E317" s="16"/>
      <c r="F317" s="16"/>
      <c r="G317" s="16"/>
      <c r="H317" s="16"/>
      <c r="I317" s="16"/>
      <c r="J317" s="6"/>
      <c r="K317" s="16"/>
      <c r="L317" s="16"/>
      <c r="M317" s="16"/>
      <c r="N317" s="46"/>
    </row>
    <row r="318">
      <c r="A318" s="46"/>
      <c r="B318" s="46"/>
      <c r="C318" s="46"/>
      <c r="D318" s="16"/>
      <c r="E318" s="16"/>
      <c r="F318" s="16"/>
      <c r="G318" s="16"/>
      <c r="H318" s="16"/>
      <c r="I318" s="16"/>
      <c r="J318" s="6"/>
      <c r="K318" s="16"/>
      <c r="L318" s="16"/>
      <c r="M318" s="16"/>
      <c r="N318" s="46"/>
    </row>
    <row r="319">
      <c r="A319" s="46"/>
      <c r="B319" s="46"/>
      <c r="C319" s="46"/>
      <c r="D319" s="16"/>
      <c r="E319" s="16"/>
      <c r="F319" s="16"/>
      <c r="G319" s="16"/>
      <c r="H319" s="16"/>
      <c r="I319" s="16"/>
      <c r="J319" s="6"/>
      <c r="K319" s="16"/>
      <c r="L319" s="16"/>
      <c r="M319" s="16"/>
      <c r="N319" s="46"/>
    </row>
    <row r="320">
      <c r="A320" s="46"/>
      <c r="B320" s="46"/>
      <c r="C320" s="46"/>
      <c r="D320" s="16"/>
      <c r="E320" s="16"/>
      <c r="F320" s="16"/>
      <c r="G320" s="16"/>
      <c r="H320" s="16"/>
      <c r="I320" s="16"/>
      <c r="J320" s="6"/>
      <c r="K320" s="16"/>
      <c r="L320" s="16"/>
      <c r="M320" s="16"/>
      <c r="N320" s="46"/>
    </row>
    <row r="321">
      <c r="A321" s="46"/>
      <c r="B321" s="46"/>
      <c r="C321" s="46"/>
      <c r="D321" s="16"/>
      <c r="E321" s="16"/>
      <c r="F321" s="16"/>
      <c r="G321" s="16"/>
      <c r="H321" s="16"/>
      <c r="I321" s="16"/>
      <c r="J321" s="6"/>
      <c r="K321" s="16"/>
      <c r="L321" s="16"/>
      <c r="M321" s="16"/>
      <c r="N321" s="46"/>
    </row>
    <row r="322">
      <c r="A322" s="46"/>
      <c r="B322" s="46"/>
      <c r="C322" s="46"/>
      <c r="D322" s="16"/>
      <c r="E322" s="16"/>
      <c r="F322" s="16"/>
      <c r="G322" s="16"/>
      <c r="H322" s="16"/>
      <c r="I322" s="16"/>
      <c r="J322" s="6"/>
      <c r="K322" s="16"/>
      <c r="L322" s="16"/>
      <c r="M322" s="16"/>
      <c r="N322" s="46"/>
    </row>
    <row r="323">
      <c r="A323" s="46"/>
      <c r="B323" s="46"/>
      <c r="C323" s="46"/>
      <c r="D323" s="16"/>
      <c r="E323" s="16"/>
      <c r="F323" s="16"/>
      <c r="G323" s="16"/>
      <c r="H323" s="16"/>
      <c r="I323" s="16"/>
      <c r="J323" s="6"/>
      <c r="K323" s="16"/>
      <c r="L323" s="16"/>
      <c r="M323" s="16"/>
      <c r="N323" s="46"/>
    </row>
    <row r="324">
      <c r="A324" s="46"/>
      <c r="B324" s="46"/>
      <c r="C324" s="46"/>
      <c r="D324" s="16"/>
      <c r="E324" s="16"/>
      <c r="F324" s="16"/>
      <c r="G324" s="16"/>
      <c r="H324" s="16"/>
      <c r="I324" s="16"/>
      <c r="J324" s="6"/>
      <c r="K324" s="16"/>
      <c r="L324" s="16"/>
      <c r="M324" s="16"/>
      <c r="N324" s="46"/>
    </row>
    <row r="325">
      <c r="A325" s="46"/>
      <c r="B325" s="46"/>
      <c r="C325" s="46"/>
      <c r="D325" s="16"/>
      <c r="E325" s="16"/>
      <c r="F325" s="16"/>
      <c r="G325" s="16"/>
      <c r="H325" s="16"/>
      <c r="I325" s="16"/>
      <c r="J325" s="6"/>
      <c r="K325" s="16"/>
      <c r="L325" s="16"/>
      <c r="M325" s="16"/>
      <c r="N325" s="46"/>
    </row>
    <row r="326">
      <c r="A326" s="46"/>
      <c r="B326" s="46"/>
      <c r="C326" s="46"/>
      <c r="D326" s="16"/>
      <c r="E326" s="16"/>
      <c r="F326" s="16"/>
      <c r="G326" s="16"/>
      <c r="H326" s="16"/>
      <c r="I326" s="16"/>
      <c r="J326" s="6"/>
      <c r="K326" s="16"/>
      <c r="L326" s="16"/>
      <c r="M326" s="16"/>
      <c r="N326" s="46"/>
    </row>
    <row r="327">
      <c r="A327" s="46"/>
      <c r="B327" s="46"/>
      <c r="C327" s="46"/>
      <c r="D327" s="16"/>
      <c r="E327" s="16"/>
      <c r="F327" s="16"/>
      <c r="G327" s="16"/>
      <c r="H327" s="16"/>
      <c r="I327" s="16"/>
      <c r="J327" s="6"/>
      <c r="K327" s="16"/>
      <c r="L327" s="16"/>
      <c r="M327" s="16"/>
      <c r="N327" s="46"/>
    </row>
    <row r="328">
      <c r="A328" s="46"/>
      <c r="B328" s="46"/>
      <c r="C328" s="46"/>
      <c r="D328" s="16"/>
      <c r="E328" s="16"/>
      <c r="F328" s="16"/>
      <c r="G328" s="16"/>
      <c r="H328" s="16"/>
      <c r="I328" s="16"/>
      <c r="J328" s="6"/>
      <c r="K328" s="16"/>
      <c r="L328" s="16"/>
      <c r="M328" s="16"/>
      <c r="N328" s="46"/>
    </row>
    <row r="329">
      <c r="A329" s="46"/>
      <c r="B329" s="46"/>
      <c r="C329" s="46"/>
      <c r="D329" s="16"/>
      <c r="E329" s="16"/>
      <c r="F329" s="16"/>
      <c r="G329" s="16"/>
      <c r="H329" s="16"/>
      <c r="I329" s="16"/>
      <c r="J329" s="6"/>
      <c r="K329" s="16"/>
      <c r="L329" s="16"/>
      <c r="M329" s="16"/>
      <c r="N329" s="46"/>
    </row>
    <row r="330">
      <c r="A330" s="46"/>
      <c r="B330" s="46"/>
      <c r="C330" s="46"/>
      <c r="D330" s="16"/>
      <c r="E330" s="16"/>
      <c r="F330" s="16"/>
      <c r="G330" s="16"/>
      <c r="H330" s="16"/>
      <c r="I330" s="16"/>
      <c r="J330" s="6"/>
      <c r="K330" s="16"/>
      <c r="L330" s="16"/>
      <c r="M330" s="16"/>
      <c r="N330" s="46"/>
    </row>
    <row r="331">
      <c r="A331" s="46"/>
      <c r="B331" s="46"/>
      <c r="C331" s="46"/>
      <c r="D331" s="16"/>
      <c r="E331" s="16"/>
      <c r="F331" s="16"/>
      <c r="G331" s="16"/>
      <c r="H331" s="16"/>
      <c r="I331" s="16"/>
      <c r="J331" s="6"/>
      <c r="K331" s="16"/>
      <c r="L331" s="16"/>
      <c r="M331" s="16"/>
      <c r="N331" s="46"/>
    </row>
    <row r="332">
      <c r="A332" s="46"/>
      <c r="B332" s="46"/>
      <c r="C332" s="46"/>
      <c r="D332" s="16"/>
      <c r="E332" s="16"/>
      <c r="F332" s="16"/>
      <c r="G332" s="16"/>
      <c r="H332" s="16"/>
      <c r="I332" s="16"/>
      <c r="J332" s="6"/>
      <c r="K332" s="16"/>
      <c r="L332" s="16"/>
      <c r="M332" s="16"/>
      <c r="N332" s="46"/>
    </row>
    <row r="333">
      <c r="A333" s="46"/>
      <c r="B333" s="46"/>
      <c r="C333" s="46"/>
      <c r="D333" s="16"/>
      <c r="E333" s="16"/>
      <c r="F333" s="16"/>
      <c r="G333" s="16"/>
      <c r="H333" s="16"/>
      <c r="I333" s="16"/>
      <c r="J333" s="6"/>
      <c r="K333" s="16"/>
      <c r="L333" s="16"/>
      <c r="M333" s="16"/>
      <c r="N333" s="46"/>
    </row>
    <row r="334">
      <c r="A334" s="46"/>
      <c r="B334" s="46"/>
      <c r="C334" s="46"/>
      <c r="D334" s="16"/>
      <c r="E334" s="16"/>
      <c r="F334" s="16"/>
      <c r="G334" s="16"/>
      <c r="H334" s="16"/>
      <c r="I334" s="16"/>
      <c r="J334" s="6"/>
      <c r="K334" s="16"/>
      <c r="L334" s="16"/>
      <c r="M334" s="16"/>
      <c r="N334" s="46"/>
    </row>
    <row r="335">
      <c r="A335" s="46"/>
      <c r="B335" s="46"/>
      <c r="C335" s="46"/>
      <c r="D335" s="16"/>
      <c r="E335" s="16"/>
      <c r="F335" s="16"/>
      <c r="G335" s="16"/>
      <c r="H335" s="16"/>
      <c r="I335" s="16"/>
      <c r="J335" s="6"/>
      <c r="K335" s="16"/>
      <c r="L335" s="16"/>
      <c r="M335" s="16"/>
      <c r="N335" s="46"/>
    </row>
    <row r="336">
      <c r="A336" s="46"/>
      <c r="B336" s="46"/>
      <c r="C336" s="46"/>
      <c r="D336" s="16"/>
      <c r="E336" s="16"/>
      <c r="F336" s="16"/>
      <c r="G336" s="16"/>
      <c r="H336" s="16"/>
      <c r="I336" s="16"/>
      <c r="J336" s="6"/>
      <c r="K336" s="16"/>
      <c r="L336" s="16"/>
      <c r="M336" s="16"/>
      <c r="N336" s="46"/>
    </row>
    <row r="337">
      <c r="A337" s="46"/>
      <c r="B337" s="46"/>
      <c r="C337" s="46"/>
      <c r="D337" s="16"/>
      <c r="E337" s="16"/>
      <c r="F337" s="16"/>
      <c r="G337" s="16"/>
      <c r="H337" s="16"/>
      <c r="I337" s="16"/>
      <c r="J337" s="6"/>
      <c r="K337" s="16"/>
      <c r="L337" s="16"/>
      <c r="M337" s="16"/>
      <c r="N337" s="46"/>
    </row>
    <row r="338">
      <c r="A338" s="46"/>
      <c r="B338" s="46"/>
      <c r="C338" s="46"/>
      <c r="D338" s="16"/>
      <c r="E338" s="16"/>
      <c r="F338" s="16"/>
      <c r="G338" s="16"/>
      <c r="H338" s="16"/>
      <c r="I338" s="16"/>
      <c r="J338" s="6"/>
      <c r="K338" s="16"/>
      <c r="L338" s="16"/>
      <c r="M338" s="16"/>
      <c r="N338" s="46"/>
    </row>
    <row r="339">
      <c r="A339" s="46"/>
      <c r="B339" s="46"/>
      <c r="C339" s="46"/>
      <c r="D339" s="16"/>
      <c r="E339" s="16"/>
      <c r="F339" s="16"/>
      <c r="G339" s="16"/>
      <c r="H339" s="16"/>
      <c r="I339" s="16"/>
      <c r="J339" s="6"/>
      <c r="K339" s="16"/>
      <c r="L339" s="16"/>
      <c r="M339" s="16"/>
      <c r="N339" s="46"/>
    </row>
    <row r="340">
      <c r="A340" s="46"/>
      <c r="B340" s="46"/>
      <c r="C340" s="46"/>
      <c r="D340" s="16"/>
      <c r="E340" s="16"/>
      <c r="F340" s="16"/>
      <c r="G340" s="16"/>
      <c r="H340" s="16"/>
      <c r="I340" s="16"/>
      <c r="J340" s="6"/>
      <c r="K340" s="16"/>
      <c r="L340" s="16"/>
      <c r="M340" s="16"/>
      <c r="N340" s="46"/>
    </row>
    <row r="341">
      <c r="A341" s="46"/>
      <c r="B341" s="46"/>
      <c r="C341" s="46"/>
      <c r="D341" s="16"/>
      <c r="E341" s="16"/>
      <c r="F341" s="16"/>
      <c r="G341" s="16"/>
      <c r="H341" s="16"/>
      <c r="I341" s="16"/>
      <c r="J341" s="6"/>
      <c r="K341" s="16"/>
      <c r="L341" s="16"/>
      <c r="M341" s="16"/>
      <c r="N341" s="46"/>
    </row>
    <row r="342">
      <c r="A342" s="46"/>
      <c r="B342" s="46"/>
      <c r="C342" s="46"/>
      <c r="D342" s="16"/>
      <c r="E342" s="16"/>
      <c r="F342" s="16"/>
      <c r="G342" s="16"/>
      <c r="H342" s="16"/>
      <c r="I342" s="16"/>
      <c r="J342" s="6"/>
      <c r="K342" s="16"/>
      <c r="L342" s="16"/>
      <c r="M342" s="16"/>
      <c r="N342" s="46"/>
    </row>
    <row r="343">
      <c r="A343" s="46"/>
      <c r="B343" s="46"/>
      <c r="C343" s="46"/>
      <c r="D343" s="16"/>
      <c r="E343" s="16"/>
      <c r="F343" s="16"/>
      <c r="G343" s="16"/>
      <c r="H343" s="16"/>
      <c r="I343" s="16"/>
      <c r="J343" s="6"/>
      <c r="K343" s="16"/>
      <c r="L343" s="16"/>
      <c r="M343" s="16"/>
      <c r="N343" s="46"/>
    </row>
    <row r="344">
      <c r="A344" s="46"/>
      <c r="B344" s="46"/>
      <c r="C344" s="46"/>
      <c r="D344" s="16"/>
      <c r="E344" s="16"/>
      <c r="F344" s="16"/>
      <c r="G344" s="16"/>
      <c r="H344" s="16"/>
      <c r="I344" s="16"/>
      <c r="J344" s="6"/>
      <c r="K344" s="16"/>
      <c r="L344" s="16"/>
      <c r="M344" s="16"/>
      <c r="N344" s="46"/>
    </row>
    <row r="345">
      <c r="A345" s="46"/>
      <c r="B345" s="46"/>
      <c r="C345" s="46"/>
      <c r="D345" s="16"/>
      <c r="E345" s="16"/>
      <c r="F345" s="16"/>
      <c r="G345" s="16"/>
      <c r="H345" s="16"/>
      <c r="I345" s="16"/>
      <c r="J345" s="6"/>
      <c r="K345" s="16"/>
      <c r="L345" s="16"/>
      <c r="M345" s="16"/>
      <c r="N345" s="46"/>
    </row>
    <row r="346">
      <c r="A346" s="46"/>
      <c r="B346" s="46"/>
      <c r="C346" s="46"/>
      <c r="D346" s="16"/>
      <c r="E346" s="16"/>
      <c r="F346" s="16"/>
      <c r="G346" s="16"/>
      <c r="H346" s="16"/>
      <c r="I346" s="16"/>
      <c r="J346" s="6"/>
      <c r="K346" s="16"/>
      <c r="L346" s="16"/>
      <c r="M346" s="16"/>
      <c r="N346" s="46"/>
    </row>
    <row r="347">
      <c r="A347" s="46"/>
      <c r="B347" s="46"/>
      <c r="C347" s="46"/>
      <c r="D347" s="16"/>
      <c r="E347" s="16"/>
      <c r="F347" s="16"/>
      <c r="G347" s="16"/>
      <c r="H347" s="16"/>
      <c r="I347" s="16"/>
      <c r="J347" s="6"/>
      <c r="K347" s="16"/>
      <c r="L347" s="16"/>
      <c r="M347" s="16"/>
      <c r="N347" s="46"/>
    </row>
    <row r="348">
      <c r="A348" s="46"/>
      <c r="B348" s="46"/>
      <c r="C348" s="46"/>
      <c r="D348" s="16"/>
      <c r="E348" s="16"/>
      <c r="F348" s="16"/>
      <c r="G348" s="16"/>
      <c r="H348" s="16"/>
      <c r="I348" s="16"/>
      <c r="J348" s="6"/>
      <c r="K348" s="16"/>
      <c r="L348" s="16"/>
      <c r="M348" s="16"/>
      <c r="N348" s="46"/>
    </row>
    <row r="349">
      <c r="A349" s="46"/>
      <c r="B349" s="46"/>
      <c r="C349" s="46"/>
      <c r="D349" s="16"/>
      <c r="E349" s="16"/>
      <c r="F349" s="16"/>
      <c r="G349" s="16"/>
      <c r="H349" s="16"/>
      <c r="I349" s="16"/>
      <c r="J349" s="6"/>
      <c r="K349" s="16"/>
      <c r="L349" s="16"/>
      <c r="M349" s="16"/>
      <c r="N349" s="46"/>
    </row>
    <row r="350">
      <c r="A350" s="46"/>
      <c r="B350" s="46"/>
      <c r="C350" s="46"/>
      <c r="D350" s="16"/>
      <c r="E350" s="16"/>
      <c r="F350" s="16"/>
      <c r="G350" s="16"/>
      <c r="H350" s="16"/>
      <c r="I350" s="16"/>
      <c r="J350" s="6"/>
      <c r="K350" s="16"/>
      <c r="L350" s="16"/>
      <c r="M350" s="16"/>
      <c r="N350" s="46"/>
    </row>
    <row r="351">
      <c r="A351" s="46"/>
      <c r="B351" s="46"/>
      <c r="C351" s="46"/>
      <c r="D351" s="16"/>
      <c r="E351" s="16"/>
      <c r="F351" s="16"/>
      <c r="G351" s="16"/>
      <c r="H351" s="16"/>
      <c r="I351" s="16"/>
      <c r="J351" s="6"/>
      <c r="K351" s="16"/>
      <c r="L351" s="16"/>
      <c r="M351" s="16"/>
      <c r="N351" s="46"/>
    </row>
    <row r="352">
      <c r="A352" s="46"/>
      <c r="B352" s="46"/>
      <c r="C352" s="46"/>
      <c r="D352" s="16"/>
      <c r="E352" s="16"/>
      <c r="F352" s="16"/>
      <c r="G352" s="16"/>
      <c r="H352" s="16"/>
      <c r="I352" s="16"/>
      <c r="J352" s="6"/>
      <c r="K352" s="16"/>
      <c r="L352" s="16"/>
      <c r="M352" s="16"/>
      <c r="N352" s="46"/>
    </row>
    <row r="353">
      <c r="A353" s="46"/>
      <c r="B353" s="46"/>
      <c r="C353" s="46"/>
      <c r="D353" s="16"/>
      <c r="E353" s="16"/>
      <c r="F353" s="16"/>
      <c r="G353" s="16"/>
      <c r="H353" s="16"/>
      <c r="I353" s="16"/>
      <c r="J353" s="6"/>
      <c r="K353" s="16"/>
      <c r="L353" s="16"/>
      <c r="M353" s="16"/>
      <c r="N353" s="46"/>
    </row>
    <row r="354">
      <c r="A354" s="46"/>
      <c r="B354" s="46"/>
      <c r="C354" s="46"/>
      <c r="D354" s="16"/>
      <c r="E354" s="16"/>
      <c r="F354" s="16"/>
      <c r="G354" s="16"/>
      <c r="H354" s="16"/>
      <c r="I354" s="16"/>
      <c r="J354" s="6"/>
      <c r="K354" s="16"/>
      <c r="L354" s="16"/>
      <c r="M354" s="16"/>
      <c r="N354" s="46"/>
    </row>
    <row r="355">
      <c r="A355" s="46"/>
      <c r="B355" s="46"/>
      <c r="C355" s="46"/>
      <c r="D355" s="16"/>
      <c r="E355" s="16"/>
      <c r="F355" s="16"/>
      <c r="G355" s="16"/>
      <c r="H355" s="16"/>
      <c r="I355" s="16"/>
      <c r="J355" s="6"/>
      <c r="K355" s="16"/>
      <c r="L355" s="16"/>
      <c r="M355" s="16"/>
      <c r="N355" s="46"/>
    </row>
    <row r="356">
      <c r="A356" s="46"/>
      <c r="B356" s="46"/>
      <c r="C356" s="46"/>
      <c r="D356" s="16"/>
      <c r="E356" s="16"/>
      <c r="F356" s="16"/>
      <c r="G356" s="16"/>
      <c r="H356" s="16"/>
      <c r="I356" s="16"/>
      <c r="J356" s="6"/>
      <c r="K356" s="16"/>
      <c r="L356" s="16"/>
      <c r="M356" s="16"/>
      <c r="N356" s="46"/>
    </row>
    <row r="357">
      <c r="A357" s="46"/>
      <c r="B357" s="46"/>
      <c r="C357" s="46"/>
      <c r="D357" s="16"/>
      <c r="E357" s="16"/>
      <c r="F357" s="16"/>
      <c r="G357" s="16"/>
      <c r="H357" s="16"/>
      <c r="I357" s="16"/>
      <c r="J357" s="6"/>
      <c r="K357" s="16"/>
      <c r="L357" s="16"/>
      <c r="M357" s="16"/>
      <c r="N357" s="46"/>
    </row>
    <row r="358">
      <c r="A358" s="46"/>
      <c r="B358" s="46"/>
      <c r="C358" s="46"/>
      <c r="D358" s="16"/>
      <c r="E358" s="16"/>
      <c r="F358" s="16"/>
      <c r="G358" s="16"/>
      <c r="H358" s="16"/>
      <c r="I358" s="16"/>
      <c r="J358" s="6"/>
      <c r="K358" s="16"/>
      <c r="L358" s="16"/>
      <c r="M358" s="16"/>
      <c r="N358" s="46"/>
    </row>
    <row r="359">
      <c r="A359" s="46"/>
      <c r="B359" s="46"/>
      <c r="C359" s="46"/>
      <c r="D359" s="16"/>
      <c r="E359" s="16"/>
      <c r="F359" s="16"/>
      <c r="G359" s="16"/>
      <c r="H359" s="16"/>
      <c r="I359" s="16"/>
      <c r="J359" s="6"/>
      <c r="K359" s="16"/>
      <c r="L359" s="16"/>
      <c r="M359" s="16"/>
      <c r="N359" s="46"/>
    </row>
    <row r="360">
      <c r="A360" s="46"/>
      <c r="B360" s="46"/>
      <c r="C360" s="46"/>
      <c r="D360" s="16"/>
      <c r="E360" s="16"/>
      <c r="F360" s="16"/>
      <c r="G360" s="16"/>
      <c r="H360" s="16"/>
      <c r="I360" s="16"/>
      <c r="J360" s="6"/>
      <c r="K360" s="16"/>
      <c r="L360" s="16"/>
      <c r="M360" s="16"/>
      <c r="N360" s="46"/>
    </row>
    <row r="361">
      <c r="A361" s="46"/>
      <c r="B361" s="46"/>
      <c r="C361" s="46"/>
      <c r="D361" s="16"/>
      <c r="E361" s="16"/>
      <c r="F361" s="16"/>
      <c r="G361" s="16"/>
      <c r="H361" s="16"/>
      <c r="I361" s="16"/>
      <c r="J361" s="6"/>
      <c r="K361" s="16"/>
      <c r="L361" s="16"/>
      <c r="M361" s="16"/>
      <c r="N361" s="46"/>
    </row>
    <row r="362">
      <c r="A362" s="46"/>
      <c r="B362" s="46"/>
      <c r="C362" s="46"/>
      <c r="D362" s="16"/>
      <c r="E362" s="16"/>
      <c r="F362" s="16"/>
      <c r="G362" s="16"/>
      <c r="H362" s="16"/>
      <c r="I362" s="16"/>
      <c r="J362" s="6"/>
      <c r="K362" s="16"/>
      <c r="L362" s="16"/>
      <c r="M362" s="16"/>
      <c r="N362" s="46"/>
    </row>
    <row r="363">
      <c r="A363" s="46"/>
      <c r="B363" s="46"/>
      <c r="C363" s="46"/>
      <c r="D363" s="16"/>
      <c r="E363" s="16"/>
      <c r="F363" s="16"/>
      <c r="G363" s="16"/>
      <c r="H363" s="16"/>
      <c r="I363" s="16"/>
      <c r="J363" s="6"/>
      <c r="K363" s="16"/>
      <c r="L363" s="16"/>
      <c r="M363" s="16"/>
      <c r="N363" s="46"/>
    </row>
    <row r="364">
      <c r="A364" s="46"/>
      <c r="B364" s="46"/>
      <c r="C364" s="46"/>
      <c r="D364" s="16"/>
      <c r="E364" s="16"/>
      <c r="F364" s="16"/>
      <c r="G364" s="16"/>
      <c r="H364" s="16"/>
      <c r="I364" s="16"/>
      <c r="J364" s="6"/>
      <c r="K364" s="16"/>
      <c r="L364" s="16"/>
      <c r="M364" s="16"/>
      <c r="N364" s="46"/>
    </row>
    <row r="365">
      <c r="A365" s="46"/>
      <c r="B365" s="46"/>
      <c r="C365" s="46"/>
      <c r="D365" s="16"/>
      <c r="E365" s="16"/>
      <c r="F365" s="16"/>
      <c r="G365" s="16"/>
      <c r="H365" s="16"/>
      <c r="I365" s="16"/>
      <c r="J365" s="6"/>
      <c r="K365" s="16"/>
      <c r="L365" s="16"/>
      <c r="M365" s="16"/>
      <c r="N365" s="46"/>
    </row>
    <row r="366">
      <c r="A366" s="46"/>
      <c r="B366" s="46"/>
      <c r="C366" s="46"/>
      <c r="D366" s="16"/>
      <c r="E366" s="16"/>
      <c r="F366" s="16"/>
      <c r="G366" s="16"/>
      <c r="H366" s="16"/>
      <c r="I366" s="16"/>
      <c r="J366" s="6"/>
      <c r="K366" s="16"/>
      <c r="L366" s="16"/>
      <c r="M366" s="16"/>
      <c r="N366" s="46"/>
    </row>
    <row r="367">
      <c r="A367" s="46"/>
      <c r="B367" s="46"/>
      <c r="C367" s="46"/>
      <c r="D367" s="16"/>
      <c r="E367" s="16"/>
      <c r="F367" s="16"/>
      <c r="G367" s="16"/>
      <c r="H367" s="16"/>
      <c r="I367" s="16"/>
      <c r="J367" s="6"/>
      <c r="K367" s="16"/>
      <c r="L367" s="16"/>
      <c r="M367" s="16"/>
      <c r="N367" s="46"/>
    </row>
    <row r="368">
      <c r="A368" s="46"/>
      <c r="B368" s="46"/>
      <c r="C368" s="46"/>
      <c r="D368" s="16"/>
      <c r="E368" s="16"/>
      <c r="F368" s="16"/>
      <c r="G368" s="16"/>
      <c r="H368" s="16"/>
      <c r="I368" s="16"/>
      <c r="J368" s="6"/>
      <c r="K368" s="16"/>
      <c r="L368" s="16"/>
      <c r="M368" s="16"/>
      <c r="N368" s="46"/>
    </row>
    <row r="369">
      <c r="A369" s="46"/>
      <c r="B369" s="46"/>
      <c r="C369" s="46"/>
      <c r="D369" s="16"/>
      <c r="E369" s="16"/>
      <c r="F369" s="16"/>
      <c r="G369" s="16"/>
      <c r="H369" s="16"/>
      <c r="I369" s="16"/>
      <c r="J369" s="6"/>
      <c r="K369" s="16"/>
      <c r="L369" s="16"/>
      <c r="M369" s="16"/>
      <c r="N369" s="46"/>
    </row>
    <row r="370">
      <c r="A370" s="46"/>
      <c r="B370" s="46"/>
      <c r="C370" s="46"/>
      <c r="D370" s="16"/>
      <c r="E370" s="16"/>
      <c r="F370" s="16"/>
      <c r="G370" s="16"/>
      <c r="H370" s="16"/>
      <c r="I370" s="16"/>
      <c r="J370" s="6"/>
      <c r="K370" s="16"/>
      <c r="L370" s="16"/>
      <c r="M370" s="16"/>
      <c r="N370" s="46"/>
    </row>
    <row r="371">
      <c r="A371" s="46"/>
      <c r="B371" s="46"/>
      <c r="C371" s="46"/>
      <c r="D371" s="16"/>
      <c r="E371" s="16"/>
      <c r="F371" s="16"/>
      <c r="G371" s="16"/>
      <c r="H371" s="16"/>
      <c r="I371" s="16"/>
      <c r="J371" s="6"/>
      <c r="K371" s="16"/>
      <c r="L371" s="16"/>
      <c r="M371" s="16"/>
      <c r="N371" s="46"/>
    </row>
    <row r="372">
      <c r="A372" s="46"/>
      <c r="B372" s="46"/>
      <c r="C372" s="46"/>
      <c r="D372" s="16"/>
      <c r="E372" s="16"/>
      <c r="F372" s="16"/>
      <c r="G372" s="16"/>
      <c r="H372" s="16"/>
      <c r="I372" s="16"/>
      <c r="J372" s="6"/>
      <c r="K372" s="16"/>
      <c r="L372" s="16"/>
      <c r="M372" s="16"/>
      <c r="N372" s="46"/>
    </row>
    <row r="373">
      <c r="A373" s="46"/>
      <c r="B373" s="46"/>
      <c r="C373" s="46"/>
      <c r="D373" s="16"/>
      <c r="E373" s="16"/>
      <c r="F373" s="16"/>
      <c r="G373" s="16"/>
      <c r="H373" s="16"/>
      <c r="I373" s="16"/>
      <c r="J373" s="6"/>
      <c r="K373" s="16"/>
      <c r="L373" s="16"/>
      <c r="M373" s="16"/>
      <c r="N373" s="46"/>
    </row>
    <row r="374">
      <c r="A374" s="46"/>
      <c r="B374" s="46"/>
      <c r="C374" s="46"/>
      <c r="D374" s="16"/>
      <c r="E374" s="16"/>
      <c r="F374" s="16"/>
      <c r="G374" s="16"/>
      <c r="H374" s="16"/>
      <c r="I374" s="16"/>
      <c r="J374" s="6"/>
      <c r="K374" s="16"/>
      <c r="L374" s="16"/>
      <c r="M374" s="16"/>
      <c r="N374" s="46"/>
    </row>
    <row r="375">
      <c r="A375" s="46"/>
      <c r="B375" s="46"/>
      <c r="C375" s="46"/>
      <c r="D375" s="16"/>
      <c r="E375" s="16"/>
      <c r="F375" s="16"/>
      <c r="G375" s="16"/>
      <c r="H375" s="16"/>
      <c r="I375" s="16"/>
      <c r="J375" s="6"/>
      <c r="K375" s="16"/>
      <c r="L375" s="16"/>
      <c r="M375" s="16"/>
      <c r="N375" s="46"/>
    </row>
    <row r="376">
      <c r="A376" s="46"/>
      <c r="B376" s="46"/>
      <c r="C376" s="46"/>
      <c r="D376" s="16"/>
      <c r="E376" s="16"/>
      <c r="F376" s="16"/>
      <c r="G376" s="16"/>
      <c r="H376" s="16"/>
      <c r="I376" s="16"/>
      <c r="J376" s="6"/>
      <c r="K376" s="16"/>
      <c r="L376" s="16"/>
      <c r="M376" s="16"/>
      <c r="N376" s="46"/>
    </row>
    <row r="377">
      <c r="A377" s="46"/>
      <c r="B377" s="46"/>
      <c r="C377" s="46"/>
      <c r="D377" s="16"/>
      <c r="E377" s="16"/>
      <c r="F377" s="16"/>
      <c r="G377" s="16"/>
      <c r="H377" s="16"/>
      <c r="I377" s="16"/>
      <c r="J377" s="6"/>
      <c r="K377" s="16"/>
      <c r="L377" s="16"/>
      <c r="M377" s="16"/>
      <c r="N377" s="46"/>
    </row>
    <row r="378">
      <c r="A378" s="46"/>
      <c r="B378" s="46"/>
      <c r="C378" s="46"/>
      <c r="D378" s="16"/>
      <c r="E378" s="16"/>
      <c r="F378" s="16"/>
      <c r="G378" s="16"/>
      <c r="H378" s="16"/>
      <c r="I378" s="16"/>
      <c r="J378" s="6"/>
      <c r="K378" s="16"/>
      <c r="L378" s="16"/>
      <c r="M378" s="16"/>
      <c r="N378" s="46"/>
    </row>
    <row r="379">
      <c r="A379" s="46"/>
      <c r="B379" s="46"/>
      <c r="C379" s="46"/>
      <c r="D379" s="16"/>
      <c r="E379" s="16"/>
      <c r="F379" s="16"/>
      <c r="G379" s="16"/>
      <c r="H379" s="16"/>
      <c r="I379" s="16"/>
      <c r="J379" s="6"/>
      <c r="K379" s="16"/>
      <c r="L379" s="16"/>
      <c r="M379" s="16"/>
      <c r="N379" s="46"/>
    </row>
    <row r="380">
      <c r="A380" s="46"/>
      <c r="B380" s="46"/>
      <c r="C380" s="46"/>
      <c r="D380" s="16"/>
      <c r="E380" s="16"/>
      <c r="F380" s="16"/>
      <c r="G380" s="16"/>
      <c r="H380" s="16"/>
      <c r="I380" s="16"/>
      <c r="J380" s="6"/>
      <c r="K380" s="16"/>
      <c r="L380" s="16"/>
      <c r="M380" s="16"/>
      <c r="N380" s="46"/>
    </row>
    <row r="381">
      <c r="A381" s="46"/>
      <c r="B381" s="46"/>
      <c r="C381" s="46"/>
      <c r="D381" s="16"/>
      <c r="E381" s="16"/>
      <c r="F381" s="16"/>
      <c r="G381" s="16"/>
      <c r="H381" s="16"/>
      <c r="I381" s="16"/>
      <c r="J381" s="6"/>
      <c r="K381" s="16"/>
      <c r="L381" s="16"/>
      <c r="M381" s="16"/>
      <c r="N381" s="46"/>
    </row>
    <row r="382">
      <c r="A382" s="46"/>
      <c r="B382" s="46"/>
      <c r="C382" s="46"/>
      <c r="D382" s="16"/>
      <c r="E382" s="16"/>
      <c r="F382" s="16"/>
      <c r="G382" s="16"/>
      <c r="H382" s="16"/>
      <c r="I382" s="16"/>
      <c r="J382" s="6"/>
      <c r="K382" s="16"/>
      <c r="L382" s="16"/>
      <c r="M382" s="16"/>
      <c r="N382" s="46"/>
    </row>
    <row r="383">
      <c r="A383" s="46"/>
      <c r="B383" s="46"/>
      <c r="C383" s="46"/>
      <c r="D383" s="16"/>
      <c r="E383" s="16"/>
      <c r="F383" s="16"/>
      <c r="G383" s="16"/>
      <c r="H383" s="16"/>
      <c r="I383" s="16"/>
      <c r="J383" s="6"/>
      <c r="K383" s="16"/>
      <c r="L383" s="16"/>
      <c r="M383" s="16"/>
      <c r="N383" s="46"/>
    </row>
    <row r="384">
      <c r="A384" s="46"/>
      <c r="B384" s="46"/>
      <c r="C384" s="46"/>
      <c r="D384" s="16"/>
      <c r="E384" s="16"/>
      <c r="F384" s="16"/>
      <c r="G384" s="16"/>
      <c r="H384" s="16"/>
      <c r="I384" s="16"/>
      <c r="J384" s="6"/>
      <c r="K384" s="16"/>
      <c r="L384" s="16"/>
      <c r="M384" s="16"/>
      <c r="N384" s="46"/>
    </row>
    <row r="385">
      <c r="A385" s="46"/>
      <c r="B385" s="46"/>
      <c r="C385" s="46"/>
      <c r="D385" s="16"/>
      <c r="E385" s="16"/>
      <c r="F385" s="16"/>
      <c r="G385" s="16"/>
      <c r="H385" s="16"/>
      <c r="I385" s="16"/>
      <c r="J385" s="6"/>
      <c r="K385" s="16"/>
      <c r="L385" s="16"/>
      <c r="M385" s="16"/>
      <c r="N385" s="46"/>
    </row>
    <row r="386">
      <c r="A386" s="46"/>
      <c r="B386" s="46"/>
      <c r="C386" s="46"/>
      <c r="D386" s="16"/>
      <c r="E386" s="16"/>
      <c r="F386" s="16"/>
      <c r="G386" s="16"/>
      <c r="H386" s="16"/>
      <c r="I386" s="16"/>
      <c r="J386" s="6"/>
      <c r="K386" s="16"/>
      <c r="L386" s="16"/>
      <c r="M386" s="16"/>
      <c r="N386" s="46"/>
    </row>
    <row r="387">
      <c r="A387" s="46"/>
      <c r="B387" s="46"/>
      <c r="C387" s="46"/>
      <c r="D387" s="16"/>
      <c r="E387" s="16"/>
      <c r="F387" s="16"/>
      <c r="G387" s="16"/>
      <c r="H387" s="16"/>
      <c r="I387" s="16"/>
      <c r="J387" s="6"/>
      <c r="K387" s="16"/>
      <c r="L387" s="16"/>
      <c r="M387" s="16"/>
      <c r="N387" s="46"/>
    </row>
    <row r="388">
      <c r="A388" s="46"/>
      <c r="B388" s="46"/>
      <c r="C388" s="46"/>
      <c r="D388" s="16"/>
      <c r="E388" s="16"/>
      <c r="F388" s="16"/>
      <c r="G388" s="16"/>
      <c r="H388" s="16"/>
      <c r="I388" s="16"/>
      <c r="J388" s="6"/>
      <c r="K388" s="16"/>
      <c r="L388" s="16"/>
      <c r="M388" s="16"/>
      <c r="N388" s="46"/>
    </row>
    <row r="389">
      <c r="A389" s="46"/>
      <c r="B389" s="46"/>
      <c r="C389" s="46"/>
      <c r="D389" s="16"/>
      <c r="E389" s="16"/>
      <c r="F389" s="16"/>
      <c r="G389" s="16"/>
      <c r="H389" s="16"/>
      <c r="I389" s="16"/>
      <c r="J389" s="6"/>
      <c r="K389" s="16"/>
      <c r="L389" s="16"/>
      <c r="M389" s="16"/>
      <c r="N389" s="46"/>
    </row>
    <row r="390">
      <c r="A390" s="46"/>
      <c r="B390" s="46"/>
      <c r="C390" s="46"/>
      <c r="D390" s="16"/>
      <c r="E390" s="16"/>
      <c r="F390" s="16"/>
      <c r="G390" s="16"/>
      <c r="H390" s="16"/>
      <c r="I390" s="16"/>
      <c r="J390" s="6"/>
      <c r="K390" s="16"/>
      <c r="L390" s="16"/>
      <c r="M390" s="16"/>
      <c r="N390" s="46"/>
    </row>
    <row r="391">
      <c r="A391" s="46"/>
      <c r="B391" s="46"/>
      <c r="C391" s="46"/>
      <c r="D391" s="16"/>
      <c r="E391" s="16"/>
      <c r="F391" s="16"/>
      <c r="G391" s="16"/>
      <c r="H391" s="16"/>
      <c r="I391" s="16"/>
      <c r="J391" s="6"/>
      <c r="K391" s="16"/>
      <c r="L391" s="16"/>
      <c r="M391" s="16"/>
      <c r="N391" s="46"/>
    </row>
    <row r="392">
      <c r="A392" s="46"/>
      <c r="B392" s="46"/>
      <c r="C392" s="46"/>
      <c r="D392" s="16"/>
      <c r="E392" s="16"/>
      <c r="F392" s="16"/>
      <c r="G392" s="16"/>
      <c r="H392" s="16"/>
      <c r="I392" s="16"/>
      <c r="J392" s="6"/>
      <c r="K392" s="16"/>
      <c r="L392" s="16"/>
      <c r="M392" s="16"/>
      <c r="N392" s="46"/>
    </row>
    <row r="393">
      <c r="A393" s="46"/>
      <c r="B393" s="46"/>
      <c r="C393" s="46"/>
      <c r="D393" s="16"/>
      <c r="E393" s="16"/>
      <c r="F393" s="16"/>
      <c r="G393" s="16"/>
      <c r="H393" s="16"/>
      <c r="I393" s="16"/>
      <c r="J393" s="6"/>
      <c r="K393" s="16"/>
      <c r="L393" s="16"/>
      <c r="M393" s="16"/>
      <c r="N393" s="46"/>
    </row>
    <row r="394">
      <c r="A394" s="46"/>
      <c r="B394" s="46"/>
      <c r="C394" s="46"/>
      <c r="D394" s="16"/>
      <c r="E394" s="16"/>
      <c r="F394" s="16"/>
      <c r="G394" s="16"/>
      <c r="H394" s="16"/>
      <c r="I394" s="16"/>
      <c r="J394" s="6"/>
      <c r="K394" s="16"/>
      <c r="L394" s="16"/>
      <c r="M394" s="16"/>
      <c r="N394" s="46"/>
    </row>
    <row r="395">
      <c r="A395" s="46"/>
      <c r="B395" s="46"/>
      <c r="C395" s="46"/>
      <c r="D395" s="16"/>
      <c r="E395" s="16"/>
      <c r="F395" s="16"/>
      <c r="G395" s="16"/>
      <c r="H395" s="16"/>
      <c r="I395" s="16"/>
      <c r="J395" s="6"/>
      <c r="K395" s="16"/>
      <c r="L395" s="16"/>
      <c r="M395" s="16"/>
      <c r="N395" s="46"/>
    </row>
    <row r="396">
      <c r="A396" s="46"/>
      <c r="B396" s="46"/>
      <c r="C396" s="46"/>
      <c r="D396" s="16"/>
      <c r="E396" s="16"/>
      <c r="F396" s="16"/>
      <c r="G396" s="16"/>
      <c r="H396" s="16"/>
      <c r="I396" s="16"/>
      <c r="J396" s="6"/>
      <c r="K396" s="16"/>
      <c r="L396" s="16"/>
      <c r="M396" s="16"/>
      <c r="N396" s="46"/>
    </row>
    <row r="397">
      <c r="A397" s="46"/>
      <c r="B397" s="46"/>
      <c r="C397" s="46"/>
      <c r="D397" s="16"/>
      <c r="E397" s="16"/>
      <c r="F397" s="16"/>
      <c r="G397" s="16"/>
      <c r="H397" s="16"/>
      <c r="I397" s="16"/>
      <c r="J397" s="6"/>
      <c r="K397" s="16"/>
      <c r="L397" s="16"/>
      <c r="M397" s="16"/>
      <c r="N397" s="46"/>
    </row>
    <row r="398">
      <c r="A398" s="46"/>
      <c r="B398" s="46"/>
      <c r="C398" s="46"/>
      <c r="D398" s="16"/>
      <c r="E398" s="16"/>
      <c r="F398" s="16"/>
      <c r="G398" s="16"/>
      <c r="H398" s="16"/>
      <c r="I398" s="16"/>
      <c r="J398" s="6"/>
      <c r="K398" s="16"/>
      <c r="L398" s="16"/>
      <c r="M398" s="16"/>
      <c r="N398" s="46"/>
    </row>
    <row r="399">
      <c r="A399" s="46"/>
      <c r="B399" s="46"/>
      <c r="C399" s="46"/>
      <c r="D399" s="16"/>
      <c r="E399" s="16"/>
      <c r="F399" s="16"/>
      <c r="G399" s="16"/>
      <c r="H399" s="16"/>
      <c r="I399" s="16"/>
      <c r="J399" s="6"/>
      <c r="K399" s="16"/>
      <c r="L399" s="16"/>
      <c r="M399" s="16"/>
      <c r="N399" s="46"/>
    </row>
    <row r="400">
      <c r="A400" s="46"/>
      <c r="B400" s="46"/>
      <c r="C400" s="46"/>
      <c r="D400" s="16"/>
      <c r="E400" s="16"/>
      <c r="F400" s="16"/>
      <c r="G400" s="16"/>
      <c r="H400" s="16"/>
      <c r="I400" s="16"/>
      <c r="J400" s="6"/>
      <c r="K400" s="16"/>
      <c r="L400" s="16"/>
      <c r="M400" s="16"/>
      <c r="N400" s="46"/>
    </row>
    <row r="401">
      <c r="A401" s="46"/>
      <c r="B401" s="46"/>
      <c r="C401" s="46"/>
      <c r="D401" s="16"/>
      <c r="E401" s="16"/>
      <c r="F401" s="16"/>
      <c r="G401" s="16"/>
      <c r="H401" s="16"/>
      <c r="I401" s="16"/>
      <c r="J401" s="6"/>
      <c r="K401" s="16"/>
      <c r="L401" s="16"/>
      <c r="M401" s="16"/>
      <c r="N401" s="46"/>
    </row>
    <row r="402">
      <c r="A402" s="46"/>
      <c r="B402" s="46"/>
      <c r="C402" s="46"/>
      <c r="D402" s="16"/>
      <c r="E402" s="16"/>
      <c r="F402" s="16"/>
      <c r="G402" s="16"/>
      <c r="H402" s="16"/>
      <c r="I402" s="16"/>
      <c r="J402" s="6"/>
      <c r="K402" s="16"/>
      <c r="L402" s="16"/>
      <c r="M402" s="16"/>
      <c r="N402" s="46"/>
    </row>
    <row r="403">
      <c r="A403" s="46"/>
      <c r="B403" s="46"/>
      <c r="C403" s="46"/>
      <c r="D403" s="16"/>
      <c r="E403" s="16"/>
      <c r="F403" s="16"/>
      <c r="G403" s="16"/>
      <c r="H403" s="16"/>
      <c r="I403" s="16"/>
      <c r="J403" s="6"/>
      <c r="K403" s="16"/>
      <c r="L403" s="16"/>
      <c r="M403" s="16"/>
      <c r="N403" s="46"/>
    </row>
    <row r="404">
      <c r="A404" s="46"/>
      <c r="B404" s="46"/>
      <c r="C404" s="46"/>
      <c r="D404" s="16"/>
      <c r="E404" s="16"/>
      <c r="F404" s="16"/>
      <c r="G404" s="16"/>
      <c r="H404" s="16"/>
      <c r="I404" s="16"/>
      <c r="J404" s="6"/>
      <c r="K404" s="16"/>
      <c r="L404" s="16"/>
      <c r="M404" s="16"/>
      <c r="N404" s="46"/>
    </row>
    <row r="405">
      <c r="A405" s="46"/>
      <c r="B405" s="46"/>
      <c r="C405" s="46"/>
      <c r="D405" s="16"/>
      <c r="E405" s="16"/>
      <c r="F405" s="16"/>
      <c r="G405" s="16"/>
      <c r="H405" s="16"/>
      <c r="I405" s="16"/>
      <c r="J405" s="6"/>
      <c r="K405" s="16"/>
      <c r="L405" s="16"/>
      <c r="M405" s="16"/>
      <c r="N405" s="46"/>
    </row>
    <row r="406">
      <c r="A406" s="46"/>
      <c r="B406" s="46"/>
      <c r="C406" s="46"/>
      <c r="D406" s="16"/>
      <c r="E406" s="16"/>
      <c r="F406" s="16"/>
      <c r="G406" s="16"/>
      <c r="H406" s="16"/>
      <c r="I406" s="16"/>
      <c r="J406" s="6"/>
      <c r="K406" s="16"/>
      <c r="L406" s="16"/>
      <c r="M406" s="16"/>
      <c r="N406" s="46"/>
    </row>
    <row r="407">
      <c r="A407" s="46"/>
      <c r="B407" s="46"/>
      <c r="C407" s="46"/>
      <c r="D407" s="16"/>
      <c r="E407" s="16"/>
      <c r="F407" s="16"/>
      <c r="G407" s="16"/>
      <c r="H407" s="16"/>
      <c r="I407" s="16"/>
      <c r="J407" s="6"/>
      <c r="K407" s="16"/>
      <c r="L407" s="16"/>
      <c r="M407" s="16"/>
      <c r="N407" s="46"/>
    </row>
    <row r="408">
      <c r="A408" s="46"/>
      <c r="B408" s="46"/>
      <c r="C408" s="46"/>
      <c r="D408" s="16"/>
      <c r="E408" s="16"/>
      <c r="F408" s="16"/>
      <c r="G408" s="16"/>
      <c r="H408" s="16"/>
      <c r="I408" s="16"/>
      <c r="J408" s="6"/>
      <c r="K408" s="16"/>
      <c r="L408" s="16"/>
      <c r="M408" s="16"/>
      <c r="N408" s="46"/>
    </row>
    <row r="409">
      <c r="A409" s="46"/>
      <c r="B409" s="46"/>
      <c r="C409" s="46"/>
      <c r="D409" s="16"/>
      <c r="E409" s="16"/>
      <c r="F409" s="16"/>
      <c r="G409" s="16"/>
      <c r="H409" s="16"/>
      <c r="I409" s="16"/>
      <c r="J409" s="6"/>
      <c r="K409" s="16"/>
      <c r="L409" s="16"/>
      <c r="M409" s="16"/>
      <c r="N409" s="46"/>
    </row>
    <row r="410">
      <c r="A410" s="46"/>
      <c r="B410" s="46"/>
      <c r="C410" s="46"/>
      <c r="D410" s="16"/>
      <c r="E410" s="16"/>
      <c r="F410" s="16"/>
      <c r="G410" s="16"/>
      <c r="H410" s="16"/>
      <c r="I410" s="16"/>
      <c r="J410" s="6"/>
      <c r="K410" s="16"/>
      <c r="L410" s="16"/>
      <c r="M410" s="16"/>
      <c r="N410" s="46"/>
    </row>
    <row r="411">
      <c r="A411" s="46"/>
      <c r="B411" s="46"/>
      <c r="C411" s="46"/>
      <c r="D411" s="16"/>
      <c r="E411" s="16"/>
      <c r="F411" s="16"/>
      <c r="G411" s="16"/>
      <c r="H411" s="16"/>
      <c r="I411" s="16"/>
      <c r="J411" s="6"/>
      <c r="K411" s="16"/>
      <c r="L411" s="16"/>
      <c r="M411" s="16"/>
      <c r="N411" s="46"/>
    </row>
    <row r="412">
      <c r="A412" s="46"/>
      <c r="B412" s="46"/>
      <c r="C412" s="46"/>
      <c r="D412" s="16"/>
      <c r="E412" s="16"/>
      <c r="F412" s="16"/>
      <c r="G412" s="16"/>
      <c r="H412" s="16"/>
      <c r="I412" s="16"/>
      <c r="J412" s="6"/>
      <c r="K412" s="16"/>
      <c r="L412" s="16"/>
      <c r="M412" s="16"/>
      <c r="N412" s="46"/>
    </row>
    <row r="413">
      <c r="A413" s="46"/>
      <c r="B413" s="46"/>
      <c r="C413" s="46"/>
      <c r="D413" s="16"/>
      <c r="E413" s="16"/>
      <c r="F413" s="16"/>
      <c r="G413" s="16"/>
      <c r="H413" s="16"/>
      <c r="I413" s="16"/>
      <c r="J413" s="6"/>
      <c r="K413" s="16"/>
      <c r="L413" s="16"/>
      <c r="M413" s="16"/>
      <c r="N413" s="46"/>
    </row>
    <row r="414">
      <c r="A414" s="46"/>
      <c r="B414" s="46"/>
      <c r="C414" s="46"/>
      <c r="D414" s="16"/>
      <c r="E414" s="16"/>
      <c r="F414" s="16"/>
      <c r="G414" s="16"/>
      <c r="H414" s="16"/>
      <c r="I414" s="16"/>
      <c r="J414" s="6"/>
      <c r="K414" s="16"/>
      <c r="L414" s="16"/>
      <c r="M414" s="16"/>
      <c r="N414" s="46"/>
    </row>
    <row r="415">
      <c r="A415" s="46"/>
      <c r="B415" s="46"/>
      <c r="C415" s="46"/>
      <c r="D415" s="16"/>
      <c r="E415" s="16"/>
      <c r="F415" s="16"/>
      <c r="G415" s="16"/>
      <c r="H415" s="16"/>
      <c r="I415" s="16"/>
      <c r="J415" s="6"/>
      <c r="K415" s="16"/>
      <c r="L415" s="16"/>
      <c r="M415" s="16"/>
      <c r="N415" s="46"/>
    </row>
    <row r="416">
      <c r="A416" s="46"/>
      <c r="B416" s="46"/>
      <c r="C416" s="46"/>
      <c r="D416" s="16"/>
      <c r="E416" s="16"/>
      <c r="F416" s="16"/>
      <c r="G416" s="16"/>
      <c r="H416" s="16"/>
      <c r="I416" s="16"/>
      <c r="J416" s="6"/>
      <c r="K416" s="16"/>
      <c r="L416" s="16"/>
      <c r="M416" s="16"/>
      <c r="N416" s="46"/>
    </row>
    <row r="417">
      <c r="A417" s="46"/>
      <c r="B417" s="46"/>
      <c r="C417" s="46"/>
      <c r="D417" s="16"/>
      <c r="E417" s="16"/>
      <c r="F417" s="16"/>
      <c r="G417" s="16"/>
      <c r="H417" s="16"/>
      <c r="I417" s="16"/>
      <c r="J417" s="6"/>
      <c r="K417" s="16"/>
      <c r="L417" s="16"/>
      <c r="M417" s="16"/>
      <c r="N417" s="46"/>
    </row>
    <row r="418">
      <c r="A418" s="46"/>
      <c r="B418" s="46"/>
      <c r="C418" s="46"/>
      <c r="D418" s="16"/>
      <c r="E418" s="16"/>
      <c r="F418" s="16"/>
      <c r="G418" s="16"/>
      <c r="H418" s="16"/>
      <c r="I418" s="16"/>
      <c r="J418" s="6"/>
      <c r="K418" s="16"/>
      <c r="L418" s="16"/>
      <c r="M418" s="16"/>
      <c r="N418" s="46"/>
    </row>
    <row r="419">
      <c r="A419" s="46"/>
      <c r="B419" s="46"/>
      <c r="C419" s="46"/>
      <c r="D419" s="16"/>
      <c r="E419" s="16"/>
      <c r="F419" s="16"/>
      <c r="G419" s="16"/>
      <c r="H419" s="16"/>
      <c r="I419" s="16"/>
      <c r="J419" s="6"/>
      <c r="K419" s="16"/>
      <c r="L419" s="16"/>
      <c r="M419" s="16"/>
      <c r="N419" s="46"/>
    </row>
    <row r="420">
      <c r="A420" s="46"/>
      <c r="B420" s="46"/>
      <c r="C420" s="46"/>
      <c r="D420" s="16"/>
      <c r="E420" s="16"/>
      <c r="F420" s="16"/>
      <c r="G420" s="16"/>
      <c r="H420" s="16"/>
      <c r="I420" s="16"/>
      <c r="J420" s="6"/>
      <c r="K420" s="16"/>
      <c r="L420" s="16"/>
      <c r="M420" s="16"/>
      <c r="N420" s="46"/>
    </row>
    <row r="421">
      <c r="A421" s="46"/>
      <c r="B421" s="46"/>
      <c r="C421" s="46"/>
      <c r="D421" s="16"/>
      <c r="E421" s="16"/>
      <c r="F421" s="16"/>
      <c r="G421" s="16"/>
      <c r="H421" s="16"/>
      <c r="I421" s="16"/>
      <c r="J421" s="6"/>
      <c r="K421" s="16"/>
      <c r="L421" s="16"/>
      <c r="M421" s="16"/>
      <c r="N421" s="46"/>
    </row>
    <row r="422">
      <c r="A422" s="46"/>
      <c r="B422" s="46"/>
      <c r="C422" s="46"/>
      <c r="D422" s="16"/>
      <c r="E422" s="16"/>
      <c r="F422" s="16"/>
      <c r="G422" s="16"/>
      <c r="H422" s="16"/>
      <c r="I422" s="16"/>
      <c r="J422" s="6"/>
      <c r="K422" s="16"/>
      <c r="L422" s="16"/>
      <c r="M422" s="16"/>
      <c r="N422" s="46"/>
    </row>
    <row r="423">
      <c r="A423" s="46"/>
      <c r="B423" s="46"/>
      <c r="C423" s="46"/>
      <c r="D423" s="16"/>
      <c r="E423" s="16"/>
      <c r="F423" s="16"/>
      <c r="G423" s="16"/>
      <c r="H423" s="16"/>
      <c r="I423" s="16"/>
      <c r="J423" s="6"/>
      <c r="K423" s="16"/>
      <c r="L423" s="16"/>
      <c r="M423" s="16"/>
      <c r="N423" s="46"/>
    </row>
    <row r="424">
      <c r="A424" s="46"/>
      <c r="B424" s="46"/>
      <c r="C424" s="46"/>
      <c r="D424" s="16"/>
      <c r="E424" s="16"/>
      <c r="F424" s="16"/>
      <c r="G424" s="16"/>
      <c r="H424" s="16"/>
      <c r="I424" s="16"/>
      <c r="J424" s="6"/>
      <c r="K424" s="16"/>
      <c r="L424" s="16"/>
      <c r="M424" s="16"/>
      <c r="N424" s="46"/>
    </row>
    <row r="425">
      <c r="A425" s="46"/>
      <c r="B425" s="46"/>
      <c r="C425" s="46"/>
      <c r="D425" s="16"/>
      <c r="E425" s="16"/>
      <c r="F425" s="16"/>
      <c r="G425" s="16"/>
      <c r="H425" s="16"/>
      <c r="I425" s="16"/>
      <c r="J425" s="6"/>
      <c r="K425" s="16"/>
      <c r="L425" s="16"/>
      <c r="M425" s="16"/>
      <c r="N425" s="46"/>
    </row>
    <row r="426">
      <c r="A426" s="46"/>
      <c r="B426" s="46"/>
      <c r="C426" s="46"/>
      <c r="D426" s="16"/>
      <c r="E426" s="16"/>
      <c r="F426" s="16"/>
      <c r="G426" s="16"/>
      <c r="H426" s="16"/>
      <c r="I426" s="16"/>
      <c r="J426" s="6"/>
      <c r="K426" s="16"/>
      <c r="L426" s="16"/>
      <c r="M426" s="16"/>
      <c r="N426" s="46"/>
    </row>
    <row r="427">
      <c r="A427" s="46"/>
      <c r="B427" s="46"/>
      <c r="C427" s="46"/>
      <c r="D427" s="16"/>
      <c r="E427" s="16"/>
      <c r="F427" s="16"/>
      <c r="G427" s="16"/>
      <c r="H427" s="16"/>
      <c r="I427" s="16"/>
      <c r="J427" s="6"/>
      <c r="K427" s="16"/>
      <c r="L427" s="16"/>
      <c r="M427" s="16"/>
      <c r="N427" s="46"/>
    </row>
    <row r="428">
      <c r="A428" s="46"/>
      <c r="B428" s="46"/>
      <c r="C428" s="46"/>
      <c r="D428" s="16"/>
      <c r="E428" s="16"/>
      <c r="F428" s="16"/>
      <c r="G428" s="16"/>
      <c r="H428" s="16"/>
      <c r="I428" s="16"/>
      <c r="J428" s="6"/>
      <c r="K428" s="16"/>
      <c r="L428" s="16"/>
      <c r="M428" s="16"/>
      <c r="N428" s="46"/>
    </row>
    <row r="429">
      <c r="A429" s="46"/>
      <c r="B429" s="46"/>
      <c r="C429" s="46"/>
      <c r="D429" s="16"/>
      <c r="E429" s="16"/>
      <c r="F429" s="16"/>
      <c r="G429" s="16"/>
      <c r="H429" s="16"/>
      <c r="I429" s="16"/>
      <c r="J429" s="6"/>
      <c r="K429" s="16"/>
      <c r="L429" s="16"/>
      <c r="M429" s="16"/>
      <c r="N429" s="46"/>
    </row>
    <row r="430">
      <c r="A430" s="46"/>
      <c r="B430" s="46"/>
      <c r="C430" s="46"/>
      <c r="D430" s="16"/>
      <c r="E430" s="16"/>
      <c r="F430" s="16"/>
      <c r="G430" s="16"/>
      <c r="H430" s="16"/>
      <c r="I430" s="16"/>
      <c r="J430" s="6"/>
      <c r="K430" s="16"/>
      <c r="L430" s="16"/>
      <c r="M430" s="16"/>
      <c r="N430" s="46"/>
    </row>
    <row r="431">
      <c r="A431" s="46"/>
      <c r="B431" s="46"/>
      <c r="C431" s="46"/>
      <c r="D431" s="16"/>
      <c r="E431" s="16"/>
      <c r="F431" s="16"/>
      <c r="G431" s="16"/>
      <c r="H431" s="16"/>
      <c r="I431" s="16"/>
      <c r="J431" s="6"/>
      <c r="K431" s="16"/>
      <c r="L431" s="16"/>
      <c r="M431" s="16"/>
      <c r="N431" s="46"/>
    </row>
    <row r="432">
      <c r="A432" s="46"/>
      <c r="B432" s="46"/>
      <c r="C432" s="46"/>
      <c r="D432" s="16"/>
      <c r="E432" s="16"/>
      <c r="F432" s="16"/>
      <c r="G432" s="16"/>
      <c r="H432" s="16"/>
      <c r="I432" s="16"/>
      <c r="J432" s="6"/>
      <c r="K432" s="16"/>
      <c r="L432" s="16"/>
      <c r="M432" s="16"/>
      <c r="N432" s="46"/>
    </row>
    <row r="433">
      <c r="A433" s="46"/>
      <c r="B433" s="46"/>
      <c r="C433" s="46"/>
      <c r="D433" s="16"/>
      <c r="E433" s="16"/>
      <c r="F433" s="16"/>
      <c r="G433" s="16"/>
      <c r="H433" s="16"/>
      <c r="I433" s="16"/>
      <c r="J433" s="6"/>
      <c r="K433" s="16"/>
      <c r="L433" s="16"/>
      <c r="M433" s="16"/>
      <c r="N433" s="46"/>
    </row>
    <row r="434">
      <c r="A434" s="46"/>
      <c r="B434" s="46"/>
      <c r="C434" s="46"/>
      <c r="D434" s="16"/>
      <c r="E434" s="16"/>
      <c r="F434" s="16"/>
      <c r="G434" s="16"/>
      <c r="H434" s="16"/>
      <c r="I434" s="16"/>
      <c r="J434" s="6"/>
      <c r="K434" s="16"/>
      <c r="L434" s="16"/>
      <c r="M434" s="16"/>
      <c r="N434" s="46"/>
    </row>
    <row r="435">
      <c r="A435" s="46"/>
      <c r="B435" s="46"/>
      <c r="C435" s="46"/>
      <c r="D435" s="16"/>
      <c r="E435" s="16"/>
      <c r="F435" s="16"/>
      <c r="G435" s="16"/>
      <c r="H435" s="16"/>
      <c r="I435" s="16"/>
      <c r="J435" s="6"/>
      <c r="K435" s="16"/>
      <c r="L435" s="16"/>
      <c r="M435" s="16"/>
      <c r="N435" s="46"/>
    </row>
    <row r="436">
      <c r="A436" s="46"/>
      <c r="B436" s="46"/>
      <c r="C436" s="46"/>
      <c r="D436" s="16"/>
      <c r="E436" s="16"/>
      <c r="F436" s="16"/>
      <c r="G436" s="16"/>
      <c r="H436" s="16"/>
      <c r="I436" s="16"/>
      <c r="J436" s="6"/>
      <c r="K436" s="16"/>
      <c r="L436" s="16"/>
      <c r="M436" s="16"/>
      <c r="N436" s="46"/>
    </row>
    <row r="437">
      <c r="A437" s="46"/>
      <c r="B437" s="46"/>
      <c r="C437" s="46"/>
      <c r="D437" s="16"/>
      <c r="E437" s="16"/>
      <c r="F437" s="16"/>
      <c r="G437" s="16"/>
      <c r="H437" s="16"/>
      <c r="I437" s="16"/>
      <c r="J437" s="6"/>
      <c r="K437" s="16"/>
      <c r="L437" s="16"/>
      <c r="M437" s="16"/>
      <c r="N437" s="46"/>
    </row>
    <row r="438">
      <c r="A438" s="46"/>
      <c r="B438" s="46"/>
      <c r="C438" s="46"/>
      <c r="D438" s="16"/>
      <c r="E438" s="16"/>
      <c r="F438" s="16"/>
      <c r="G438" s="16"/>
      <c r="H438" s="16"/>
      <c r="I438" s="16"/>
      <c r="J438" s="6"/>
      <c r="K438" s="16"/>
      <c r="L438" s="16"/>
      <c r="M438" s="16"/>
      <c r="N438" s="46"/>
    </row>
    <row r="439">
      <c r="A439" s="46"/>
      <c r="B439" s="46"/>
      <c r="C439" s="46"/>
      <c r="D439" s="16"/>
      <c r="E439" s="16"/>
      <c r="F439" s="16"/>
      <c r="G439" s="16"/>
      <c r="H439" s="16"/>
      <c r="I439" s="16"/>
      <c r="J439" s="6"/>
      <c r="K439" s="16"/>
      <c r="L439" s="16"/>
      <c r="M439" s="16"/>
      <c r="N439" s="46"/>
    </row>
    <row r="440">
      <c r="A440" s="46"/>
      <c r="B440" s="46"/>
      <c r="C440" s="46"/>
      <c r="D440" s="16"/>
      <c r="E440" s="16"/>
      <c r="F440" s="16"/>
      <c r="G440" s="16"/>
      <c r="H440" s="16"/>
      <c r="I440" s="16"/>
      <c r="J440" s="6"/>
      <c r="K440" s="16"/>
      <c r="L440" s="16"/>
      <c r="M440" s="16"/>
      <c r="N440" s="46"/>
    </row>
    <row r="441">
      <c r="A441" s="46"/>
      <c r="B441" s="46"/>
      <c r="C441" s="46"/>
      <c r="D441" s="16"/>
      <c r="E441" s="16"/>
      <c r="F441" s="16"/>
      <c r="G441" s="16"/>
      <c r="H441" s="16"/>
      <c r="I441" s="16"/>
      <c r="J441" s="6"/>
      <c r="K441" s="16"/>
      <c r="L441" s="16"/>
      <c r="M441" s="16"/>
      <c r="N441" s="46"/>
    </row>
    <row r="442">
      <c r="A442" s="46"/>
      <c r="B442" s="46"/>
      <c r="C442" s="46"/>
      <c r="D442" s="16"/>
      <c r="E442" s="16"/>
      <c r="F442" s="16"/>
      <c r="G442" s="16"/>
      <c r="H442" s="16"/>
      <c r="I442" s="16"/>
      <c r="J442" s="6"/>
      <c r="K442" s="16"/>
      <c r="L442" s="16"/>
      <c r="M442" s="16"/>
      <c r="N442" s="46"/>
    </row>
    <row r="443">
      <c r="A443" s="46"/>
      <c r="B443" s="46"/>
      <c r="C443" s="46"/>
      <c r="D443" s="16"/>
      <c r="E443" s="16"/>
      <c r="F443" s="16"/>
      <c r="G443" s="16"/>
      <c r="H443" s="16"/>
      <c r="I443" s="16"/>
      <c r="J443" s="6"/>
      <c r="K443" s="16"/>
      <c r="L443" s="16"/>
      <c r="M443" s="16"/>
      <c r="N443" s="46"/>
    </row>
    <row r="444">
      <c r="A444" s="46"/>
      <c r="B444" s="46"/>
      <c r="C444" s="46"/>
      <c r="D444" s="16"/>
      <c r="E444" s="16"/>
      <c r="F444" s="16"/>
      <c r="G444" s="16"/>
      <c r="H444" s="16"/>
      <c r="I444" s="16"/>
      <c r="J444" s="6"/>
      <c r="K444" s="16"/>
      <c r="L444" s="16"/>
      <c r="M444" s="16"/>
      <c r="N444" s="46"/>
    </row>
    <row r="445">
      <c r="A445" s="46"/>
      <c r="B445" s="46"/>
      <c r="C445" s="46"/>
      <c r="D445" s="16"/>
      <c r="E445" s="16"/>
      <c r="F445" s="16"/>
      <c r="G445" s="16"/>
      <c r="H445" s="16"/>
      <c r="I445" s="16"/>
      <c r="J445" s="6"/>
      <c r="K445" s="16"/>
      <c r="L445" s="16"/>
      <c r="M445" s="16"/>
      <c r="N445" s="46"/>
    </row>
    <row r="446">
      <c r="A446" s="46"/>
      <c r="B446" s="46"/>
      <c r="C446" s="46"/>
      <c r="D446" s="16"/>
      <c r="E446" s="16"/>
      <c r="F446" s="16"/>
      <c r="G446" s="16"/>
      <c r="H446" s="16"/>
      <c r="I446" s="16"/>
      <c r="J446" s="6"/>
      <c r="K446" s="16"/>
      <c r="L446" s="16"/>
      <c r="M446" s="16"/>
      <c r="N446" s="46"/>
    </row>
    <row r="447">
      <c r="A447" s="46"/>
      <c r="B447" s="46"/>
      <c r="C447" s="46"/>
      <c r="D447" s="16"/>
      <c r="E447" s="16"/>
      <c r="F447" s="16"/>
      <c r="G447" s="16"/>
      <c r="H447" s="16"/>
      <c r="I447" s="16"/>
      <c r="J447" s="6"/>
      <c r="K447" s="16"/>
      <c r="L447" s="16"/>
      <c r="M447" s="16"/>
      <c r="N447" s="46"/>
    </row>
    <row r="448">
      <c r="A448" s="46"/>
      <c r="B448" s="46"/>
      <c r="C448" s="46"/>
      <c r="D448" s="16"/>
      <c r="E448" s="16"/>
      <c r="F448" s="16"/>
      <c r="G448" s="16"/>
      <c r="H448" s="16"/>
      <c r="I448" s="16"/>
      <c r="J448" s="6"/>
      <c r="K448" s="16"/>
      <c r="L448" s="16"/>
      <c r="M448" s="16"/>
      <c r="N448" s="46"/>
    </row>
    <row r="449">
      <c r="A449" s="46"/>
      <c r="B449" s="46"/>
      <c r="C449" s="46"/>
      <c r="D449" s="16"/>
      <c r="E449" s="16"/>
      <c r="F449" s="16"/>
      <c r="G449" s="16"/>
      <c r="H449" s="16"/>
      <c r="I449" s="16"/>
      <c r="J449" s="6"/>
      <c r="K449" s="16"/>
      <c r="L449" s="16"/>
      <c r="M449" s="16"/>
      <c r="N449" s="46"/>
    </row>
    <row r="450">
      <c r="A450" s="46"/>
      <c r="B450" s="46"/>
      <c r="C450" s="46"/>
      <c r="D450" s="16"/>
      <c r="E450" s="16"/>
      <c r="F450" s="16"/>
      <c r="G450" s="16"/>
      <c r="H450" s="16"/>
      <c r="I450" s="16"/>
      <c r="J450" s="6"/>
      <c r="K450" s="16"/>
      <c r="L450" s="16"/>
      <c r="M450" s="16"/>
      <c r="N450" s="46"/>
    </row>
    <row r="451">
      <c r="A451" s="46"/>
      <c r="B451" s="46"/>
      <c r="C451" s="46"/>
      <c r="D451" s="16"/>
      <c r="E451" s="16"/>
      <c r="F451" s="16"/>
      <c r="G451" s="16"/>
      <c r="H451" s="16"/>
      <c r="I451" s="16"/>
      <c r="J451" s="6"/>
      <c r="K451" s="16"/>
      <c r="L451" s="16"/>
      <c r="M451" s="16"/>
      <c r="N451" s="46"/>
    </row>
    <row r="452">
      <c r="A452" s="46"/>
      <c r="B452" s="46"/>
      <c r="C452" s="46"/>
      <c r="D452" s="16"/>
      <c r="E452" s="16"/>
      <c r="F452" s="16"/>
      <c r="G452" s="16"/>
      <c r="H452" s="16"/>
      <c r="I452" s="16"/>
      <c r="J452" s="6"/>
      <c r="K452" s="16"/>
      <c r="L452" s="16"/>
      <c r="M452" s="16"/>
      <c r="N452" s="46"/>
    </row>
    <row r="453">
      <c r="A453" s="46"/>
      <c r="B453" s="46"/>
      <c r="C453" s="46"/>
      <c r="D453" s="16"/>
      <c r="E453" s="16"/>
      <c r="F453" s="16"/>
      <c r="G453" s="16"/>
      <c r="H453" s="16"/>
      <c r="I453" s="16"/>
      <c r="J453" s="6"/>
      <c r="K453" s="16"/>
      <c r="L453" s="16"/>
      <c r="M453" s="16"/>
      <c r="N453" s="46"/>
    </row>
    <row r="454">
      <c r="A454" s="46"/>
      <c r="B454" s="46"/>
      <c r="C454" s="46"/>
      <c r="D454" s="16"/>
      <c r="E454" s="16"/>
      <c r="F454" s="16"/>
      <c r="G454" s="16"/>
      <c r="H454" s="16"/>
      <c r="I454" s="16"/>
      <c r="J454" s="6"/>
      <c r="K454" s="16"/>
      <c r="L454" s="16"/>
      <c r="M454" s="16"/>
      <c r="N454" s="46"/>
    </row>
    <row r="455">
      <c r="A455" s="46"/>
      <c r="B455" s="46"/>
      <c r="C455" s="46"/>
      <c r="D455" s="16"/>
      <c r="E455" s="16"/>
      <c r="F455" s="16"/>
      <c r="G455" s="16"/>
      <c r="H455" s="16"/>
      <c r="I455" s="16"/>
      <c r="J455" s="6"/>
      <c r="K455" s="16"/>
      <c r="L455" s="16"/>
      <c r="M455" s="16"/>
      <c r="N455" s="46"/>
    </row>
    <row r="456">
      <c r="A456" s="46"/>
      <c r="B456" s="46"/>
      <c r="C456" s="46"/>
      <c r="D456" s="16"/>
      <c r="E456" s="16"/>
      <c r="F456" s="16"/>
      <c r="G456" s="16"/>
      <c r="H456" s="16"/>
      <c r="I456" s="16"/>
      <c r="J456" s="6"/>
      <c r="K456" s="16"/>
      <c r="L456" s="16"/>
      <c r="M456" s="16"/>
      <c r="N456" s="46"/>
    </row>
    <row r="457">
      <c r="A457" s="46"/>
      <c r="B457" s="46"/>
      <c r="C457" s="46"/>
      <c r="D457" s="16"/>
      <c r="E457" s="16"/>
      <c r="F457" s="16"/>
      <c r="G457" s="16"/>
      <c r="H457" s="16"/>
      <c r="I457" s="16"/>
      <c r="J457" s="6"/>
      <c r="K457" s="16"/>
      <c r="L457" s="16"/>
      <c r="M457" s="16"/>
      <c r="N457" s="46"/>
    </row>
    <row r="458">
      <c r="A458" s="46"/>
      <c r="B458" s="46"/>
      <c r="C458" s="46"/>
      <c r="D458" s="16"/>
      <c r="E458" s="16"/>
      <c r="F458" s="16"/>
      <c r="G458" s="16"/>
      <c r="H458" s="16"/>
      <c r="I458" s="16"/>
      <c r="J458" s="6"/>
      <c r="K458" s="16"/>
      <c r="L458" s="16"/>
      <c r="M458" s="16"/>
      <c r="N458" s="46"/>
    </row>
    <row r="459">
      <c r="A459" s="46"/>
      <c r="B459" s="46"/>
      <c r="C459" s="46"/>
      <c r="D459" s="16"/>
      <c r="E459" s="16"/>
      <c r="F459" s="16"/>
      <c r="G459" s="16"/>
      <c r="H459" s="16"/>
      <c r="I459" s="16"/>
      <c r="J459" s="6"/>
      <c r="K459" s="16"/>
      <c r="L459" s="16"/>
      <c r="M459" s="16"/>
      <c r="N459" s="46"/>
    </row>
    <row r="460">
      <c r="A460" s="46"/>
      <c r="B460" s="46"/>
      <c r="C460" s="46"/>
      <c r="D460" s="16"/>
      <c r="E460" s="16"/>
      <c r="F460" s="16"/>
      <c r="G460" s="16"/>
      <c r="H460" s="16"/>
      <c r="I460" s="16"/>
      <c r="J460" s="6"/>
      <c r="K460" s="16"/>
      <c r="L460" s="16"/>
      <c r="M460" s="16"/>
      <c r="N460" s="46"/>
    </row>
    <row r="461">
      <c r="A461" s="46"/>
      <c r="B461" s="46"/>
      <c r="C461" s="46"/>
      <c r="D461" s="16"/>
      <c r="E461" s="16"/>
      <c r="F461" s="16"/>
      <c r="G461" s="16"/>
      <c r="H461" s="16"/>
      <c r="I461" s="16"/>
      <c r="J461" s="6"/>
      <c r="K461" s="16"/>
      <c r="L461" s="16"/>
      <c r="M461" s="16"/>
      <c r="N461" s="46"/>
    </row>
    <row r="462">
      <c r="A462" s="46"/>
      <c r="B462" s="46"/>
      <c r="C462" s="46"/>
      <c r="D462" s="16"/>
      <c r="E462" s="16"/>
      <c r="F462" s="16"/>
      <c r="G462" s="16"/>
      <c r="H462" s="16"/>
      <c r="I462" s="16"/>
      <c r="J462" s="6"/>
      <c r="K462" s="16"/>
      <c r="L462" s="16"/>
      <c r="M462" s="16"/>
      <c r="N462" s="46"/>
    </row>
    <row r="463">
      <c r="A463" s="46"/>
      <c r="B463" s="46"/>
      <c r="C463" s="46"/>
      <c r="D463" s="16"/>
      <c r="E463" s="16"/>
      <c r="F463" s="16"/>
      <c r="G463" s="16"/>
      <c r="H463" s="16"/>
      <c r="I463" s="16"/>
      <c r="J463" s="6"/>
      <c r="K463" s="16"/>
      <c r="L463" s="16"/>
      <c r="M463" s="16"/>
      <c r="N463" s="46"/>
    </row>
    <row r="464">
      <c r="A464" s="46"/>
      <c r="B464" s="46"/>
      <c r="C464" s="46"/>
      <c r="D464" s="16"/>
      <c r="E464" s="16"/>
      <c r="F464" s="16"/>
      <c r="G464" s="16"/>
      <c r="H464" s="16"/>
      <c r="I464" s="16"/>
      <c r="J464" s="6"/>
      <c r="K464" s="16"/>
      <c r="L464" s="16"/>
      <c r="M464" s="16"/>
      <c r="N464" s="46"/>
    </row>
    <row r="465">
      <c r="A465" s="46"/>
      <c r="B465" s="46"/>
      <c r="C465" s="46"/>
      <c r="D465" s="16"/>
      <c r="E465" s="16"/>
      <c r="F465" s="16"/>
      <c r="G465" s="16"/>
      <c r="H465" s="16"/>
      <c r="I465" s="16"/>
      <c r="J465" s="6"/>
      <c r="K465" s="16"/>
      <c r="L465" s="16"/>
      <c r="M465" s="16"/>
      <c r="N465" s="46"/>
    </row>
    <row r="466">
      <c r="A466" s="46"/>
      <c r="B466" s="46"/>
      <c r="C466" s="46"/>
      <c r="D466" s="16"/>
      <c r="E466" s="16"/>
      <c r="F466" s="16"/>
      <c r="G466" s="16"/>
      <c r="H466" s="16"/>
      <c r="I466" s="16"/>
      <c r="J466" s="6"/>
      <c r="K466" s="16"/>
      <c r="L466" s="16"/>
      <c r="M466" s="16"/>
      <c r="N466" s="46"/>
    </row>
    <row r="467">
      <c r="A467" s="46"/>
      <c r="B467" s="46"/>
      <c r="C467" s="46"/>
      <c r="D467" s="16"/>
      <c r="E467" s="16"/>
      <c r="F467" s="16"/>
      <c r="G467" s="16"/>
      <c r="H467" s="16"/>
      <c r="I467" s="16"/>
      <c r="J467" s="6"/>
      <c r="K467" s="16"/>
      <c r="L467" s="16"/>
      <c r="M467" s="16"/>
      <c r="N467" s="46"/>
    </row>
    <row r="468">
      <c r="A468" s="46"/>
      <c r="B468" s="46"/>
      <c r="C468" s="46"/>
      <c r="D468" s="16"/>
      <c r="E468" s="16"/>
      <c r="F468" s="16"/>
      <c r="G468" s="16"/>
      <c r="H468" s="16"/>
      <c r="I468" s="16"/>
      <c r="J468" s="6"/>
      <c r="K468" s="16"/>
      <c r="L468" s="16"/>
      <c r="M468" s="16"/>
      <c r="N468" s="46"/>
    </row>
    <row r="469">
      <c r="A469" s="46"/>
      <c r="B469" s="46"/>
      <c r="C469" s="46"/>
      <c r="D469" s="16"/>
      <c r="E469" s="16"/>
      <c r="F469" s="16"/>
      <c r="G469" s="16"/>
      <c r="H469" s="16"/>
      <c r="I469" s="16"/>
      <c r="J469" s="6"/>
      <c r="K469" s="16"/>
      <c r="L469" s="16"/>
      <c r="M469" s="16"/>
      <c r="N469" s="46"/>
    </row>
    <row r="470">
      <c r="A470" s="46"/>
      <c r="B470" s="46"/>
      <c r="C470" s="46"/>
      <c r="D470" s="16"/>
      <c r="E470" s="16"/>
      <c r="F470" s="16"/>
      <c r="G470" s="16"/>
      <c r="H470" s="16"/>
      <c r="I470" s="16"/>
      <c r="J470" s="6"/>
      <c r="K470" s="16"/>
      <c r="L470" s="16"/>
      <c r="M470" s="16"/>
      <c r="N470" s="46"/>
    </row>
    <row r="471">
      <c r="A471" s="46"/>
      <c r="B471" s="46"/>
      <c r="C471" s="46"/>
      <c r="D471" s="16"/>
      <c r="E471" s="16"/>
      <c r="F471" s="16"/>
      <c r="G471" s="16"/>
      <c r="H471" s="16"/>
      <c r="I471" s="16"/>
      <c r="J471" s="6"/>
      <c r="K471" s="16"/>
      <c r="L471" s="16"/>
      <c r="M471" s="16"/>
      <c r="N471" s="46"/>
    </row>
    <row r="472">
      <c r="A472" s="46"/>
      <c r="B472" s="46"/>
      <c r="C472" s="46"/>
      <c r="D472" s="16"/>
      <c r="E472" s="16"/>
      <c r="F472" s="16"/>
      <c r="G472" s="16"/>
      <c r="H472" s="16"/>
      <c r="I472" s="16"/>
      <c r="J472" s="6"/>
      <c r="K472" s="16"/>
      <c r="L472" s="16"/>
      <c r="M472" s="16"/>
      <c r="N472" s="46"/>
    </row>
    <row r="473">
      <c r="A473" s="46"/>
      <c r="B473" s="46"/>
      <c r="C473" s="46"/>
      <c r="D473" s="16"/>
      <c r="E473" s="16"/>
      <c r="F473" s="16"/>
      <c r="G473" s="16"/>
      <c r="H473" s="16"/>
      <c r="I473" s="16"/>
      <c r="J473" s="6"/>
      <c r="K473" s="16"/>
      <c r="L473" s="16"/>
      <c r="M473" s="16"/>
      <c r="N473" s="46"/>
    </row>
    <row r="474">
      <c r="A474" s="46"/>
      <c r="B474" s="46"/>
      <c r="C474" s="46"/>
      <c r="D474" s="16"/>
      <c r="E474" s="16"/>
      <c r="F474" s="16"/>
      <c r="G474" s="16"/>
      <c r="H474" s="16"/>
      <c r="I474" s="16"/>
      <c r="J474" s="6"/>
      <c r="K474" s="16"/>
      <c r="L474" s="16"/>
      <c r="M474" s="16"/>
      <c r="N474" s="46"/>
    </row>
    <row r="475">
      <c r="A475" s="46"/>
      <c r="B475" s="46"/>
      <c r="C475" s="46"/>
      <c r="D475" s="16"/>
      <c r="E475" s="16"/>
      <c r="F475" s="16"/>
      <c r="G475" s="16"/>
      <c r="H475" s="16"/>
      <c r="I475" s="16"/>
      <c r="J475" s="6"/>
      <c r="K475" s="16"/>
      <c r="L475" s="16"/>
      <c r="M475" s="16"/>
      <c r="N475" s="46"/>
    </row>
    <row r="476">
      <c r="A476" s="46"/>
      <c r="B476" s="46"/>
      <c r="C476" s="46"/>
      <c r="D476" s="16"/>
      <c r="E476" s="16"/>
      <c r="F476" s="16"/>
      <c r="G476" s="16"/>
      <c r="H476" s="16"/>
      <c r="I476" s="16"/>
      <c r="J476" s="6"/>
      <c r="K476" s="16"/>
      <c r="L476" s="16"/>
      <c r="M476" s="16"/>
      <c r="N476" s="46"/>
    </row>
    <row r="477">
      <c r="A477" s="46"/>
      <c r="B477" s="46"/>
      <c r="C477" s="46"/>
      <c r="D477" s="16"/>
      <c r="E477" s="16"/>
      <c r="F477" s="16"/>
      <c r="G477" s="16"/>
      <c r="H477" s="16"/>
      <c r="I477" s="16"/>
      <c r="J477" s="6"/>
      <c r="K477" s="16"/>
      <c r="L477" s="16"/>
      <c r="M477" s="16"/>
      <c r="N477" s="46"/>
    </row>
    <row r="478">
      <c r="A478" s="46"/>
      <c r="B478" s="46"/>
      <c r="C478" s="46"/>
      <c r="D478" s="16"/>
      <c r="E478" s="16"/>
      <c r="F478" s="16"/>
      <c r="G478" s="16"/>
      <c r="H478" s="16"/>
      <c r="I478" s="16"/>
      <c r="J478" s="6"/>
      <c r="K478" s="16"/>
      <c r="L478" s="16"/>
      <c r="M478" s="16"/>
      <c r="N478" s="46"/>
    </row>
    <row r="479">
      <c r="A479" s="46"/>
      <c r="B479" s="46"/>
      <c r="C479" s="46"/>
      <c r="D479" s="16"/>
      <c r="E479" s="16"/>
      <c r="F479" s="16"/>
      <c r="G479" s="16"/>
      <c r="H479" s="16"/>
      <c r="I479" s="16"/>
      <c r="J479" s="6"/>
      <c r="K479" s="16"/>
      <c r="L479" s="16"/>
      <c r="M479" s="16"/>
      <c r="N479" s="46"/>
    </row>
    <row r="480">
      <c r="A480" s="46"/>
      <c r="B480" s="46"/>
      <c r="C480" s="46"/>
      <c r="D480" s="16"/>
      <c r="E480" s="16"/>
      <c r="F480" s="16"/>
      <c r="G480" s="16"/>
      <c r="H480" s="16"/>
      <c r="I480" s="16"/>
      <c r="J480" s="6"/>
      <c r="K480" s="16"/>
      <c r="L480" s="16"/>
      <c r="M480" s="16"/>
      <c r="N480" s="46"/>
    </row>
    <row r="481">
      <c r="A481" s="46"/>
      <c r="B481" s="46"/>
      <c r="C481" s="46"/>
      <c r="D481" s="16"/>
      <c r="E481" s="16"/>
      <c r="F481" s="16"/>
      <c r="G481" s="16"/>
      <c r="H481" s="16"/>
      <c r="I481" s="16"/>
      <c r="J481" s="6"/>
      <c r="K481" s="16"/>
      <c r="L481" s="16"/>
      <c r="M481" s="16"/>
      <c r="N481" s="46"/>
    </row>
    <row r="482">
      <c r="A482" s="46"/>
      <c r="B482" s="46"/>
      <c r="C482" s="46"/>
      <c r="D482" s="16"/>
      <c r="E482" s="16"/>
      <c r="F482" s="16"/>
      <c r="G482" s="16"/>
      <c r="H482" s="16"/>
      <c r="I482" s="16"/>
      <c r="J482" s="6"/>
      <c r="K482" s="16"/>
      <c r="L482" s="16"/>
      <c r="M482" s="16"/>
      <c r="N482" s="46"/>
    </row>
    <row r="483">
      <c r="A483" s="46"/>
      <c r="B483" s="46"/>
      <c r="C483" s="46"/>
      <c r="D483" s="16"/>
      <c r="E483" s="16"/>
      <c r="F483" s="16"/>
      <c r="G483" s="16"/>
      <c r="H483" s="16"/>
      <c r="I483" s="16"/>
      <c r="J483" s="6"/>
      <c r="K483" s="16"/>
      <c r="L483" s="16"/>
      <c r="M483" s="16"/>
      <c r="N483" s="46"/>
    </row>
    <row r="484">
      <c r="A484" s="46"/>
      <c r="B484" s="46"/>
      <c r="C484" s="46"/>
      <c r="D484" s="16"/>
      <c r="E484" s="16"/>
      <c r="F484" s="16"/>
      <c r="G484" s="16"/>
      <c r="H484" s="16"/>
      <c r="I484" s="16"/>
      <c r="J484" s="6"/>
      <c r="K484" s="16"/>
      <c r="L484" s="16"/>
      <c r="M484" s="16"/>
      <c r="N484" s="46"/>
    </row>
    <row r="485">
      <c r="A485" s="46"/>
      <c r="B485" s="46"/>
      <c r="C485" s="46"/>
      <c r="D485" s="16"/>
      <c r="E485" s="16"/>
      <c r="F485" s="16"/>
      <c r="G485" s="16"/>
      <c r="H485" s="16"/>
      <c r="I485" s="16"/>
      <c r="J485" s="6"/>
      <c r="K485" s="16"/>
      <c r="L485" s="16"/>
      <c r="M485" s="16"/>
      <c r="N485" s="46"/>
    </row>
    <row r="486">
      <c r="A486" s="46"/>
      <c r="B486" s="46"/>
      <c r="C486" s="46"/>
      <c r="D486" s="16"/>
      <c r="E486" s="16"/>
      <c r="F486" s="16"/>
      <c r="G486" s="16"/>
      <c r="H486" s="16"/>
      <c r="I486" s="16"/>
      <c r="J486" s="6"/>
      <c r="K486" s="16"/>
      <c r="L486" s="16"/>
      <c r="M486" s="16"/>
      <c r="N486" s="46"/>
    </row>
    <row r="487">
      <c r="A487" s="46"/>
      <c r="B487" s="46"/>
      <c r="C487" s="46"/>
      <c r="D487" s="16"/>
      <c r="E487" s="16"/>
      <c r="F487" s="16"/>
      <c r="G487" s="16"/>
      <c r="H487" s="16"/>
      <c r="I487" s="16"/>
      <c r="J487" s="6"/>
      <c r="K487" s="16"/>
      <c r="L487" s="16"/>
      <c r="M487" s="16"/>
      <c r="N487" s="46"/>
    </row>
    <row r="488">
      <c r="A488" s="46"/>
      <c r="B488" s="46"/>
      <c r="C488" s="46"/>
      <c r="D488" s="16"/>
      <c r="E488" s="16"/>
      <c r="F488" s="16"/>
      <c r="G488" s="16"/>
      <c r="H488" s="16"/>
      <c r="I488" s="16"/>
      <c r="J488" s="6"/>
      <c r="K488" s="16"/>
      <c r="L488" s="16"/>
      <c r="M488" s="16"/>
      <c r="N488" s="46"/>
    </row>
    <row r="489">
      <c r="A489" s="46"/>
      <c r="B489" s="46"/>
      <c r="C489" s="46"/>
      <c r="D489" s="16"/>
      <c r="E489" s="16"/>
      <c r="F489" s="16"/>
      <c r="G489" s="16"/>
      <c r="H489" s="16"/>
      <c r="I489" s="16"/>
      <c r="J489" s="6"/>
      <c r="K489" s="16"/>
      <c r="L489" s="16"/>
      <c r="M489" s="16"/>
      <c r="N489" s="46"/>
    </row>
    <row r="490">
      <c r="A490" s="46"/>
      <c r="B490" s="46"/>
      <c r="C490" s="46"/>
      <c r="D490" s="16"/>
      <c r="E490" s="16"/>
      <c r="F490" s="16"/>
      <c r="G490" s="16"/>
      <c r="H490" s="16"/>
      <c r="I490" s="16"/>
      <c r="J490" s="6"/>
      <c r="K490" s="16"/>
      <c r="L490" s="16"/>
      <c r="M490" s="16"/>
      <c r="N490" s="46"/>
    </row>
    <row r="491">
      <c r="A491" s="46"/>
      <c r="B491" s="46"/>
      <c r="C491" s="46"/>
      <c r="D491" s="16"/>
      <c r="E491" s="16"/>
      <c r="F491" s="16"/>
      <c r="G491" s="16"/>
      <c r="H491" s="16"/>
      <c r="I491" s="16"/>
      <c r="J491" s="6"/>
      <c r="K491" s="16"/>
      <c r="L491" s="16"/>
      <c r="M491" s="16"/>
      <c r="N491" s="46"/>
    </row>
    <row r="492">
      <c r="A492" s="46"/>
      <c r="B492" s="46"/>
      <c r="C492" s="46"/>
      <c r="D492" s="16"/>
      <c r="E492" s="16"/>
      <c r="F492" s="16"/>
      <c r="G492" s="16"/>
      <c r="H492" s="16"/>
      <c r="I492" s="16"/>
      <c r="J492" s="6"/>
      <c r="K492" s="16"/>
      <c r="L492" s="16"/>
      <c r="M492" s="16"/>
      <c r="N492" s="46"/>
    </row>
    <row r="493">
      <c r="A493" s="46"/>
      <c r="B493" s="46"/>
      <c r="C493" s="46"/>
      <c r="D493" s="16"/>
      <c r="E493" s="16"/>
      <c r="F493" s="16"/>
      <c r="G493" s="16"/>
      <c r="H493" s="16"/>
      <c r="I493" s="16"/>
      <c r="J493" s="6"/>
      <c r="K493" s="16"/>
      <c r="L493" s="16"/>
      <c r="M493" s="16"/>
      <c r="N493" s="46"/>
    </row>
    <row r="494">
      <c r="A494" s="46"/>
      <c r="B494" s="46"/>
      <c r="C494" s="46"/>
      <c r="D494" s="16"/>
      <c r="E494" s="16"/>
      <c r="F494" s="16"/>
      <c r="G494" s="16"/>
      <c r="H494" s="16"/>
      <c r="I494" s="16"/>
      <c r="J494" s="6"/>
      <c r="K494" s="16"/>
      <c r="L494" s="16"/>
      <c r="M494" s="16"/>
      <c r="N494" s="46"/>
    </row>
    <row r="495">
      <c r="A495" s="46"/>
      <c r="B495" s="46"/>
      <c r="C495" s="46"/>
      <c r="D495" s="16"/>
      <c r="E495" s="16"/>
      <c r="F495" s="16"/>
      <c r="G495" s="16"/>
      <c r="H495" s="16"/>
      <c r="I495" s="16"/>
      <c r="J495" s="6"/>
      <c r="K495" s="16"/>
      <c r="L495" s="16"/>
      <c r="M495" s="16"/>
      <c r="N495" s="46"/>
    </row>
    <row r="496">
      <c r="A496" s="46"/>
      <c r="B496" s="46"/>
      <c r="C496" s="46"/>
      <c r="D496" s="16"/>
      <c r="E496" s="16"/>
      <c r="F496" s="16"/>
      <c r="G496" s="16"/>
      <c r="H496" s="16"/>
      <c r="I496" s="16"/>
      <c r="J496" s="6"/>
      <c r="K496" s="16"/>
      <c r="L496" s="16"/>
      <c r="M496" s="16"/>
      <c r="N496" s="46"/>
    </row>
    <row r="497">
      <c r="A497" s="46"/>
      <c r="B497" s="46"/>
      <c r="C497" s="46"/>
      <c r="D497" s="16"/>
      <c r="E497" s="16"/>
      <c r="F497" s="16"/>
      <c r="G497" s="16"/>
      <c r="H497" s="16"/>
      <c r="I497" s="16"/>
      <c r="J497" s="6"/>
      <c r="K497" s="16"/>
      <c r="L497" s="16"/>
      <c r="M497" s="16"/>
      <c r="N497" s="46"/>
    </row>
    <row r="498">
      <c r="A498" s="46"/>
      <c r="B498" s="46"/>
      <c r="C498" s="46"/>
      <c r="D498" s="16"/>
      <c r="E498" s="16"/>
      <c r="F498" s="16"/>
      <c r="G498" s="16"/>
      <c r="H498" s="16"/>
      <c r="I498" s="16"/>
      <c r="J498" s="6"/>
      <c r="K498" s="16"/>
      <c r="L498" s="16"/>
      <c r="M498" s="16"/>
      <c r="N498" s="46"/>
    </row>
    <row r="499">
      <c r="A499" s="46"/>
      <c r="B499" s="46"/>
      <c r="C499" s="46"/>
      <c r="D499" s="16"/>
      <c r="E499" s="16"/>
      <c r="F499" s="16"/>
      <c r="G499" s="16"/>
      <c r="H499" s="16"/>
      <c r="I499" s="16"/>
      <c r="J499" s="6"/>
      <c r="K499" s="16"/>
      <c r="L499" s="16"/>
      <c r="M499" s="16"/>
      <c r="N499" s="46"/>
    </row>
    <row r="500">
      <c r="A500" s="46"/>
      <c r="B500" s="46"/>
      <c r="C500" s="46"/>
      <c r="D500" s="16"/>
      <c r="E500" s="16"/>
      <c r="F500" s="16"/>
      <c r="G500" s="16"/>
      <c r="H500" s="16"/>
      <c r="I500" s="16"/>
      <c r="J500" s="6"/>
      <c r="K500" s="16"/>
      <c r="L500" s="16"/>
      <c r="M500" s="16"/>
      <c r="N500" s="46"/>
    </row>
    <row r="501">
      <c r="A501" s="46"/>
      <c r="B501" s="46"/>
      <c r="C501" s="46"/>
      <c r="D501" s="16"/>
      <c r="E501" s="16"/>
      <c r="F501" s="16"/>
      <c r="G501" s="16"/>
      <c r="H501" s="16"/>
      <c r="I501" s="16"/>
      <c r="J501" s="6"/>
      <c r="K501" s="16"/>
      <c r="L501" s="16"/>
      <c r="M501" s="16"/>
      <c r="N501" s="46"/>
    </row>
    <row r="502">
      <c r="A502" s="46"/>
      <c r="B502" s="46"/>
      <c r="C502" s="46"/>
      <c r="D502" s="16"/>
      <c r="E502" s="16"/>
      <c r="F502" s="16"/>
      <c r="G502" s="16"/>
      <c r="H502" s="16"/>
      <c r="I502" s="16"/>
      <c r="J502" s="6"/>
      <c r="K502" s="16"/>
      <c r="L502" s="16"/>
      <c r="M502" s="16"/>
      <c r="N502" s="46"/>
    </row>
    <row r="503">
      <c r="A503" s="46"/>
      <c r="B503" s="46"/>
      <c r="C503" s="46"/>
      <c r="D503" s="16"/>
      <c r="E503" s="16"/>
      <c r="F503" s="16"/>
      <c r="G503" s="16"/>
      <c r="H503" s="16"/>
      <c r="I503" s="16"/>
      <c r="J503" s="6"/>
      <c r="K503" s="16"/>
      <c r="L503" s="16"/>
      <c r="M503" s="16"/>
      <c r="N503" s="46"/>
    </row>
    <row r="504">
      <c r="A504" s="46"/>
      <c r="B504" s="46"/>
      <c r="C504" s="46"/>
      <c r="D504" s="16"/>
      <c r="E504" s="16"/>
      <c r="F504" s="16"/>
      <c r="G504" s="16"/>
      <c r="H504" s="16"/>
      <c r="I504" s="16"/>
      <c r="J504" s="6"/>
      <c r="K504" s="16"/>
      <c r="L504" s="16"/>
      <c r="M504" s="16"/>
      <c r="N504" s="46"/>
    </row>
    <row r="505">
      <c r="A505" s="46"/>
      <c r="B505" s="46"/>
      <c r="C505" s="46"/>
      <c r="D505" s="16"/>
      <c r="E505" s="16"/>
      <c r="F505" s="16"/>
      <c r="G505" s="16"/>
      <c r="H505" s="16"/>
      <c r="I505" s="16"/>
      <c r="J505" s="6"/>
      <c r="K505" s="16"/>
      <c r="L505" s="16"/>
      <c r="M505" s="16"/>
      <c r="N505" s="46"/>
    </row>
    <row r="506">
      <c r="A506" s="46"/>
      <c r="B506" s="46"/>
      <c r="C506" s="46"/>
      <c r="D506" s="16"/>
      <c r="E506" s="16"/>
      <c r="F506" s="16"/>
      <c r="G506" s="16"/>
      <c r="H506" s="16"/>
      <c r="I506" s="16"/>
      <c r="J506" s="6"/>
      <c r="K506" s="16"/>
      <c r="L506" s="16"/>
      <c r="M506" s="16"/>
      <c r="N506" s="46"/>
    </row>
    <row r="507">
      <c r="A507" s="46"/>
      <c r="B507" s="46"/>
      <c r="C507" s="46"/>
      <c r="D507" s="16"/>
      <c r="E507" s="16"/>
      <c r="F507" s="16"/>
      <c r="G507" s="16"/>
      <c r="H507" s="16"/>
      <c r="I507" s="16"/>
      <c r="J507" s="6"/>
      <c r="K507" s="16"/>
      <c r="L507" s="16"/>
      <c r="M507" s="16"/>
      <c r="N507" s="46"/>
    </row>
    <row r="508">
      <c r="A508" s="46"/>
      <c r="B508" s="46"/>
      <c r="C508" s="46"/>
      <c r="D508" s="16"/>
      <c r="E508" s="16"/>
      <c r="F508" s="16"/>
      <c r="G508" s="16"/>
      <c r="H508" s="16"/>
      <c r="I508" s="16"/>
      <c r="J508" s="6"/>
      <c r="K508" s="16"/>
      <c r="L508" s="16"/>
      <c r="M508" s="16"/>
      <c r="N508" s="46"/>
    </row>
    <row r="509">
      <c r="A509" s="46"/>
      <c r="B509" s="46"/>
      <c r="C509" s="46"/>
      <c r="D509" s="16"/>
      <c r="E509" s="16"/>
      <c r="F509" s="16"/>
      <c r="G509" s="16"/>
      <c r="H509" s="16"/>
      <c r="I509" s="16"/>
      <c r="J509" s="6"/>
      <c r="K509" s="16"/>
      <c r="L509" s="16"/>
      <c r="M509" s="16"/>
      <c r="N509" s="46"/>
    </row>
    <row r="510">
      <c r="A510" s="46"/>
      <c r="B510" s="46"/>
      <c r="C510" s="46"/>
      <c r="D510" s="16"/>
      <c r="E510" s="16"/>
      <c r="F510" s="16"/>
      <c r="G510" s="16"/>
      <c r="H510" s="16"/>
      <c r="I510" s="16"/>
      <c r="J510" s="6"/>
      <c r="K510" s="16"/>
      <c r="L510" s="16"/>
      <c r="M510" s="16"/>
      <c r="N510" s="46"/>
    </row>
    <row r="511">
      <c r="A511" s="46"/>
      <c r="B511" s="46"/>
      <c r="C511" s="46"/>
      <c r="D511" s="16"/>
      <c r="E511" s="16"/>
      <c r="F511" s="16"/>
      <c r="G511" s="16"/>
      <c r="H511" s="16"/>
      <c r="I511" s="16"/>
      <c r="J511" s="6"/>
      <c r="K511" s="16"/>
      <c r="L511" s="16"/>
      <c r="M511" s="16"/>
      <c r="N511" s="46"/>
    </row>
    <row r="512">
      <c r="A512" s="46"/>
      <c r="B512" s="46"/>
      <c r="C512" s="46"/>
      <c r="D512" s="16"/>
      <c r="E512" s="16"/>
      <c r="F512" s="16"/>
      <c r="G512" s="16"/>
      <c r="H512" s="16"/>
      <c r="I512" s="16"/>
      <c r="J512" s="6"/>
      <c r="K512" s="16"/>
      <c r="L512" s="16"/>
      <c r="M512" s="16"/>
      <c r="N512" s="46"/>
    </row>
    <row r="513">
      <c r="A513" s="46"/>
      <c r="B513" s="46"/>
      <c r="C513" s="46"/>
      <c r="D513" s="16"/>
      <c r="E513" s="16"/>
      <c r="F513" s="16"/>
      <c r="G513" s="16"/>
      <c r="H513" s="16"/>
      <c r="I513" s="16"/>
      <c r="J513" s="6"/>
      <c r="K513" s="16"/>
      <c r="L513" s="16"/>
      <c r="M513" s="16"/>
      <c r="N513" s="46"/>
    </row>
    <row r="514">
      <c r="A514" s="46"/>
      <c r="B514" s="46"/>
      <c r="C514" s="46"/>
      <c r="D514" s="16"/>
      <c r="E514" s="16"/>
      <c r="F514" s="16"/>
      <c r="G514" s="16"/>
      <c r="H514" s="16"/>
      <c r="I514" s="16"/>
      <c r="J514" s="6"/>
      <c r="K514" s="16"/>
      <c r="L514" s="16"/>
      <c r="M514" s="16"/>
      <c r="N514" s="46"/>
    </row>
    <row r="515">
      <c r="A515" s="46"/>
      <c r="B515" s="46"/>
      <c r="C515" s="46"/>
      <c r="D515" s="16"/>
      <c r="E515" s="16"/>
      <c r="F515" s="16"/>
      <c r="G515" s="16"/>
      <c r="H515" s="16"/>
      <c r="I515" s="16"/>
      <c r="J515" s="6"/>
      <c r="K515" s="16"/>
      <c r="L515" s="16"/>
      <c r="M515" s="16"/>
      <c r="N515" s="46"/>
    </row>
    <row r="516">
      <c r="A516" s="46"/>
      <c r="B516" s="46"/>
      <c r="C516" s="46"/>
      <c r="D516" s="16"/>
      <c r="E516" s="16"/>
      <c r="F516" s="16"/>
      <c r="G516" s="16"/>
      <c r="H516" s="16"/>
      <c r="I516" s="16"/>
      <c r="J516" s="6"/>
      <c r="K516" s="16"/>
      <c r="L516" s="16"/>
      <c r="M516" s="16"/>
      <c r="N516" s="46"/>
    </row>
    <row r="517">
      <c r="A517" s="46"/>
      <c r="B517" s="46"/>
      <c r="C517" s="46"/>
      <c r="D517" s="16"/>
      <c r="E517" s="16"/>
      <c r="F517" s="16"/>
      <c r="G517" s="16"/>
      <c r="H517" s="16"/>
      <c r="I517" s="16"/>
      <c r="J517" s="6"/>
      <c r="K517" s="16"/>
      <c r="L517" s="16"/>
      <c r="M517" s="16"/>
      <c r="N517" s="46"/>
    </row>
    <row r="518">
      <c r="A518" s="46"/>
      <c r="B518" s="46"/>
      <c r="C518" s="46"/>
      <c r="D518" s="16"/>
      <c r="E518" s="16"/>
      <c r="F518" s="16"/>
      <c r="G518" s="16"/>
      <c r="H518" s="16"/>
      <c r="I518" s="16"/>
      <c r="J518" s="6"/>
      <c r="K518" s="16"/>
      <c r="L518" s="16"/>
      <c r="M518" s="16"/>
      <c r="N518" s="46"/>
    </row>
    <row r="519">
      <c r="A519" s="46"/>
      <c r="B519" s="46"/>
      <c r="C519" s="46"/>
      <c r="D519" s="16"/>
      <c r="E519" s="16"/>
      <c r="F519" s="16"/>
      <c r="G519" s="16"/>
      <c r="H519" s="16"/>
      <c r="I519" s="16"/>
      <c r="J519" s="6"/>
      <c r="K519" s="16"/>
      <c r="L519" s="16"/>
      <c r="M519" s="16"/>
      <c r="N519" s="46"/>
    </row>
    <row r="520">
      <c r="A520" s="46"/>
      <c r="B520" s="46"/>
      <c r="C520" s="46"/>
      <c r="D520" s="16"/>
      <c r="E520" s="16"/>
      <c r="F520" s="16"/>
      <c r="G520" s="16"/>
      <c r="H520" s="16"/>
      <c r="I520" s="16"/>
      <c r="J520" s="6"/>
      <c r="K520" s="16"/>
      <c r="L520" s="16"/>
      <c r="M520" s="16"/>
      <c r="N520" s="46"/>
    </row>
    <row r="521">
      <c r="A521" s="46"/>
      <c r="B521" s="46"/>
      <c r="C521" s="46"/>
      <c r="D521" s="16"/>
      <c r="E521" s="16"/>
      <c r="F521" s="16"/>
      <c r="G521" s="16"/>
      <c r="H521" s="16"/>
      <c r="I521" s="16"/>
      <c r="J521" s="6"/>
      <c r="K521" s="16"/>
      <c r="L521" s="16"/>
      <c r="M521" s="16"/>
      <c r="N521" s="46"/>
    </row>
    <row r="522">
      <c r="A522" s="46"/>
      <c r="B522" s="46"/>
      <c r="C522" s="46"/>
      <c r="D522" s="16"/>
      <c r="E522" s="16"/>
      <c r="F522" s="16"/>
      <c r="G522" s="16"/>
      <c r="H522" s="16"/>
      <c r="I522" s="16"/>
      <c r="J522" s="6"/>
      <c r="K522" s="16"/>
      <c r="L522" s="16"/>
      <c r="M522" s="16"/>
      <c r="N522" s="46"/>
    </row>
    <row r="523">
      <c r="A523" s="46"/>
      <c r="B523" s="46"/>
      <c r="C523" s="46"/>
      <c r="D523" s="16"/>
      <c r="E523" s="16"/>
      <c r="F523" s="16"/>
      <c r="G523" s="16"/>
      <c r="H523" s="16"/>
      <c r="I523" s="16"/>
      <c r="J523" s="6"/>
      <c r="K523" s="16"/>
      <c r="L523" s="16"/>
      <c r="M523" s="16"/>
      <c r="N523" s="46"/>
    </row>
    <row r="524">
      <c r="A524" s="46"/>
      <c r="B524" s="46"/>
      <c r="C524" s="46"/>
      <c r="D524" s="16"/>
      <c r="E524" s="16"/>
      <c r="F524" s="16"/>
      <c r="G524" s="16"/>
      <c r="H524" s="16"/>
      <c r="I524" s="16"/>
      <c r="J524" s="6"/>
      <c r="K524" s="16"/>
      <c r="L524" s="16"/>
      <c r="M524" s="16"/>
      <c r="N524" s="46"/>
    </row>
    <row r="525">
      <c r="A525" s="46"/>
      <c r="B525" s="46"/>
      <c r="C525" s="46"/>
      <c r="D525" s="16"/>
      <c r="E525" s="16"/>
      <c r="F525" s="16"/>
      <c r="G525" s="16"/>
      <c r="H525" s="16"/>
      <c r="I525" s="16"/>
      <c r="J525" s="6"/>
      <c r="K525" s="16"/>
      <c r="L525" s="16"/>
      <c r="M525" s="16"/>
      <c r="N525" s="46"/>
    </row>
    <row r="526">
      <c r="A526" s="46"/>
      <c r="B526" s="46"/>
      <c r="C526" s="46"/>
      <c r="D526" s="16"/>
      <c r="E526" s="16"/>
      <c r="F526" s="16"/>
      <c r="G526" s="16"/>
      <c r="H526" s="16"/>
      <c r="I526" s="16"/>
      <c r="J526" s="6"/>
      <c r="K526" s="16"/>
      <c r="L526" s="16"/>
      <c r="M526" s="16"/>
      <c r="N526" s="46"/>
    </row>
    <row r="527">
      <c r="A527" s="46"/>
      <c r="B527" s="46"/>
      <c r="C527" s="46"/>
      <c r="D527" s="16"/>
      <c r="E527" s="16"/>
      <c r="F527" s="16"/>
      <c r="G527" s="16"/>
      <c r="H527" s="16"/>
      <c r="I527" s="16"/>
      <c r="J527" s="6"/>
      <c r="K527" s="16"/>
      <c r="L527" s="16"/>
      <c r="M527" s="16"/>
      <c r="N527" s="46"/>
    </row>
    <row r="528">
      <c r="A528" s="46"/>
      <c r="B528" s="46"/>
      <c r="C528" s="46"/>
      <c r="D528" s="16"/>
      <c r="E528" s="16"/>
      <c r="F528" s="16"/>
      <c r="G528" s="16"/>
      <c r="H528" s="16"/>
      <c r="I528" s="16"/>
      <c r="J528" s="6"/>
      <c r="K528" s="16"/>
      <c r="L528" s="16"/>
      <c r="M528" s="16"/>
      <c r="N528" s="46"/>
    </row>
    <row r="529">
      <c r="A529" s="46"/>
      <c r="B529" s="46"/>
      <c r="C529" s="46"/>
      <c r="D529" s="16"/>
      <c r="E529" s="16"/>
      <c r="F529" s="16"/>
      <c r="G529" s="16"/>
      <c r="H529" s="16"/>
      <c r="I529" s="16"/>
      <c r="J529" s="6"/>
      <c r="K529" s="16"/>
      <c r="L529" s="16"/>
      <c r="M529" s="16"/>
      <c r="N529" s="46"/>
    </row>
    <row r="530">
      <c r="A530" s="46"/>
      <c r="B530" s="46"/>
      <c r="C530" s="46"/>
      <c r="D530" s="16"/>
      <c r="E530" s="16"/>
      <c r="F530" s="16"/>
      <c r="G530" s="16"/>
      <c r="H530" s="16"/>
      <c r="I530" s="16"/>
      <c r="J530" s="6"/>
      <c r="K530" s="16"/>
      <c r="L530" s="16"/>
      <c r="M530" s="16"/>
      <c r="N530" s="46"/>
    </row>
    <row r="531">
      <c r="A531" s="46"/>
      <c r="B531" s="46"/>
      <c r="C531" s="46"/>
      <c r="D531" s="16"/>
      <c r="E531" s="16"/>
      <c r="F531" s="16"/>
      <c r="G531" s="16"/>
      <c r="H531" s="16"/>
      <c r="I531" s="16"/>
      <c r="J531" s="6"/>
      <c r="K531" s="16"/>
      <c r="L531" s="16"/>
      <c r="M531" s="16"/>
      <c r="N531" s="46"/>
    </row>
    <row r="532">
      <c r="A532" s="46"/>
      <c r="B532" s="46"/>
      <c r="C532" s="46"/>
      <c r="D532" s="16"/>
      <c r="E532" s="16"/>
      <c r="F532" s="16"/>
      <c r="G532" s="16"/>
      <c r="H532" s="16"/>
      <c r="I532" s="16"/>
      <c r="J532" s="6"/>
      <c r="K532" s="16"/>
      <c r="L532" s="16"/>
      <c r="M532" s="16"/>
      <c r="N532" s="46"/>
    </row>
    <row r="533">
      <c r="A533" s="46"/>
      <c r="B533" s="46"/>
      <c r="C533" s="46"/>
      <c r="D533" s="16"/>
      <c r="E533" s="16"/>
      <c r="F533" s="16"/>
      <c r="G533" s="16"/>
      <c r="H533" s="16"/>
      <c r="I533" s="16"/>
      <c r="J533" s="6"/>
      <c r="K533" s="16"/>
      <c r="L533" s="16"/>
      <c r="M533" s="16"/>
      <c r="N533" s="46"/>
    </row>
    <row r="534">
      <c r="A534" s="46"/>
      <c r="B534" s="46"/>
      <c r="C534" s="46"/>
      <c r="D534" s="16"/>
      <c r="E534" s="16"/>
      <c r="F534" s="16"/>
      <c r="G534" s="16"/>
      <c r="H534" s="16"/>
      <c r="I534" s="16"/>
      <c r="J534" s="6"/>
      <c r="K534" s="16"/>
      <c r="L534" s="16"/>
      <c r="M534" s="16"/>
      <c r="N534" s="46"/>
    </row>
    <row r="535">
      <c r="A535" s="46"/>
      <c r="B535" s="46"/>
      <c r="C535" s="46"/>
      <c r="D535" s="16"/>
      <c r="E535" s="16"/>
      <c r="F535" s="16"/>
      <c r="G535" s="16"/>
      <c r="H535" s="16"/>
      <c r="I535" s="16"/>
      <c r="J535" s="6"/>
      <c r="K535" s="16"/>
      <c r="L535" s="16"/>
      <c r="M535" s="16"/>
      <c r="N535" s="46"/>
    </row>
    <row r="536">
      <c r="A536" s="46"/>
      <c r="B536" s="46"/>
      <c r="C536" s="46"/>
      <c r="D536" s="16"/>
      <c r="E536" s="16"/>
      <c r="F536" s="16"/>
      <c r="G536" s="16"/>
      <c r="H536" s="16"/>
      <c r="I536" s="16"/>
      <c r="J536" s="6"/>
      <c r="K536" s="16"/>
      <c r="L536" s="16"/>
      <c r="M536" s="16"/>
      <c r="N536" s="46"/>
    </row>
    <row r="537">
      <c r="A537" s="46"/>
      <c r="B537" s="46"/>
      <c r="C537" s="46"/>
      <c r="D537" s="16"/>
      <c r="E537" s="16"/>
      <c r="F537" s="16"/>
      <c r="G537" s="16"/>
      <c r="H537" s="16"/>
      <c r="I537" s="16"/>
      <c r="J537" s="6"/>
      <c r="K537" s="16"/>
      <c r="L537" s="16"/>
      <c r="M537" s="16"/>
      <c r="N537" s="46"/>
    </row>
    <row r="538">
      <c r="A538" s="46"/>
      <c r="B538" s="46"/>
      <c r="C538" s="46"/>
      <c r="D538" s="16"/>
      <c r="E538" s="16"/>
      <c r="F538" s="16"/>
      <c r="G538" s="16"/>
      <c r="H538" s="16"/>
      <c r="I538" s="16"/>
      <c r="J538" s="6"/>
      <c r="K538" s="16"/>
      <c r="L538" s="16"/>
      <c r="M538" s="16"/>
      <c r="N538" s="46"/>
    </row>
    <row r="539">
      <c r="A539" s="46"/>
      <c r="B539" s="46"/>
      <c r="C539" s="46"/>
      <c r="D539" s="16"/>
      <c r="E539" s="16"/>
      <c r="F539" s="16"/>
      <c r="G539" s="16"/>
      <c r="H539" s="16"/>
      <c r="I539" s="16"/>
      <c r="J539" s="6"/>
      <c r="K539" s="16"/>
      <c r="L539" s="16"/>
      <c r="M539" s="16"/>
      <c r="N539" s="46"/>
    </row>
    <row r="540">
      <c r="A540" s="46"/>
      <c r="B540" s="46"/>
      <c r="C540" s="46"/>
      <c r="D540" s="16"/>
      <c r="E540" s="16"/>
      <c r="F540" s="16"/>
      <c r="G540" s="16"/>
      <c r="H540" s="16"/>
      <c r="I540" s="16"/>
      <c r="J540" s="6"/>
      <c r="K540" s="16"/>
      <c r="L540" s="16"/>
      <c r="M540" s="16"/>
      <c r="N540" s="46"/>
    </row>
    <row r="541">
      <c r="A541" s="46"/>
      <c r="B541" s="46"/>
      <c r="C541" s="46"/>
      <c r="D541" s="16"/>
      <c r="E541" s="16"/>
      <c r="F541" s="16"/>
      <c r="G541" s="16"/>
      <c r="H541" s="16"/>
      <c r="I541" s="16"/>
      <c r="J541" s="6"/>
      <c r="K541" s="16"/>
      <c r="L541" s="16"/>
      <c r="M541" s="16"/>
      <c r="N541" s="46"/>
    </row>
    <row r="542">
      <c r="A542" s="46"/>
      <c r="B542" s="46"/>
      <c r="C542" s="46"/>
      <c r="D542" s="16"/>
      <c r="E542" s="16"/>
      <c r="F542" s="16"/>
      <c r="G542" s="16"/>
      <c r="H542" s="16"/>
      <c r="I542" s="16"/>
      <c r="J542" s="6"/>
      <c r="K542" s="16"/>
      <c r="L542" s="16"/>
      <c r="M542" s="16"/>
      <c r="N542" s="46"/>
    </row>
    <row r="543">
      <c r="A543" s="46"/>
      <c r="B543" s="46"/>
      <c r="C543" s="46"/>
      <c r="D543" s="16"/>
      <c r="E543" s="16"/>
      <c r="F543" s="16"/>
      <c r="G543" s="16"/>
      <c r="H543" s="16"/>
      <c r="I543" s="16"/>
      <c r="J543" s="6"/>
      <c r="K543" s="16"/>
      <c r="L543" s="16"/>
      <c r="M543" s="16"/>
      <c r="N543" s="46"/>
    </row>
    <row r="544">
      <c r="A544" s="46"/>
      <c r="B544" s="46"/>
      <c r="C544" s="46"/>
      <c r="D544" s="16"/>
      <c r="E544" s="16"/>
      <c r="F544" s="16"/>
      <c r="G544" s="16"/>
      <c r="H544" s="16"/>
      <c r="I544" s="16"/>
      <c r="J544" s="6"/>
      <c r="K544" s="16"/>
      <c r="L544" s="16"/>
      <c r="M544" s="16"/>
      <c r="N544" s="46"/>
    </row>
    <row r="545">
      <c r="A545" s="46"/>
      <c r="B545" s="46"/>
      <c r="C545" s="46"/>
      <c r="D545" s="16"/>
      <c r="E545" s="16"/>
      <c r="F545" s="16"/>
      <c r="G545" s="16"/>
      <c r="H545" s="16"/>
      <c r="I545" s="16"/>
      <c r="J545" s="6"/>
      <c r="K545" s="16"/>
      <c r="L545" s="16"/>
      <c r="M545" s="16"/>
      <c r="N545" s="46"/>
    </row>
    <row r="546">
      <c r="A546" s="46"/>
      <c r="B546" s="46"/>
      <c r="C546" s="46"/>
      <c r="D546" s="16"/>
      <c r="E546" s="16"/>
      <c r="F546" s="16"/>
      <c r="G546" s="16"/>
      <c r="H546" s="16"/>
      <c r="I546" s="16"/>
      <c r="J546" s="6"/>
      <c r="K546" s="16"/>
      <c r="L546" s="16"/>
      <c r="M546" s="16"/>
      <c r="N546" s="46"/>
    </row>
    <row r="547">
      <c r="A547" s="46"/>
      <c r="B547" s="46"/>
      <c r="C547" s="46"/>
      <c r="D547" s="16"/>
      <c r="E547" s="16"/>
      <c r="F547" s="16"/>
      <c r="G547" s="16"/>
      <c r="H547" s="16"/>
      <c r="I547" s="16"/>
      <c r="J547" s="6"/>
      <c r="K547" s="16"/>
      <c r="L547" s="16"/>
      <c r="M547" s="16"/>
      <c r="N547" s="46"/>
    </row>
    <row r="548">
      <c r="A548" s="46"/>
      <c r="B548" s="46"/>
      <c r="C548" s="46"/>
      <c r="D548" s="16"/>
      <c r="E548" s="16"/>
      <c r="F548" s="16"/>
      <c r="G548" s="16"/>
      <c r="H548" s="16"/>
      <c r="I548" s="16"/>
      <c r="J548" s="6"/>
      <c r="K548" s="16"/>
      <c r="L548" s="16"/>
      <c r="M548" s="16"/>
      <c r="N548" s="46"/>
    </row>
    <row r="549">
      <c r="A549" s="46"/>
      <c r="B549" s="46"/>
      <c r="C549" s="46"/>
      <c r="D549" s="16"/>
      <c r="E549" s="16"/>
      <c r="F549" s="16"/>
      <c r="G549" s="16"/>
      <c r="H549" s="16"/>
      <c r="I549" s="16"/>
      <c r="J549" s="6"/>
      <c r="K549" s="16"/>
      <c r="L549" s="16"/>
      <c r="M549" s="16"/>
      <c r="N549" s="46"/>
    </row>
    <row r="550">
      <c r="A550" s="46"/>
      <c r="B550" s="46"/>
      <c r="C550" s="46"/>
      <c r="D550" s="16"/>
      <c r="E550" s="16"/>
      <c r="F550" s="16"/>
      <c r="G550" s="16"/>
      <c r="H550" s="16"/>
      <c r="I550" s="16"/>
      <c r="J550" s="6"/>
      <c r="K550" s="16"/>
      <c r="L550" s="16"/>
      <c r="M550" s="16"/>
      <c r="N550" s="46"/>
    </row>
    <row r="551">
      <c r="A551" s="46"/>
      <c r="B551" s="46"/>
      <c r="C551" s="46"/>
      <c r="D551" s="16"/>
      <c r="E551" s="16"/>
      <c r="F551" s="16"/>
      <c r="G551" s="16"/>
      <c r="H551" s="16"/>
      <c r="I551" s="16"/>
      <c r="J551" s="6"/>
      <c r="K551" s="16"/>
      <c r="L551" s="16"/>
      <c r="M551" s="16"/>
      <c r="N551" s="46"/>
    </row>
    <row r="552">
      <c r="A552" s="46"/>
      <c r="B552" s="46"/>
      <c r="C552" s="46"/>
      <c r="D552" s="16"/>
      <c r="E552" s="16"/>
      <c r="F552" s="16"/>
      <c r="G552" s="16"/>
      <c r="H552" s="16"/>
      <c r="I552" s="16"/>
      <c r="J552" s="6"/>
      <c r="K552" s="16"/>
      <c r="L552" s="16"/>
      <c r="M552" s="16"/>
      <c r="N552" s="46"/>
    </row>
    <row r="553">
      <c r="A553" s="46"/>
      <c r="B553" s="46"/>
      <c r="C553" s="46"/>
      <c r="D553" s="16"/>
      <c r="E553" s="16"/>
      <c r="F553" s="16"/>
      <c r="G553" s="16"/>
      <c r="H553" s="16"/>
      <c r="I553" s="16"/>
      <c r="J553" s="6"/>
      <c r="K553" s="16"/>
      <c r="L553" s="16"/>
      <c r="M553" s="16"/>
      <c r="N553" s="46"/>
    </row>
    <row r="554">
      <c r="A554" s="46"/>
      <c r="B554" s="46"/>
      <c r="C554" s="46"/>
      <c r="D554" s="16"/>
      <c r="E554" s="16"/>
      <c r="F554" s="16"/>
      <c r="G554" s="16"/>
      <c r="H554" s="16"/>
      <c r="I554" s="16"/>
      <c r="J554" s="6"/>
      <c r="K554" s="16"/>
      <c r="L554" s="16"/>
      <c r="M554" s="16"/>
      <c r="N554" s="46"/>
    </row>
    <row r="555">
      <c r="A555" s="46"/>
      <c r="B555" s="46"/>
      <c r="C555" s="46"/>
      <c r="D555" s="16"/>
      <c r="E555" s="16"/>
      <c r="F555" s="16"/>
      <c r="G555" s="16"/>
      <c r="H555" s="16"/>
      <c r="I555" s="16"/>
      <c r="J555" s="6"/>
      <c r="K555" s="16"/>
      <c r="L555" s="16"/>
      <c r="M555" s="16"/>
      <c r="N555" s="46"/>
    </row>
    <row r="556">
      <c r="A556" s="46"/>
      <c r="B556" s="46"/>
      <c r="C556" s="46"/>
      <c r="D556" s="16"/>
      <c r="E556" s="16"/>
      <c r="F556" s="16"/>
      <c r="G556" s="16"/>
      <c r="H556" s="16"/>
      <c r="I556" s="16"/>
      <c r="J556" s="6"/>
      <c r="K556" s="16"/>
      <c r="L556" s="16"/>
      <c r="M556" s="16"/>
      <c r="N556" s="46"/>
    </row>
    <row r="557">
      <c r="A557" s="46"/>
      <c r="B557" s="46"/>
      <c r="C557" s="46"/>
      <c r="D557" s="16"/>
      <c r="E557" s="16"/>
      <c r="F557" s="16"/>
      <c r="G557" s="16"/>
      <c r="H557" s="16"/>
      <c r="I557" s="16"/>
      <c r="J557" s="6"/>
      <c r="K557" s="16"/>
      <c r="L557" s="16"/>
      <c r="M557" s="16"/>
      <c r="N557" s="46"/>
    </row>
    <row r="558">
      <c r="A558" s="46"/>
      <c r="B558" s="46"/>
      <c r="C558" s="46"/>
      <c r="D558" s="16"/>
      <c r="E558" s="16"/>
      <c r="F558" s="16"/>
      <c r="G558" s="16"/>
      <c r="H558" s="16"/>
      <c r="I558" s="16"/>
      <c r="J558" s="6"/>
      <c r="K558" s="16"/>
      <c r="L558" s="16"/>
      <c r="M558" s="16"/>
      <c r="N558" s="46"/>
    </row>
    <row r="559">
      <c r="A559" s="46"/>
      <c r="B559" s="46"/>
      <c r="C559" s="46"/>
      <c r="D559" s="16"/>
      <c r="E559" s="16"/>
      <c r="F559" s="16"/>
      <c r="G559" s="16"/>
      <c r="H559" s="16"/>
      <c r="I559" s="16"/>
      <c r="J559" s="6"/>
      <c r="K559" s="16"/>
      <c r="L559" s="16"/>
      <c r="M559" s="16"/>
      <c r="N559" s="46"/>
    </row>
    <row r="560">
      <c r="A560" s="46"/>
      <c r="B560" s="46"/>
      <c r="C560" s="46"/>
      <c r="D560" s="16"/>
      <c r="E560" s="16"/>
      <c r="F560" s="16"/>
      <c r="G560" s="16"/>
      <c r="H560" s="16"/>
      <c r="I560" s="16"/>
      <c r="J560" s="6"/>
      <c r="K560" s="16"/>
      <c r="L560" s="16"/>
      <c r="M560" s="16"/>
      <c r="N560" s="46"/>
    </row>
    <row r="561">
      <c r="A561" s="46"/>
      <c r="B561" s="46"/>
      <c r="C561" s="46"/>
      <c r="D561" s="16"/>
      <c r="E561" s="16"/>
      <c r="F561" s="16"/>
      <c r="G561" s="16"/>
      <c r="H561" s="16"/>
      <c r="I561" s="16"/>
      <c r="J561" s="6"/>
      <c r="K561" s="16"/>
      <c r="L561" s="16"/>
      <c r="M561" s="16"/>
      <c r="N561" s="46"/>
    </row>
    <row r="562">
      <c r="A562" s="46"/>
      <c r="B562" s="46"/>
      <c r="C562" s="46"/>
      <c r="D562" s="16"/>
      <c r="E562" s="16"/>
      <c r="F562" s="16"/>
      <c r="G562" s="16"/>
      <c r="H562" s="16"/>
      <c r="I562" s="16"/>
      <c r="J562" s="6"/>
      <c r="K562" s="16"/>
      <c r="L562" s="16"/>
      <c r="M562" s="16"/>
      <c r="N562" s="46"/>
    </row>
    <row r="563">
      <c r="A563" s="46"/>
      <c r="B563" s="46"/>
      <c r="C563" s="46"/>
      <c r="D563" s="16"/>
      <c r="E563" s="16"/>
      <c r="F563" s="16"/>
      <c r="G563" s="16"/>
      <c r="H563" s="16"/>
      <c r="I563" s="16"/>
      <c r="J563" s="6"/>
      <c r="K563" s="16"/>
      <c r="L563" s="16"/>
      <c r="M563" s="16"/>
      <c r="N563" s="46"/>
    </row>
    <row r="564">
      <c r="A564" s="46"/>
      <c r="B564" s="46"/>
      <c r="C564" s="46"/>
      <c r="D564" s="16"/>
      <c r="E564" s="16"/>
      <c r="F564" s="16"/>
      <c r="G564" s="16"/>
      <c r="H564" s="16"/>
      <c r="I564" s="16"/>
      <c r="J564" s="6"/>
      <c r="K564" s="16"/>
      <c r="L564" s="16"/>
      <c r="M564" s="16"/>
      <c r="N564" s="46"/>
    </row>
    <row r="565">
      <c r="A565" s="46"/>
      <c r="B565" s="46"/>
      <c r="C565" s="46"/>
      <c r="D565" s="16"/>
      <c r="E565" s="16"/>
      <c r="F565" s="16"/>
      <c r="G565" s="16"/>
      <c r="H565" s="16"/>
      <c r="I565" s="16"/>
      <c r="J565" s="6"/>
      <c r="K565" s="16"/>
      <c r="L565" s="16"/>
      <c r="M565" s="16"/>
      <c r="N565" s="46"/>
    </row>
    <row r="566">
      <c r="A566" s="46"/>
      <c r="B566" s="46"/>
      <c r="C566" s="46"/>
      <c r="D566" s="16"/>
      <c r="E566" s="16"/>
      <c r="F566" s="16"/>
      <c r="G566" s="16"/>
      <c r="H566" s="16"/>
      <c r="I566" s="16"/>
      <c r="J566" s="6"/>
      <c r="K566" s="16"/>
      <c r="L566" s="16"/>
      <c r="M566" s="16"/>
      <c r="N566" s="46"/>
    </row>
    <row r="567">
      <c r="A567" s="46"/>
      <c r="B567" s="46"/>
      <c r="C567" s="46"/>
      <c r="D567" s="16"/>
      <c r="E567" s="16"/>
      <c r="F567" s="16"/>
      <c r="G567" s="16"/>
      <c r="H567" s="16"/>
      <c r="I567" s="16"/>
      <c r="J567" s="6"/>
      <c r="K567" s="16"/>
      <c r="L567" s="16"/>
      <c r="M567" s="16"/>
      <c r="N567" s="46"/>
    </row>
    <row r="568">
      <c r="A568" s="46"/>
      <c r="B568" s="46"/>
      <c r="C568" s="46"/>
      <c r="D568" s="16"/>
      <c r="E568" s="16"/>
      <c r="F568" s="16"/>
      <c r="G568" s="16"/>
      <c r="H568" s="16"/>
      <c r="I568" s="16"/>
      <c r="J568" s="6"/>
      <c r="K568" s="16"/>
      <c r="L568" s="16"/>
      <c r="M568" s="16"/>
      <c r="N568" s="46"/>
    </row>
    <row r="569">
      <c r="A569" s="46"/>
      <c r="B569" s="46"/>
      <c r="C569" s="46"/>
      <c r="D569" s="16"/>
      <c r="E569" s="16"/>
      <c r="F569" s="16"/>
      <c r="G569" s="16"/>
      <c r="H569" s="16"/>
      <c r="I569" s="16"/>
      <c r="J569" s="6"/>
      <c r="K569" s="16"/>
      <c r="L569" s="16"/>
      <c r="M569" s="16"/>
      <c r="N569" s="46"/>
    </row>
    <row r="570">
      <c r="A570" s="46"/>
      <c r="B570" s="46"/>
      <c r="C570" s="46"/>
      <c r="D570" s="16"/>
      <c r="E570" s="16"/>
      <c r="F570" s="16"/>
      <c r="G570" s="16"/>
      <c r="H570" s="16"/>
      <c r="I570" s="16"/>
      <c r="J570" s="6"/>
      <c r="K570" s="16"/>
      <c r="L570" s="16"/>
      <c r="M570" s="16"/>
      <c r="N570" s="46"/>
    </row>
    <row r="571">
      <c r="A571" s="46"/>
      <c r="B571" s="46"/>
      <c r="C571" s="46"/>
      <c r="D571" s="16"/>
      <c r="E571" s="16"/>
      <c r="F571" s="16"/>
      <c r="G571" s="16"/>
      <c r="H571" s="16"/>
      <c r="I571" s="16"/>
      <c r="J571" s="6"/>
      <c r="K571" s="16"/>
      <c r="L571" s="16"/>
      <c r="M571" s="16"/>
      <c r="N571" s="46"/>
    </row>
    <row r="572">
      <c r="A572" s="46"/>
      <c r="B572" s="46"/>
      <c r="C572" s="46"/>
      <c r="D572" s="16"/>
      <c r="E572" s="16"/>
      <c r="F572" s="16"/>
      <c r="G572" s="16"/>
      <c r="H572" s="16"/>
      <c r="I572" s="16"/>
      <c r="J572" s="6"/>
      <c r="K572" s="16"/>
      <c r="L572" s="16"/>
      <c r="M572" s="16"/>
      <c r="N572" s="46"/>
    </row>
    <row r="573">
      <c r="A573" s="46"/>
      <c r="B573" s="46"/>
      <c r="C573" s="46"/>
      <c r="D573" s="16"/>
      <c r="E573" s="16"/>
      <c r="F573" s="16"/>
      <c r="G573" s="16"/>
      <c r="H573" s="16"/>
      <c r="I573" s="16"/>
      <c r="J573" s="6"/>
      <c r="K573" s="16"/>
      <c r="L573" s="16"/>
      <c r="M573" s="16"/>
      <c r="N573" s="46"/>
    </row>
    <row r="574">
      <c r="A574" s="46"/>
      <c r="B574" s="46"/>
      <c r="C574" s="46"/>
      <c r="D574" s="16"/>
      <c r="E574" s="16"/>
      <c r="F574" s="16"/>
      <c r="G574" s="16"/>
      <c r="H574" s="16"/>
      <c r="I574" s="16"/>
      <c r="J574" s="6"/>
      <c r="K574" s="16"/>
      <c r="L574" s="16"/>
      <c r="M574" s="16"/>
      <c r="N574" s="46"/>
    </row>
    <row r="575">
      <c r="A575" s="46"/>
      <c r="B575" s="46"/>
      <c r="C575" s="46"/>
      <c r="D575" s="16"/>
      <c r="E575" s="16"/>
      <c r="F575" s="16"/>
      <c r="G575" s="16"/>
      <c r="H575" s="16"/>
      <c r="I575" s="16"/>
      <c r="J575" s="6"/>
      <c r="K575" s="16"/>
      <c r="L575" s="16"/>
      <c r="M575" s="16"/>
      <c r="N575" s="46"/>
    </row>
    <row r="576">
      <c r="A576" s="46"/>
      <c r="B576" s="46"/>
      <c r="C576" s="46"/>
      <c r="D576" s="16"/>
      <c r="E576" s="16"/>
      <c r="F576" s="16"/>
      <c r="G576" s="16"/>
      <c r="H576" s="16"/>
      <c r="I576" s="16"/>
      <c r="J576" s="6"/>
      <c r="K576" s="16"/>
      <c r="L576" s="16"/>
      <c r="M576" s="16"/>
      <c r="N576" s="46"/>
    </row>
    <row r="577">
      <c r="A577" s="46"/>
      <c r="B577" s="46"/>
      <c r="C577" s="46"/>
      <c r="D577" s="16"/>
      <c r="E577" s="16"/>
      <c r="F577" s="16"/>
      <c r="G577" s="16"/>
      <c r="H577" s="16"/>
      <c r="I577" s="16"/>
      <c r="J577" s="6"/>
      <c r="K577" s="16"/>
      <c r="L577" s="16"/>
      <c r="M577" s="16"/>
      <c r="N577" s="46"/>
    </row>
    <row r="578">
      <c r="A578" s="46"/>
      <c r="B578" s="46"/>
      <c r="C578" s="46"/>
      <c r="D578" s="16"/>
      <c r="E578" s="16"/>
      <c r="F578" s="16"/>
      <c r="G578" s="16"/>
      <c r="H578" s="16"/>
      <c r="I578" s="16"/>
      <c r="J578" s="6"/>
      <c r="K578" s="16"/>
      <c r="L578" s="16"/>
      <c r="M578" s="16"/>
      <c r="N578" s="46"/>
    </row>
    <row r="579">
      <c r="A579" s="46"/>
      <c r="B579" s="46"/>
      <c r="C579" s="46"/>
      <c r="D579" s="16"/>
      <c r="E579" s="16"/>
      <c r="F579" s="16"/>
      <c r="G579" s="16"/>
      <c r="H579" s="16"/>
      <c r="I579" s="16"/>
      <c r="J579" s="6"/>
      <c r="K579" s="16"/>
      <c r="L579" s="16"/>
      <c r="M579" s="16"/>
      <c r="N579" s="46"/>
    </row>
    <row r="580">
      <c r="A580" s="46"/>
      <c r="B580" s="46"/>
      <c r="C580" s="46"/>
      <c r="D580" s="16"/>
      <c r="E580" s="16"/>
      <c r="F580" s="16"/>
      <c r="G580" s="16"/>
      <c r="H580" s="16"/>
      <c r="I580" s="16"/>
      <c r="J580" s="6"/>
      <c r="K580" s="16"/>
      <c r="L580" s="16"/>
      <c r="M580" s="16"/>
      <c r="N580" s="46"/>
    </row>
    <row r="581">
      <c r="A581" s="46"/>
      <c r="B581" s="46"/>
      <c r="C581" s="46"/>
      <c r="D581" s="16"/>
      <c r="E581" s="16"/>
      <c r="F581" s="16"/>
      <c r="G581" s="16"/>
      <c r="H581" s="16"/>
      <c r="I581" s="16"/>
      <c r="J581" s="6"/>
      <c r="K581" s="16"/>
      <c r="L581" s="16"/>
      <c r="M581" s="16"/>
      <c r="N581" s="46"/>
    </row>
    <row r="582">
      <c r="A582" s="46"/>
      <c r="B582" s="46"/>
      <c r="C582" s="46"/>
      <c r="D582" s="16"/>
      <c r="E582" s="16"/>
      <c r="F582" s="16"/>
      <c r="G582" s="16"/>
      <c r="H582" s="16"/>
      <c r="I582" s="16"/>
      <c r="J582" s="6"/>
      <c r="K582" s="16"/>
      <c r="L582" s="16"/>
      <c r="M582" s="16"/>
      <c r="N582" s="46"/>
    </row>
    <row r="583">
      <c r="A583" s="46"/>
      <c r="B583" s="46"/>
      <c r="C583" s="46"/>
      <c r="D583" s="16"/>
      <c r="E583" s="16"/>
      <c r="F583" s="16"/>
      <c r="G583" s="16"/>
      <c r="H583" s="16"/>
      <c r="I583" s="16"/>
      <c r="J583" s="6"/>
      <c r="K583" s="16"/>
      <c r="L583" s="16"/>
      <c r="M583" s="16"/>
      <c r="N583" s="46"/>
    </row>
    <row r="584">
      <c r="A584" s="46"/>
      <c r="B584" s="46"/>
      <c r="C584" s="46"/>
      <c r="D584" s="16"/>
      <c r="E584" s="16"/>
      <c r="F584" s="16"/>
      <c r="G584" s="16"/>
      <c r="H584" s="16"/>
      <c r="I584" s="16"/>
      <c r="J584" s="6"/>
      <c r="K584" s="16"/>
      <c r="L584" s="16"/>
      <c r="M584" s="16"/>
      <c r="N584" s="46"/>
    </row>
    <row r="585">
      <c r="A585" s="46"/>
      <c r="B585" s="46"/>
      <c r="C585" s="46"/>
      <c r="D585" s="16"/>
      <c r="E585" s="16"/>
      <c r="F585" s="16"/>
      <c r="G585" s="16"/>
      <c r="H585" s="16"/>
      <c r="I585" s="16"/>
      <c r="J585" s="6"/>
      <c r="K585" s="16"/>
      <c r="L585" s="16"/>
      <c r="M585" s="16"/>
      <c r="N585" s="46"/>
    </row>
    <row r="586">
      <c r="A586" s="46"/>
      <c r="B586" s="46"/>
      <c r="C586" s="46"/>
      <c r="D586" s="16"/>
      <c r="E586" s="16"/>
      <c r="F586" s="16"/>
      <c r="G586" s="16"/>
      <c r="H586" s="16"/>
      <c r="I586" s="16"/>
      <c r="J586" s="6"/>
      <c r="K586" s="16"/>
      <c r="L586" s="16"/>
      <c r="M586" s="16"/>
      <c r="N586" s="46"/>
    </row>
    <row r="587">
      <c r="A587" s="46"/>
      <c r="B587" s="46"/>
      <c r="C587" s="46"/>
      <c r="D587" s="16"/>
      <c r="E587" s="16"/>
      <c r="F587" s="16"/>
      <c r="G587" s="16"/>
      <c r="H587" s="16"/>
      <c r="I587" s="16"/>
      <c r="J587" s="6"/>
      <c r="K587" s="16"/>
      <c r="L587" s="16"/>
      <c r="M587" s="16"/>
      <c r="N587" s="46"/>
    </row>
    <row r="588">
      <c r="A588" s="46"/>
      <c r="B588" s="46"/>
      <c r="C588" s="46"/>
      <c r="D588" s="16"/>
      <c r="E588" s="16"/>
      <c r="F588" s="16"/>
      <c r="G588" s="16"/>
      <c r="H588" s="16"/>
      <c r="I588" s="16"/>
      <c r="J588" s="6"/>
      <c r="K588" s="16"/>
      <c r="L588" s="16"/>
      <c r="M588" s="16"/>
      <c r="N588" s="46"/>
    </row>
    <row r="589">
      <c r="A589" s="46"/>
      <c r="B589" s="46"/>
      <c r="C589" s="46"/>
      <c r="D589" s="16"/>
      <c r="E589" s="16"/>
      <c r="F589" s="16"/>
      <c r="G589" s="16"/>
      <c r="H589" s="16"/>
      <c r="I589" s="16"/>
      <c r="J589" s="6"/>
      <c r="K589" s="16"/>
      <c r="L589" s="16"/>
      <c r="M589" s="16"/>
      <c r="N589" s="46"/>
    </row>
    <row r="590">
      <c r="A590" s="46"/>
      <c r="B590" s="46"/>
      <c r="C590" s="46"/>
      <c r="D590" s="16"/>
      <c r="E590" s="16"/>
      <c r="F590" s="16"/>
      <c r="G590" s="16"/>
      <c r="H590" s="16"/>
      <c r="I590" s="16"/>
      <c r="J590" s="6"/>
      <c r="K590" s="16"/>
      <c r="L590" s="16"/>
      <c r="M590" s="16"/>
      <c r="N590" s="46"/>
    </row>
    <row r="591">
      <c r="A591" s="46"/>
      <c r="B591" s="46"/>
      <c r="C591" s="46"/>
      <c r="D591" s="16"/>
      <c r="E591" s="16"/>
      <c r="F591" s="16"/>
      <c r="G591" s="16"/>
      <c r="H591" s="16"/>
      <c r="I591" s="16"/>
      <c r="J591" s="6"/>
      <c r="K591" s="16"/>
      <c r="L591" s="16"/>
      <c r="M591" s="16"/>
      <c r="N591" s="46"/>
    </row>
    <row r="592">
      <c r="A592" s="46"/>
      <c r="B592" s="46"/>
      <c r="C592" s="46"/>
      <c r="D592" s="16"/>
      <c r="E592" s="16"/>
      <c r="F592" s="16"/>
      <c r="G592" s="16"/>
      <c r="H592" s="16"/>
      <c r="I592" s="16"/>
      <c r="J592" s="6"/>
      <c r="K592" s="16"/>
      <c r="L592" s="16"/>
      <c r="M592" s="16"/>
      <c r="N592" s="46"/>
    </row>
    <row r="593">
      <c r="A593" s="46"/>
      <c r="B593" s="46"/>
      <c r="C593" s="46"/>
      <c r="D593" s="16"/>
      <c r="E593" s="16"/>
      <c r="F593" s="16"/>
      <c r="G593" s="16"/>
      <c r="H593" s="16"/>
      <c r="I593" s="16"/>
      <c r="J593" s="6"/>
      <c r="K593" s="16"/>
      <c r="L593" s="16"/>
      <c r="M593" s="16"/>
      <c r="N593" s="46"/>
    </row>
    <row r="594">
      <c r="A594" s="46"/>
      <c r="B594" s="46"/>
      <c r="C594" s="46"/>
      <c r="D594" s="16"/>
      <c r="E594" s="16"/>
      <c r="F594" s="16"/>
      <c r="G594" s="16"/>
      <c r="H594" s="16"/>
      <c r="I594" s="16"/>
      <c r="J594" s="6"/>
      <c r="K594" s="16"/>
      <c r="L594" s="16"/>
      <c r="M594" s="16"/>
      <c r="N594" s="46"/>
    </row>
    <row r="595">
      <c r="A595" s="46"/>
      <c r="B595" s="46"/>
      <c r="C595" s="46"/>
      <c r="D595" s="16"/>
      <c r="E595" s="16"/>
      <c r="F595" s="16"/>
      <c r="G595" s="16"/>
      <c r="H595" s="16"/>
      <c r="I595" s="16"/>
      <c r="J595" s="6"/>
      <c r="K595" s="16"/>
      <c r="L595" s="16"/>
      <c r="M595" s="16"/>
      <c r="N595" s="46"/>
    </row>
    <row r="596">
      <c r="A596" s="46"/>
      <c r="B596" s="46"/>
      <c r="C596" s="46"/>
      <c r="D596" s="16"/>
      <c r="E596" s="16"/>
      <c r="F596" s="16"/>
      <c r="G596" s="16"/>
      <c r="H596" s="16"/>
      <c r="I596" s="16"/>
      <c r="J596" s="6"/>
      <c r="K596" s="16"/>
      <c r="L596" s="16"/>
      <c r="M596" s="16"/>
      <c r="N596" s="46"/>
    </row>
    <row r="597">
      <c r="A597" s="46"/>
      <c r="B597" s="46"/>
      <c r="C597" s="46"/>
      <c r="D597" s="16"/>
      <c r="E597" s="16"/>
      <c r="F597" s="16"/>
      <c r="G597" s="16"/>
      <c r="H597" s="16"/>
      <c r="I597" s="16"/>
      <c r="J597" s="6"/>
      <c r="K597" s="16"/>
      <c r="L597" s="16"/>
      <c r="M597" s="16"/>
      <c r="N597" s="46"/>
    </row>
    <row r="598">
      <c r="A598" s="46"/>
      <c r="B598" s="46"/>
      <c r="C598" s="46"/>
      <c r="D598" s="16"/>
      <c r="E598" s="16"/>
      <c r="F598" s="16"/>
      <c r="G598" s="16"/>
      <c r="H598" s="16"/>
      <c r="I598" s="16"/>
      <c r="J598" s="6"/>
      <c r="K598" s="16"/>
      <c r="L598" s="16"/>
      <c r="M598" s="16"/>
      <c r="N598" s="46"/>
    </row>
    <row r="599">
      <c r="A599" s="46"/>
      <c r="B599" s="46"/>
      <c r="C599" s="46"/>
      <c r="D599" s="16"/>
      <c r="E599" s="16"/>
      <c r="F599" s="16"/>
      <c r="G599" s="16"/>
      <c r="H599" s="16"/>
      <c r="I599" s="16"/>
      <c r="J599" s="6"/>
      <c r="K599" s="16"/>
      <c r="L599" s="16"/>
      <c r="M599" s="16"/>
      <c r="N599" s="46"/>
    </row>
    <row r="600">
      <c r="A600" s="46"/>
      <c r="B600" s="46"/>
      <c r="C600" s="46"/>
      <c r="D600" s="16"/>
      <c r="E600" s="16"/>
      <c r="F600" s="16"/>
      <c r="G600" s="16"/>
      <c r="H600" s="16"/>
      <c r="I600" s="16"/>
      <c r="J600" s="6"/>
      <c r="K600" s="16"/>
      <c r="L600" s="16"/>
      <c r="M600" s="16"/>
      <c r="N600" s="46"/>
    </row>
    <row r="601">
      <c r="A601" s="46"/>
      <c r="B601" s="46"/>
      <c r="C601" s="46"/>
      <c r="D601" s="16"/>
      <c r="E601" s="16"/>
      <c r="F601" s="16"/>
      <c r="G601" s="16"/>
      <c r="H601" s="16"/>
      <c r="I601" s="16"/>
      <c r="J601" s="6"/>
      <c r="K601" s="16"/>
      <c r="L601" s="16"/>
      <c r="M601" s="16"/>
      <c r="N601" s="46"/>
    </row>
    <row r="602">
      <c r="A602" s="46"/>
      <c r="B602" s="46"/>
      <c r="C602" s="46"/>
      <c r="D602" s="16"/>
      <c r="E602" s="16"/>
      <c r="F602" s="16"/>
      <c r="G602" s="16"/>
      <c r="H602" s="16"/>
      <c r="I602" s="16"/>
      <c r="J602" s="6"/>
      <c r="K602" s="16"/>
      <c r="L602" s="16"/>
      <c r="M602" s="16"/>
      <c r="N602" s="46"/>
    </row>
    <row r="603">
      <c r="A603" s="46"/>
      <c r="B603" s="46"/>
      <c r="C603" s="46"/>
      <c r="D603" s="16"/>
      <c r="E603" s="16"/>
      <c r="F603" s="16"/>
      <c r="G603" s="16"/>
      <c r="H603" s="16"/>
      <c r="I603" s="16"/>
      <c r="J603" s="6"/>
      <c r="K603" s="16"/>
      <c r="L603" s="16"/>
      <c r="M603" s="16"/>
      <c r="N603" s="46"/>
    </row>
    <row r="604">
      <c r="A604" s="46"/>
      <c r="B604" s="46"/>
      <c r="C604" s="46"/>
      <c r="D604" s="16"/>
      <c r="E604" s="16"/>
      <c r="F604" s="16"/>
      <c r="G604" s="16"/>
      <c r="H604" s="16"/>
      <c r="I604" s="16"/>
      <c r="J604" s="6"/>
      <c r="K604" s="16"/>
      <c r="L604" s="16"/>
      <c r="M604" s="16"/>
      <c r="N604" s="46"/>
    </row>
    <row r="605">
      <c r="A605" s="46"/>
      <c r="B605" s="46"/>
      <c r="C605" s="46"/>
      <c r="D605" s="16"/>
      <c r="E605" s="16"/>
      <c r="F605" s="16"/>
      <c r="G605" s="16"/>
      <c r="H605" s="16"/>
      <c r="I605" s="16"/>
      <c r="J605" s="6"/>
      <c r="K605" s="16"/>
      <c r="L605" s="16"/>
      <c r="M605" s="16"/>
      <c r="N605" s="46"/>
    </row>
    <row r="606">
      <c r="A606" s="46"/>
      <c r="B606" s="46"/>
      <c r="C606" s="46"/>
      <c r="D606" s="16"/>
      <c r="E606" s="16"/>
      <c r="F606" s="16"/>
      <c r="G606" s="16"/>
      <c r="H606" s="16"/>
      <c r="I606" s="16"/>
      <c r="J606" s="6"/>
      <c r="K606" s="16"/>
      <c r="L606" s="16"/>
      <c r="M606" s="16"/>
      <c r="N606" s="46"/>
    </row>
    <row r="607">
      <c r="A607" s="46"/>
      <c r="B607" s="46"/>
      <c r="C607" s="46"/>
      <c r="D607" s="16"/>
      <c r="E607" s="16"/>
      <c r="F607" s="16"/>
      <c r="G607" s="16"/>
      <c r="H607" s="16"/>
      <c r="I607" s="16"/>
      <c r="J607" s="6"/>
      <c r="K607" s="16"/>
      <c r="L607" s="16"/>
      <c r="M607" s="16"/>
      <c r="N607" s="46"/>
    </row>
    <row r="608">
      <c r="A608" s="46"/>
      <c r="B608" s="46"/>
      <c r="C608" s="46"/>
      <c r="D608" s="16"/>
      <c r="E608" s="16"/>
      <c r="F608" s="16"/>
      <c r="G608" s="16"/>
      <c r="H608" s="16"/>
      <c r="I608" s="16"/>
      <c r="J608" s="6"/>
      <c r="K608" s="16"/>
      <c r="L608" s="16"/>
      <c r="M608" s="16"/>
      <c r="N608" s="46"/>
    </row>
    <row r="609">
      <c r="A609" s="46"/>
      <c r="B609" s="46"/>
      <c r="C609" s="46"/>
      <c r="D609" s="16"/>
      <c r="E609" s="16"/>
      <c r="F609" s="16"/>
      <c r="G609" s="16"/>
      <c r="H609" s="16"/>
      <c r="I609" s="16"/>
      <c r="J609" s="6"/>
      <c r="K609" s="16"/>
      <c r="L609" s="16"/>
      <c r="M609" s="16"/>
      <c r="N609" s="46"/>
    </row>
    <row r="610">
      <c r="A610" s="46"/>
      <c r="B610" s="46"/>
      <c r="C610" s="46"/>
      <c r="D610" s="16"/>
      <c r="E610" s="16"/>
      <c r="F610" s="16"/>
      <c r="G610" s="16"/>
      <c r="H610" s="16"/>
      <c r="I610" s="16"/>
      <c r="J610" s="6"/>
      <c r="K610" s="16"/>
      <c r="L610" s="16"/>
      <c r="M610" s="16"/>
      <c r="N610" s="46"/>
    </row>
    <row r="611">
      <c r="A611" s="46"/>
      <c r="B611" s="46"/>
      <c r="C611" s="46"/>
      <c r="D611" s="16"/>
      <c r="E611" s="16"/>
      <c r="F611" s="16"/>
      <c r="G611" s="16"/>
      <c r="H611" s="16"/>
      <c r="I611" s="16"/>
      <c r="J611" s="6"/>
      <c r="K611" s="16"/>
      <c r="L611" s="16"/>
      <c r="M611" s="16"/>
      <c r="N611" s="46"/>
    </row>
    <row r="612">
      <c r="A612" s="46"/>
      <c r="B612" s="46"/>
      <c r="C612" s="46"/>
      <c r="D612" s="16"/>
      <c r="E612" s="16"/>
      <c r="F612" s="16"/>
      <c r="G612" s="16"/>
      <c r="H612" s="16"/>
      <c r="I612" s="16"/>
      <c r="J612" s="6"/>
      <c r="K612" s="16"/>
      <c r="L612" s="16"/>
      <c r="M612" s="16"/>
      <c r="N612" s="46"/>
    </row>
    <row r="613">
      <c r="A613" s="46"/>
      <c r="B613" s="46"/>
      <c r="C613" s="46"/>
      <c r="D613" s="16"/>
      <c r="E613" s="16"/>
      <c r="F613" s="16"/>
      <c r="G613" s="16"/>
      <c r="H613" s="16"/>
      <c r="I613" s="16"/>
      <c r="J613" s="6"/>
      <c r="K613" s="16"/>
      <c r="L613" s="16"/>
      <c r="M613" s="16"/>
      <c r="N613" s="46"/>
    </row>
    <row r="614">
      <c r="A614" s="46"/>
      <c r="B614" s="46"/>
      <c r="C614" s="46"/>
      <c r="D614" s="16"/>
      <c r="E614" s="16"/>
      <c r="F614" s="16"/>
      <c r="G614" s="16"/>
      <c r="H614" s="16"/>
      <c r="I614" s="16"/>
      <c r="J614" s="6"/>
      <c r="K614" s="16"/>
      <c r="L614" s="16"/>
      <c r="M614" s="16"/>
      <c r="N614" s="46"/>
    </row>
    <row r="615">
      <c r="A615" s="46"/>
      <c r="B615" s="46"/>
      <c r="C615" s="46"/>
      <c r="D615" s="16"/>
      <c r="E615" s="16"/>
      <c r="F615" s="16"/>
      <c r="G615" s="16"/>
      <c r="H615" s="16"/>
      <c r="I615" s="16"/>
      <c r="J615" s="6"/>
      <c r="K615" s="16"/>
      <c r="L615" s="16"/>
      <c r="M615" s="16"/>
      <c r="N615" s="46"/>
    </row>
    <row r="616">
      <c r="A616" s="46"/>
      <c r="B616" s="46"/>
      <c r="C616" s="46"/>
      <c r="D616" s="16"/>
      <c r="E616" s="16"/>
      <c r="F616" s="16"/>
      <c r="G616" s="16"/>
      <c r="H616" s="16"/>
      <c r="I616" s="16"/>
      <c r="J616" s="6"/>
      <c r="K616" s="16"/>
      <c r="L616" s="16"/>
      <c r="M616" s="16"/>
      <c r="N616" s="46"/>
    </row>
    <row r="617">
      <c r="A617" s="46"/>
      <c r="B617" s="46"/>
      <c r="C617" s="46"/>
      <c r="D617" s="16"/>
      <c r="E617" s="16"/>
      <c r="F617" s="16"/>
      <c r="G617" s="16"/>
      <c r="H617" s="16"/>
      <c r="I617" s="16"/>
      <c r="J617" s="6"/>
      <c r="K617" s="16"/>
      <c r="L617" s="16"/>
      <c r="M617" s="16"/>
      <c r="N617" s="46"/>
    </row>
    <row r="618">
      <c r="A618" s="46"/>
      <c r="B618" s="46"/>
      <c r="C618" s="46"/>
      <c r="D618" s="16"/>
      <c r="E618" s="16"/>
      <c r="F618" s="16"/>
      <c r="G618" s="16"/>
      <c r="H618" s="16"/>
      <c r="I618" s="16"/>
      <c r="J618" s="6"/>
      <c r="K618" s="16"/>
      <c r="L618" s="16"/>
      <c r="M618" s="16"/>
      <c r="N618" s="46"/>
    </row>
    <row r="619">
      <c r="A619" s="46"/>
      <c r="B619" s="46"/>
      <c r="C619" s="46"/>
      <c r="D619" s="16"/>
      <c r="E619" s="16"/>
      <c r="F619" s="16"/>
      <c r="G619" s="16"/>
      <c r="H619" s="16"/>
      <c r="I619" s="16"/>
      <c r="J619" s="6"/>
      <c r="K619" s="16"/>
      <c r="L619" s="16"/>
      <c r="M619" s="16"/>
      <c r="N619" s="46"/>
    </row>
    <row r="620">
      <c r="A620" s="46"/>
      <c r="B620" s="46"/>
      <c r="C620" s="46"/>
      <c r="D620" s="16"/>
      <c r="E620" s="16"/>
      <c r="F620" s="16"/>
      <c r="G620" s="16"/>
      <c r="H620" s="16"/>
      <c r="I620" s="16"/>
      <c r="J620" s="6"/>
      <c r="K620" s="16"/>
      <c r="L620" s="16"/>
      <c r="M620" s="16"/>
      <c r="N620" s="46"/>
    </row>
    <row r="621">
      <c r="A621" s="46"/>
      <c r="B621" s="46"/>
      <c r="C621" s="46"/>
      <c r="D621" s="16"/>
      <c r="E621" s="16"/>
      <c r="F621" s="16"/>
      <c r="G621" s="16"/>
      <c r="H621" s="16"/>
      <c r="I621" s="16"/>
      <c r="J621" s="6"/>
      <c r="K621" s="16"/>
      <c r="L621" s="16"/>
      <c r="M621" s="16"/>
      <c r="N621" s="46"/>
    </row>
    <row r="622">
      <c r="A622" s="46"/>
      <c r="B622" s="46"/>
      <c r="C622" s="46"/>
      <c r="D622" s="16"/>
      <c r="E622" s="16"/>
      <c r="F622" s="16"/>
      <c r="G622" s="16"/>
      <c r="H622" s="16"/>
      <c r="I622" s="16"/>
      <c r="J622" s="6"/>
      <c r="K622" s="16"/>
      <c r="L622" s="16"/>
      <c r="M622" s="16"/>
      <c r="N622" s="46"/>
    </row>
    <row r="623">
      <c r="A623" s="46"/>
      <c r="B623" s="46"/>
      <c r="C623" s="46"/>
      <c r="D623" s="16"/>
      <c r="E623" s="16"/>
      <c r="F623" s="16"/>
      <c r="G623" s="16"/>
      <c r="H623" s="16"/>
      <c r="I623" s="16"/>
      <c r="J623" s="6"/>
      <c r="K623" s="16"/>
      <c r="L623" s="16"/>
      <c r="M623" s="16"/>
      <c r="N623" s="46"/>
    </row>
    <row r="624">
      <c r="A624" s="46"/>
      <c r="B624" s="46"/>
      <c r="C624" s="46"/>
      <c r="D624" s="16"/>
      <c r="E624" s="16"/>
      <c r="F624" s="16"/>
      <c r="G624" s="16"/>
      <c r="H624" s="16"/>
      <c r="I624" s="16"/>
      <c r="J624" s="6"/>
      <c r="K624" s="16"/>
      <c r="L624" s="16"/>
      <c r="M624" s="16"/>
      <c r="N624" s="46"/>
    </row>
    <row r="625">
      <c r="A625" s="46"/>
      <c r="B625" s="46"/>
      <c r="C625" s="46"/>
      <c r="D625" s="16"/>
      <c r="E625" s="16"/>
      <c r="F625" s="16"/>
      <c r="G625" s="16"/>
      <c r="H625" s="16"/>
      <c r="I625" s="16"/>
      <c r="J625" s="6"/>
      <c r="K625" s="16"/>
      <c r="L625" s="16"/>
      <c r="M625" s="16"/>
      <c r="N625" s="46"/>
    </row>
    <row r="626">
      <c r="A626" s="46"/>
      <c r="B626" s="46"/>
      <c r="C626" s="46"/>
      <c r="D626" s="16"/>
      <c r="E626" s="16"/>
      <c r="F626" s="16"/>
      <c r="G626" s="16"/>
      <c r="H626" s="16"/>
      <c r="I626" s="16"/>
      <c r="J626" s="6"/>
      <c r="K626" s="16"/>
      <c r="L626" s="16"/>
      <c r="M626" s="16"/>
      <c r="N626" s="46"/>
    </row>
    <row r="627">
      <c r="A627" s="46"/>
      <c r="B627" s="46"/>
      <c r="C627" s="46"/>
      <c r="D627" s="16"/>
      <c r="E627" s="16"/>
      <c r="F627" s="16"/>
      <c r="G627" s="16"/>
      <c r="H627" s="16"/>
      <c r="I627" s="16"/>
      <c r="J627" s="6"/>
      <c r="K627" s="16"/>
      <c r="L627" s="16"/>
      <c r="M627" s="16"/>
      <c r="N627" s="46"/>
    </row>
    <row r="628">
      <c r="A628" s="46"/>
      <c r="B628" s="46"/>
      <c r="C628" s="46"/>
      <c r="D628" s="16"/>
      <c r="E628" s="16"/>
      <c r="F628" s="16"/>
      <c r="G628" s="16"/>
      <c r="H628" s="16"/>
      <c r="I628" s="16"/>
      <c r="J628" s="6"/>
      <c r="K628" s="16"/>
      <c r="L628" s="16"/>
      <c r="M628" s="16"/>
      <c r="N628" s="46"/>
    </row>
    <row r="629">
      <c r="A629" s="46"/>
      <c r="B629" s="46"/>
      <c r="C629" s="46"/>
      <c r="D629" s="16"/>
      <c r="E629" s="16"/>
      <c r="F629" s="16"/>
      <c r="G629" s="16"/>
      <c r="H629" s="16"/>
      <c r="I629" s="16"/>
      <c r="J629" s="6"/>
      <c r="K629" s="16"/>
      <c r="L629" s="16"/>
      <c r="M629" s="16"/>
      <c r="N629" s="46"/>
    </row>
    <row r="630">
      <c r="A630" s="46"/>
      <c r="B630" s="46"/>
      <c r="C630" s="46"/>
      <c r="D630" s="16"/>
      <c r="E630" s="16"/>
      <c r="F630" s="16"/>
      <c r="G630" s="16"/>
      <c r="H630" s="16"/>
      <c r="I630" s="16"/>
      <c r="J630" s="6"/>
      <c r="K630" s="16"/>
      <c r="L630" s="16"/>
      <c r="M630" s="16"/>
      <c r="N630" s="46"/>
    </row>
    <row r="631">
      <c r="A631" s="46"/>
      <c r="B631" s="46"/>
      <c r="C631" s="46"/>
      <c r="D631" s="16"/>
      <c r="E631" s="16"/>
      <c r="F631" s="16"/>
      <c r="G631" s="16"/>
      <c r="H631" s="16"/>
      <c r="I631" s="16"/>
      <c r="J631" s="6"/>
      <c r="K631" s="16"/>
      <c r="L631" s="16"/>
      <c r="M631" s="16"/>
      <c r="N631" s="46"/>
    </row>
    <row r="632">
      <c r="A632" s="46"/>
      <c r="B632" s="46"/>
      <c r="C632" s="46"/>
      <c r="D632" s="16"/>
      <c r="E632" s="16"/>
      <c r="F632" s="16"/>
      <c r="G632" s="16"/>
      <c r="H632" s="16"/>
      <c r="I632" s="16"/>
      <c r="J632" s="6"/>
      <c r="K632" s="16"/>
      <c r="L632" s="16"/>
      <c r="M632" s="16"/>
      <c r="N632" s="46"/>
    </row>
    <row r="633">
      <c r="A633" s="46"/>
      <c r="B633" s="46"/>
      <c r="C633" s="46"/>
      <c r="D633" s="16"/>
      <c r="E633" s="16"/>
      <c r="F633" s="16"/>
      <c r="G633" s="16"/>
      <c r="H633" s="16"/>
      <c r="I633" s="16"/>
      <c r="J633" s="6"/>
      <c r="K633" s="16"/>
      <c r="L633" s="16"/>
      <c r="M633" s="16"/>
      <c r="N633" s="46"/>
    </row>
    <row r="634">
      <c r="A634" s="46"/>
      <c r="B634" s="46"/>
      <c r="C634" s="46"/>
      <c r="D634" s="16"/>
      <c r="E634" s="16"/>
      <c r="F634" s="16"/>
      <c r="G634" s="16"/>
      <c r="H634" s="16"/>
      <c r="I634" s="16"/>
      <c r="J634" s="6"/>
      <c r="K634" s="16"/>
      <c r="L634" s="16"/>
      <c r="M634" s="16"/>
      <c r="N634" s="46"/>
    </row>
    <row r="635">
      <c r="A635" s="46"/>
      <c r="B635" s="46"/>
      <c r="C635" s="46"/>
      <c r="D635" s="16"/>
      <c r="E635" s="16"/>
      <c r="F635" s="16"/>
      <c r="G635" s="16"/>
      <c r="H635" s="16"/>
      <c r="I635" s="16"/>
      <c r="J635" s="6"/>
      <c r="K635" s="16"/>
      <c r="L635" s="16"/>
      <c r="M635" s="16"/>
      <c r="N635" s="46"/>
    </row>
    <row r="636">
      <c r="A636" s="46"/>
      <c r="B636" s="46"/>
      <c r="C636" s="46"/>
      <c r="D636" s="16"/>
      <c r="E636" s="16"/>
      <c r="F636" s="16"/>
      <c r="G636" s="16"/>
      <c r="H636" s="16"/>
      <c r="I636" s="16"/>
      <c r="J636" s="6"/>
      <c r="K636" s="16"/>
      <c r="L636" s="16"/>
      <c r="M636" s="16"/>
      <c r="N636" s="46"/>
    </row>
    <row r="637">
      <c r="A637" s="46"/>
      <c r="B637" s="46"/>
      <c r="C637" s="46"/>
      <c r="D637" s="16"/>
      <c r="E637" s="16"/>
      <c r="F637" s="16"/>
      <c r="G637" s="16"/>
      <c r="H637" s="16"/>
      <c r="I637" s="16"/>
      <c r="J637" s="6"/>
      <c r="K637" s="16"/>
      <c r="L637" s="16"/>
      <c r="M637" s="16"/>
      <c r="N637" s="46"/>
    </row>
    <row r="638">
      <c r="A638" s="46"/>
      <c r="B638" s="46"/>
      <c r="C638" s="46"/>
      <c r="D638" s="16"/>
      <c r="E638" s="16"/>
      <c r="F638" s="16"/>
      <c r="G638" s="16"/>
      <c r="H638" s="16"/>
      <c r="I638" s="16"/>
      <c r="J638" s="6"/>
      <c r="K638" s="16"/>
      <c r="L638" s="16"/>
      <c r="M638" s="16"/>
      <c r="N638" s="46"/>
    </row>
    <row r="639">
      <c r="A639" s="46"/>
      <c r="B639" s="46"/>
      <c r="C639" s="46"/>
      <c r="D639" s="16"/>
      <c r="E639" s="16"/>
      <c r="F639" s="16"/>
      <c r="G639" s="16"/>
      <c r="H639" s="16"/>
      <c r="I639" s="16"/>
      <c r="J639" s="6"/>
      <c r="K639" s="16"/>
      <c r="L639" s="16"/>
      <c r="M639" s="16"/>
      <c r="N639" s="46"/>
    </row>
    <row r="640">
      <c r="A640" s="46"/>
      <c r="B640" s="46"/>
      <c r="C640" s="46"/>
      <c r="D640" s="16"/>
      <c r="E640" s="16"/>
      <c r="F640" s="16"/>
      <c r="G640" s="16"/>
      <c r="H640" s="16"/>
      <c r="I640" s="16"/>
      <c r="J640" s="6"/>
      <c r="K640" s="16"/>
      <c r="L640" s="16"/>
      <c r="M640" s="16"/>
      <c r="N640" s="46"/>
    </row>
    <row r="641">
      <c r="A641" s="46"/>
      <c r="B641" s="46"/>
      <c r="C641" s="46"/>
      <c r="D641" s="16"/>
      <c r="E641" s="16"/>
      <c r="F641" s="16"/>
      <c r="G641" s="16"/>
      <c r="H641" s="16"/>
      <c r="I641" s="16"/>
      <c r="J641" s="6"/>
      <c r="K641" s="16"/>
      <c r="L641" s="16"/>
      <c r="M641" s="16"/>
      <c r="N641" s="46"/>
    </row>
    <row r="642">
      <c r="A642" s="46"/>
      <c r="B642" s="46"/>
      <c r="C642" s="46"/>
      <c r="D642" s="16"/>
      <c r="E642" s="16"/>
      <c r="F642" s="16"/>
      <c r="G642" s="16"/>
      <c r="H642" s="16"/>
      <c r="I642" s="16"/>
      <c r="J642" s="6"/>
      <c r="K642" s="16"/>
      <c r="L642" s="16"/>
      <c r="M642" s="16"/>
      <c r="N642" s="46"/>
    </row>
    <row r="643">
      <c r="A643" s="46"/>
      <c r="B643" s="46"/>
      <c r="C643" s="46"/>
      <c r="D643" s="16"/>
      <c r="E643" s="16"/>
      <c r="F643" s="16"/>
      <c r="G643" s="16"/>
      <c r="H643" s="16"/>
      <c r="I643" s="16"/>
      <c r="J643" s="6"/>
      <c r="K643" s="16"/>
      <c r="L643" s="16"/>
      <c r="M643" s="16"/>
      <c r="N643" s="46"/>
    </row>
    <row r="644">
      <c r="A644" s="46"/>
      <c r="B644" s="46"/>
      <c r="C644" s="46"/>
      <c r="D644" s="16"/>
      <c r="E644" s="16"/>
      <c r="F644" s="16"/>
      <c r="G644" s="16"/>
      <c r="H644" s="16"/>
      <c r="I644" s="16"/>
      <c r="J644" s="6"/>
      <c r="K644" s="16"/>
      <c r="L644" s="16"/>
      <c r="M644" s="16"/>
      <c r="N644" s="46"/>
    </row>
    <row r="645">
      <c r="A645" s="46"/>
      <c r="B645" s="46"/>
      <c r="C645" s="46"/>
      <c r="D645" s="16"/>
      <c r="E645" s="16"/>
      <c r="F645" s="16"/>
      <c r="G645" s="16"/>
      <c r="H645" s="16"/>
      <c r="I645" s="16"/>
      <c r="J645" s="6"/>
      <c r="K645" s="16"/>
      <c r="L645" s="16"/>
      <c r="M645" s="16"/>
      <c r="N645" s="46"/>
    </row>
    <row r="646">
      <c r="A646" s="46"/>
      <c r="B646" s="46"/>
      <c r="C646" s="46"/>
      <c r="D646" s="16"/>
      <c r="E646" s="16"/>
      <c r="F646" s="16"/>
      <c r="G646" s="16"/>
      <c r="H646" s="16"/>
      <c r="I646" s="16"/>
      <c r="J646" s="6"/>
      <c r="K646" s="16"/>
      <c r="L646" s="16"/>
      <c r="M646" s="16"/>
      <c r="N646" s="46"/>
    </row>
    <row r="647">
      <c r="A647" s="46"/>
      <c r="B647" s="46"/>
      <c r="C647" s="46"/>
      <c r="D647" s="16"/>
      <c r="E647" s="16"/>
      <c r="F647" s="16"/>
      <c r="G647" s="16"/>
      <c r="H647" s="16"/>
      <c r="I647" s="16"/>
      <c r="J647" s="6"/>
      <c r="K647" s="16"/>
      <c r="L647" s="16"/>
      <c r="M647" s="16"/>
      <c r="N647" s="46"/>
    </row>
    <row r="648">
      <c r="A648" s="46"/>
      <c r="B648" s="46"/>
      <c r="C648" s="46"/>
      <c r="D648" s="16"/>
      <c r="E648" s="16"/>
      <c r="F648" s="16"/>
      <c r="G648" s="16"/>
      <c r="H648" s="16"/>
      <c r="I648" s="16"/>
      <c r="J648" s="6"/>
      <c r="K648" s="16"/>
      <c r="L648" s="16"/>
      <c r="M648" s="16"/>
      <c r="N648" s="46"/>
    </row>
    <row r="649">
      <c r="A649" s="46"/>
      <c r="B649" s="46"/>
      <c r="C649" s="46"/>
      <c r="D649" s="16"/>
      <c r="E649" s="16"/>
      <c r="F649" s="16"/>
      <c r="G649" s="16"/>
      <c r="H649" s="16"/>
      <c r="I649" s="16"/>
      <c r="J649" s="6"/>
      <c r="K649" s="16"/>
      <c r="L649" s="16"/>
      <c r="M649" s="16"/>
      <c r="N649" s="46"/>
    </row>
    <row r="650">
      <c r="A650" s="46"/>
      <c r="B650" s="46"/>
      <c r="C650" s="46"/>
      <c r="D650" s="16"/>
      <c r="E650" s="16"/>
      <c r="F650" s="16"/>
      <c r="G650" s="16"/>
      <c r="H650" s="16"/>
      <c r="I650" s="16"/>
      <c r="J650" s="6"/>
      <c r="K650" s="16"/>
      <c r="L650" s="16"/>
      <c r="M650" s="16"/>
      <c r="N650" s="46"/>
    </row>
    <row r="651">
      <c r="A651" s="46"/>
      <c r="B651" s="46"/>
      <c r="C651" s="46"/>
      <c r="D651" s="16"/>
      <c r="E651" s="16"/>
      <c r="F651" s="16"/>
      <c r="G651" s="16"/>
      <c r="H651" s="16"/>
      <c r="I651" s="16"/>
      <c r="J651" s="6"/>
      <c r="K651" s="16"/>
      <c r="L651" s="16"/>
      <c r="M651" s="16"/>
      <c r="N651" s="46"/>
    </row>
    <row r="652">
      <c r="A652" s="46"/>
      <c r="B652" s="46"/>
      <c r="C652" s="46"/>
      <c r="D652" s="16"/>
      <c r="E652" s="16"/>
      <c r="F652" s="16"/>
      <c r="G652" s="16"/>
      <c r="H652" s="16"/>
      <c r="I652" s="16"/>
      <c r="J652" s="6"/>
      <c r="K652" s="16"/>
      <c r="L652" s="16"/>
      <c r="M652" s="16"/>
      <c r="N652" s="46"/>
    </row>
    <row r="653">
      <c r="A653" s="46"/>
      <c r="B653" s="46"/>
      <c r="C653" s="46"/>
      <c r="D653" s="16"/>
      <c r="E653" s="16"/>
      <c r="F653" s="16"/>
      <c r="G653" s="16"/>
      <c r="H653" s="16"/>
      <c r="I653" s="16"/>
      <c r="J653" s="6"/>
      <c r="K653" s="16"/>
      <c r="L653" s="16"/>
      <c r="M653" s="16"/>
      <c r="N653" s="46"/>
    </row>
    <row r="654">
      <c r="A654" s="46"/>
      <c r="B654" s="46"/>
      <c r="C654" s="46"/>
      <c r="D654" s="16"/>
      <c r="E654" s="16"/>
      <c r="F654" s="16"/>
      <c r="G654" s="16"/>
      <c r="H654" s="16"/>
      <c r="I654" s="16"/>
      <c r="J654" s="6"/>
      <c r="K654" s="16"/>
      <c r="L654" s="16"/>
      <c r="M654" s="16"/>
      <c r="N654" s="46"/>
    </row>
    <row r="655">
      <c r="A655" s="46"/>
      <c r="B655" s="46"/>
      <c r="C655" s="46"/>
      <c r="D655" s="16"/>
      <c r="E655" s="16"/>
      <c r="F655" s="16"/>
      <c r="G655" s="16"/>
      <c r="H655" s="16"/>
      <c r="I655" s="16"/>
      <c r="J655" s="6"/>
      <c r="K655" s="16"/>
      <c r="L655" s="16"/>
      <c r="M655" s="16"/>
      <c r="N655" s="46"/>
    </row>
    <row r="656">
      <c r="A656" s="46"/>
      <c r="B656" s="46"/>
      <c r="C656" s="46"/>
      <c r="D656" s="16"/>
      <c r="E656" s="16"/>
      <c r="F656" s="16"/>
      <c r="G656" s="16"/>
      <c r="H656" s="16"/>
      <c r="I656" s="16"/>
      <c r="J656" s="6"/>
      <c r="K656" s="16"/>
      <c r="L656" s="16"/>
      <c r="M656" s="16"/>
      <c r="N656" s="46"/>
    </row>
    <row r="657">
      <c r="A657" s="46"/>
      <c r="B657" s="46"/>
      <c r="C657" s="46"/>
      <c r="D657" s="16"/>
      <c r="E657" s="16"/>
      <c r="F657" s="16"/>
      <c r="G657" s="16"/>
      <c r="H657" s="16"/>
      <c r="I657" s="16"/>
      <c r="J657" s="6"/>
      <c r="K657" s="16"/>
      <c r="L657" s="16"/>
      <c r="M657" s="16"/>
      <c r="N657" s="46"/>
    </row>
    <row r="658">
      <c r="A658" s="46"/>
      <c r="B658" s="46"/>
      <c r="C658" s="46"/>
      <c r="D658" s="16"/>
      <c r="E658" s="16"/>
      <c r="F658" s="16"/>
      <c r="G658" s="16"/>
      <c r="H658" s="16"/>
      <c r="I658" s="16"/>
      <c r="J658" s="6"/>
      <c r="K658" s="16"/>
      <c r="L658" s="16"/>
      <c r="M658" s="16"/>
      <c r="N658" s="46"/>
    </row>
    <row r="659">
      <c r="A659" s="46"/>
      <c r="B659" s="46"/>
      <c r="C659" s="46"/>
      <c r="D659" s="16"/>
      <c r="E659" s="16"/>
      <c r="F659" s="16"/>
      <c r="G659" s="16"/>
      <c r="H659" s="16"/>
      <c r="I659" s="16"/>
      <c r="J659" s="6"/>
      <c r="K659" s="16"/>
      <c r="L659" s="16"/>
      <c r="M659" s="16"/>
      <c r="N659" s="46"/>
    </row>
    <row r="660">
      <c r="A660" s="46"/>
      <c r="B660" s="46"/>
      <c r="C660" s="46"/>
      <c r="D660" s="16"/>
      <c r="E660" s="16"/>
      <c r="F660" s="16"/>
      <c r="G660" s="16"/>
      <c r="H660" s="16"/>
      <c r="I660" s="16"/>
      <c r="J660" s="6"/>
      <c r="K660" s="16"/>
      <c r="L660" s="16"/>
      <c r="M660" s="16"/>
      <c r="N660" s="46"/>
    </row>
    <row r="661">
      <c r="A661" s="46"/>
      <c r="B661" s="46"/>
      <c r="C661" s="46"/>
      <c r="D661" s="16"/>
      <c r="E661" s="16"/>
      <c r="F661" s="16"/>
      <c r="G661" s="16"/>
      <c r="H661" s="16"/>
      <c r="I661" s="16"/>
      <c r="J661" s="6"/>
      <c r="K661" s="16"/>
      <c r="L661" s="16"/>
      <c r="M661" s="16"/>
      <c r="N661" s="46"/>
    </row>
    <row r="662">
      <c r="A662" s="46"/>
      <c r="B662" s="46"/>
      <c r="C662" s="46"/>
      <c r="D662" s="16"/>
      <c r="E662" s="16"/>
      <c r="F662" s="16"/>
      <c r="G662" s="16"/>
      <c r="H662" s="16"/>
      <c r="I662" s="16"/>
      <c r="J662" s="6"/>
      <c r="K662" s="16"/>
      <c r="L662" s="16"/>
      <c r="M662" s="16"/>
      <c r="N662" s="46"/>
    </row>
    <row r="663">
      <c r="A663" s="46"/>
      <c r="B663" s="46"/>
      <c r="C663" s="46"/>
      <c r="D663" s="16"/>
      <c r="E663" s="16"/>
      <c r="F663" s="16"/>
      <c r="G663" s="16"/>
      <c r="H663" s="16"/>
      <c r="I663" s="16"/>
      <c r="J663" s="6"/>
      <c r="K663" s="16"/>
      <c r="L663" s="16"/>
      <c r="M663" s="16"/>
      <c r="N663" s="46"/>
    </row>
    <row r="664">
      <c r="A664" s="46"/>
      <c r="B664" s="46"/>
      <c r="C664" s="46"/>
      <c r="D664" s="16"/>
      <c r="E664" s="16"/>
      <c r="F664" s="16"/>
      <c r="G664" s="16"/>
      <c r="H664" s="16"/>
      <c r="I664" s="16"/>
      <c r="J664" s="6"/>
      <c r="K664" s="16"/>
      <c r="L664" s="16"/>
      <c r="M664" s="16"/>
      <c r="N664" s="46"/>
    </row>
    <row r="665">
      <c r="A665" s="46"/>
      <c r="B665" s="46"/>
      <c r="C665" s="46"/>
      <c r="D665" s="16"/>
      <c r="E665" s="16"/>
      <c r="F665" s="16"/>
      <c r="G665" s="16"/>
      <c r="H665" s="16"/>
      <c r="I665" s="16"/>
      <c r="J665" s="6"/>
      <c r="K665" s="16"/>
      <c r="L665" s="16"/>
      <c r="M665" s="16"/>
      <c r="N665" s="46"/>
    </row>
    <row r="666">
      <c r="A666" s="46"/>
      <c r="B666" s="46"/>
      <c r="C666" s="46"/>
      <c r="D666" s="16"/>
      <c r="E666" s="16"/>
      <c r="F666" s="16"/>
      <c r="G666" s="16"/>
      <c r="H666" s="16"/>
      <c r="I666" s="16"/>
      <c r="J666" s="6"/>
      <c r="K666" s="16"/>
      <c r="L666" s="16"/>
      <c r="M666" s="16"/>
      <c r="N666" s="46"/>
    </row>
    <row r="667">
      <c r="A667" s="46"/>
      <c r="B667" s="46"/>
      <c r="C667" s="46"/>
      <c r="D667" s="16"/>
      <c r="E667" s="16"/>
      <c r="F667" s="16"/>
      <c r="G667" s="16"/>
      <c r="H667" s="16"/>
      <c r="I667" s="16"/>
      <c r="J667" s="6"/>
      <c r="K667" s="16"/>
      <c r="L667" s="16"/>
      <c r="M667" s="16"/>
      <c r="N667" s="46"/>
    </row>
    <row r="668">
      <c r="A668" s="46"/>
      <c r="B668" s="46"/>
      <c r="C668" s="46"/>
      <c r="D668" s="16"/>
      <c r="E668" s="16"/>
      <c r="F668" s="16"/>
      <c r="G668" s="16"/>
      <c r="H668" s="16"/>
      <c r="I668" s="16"/>
      <c r="J668" s="6"/>
      <c r="K668" s="16"/>
      <c r="L668" s="16"/>
      <c r="M668" s="16"/>
      <c r="N668" s="46"/>
    </row>
    <row r="669">
      <c r="A669" s="46"/>
      <c r="B669" s="46"/>
      <c r="C669" s="46"/>
      <c r="D669" s="16"/>
      <c r="E669" s="16"/>
      <c r="F669" s="16"/>
      <c r="G669" s="16"/>
      <c r="H669" s="16"/>
      <c r="I669" s="16"/>
      <c r="J669" s="6"/>
      <c r="K669" s="16"/>
      <c r="L669" s="16"/>
      <c r="M669" s="16"/>
      <c r="N669" s="46"/>
    </row>
    <row r="670">
      <c r="A670" s="46"/>
      <c r="B670" s="46"/>
      <c r="C670" s="46"/>
      <c r="D670" s="16"/>
      <c r="E670" s="16"/>
      <c r="F670" s="16"/>
      <c r="G670" s="16"/>
      <c r="H670" s="16"/>
      <c r="I670" s="16"/>
      <c r="J670" s="6"/>
      <c r="K670" s="16"/>
      <c r="L670" s="16"/>
      <c r="M670" s="16"/>
      <c r="N670" s="46"/>
    </row>
    <row r="671">
      <c r="A671" s="46"/>
      <c r="B671" s="46"/>
      <c r="C671" s="46"/>
      <c r="D671" s="16"/>
      <c r="E671" s="16"/>
      <c r="F671" s="16"/>
      <c r="G671" s="16"/>
      <c r="H671" s="16"/>
      <c r="I671" s="16"/>
      <c r="J671" s="6"/>
      <c r="K671" s="16"/>
      <c r="L671" s="16"/>
      <c r="M671" s="16"/>
      <c r="N671" s="46"/>
    </row>
    <row r="672">
      <c r="A672" s="46"/>
      <c r="B672" s="46"/>
      <c r="C672" s="46"/>
      <c r="D672" s="16"/>
      <c r="E672" s="16"/>
      <c r="F672" s="16"/>
      <c r="G672" s="16"/>
      <c r="H672" s="16"/>
      <c r="I672" s="16"/>
      <c r="J672" s="6"/>
      <c r="K672" s="16"/>
      <c r="L672" s="16"/>
      <c r="M672" s="16"/>
      <c r="N672" s="46"/>
    </row>
    <row r="673">
      <c r="A673" s="46"/>
      <c r="B673" s="46"/>
      <c r="C673" s="46"/>
      <c r="D673" s="16"/>
      <c r="E673" s="16"/>
      <c r="F673" s="16"/>
      <c r="G673" s="16"/>
      <c r="H673" s="16"/>
      <c r="I673" s="16"/>
      <c r="J673" s="6"/>
      <c r="K673" s="16"/>
      <c r="L673" s="16"/>
      <c r="M673" s="16"/>
      <c r="N673" s="46"/>
    </row>
    <row r="674">
      <c r="A674" s="46"/>
      <c r="B674" s="46"/>
      <c r="C674" s="46"/>
      <c r="D674" s="16"/>
      <c r="E674" s="16"/>
      <c r="F674" s="16"/>
      <c r="G674" s="16"/>
      <c r="H674" s="16"/>
      <c r="I674" s="16"/>
      <c r="J674" s="6"/>
      <c r="K674" s="16"/>
      <c r="L674" s="16"/>
      <c r="M674" s="16"/>
      <c r="N674" s="46"/>
    </row>
    <row r="675">
      <c r="A675" s="46"/>
      <c r="B675" s="46"/>
      <c r="C675" s="46"/>
      <c r="D675" s="16"/>
      <c r="E675" s="16"/>
      <c r="F675" s="16"/>
      <c r="G675" s="16"/>
      <c r="H675" s="16"/>
      <c r="I675" s="16"/>
      <c r="J675" s="6"/>
      <c r="K675" s="16"/>
      <c r="L675" s="16"/>
      <c r="M675" s="16"/>
      <c r="N675" s="46"/>
    </row>
    <row r="676">
      <c r="A676" s="46"/>
      <c r="B676" s="46"/>
      <c r="C676" s="46"/>
      <c r="D676" s="16"/>
      <c r="E676" s="16"/>
      <c r="F676" s="16"/>
      <c r="G676" s="16"/>
      <c r="H676" s="16"/>
      <c r="I676" s="16"/>
      <c r="J676" s="6"/>
      <c r="K676" s="16"/>
      <c r="L676" s="16"/>
      <c r="M676" s="16"/>
      <c r="N676" s="46"/>
    </row>
    <row r="677">
      <c r="A677" s="46"/>
      <c r="B677" s="46"/>
      <c r="C677" s="46"/>
      <c r="D677" s="16"/>
      <c r="E677" s="16"/>
      <c r="F677" s="16"/>
      <c r="G677" s="16"/>
      <c r="H677" s="16"/>
      <c r="I677" s="16"/>
      <c r="J677" s="6"/>
      <c r="K677" s="16"/>
      <c r="L677" s="16"/>
      <c r="M677" s="16"/>
      <c r="N677" s="46"/>
    </row>
    <row r="678">
      <c r="A678" s="46"/>
      <c r="B678" s="46"/>
      <c r="C678" s="46"/>
      <c r="D678" s="16"/>
      <c r="E678" s="16"/>
      <c r="F678" s="16"/>
      <c r="G678" s="16"/>
      <c r="H678" s="16"/>
      <c r="I678" s="16"/>
      <c r="J678" s="6"/>
      <c r="K678" s="16"/>
      <c r="L678" s="16"/>
      <c r="M678" s="16"/>
      <c r="N678" s="46"/>
    </row>
    <row r="679">
      <c r="A679" s="46"/>
      <c r="B679" s="46"/>
      <c r="C679" s="46"/>
      <c r="D679" s="16"/>
      <c r="E679" s="16"/>
      <c r="F679" s="16"/>
      <c r="G679" s="16"/>
      <c r="H679" s="16"/>
      <c r="I679" s="16"/>
      <c r="J679" s="6"/>
      <c r="K679" s="16"/>
      <c r="L679" s="16"/>
      <c r="M679" s="16"/>
      <c r="N679" s="46"/>
    </row>
    <row r="680">
      <c r="A680" s="46"/>
      <c r="B680" s="46"/>
      <c r="C680" s="46"/>
      <c r="D680" s="16"/>
      <c r="E680" s="16"/>
      <c r="F680" s="16"/>
      <c r="G680" s="16"/>
      <c r="H680" s="16"/>
      <c r="I680" s="16"/>
      <c r="J680" s="6"/>
      <c r="K680" s="16"/>
      <c r="L680" s="16"/>
      <c r="M680" s="16"/>
      <c r="N680" s="46"/>
    </row>
    <row r="681">
      <c r="A681" s="46"/>
      <c r="B681" s="46"/>
      <c r="C681" s="46"/>
      <c r="D681" s="16"/>
      <c r="E681" s="16"/>
      <c r="F681" s="16"/>
      <c r="G681" s="16"/>
      <c r="H681" s="16"/>
      <c r="I681" s="16"/>
      <c r="J681" s="6"/>
      <c r="K681" s="16"/>
      <c r="L681" s="16"/>
      <c r="M681" s="16"/>
      <c r="N681" s="46"/>
    </row>
    <row r="682">
      <c r="A682" s="46"/>
      <c r="B682" s="46"/>
      <c r="C682" s="46"/>
      <c r="D682" s="16"/>
      <c r="E682" s="16"/>
      <c r="F682" s="16"/>
      <c r="G682" s="16"/>
      <c r="H682" s="16"/>
      <c r="I682" s="16"/>
      <c r="J682" s="6"/>
      <c r="K682" s="16"/>
      <c r="L682" s="16"/>
      <c r="M682" s="16"/>
      <c r="N682" s="46"/>
    </row>
    <row r="683">
      <c r="A683" s="46"/>
      <c r="B683" s="46"/>
      <c r="C683" s="46"/>
      <c r="D683" s="16"/>
      <c r="E683" s="16"/>
      <c r="F683" s="16"/>
      <c r="G683" s="16"/>
      <c r="H683" s="16"/>
      <c r="I683" s="16"/>
      <c r="J683" s="6"/>
      <c r="K683" s="16"/>
      <c r="L683" s="16"/>
      <c r="M683" s="16"/>
      <c r="N683" s="46"/>
    </row>
    <row r="684">
      <c r="A684" s="46"/>
      <c r="B684" s="46"/>
      <c r="C684" s="46"/>
      <c r="D684" s="16"/>
      <c r="E684" s="16"/>
      <c r="F684" s="16"/>
      <c r="G684" s="16"/>
      <c r="H684" s="16"/>
      <c r="I684" s="16"/>
      <c r="J684" s="6"/>
      <c r="K684" s="16"/>
      <c r="L684" s="16"/>
      <c r="M684" s="16"/>
      <c r="N684" s="46"/>
    </row>
    <row r="685">
      <c r="A685" s="46"/>
      <c r="B685" s="46"/>
      <c r="C685" s="46"/>
      <c r="D685" s="16"/>
      <c r="E685" s="16"/>
      <c r="F685" s="16"/>
      <c r="G685" s="16"/>
      <c r="H685" s="16"/>
      <c r="I685" s="16"/>
      <c r="J685" s="6"/>
      <c r="K685" s="16"/>
      <c r="L685" s="16"/>
      <c r="M685" s="16"/>
      <c r="N685" s="46"/>
    </row>
    <row r="686">
      <c r="A686" s="46"/>
      <c r="B686" s="46"/>
      <c r="C686" s="46"/>
      <c r="D686" s="16"/>
      <c r="E686" s="16"/>
      <c r="F686" s="16"/>
      <c r="G686" s="16"/>
      <c r="H686" s="16"/>
      <c r="I686" s="16"/>
      <c r="J686" s="6"/>
      <c r="K686" s="16"/>
      <c r="L686" s="16"/>
      <c r="M686" s="16"/>
      <c r="N686" s="46"/>
    </row>
    <row r="687">
      <c r="A687" s="46"/>
      <c r="B687" s="46"/>
      <c r="C687" s="46"/>
      <c r="D687" s="16"/>
      <c r="E687" s="16"/>
      <c r="F687" s="16"/>
      <c r="G687" s="16"/>
      <c r="H687" s="16"/>
      <c r="I687" s="16"/>
      <c r="J687" s="6"/>
      <c r="K687" s="16"/>
      <c r="L687" s="16"/>
      <c r="M687" s="16"/>
      <c r="N687" s="46"/>
    </row>
    <row r="688">
      <c r="A688" s="46"/>
      <c r="B688" s="46"/>
      <c r="C688" s="46"/>
      <c r="D688" s="16"/>
      <c r="E688" s="16"/>
      <c r="F688" s="16"/>
      <c r="G688" s="16"/>
      <c r="H688" s="16"/>
      <c r="I688" s="16"/>
      <c r="J688" s="6"/>
      <c r="K688" s="16"/>
      <c r="L688" s="16"/>
      <c r="M688" s="16"/>
      <c r="N688" s="46"/>
    </row>
    <row r="689">
      <c r="A689" s="46"/>
      <c r="B689" s="46"/>
      <c r="C689" s="46"/>
      <c r="D689" s="16"/>
      <c r="E689" s="16"/>
      <c r="F689" s="16"/>
      <c r="G689" s="16"/>
      <c r="H689" s="16"/>
      <c r="I689" s="16"/>
      <c r="J689" s="6"/>
      <c r="K689" s="16"/>
      <c r="L689" s="16"/>
      <c r="M689" s="16"/>
      <c r="N689" s="46"/>
    </row>
    <row r="690">
      <c r="A690" s="46"/>
      <c r="B690" s="46"/>
      <c r="C690" s="46"/>
      <c r="D690" s="16"/>
      <c r="E690" s="16"/>
      <c r="F690" s="16"/>
      <c r="G690" s="16"/>
      <c r="H690" s="16"/>
      <c r="I690" s="16"/>
      <c r="J690" s="6"/>
      <c r="K690" s="16"/>
      <c r="L690" s="16"/>
      <c r="M690" s="16"/>
      <c r="N690" s="46"/>
    </row>
    <row r="691">
      <c r="A691" s="46"/>
      <c r="B691" s="46"/>
      <c r="C691" s="46"/>
      <c r="D691" s="16"/>
      <c r="E691" s="16"/>
      <c r="F691" s="16"/>
      <c r="G691" s="16"/>
      <c r="H691" s="16"/>
      <c r="I691" s="16"/>
      <c r="J691" s="6"/>
      <c r="K691" s="16"/>
      <c r="L691" s="16"/>
      <c r="M691" s="16"/>
      <c r="N691" s="46"/>
    </row>
    <row r="692">
      <c r="A692" s="46"/>
      <c r="B692" s="46"/>
      <c r="C692" s="46"/>
      <c r="D692" s="16"/>
      <c r="E692" s="16"/>
      <c r="F692" s="16"/>
      <c r="G692" s="16"/>
      <c r="H692" s="16"/>
      <c r="I692" s="16"/>
      <c r="J692" s="6"/>
      <c r="K692" s="16"/>
      <c r="L692" s="16"/>
      <c r="M692" s="16"/>
      <c r="N692" s="46"/>
    </row>
    <row r="693">
      <c r="A693" s="46"/>
      <c r="B693" s="46"/>
      <c r="C693" s="46"/>
      <c r="D693" s="16"/>
      <c r="E693" s="16"/>
      <c r="F693" s="16"/>
      <c r="G693" s="16"/>
      <c r="H693" s="16"/>
      <c r="I693" s="16"/>
      <c r="J693" s="6"/>
      <c r="K693" s="16"/>
      <c r="L693" s="16"/>
      <c r="M693" s="16"/>
      <c r="N693" s="46"/>
    </row>
    <row r="694">
      <c r="A694" s="46"/>
      <c r="B694" s="46"/>
      <c r="C694" s="46"/>
      <c r="D694" s="16"/>
      <c r="E694" s="16"/>
      <c r="F694" s="16"/>
      <c r="G694" s="16"/>
      <c r="H694" s="16"/>
      <c r="I694" s="16"/>
      <c r="J694" s="6"/>
      <c r="K694" s="16"/>
      <c r="L694" s="16"/>
      <c r="M694" s="16"/>
      <c r="N694" s="46"/>
    </row>
    <row r="695">
      <c r="A695" s="46"/>
      <c r="B695" s="46"/>
      <c r="C695" s="46"/>
      <c r="D695" s="16"/>
      <c r="E695" s="16"/>
      <c r="F695" s="16"/>
      <c r="G695" s="16"/>
      <c r="H695" s="16"/>
      <c r="I695" s="16"/>
      <c r="J695" s="6"/>
      <c r="K695" s="16"/>
      <c r="L695" s="16"/>
      <c r="M695" s="16"/>
      <c r="N695" s="46"/>
    </row>
    <row r="696">
      <c r="A696" s="46"/>
      <c r="B696" s="46"/>
      <c r="C696" s="46"/>
      <c r="D696" s="16"/>
      <c r="E696" s="16"/>
      <c r="F696" s="16"/>
      <c r="G696" s="16"/>
      <c r="H696" s="16"/>
      <c r="I696" s="16"/>
      <c r="J696" s="6"/>
      <c r="K696" s="16"/>
      <c r="L696" s="16"/>
      <c r="M696" s="16"/>
      <c r="N696" s="46"/>
    </row>
    <row r="697">
      <c r="A697" s="46"/>
      <c r="B697" s="46"/>
      <c r="C697" s="46"/>
      <c r="D697" s="16"/>
      <c r="E697" s="16"/>
      <c r="F697" s="16"/>
      <c r="G697" s="16"/>
      <c r="H697" s="16"/>
      <c r="I697" s="16"/>
      <c r="J697" s="6"/>
      <c r="K697" s="16"/>
      <c r="L697" s="16"/>
      <c r="M697" s="16"/>
      <c r="N697" s="46"/>
    </row>
    <row r="698">
      <c r="A698" s="46"/>
      <c r="B698" s="46"/>
      <c r="C698" s="46"/>
      <c r="D698" s="16"/>
      <c r="E698" s="16"/>
      <c r="F698" s="16"/>
      <c r="G698" s="16"/>
      <c r="H698" s="16"/>
      <c r="I698" s="16"/>
      <c r="J698" s="6"/>
      <c r="K698" s="16"/>
      <c r="L698" s="16"/>
      <c r="M698" s="16"/>
      <c r="N698" s="46"/>
    </row>
    <row r="699">
      <c r="A699" s="46"/>
      <c r="B699" s="46"/>
      <c r="C699" s="46"/>
      <c r="D699" s="16"/>
      <c r="E699" s="16"/>
      <c r="F699" s="16"/>
      <c r="G699" s="16"/>
      <c r="H699" s="16"/>
      <c r="I699" s="16"/>
      <c r="J699" s="6"/>
      <c r="K699" s="16"/>
      <c r="L699" s="16"/>
      <c r="M699" s="16"/>
      <c r="N699" s="46"/>
    </row>
    <row r="700">
      <c r="A700" s="46"/>
      <c r="B700" s="46"/>
      <c r="C700" s="46"/>
      <c r="D700" s="16"/>
      <c r="E700" s="16"/>
      <c r="F700" s="16"/>
      <c r="G700" s="16"/>
      <c r="H700" s="16"/>
      <c r="I700" s="16"/>
      <c r="J700" s="6"/>
      <c r="K700" s="16"/>
      <c r="L700" s="16"/>
      <c r="M700" s="16"/>
      <c r="N700" s="46"/>
    </row>
    <row r="701">
      <c r="A701" s="46"/>
      <c r="B701" s="46"/>
      <c r="C701" s="46"/>
      <c r="D701" s="16"/>
      <c r="E701" s="16"/>
      <c r="F701" s="16"/>
      <c r="G701" s="16"/>
      <c r="H701" s="16"/>
      <c r="I701" s="16"/>
      <c r="J701" s="6"/>
      <c r="K701" s="16"/>
      <c r="L701" s="16"/>
      <c r="M701" s="16"/>
      <c r="N701" s="46"/>
    </row>
    <row r="702">
      <c r="A702" s="46"/>
      <c r="B702" s="46"/>
      <c r="C702" s="46"/>
      <c r="D702" s="16"/>
      <c r="E702" s="16"/>
      <c r="F702" s="16"/>
      <c r="G702" s="16"/>
      <c r="H702" s="16"/>
      <c r="I702" s="16"/>
      <c r="J702" s="6"/>
      <c r="K702" s="16"/>
      <c r="L702" s="16"/>
      <c r="M702" s="16"/>
      <c r="N702" s="46"/>
    </row>
    <row r="703">
      <c r="A703" s="46"/>
      <c r="B703" s="46"/>
      <c r="C703" s="46"/>
      <c r="D703" s="16"/>
      <c r="E703" s="16"/>
      <c r="F703" s="16"/>
      <c r="G703" s="16"/>
      <c r="H703" s="16"/>
      <c r="I703" s="16"/>
      <c r="J703" s="6"/>
      <c r="K703" s="16"/>
      <c r="L703" s="16"/>
      <c r="M703" s="16"/>
      <c r="N703" s="46"/>
    </row>
    <row r="704">
      <c r="A704" s="46"/>
      <c r="B704" s="46"/>
      <c r="C704" s="46"/>
      <c r="D704" s="16"/>
      <c r="E704" s="16"/>
      <c r="F704" s="16"/>
      <c r="G704" s="16"/>
      <c r="H704" s="16"/>
      <c r="I704" s="16"/>
      <c r="J704" s="6"/>
      <c r="K704" s="16"/>
      <c r="L704" s="16"/>
      <c r="M704" s="16"/>
      <c r="N704" s="46"/>
    </row>
    <row r="705">
      <c r="A705" s="46"/>
      <c r="B705" s="46"/>
      <c r="C705" s="46"/>
      <c r="D705" s="16"/>
      <c r="E705" s="16"/>
      <c r="F705" s="16"/>
      <c r="G705" s="16"/>
      <c r="H705" s="16"/>
      <c r="I705" s="16"/>
      <c r="J705" s="6"/>
      <c r="K705" s="16"/>
      <c r="L705" s="16"/>
      <c r="M705" s="16"/>
      <c r="N705" s="46"/>
    </row>
    <row r="706">
      <c r="A706" s="46"/>
      <c r="B706" s="46"/>
      <c r="C706" s="46"/>
      <c r="D706" s="16"/>
      <c r="E706" s="16"/>
      <c r="F706" s="16"/>
      <c r="G706" s="16"/>
      <c r="H706" s="16"/>
      <c r="I706" s="16"/>
      <c r="J706" s="6"/>
      <c r="K706" s="16"/>
      <c r="L706" s="16"/>
      <c r="M706" s="16"/>
      <c r="N706" s="46"/>
    </row>
    <row r="707">
      <c r="A707" s="46"/>
      <c r="B707" s="46"/>
      <c r="C707" s="46"/>
      <c r="D707" s="16"/>
      <c r="E707" s="16"/>
      <c r="F707" s="16"/>
      <c r="G707" s="16"/>
      <c r="H707" s="16"/>
      <c r="I707" s="16"/>
      <c r="J707" s="6"/>
      <c r="K707" s="16"/>
      <c r="L707" s="16"/>
      <c r="M707" s="16"/>
      <c r="N707" s="46"/>
    </row>
    <row r="708">
      <c r="A708" s="46"/>
      <c r="B708" s="46"/>
      <c r="C708" s="46"/>
      <c r="D708" s="16"/>
      <c r="E708" s="16"/>
      <c r="F708" s="16"/>
      <c r="G708" s="16"/>
      <c r="H708" s="16"/>
      <c r="I708" s="16"/>
      <c r="J708" s="6"/>
      <c r="K708" s="16"/>
      <c r="L708" s="16"/>
      <c r="M708" s="16"/>
      <c r="N708" s="46"/>
    </row>
    <row r="709">
      <c r="A709" s="46"/>
      <c r="B709" s="46"/>
      <c r="C709" s="46"/>
      <c r="D709" s="16"/>
      <c r="E709" s="16"/>
      <c r="F709" s="16"/>
      <c r="G709" s="16"/>
      <c r="H709" s="16"/>
      <c r="I709" s="16"/>
      <c r="J709" s="6"/>
      <c r="K709" s="16"/>
      <c r="L709" s="16"/>
      <c r="M709" s="16"/>
      <c r="N709" s="46"/>
    </row>
    <row r="710">
      <c r="A710" s="46"/>
      <c r="B710" s="46"/>
      <c r="C710" s="46"/>
      <c r="D710" s="16"/>
      <c r="E710" s="16"/>
      <c r="F710" s="16"/>
      <c r="G710" s="16"/>
      <c r="H710" s="16"/>
      <c r="I710" s="16"/>
      <c r="J710" s="6"/>
      <c r="K710" s="16"/>
      <c r="L710" s="16"/>
      <c r="M710" s="16"/>
      <c r="N710" s="46"/>
    </row>
    <row r="711">
      <c r="A711" s="46"/>
      <c r="B711" s="46"/>
      <c r="C711" s="46"/>
      <c r="D711" s="16"/>
      <c r="E711" s="16"/>
      <c r="F711" s="16"/>
      <c r="G711" s="16"/>
      <c r="H711" s="16"/>
      <c r="I711" s="16"/>
      <c r="J711" s="6"/>
      <c r="K711" s="16"/>
      <c r="L711" s="16"/>
      <c r="M711" s="16"/>
      <c r="N711" s="46"/>
    </row>
    <row r="712">
      <c r="A712" s="46"/>
      <c r="B712" s="46"/>
      <c r="C712" s="46"/>
      <c r="D712" s="16"/>
      <c r="E712" s="16"/>
      <c r="F712" s="16"/>
      <c r="G712" s="16"/>
      <c r="H712" s="16"/>
      <c r="I712" s="16"/>
      <c r="J712" s="6"/>
      <c r="K712" s="16"/>
      <c r="L712" s="16"/>
      <c r="M712" s="16"/>
      <c r="N712" s="46"/>
    </row>
    <row r="713">
      <c r="A713" s="46"/>
      <c r="B713" s="46"/>
      <c r="C713" s="46"/>
      <c r="D713" s="16"/>
      <c r="E713" s="16"/>
      <c r="F713" s="16"/>
      <c r="G713" s="16"/>
      <c r="H713" s="16"/>
      <c r="I713" s="16"/>
      <c r="J713" s="6"/>
      <c r="K713" s="16"/>
      <c r="L713" s="16"/>
      <c r="M713" s="16"/>
      <c r="N713" s="46"/>
    </row>
    <row r="714">
      <c r="A714" s="46"/>
      <c r="B714" s="46"/>
      <c r="C714" s="46"/>
      <c r="D714" s="16"/>
      <c r="E714" s="16"/>
      <c r="F714" s="16"/>
      <c r="G714" s="16"/>
      <c r="H714" s="16"/>
      <c r="I714" s="16"/>
      <c r="J714" s="6"/>
      <c r="K714" s="16"/>
      <c r="L714" s="16"/>
      <c r="M714" s="16"/>
      <c r="N714" s="46"/>
    </row>
    <row r="715">
      <c r="A715" s="46"/>
      <c r="B715" s="46"/>
      <c r="C715" s="46"/>
      <c r="D715" s="16"/>
      <c r="E715" s="16"/>
      <c r="F715" s="16"/>
      <c r="G715" s="16"/>
      <c r="H715" s="16"/>
      <c r="I715" s="16"/>
      <c r="J715" s="6"/>
      <c r="K715" s="16"/>
      <c r="L715" s="16"/>
      <c r="M715" s="16"/>
      <c r="N715" s="46"/>
    </row>
    <row r="716">
      <c r="A716" s="46"/>
      <c r="B716" s="46"/>
      <c r="C716" s="46"/>
      <c r="D716" s="16"/>
      <c r="E716" s="16"/>
      <c r="F716" s="16"/>
      <c r="G716" s="16"/>
      <c r="H716" s="16"/>
      <c r="I716" s="16"/>
      <c r="J716" s="6"/>
      <c r="K716" s="16"/>
      <c r="L716" s="16"/>
      <c r="M716" s="16"/>
      <c r="N716" s="46"/>
    </row>
    <row r="717">
      <c r="A717" s="46"/>
      <c r="B717" s="46"/>
      <c r="C717" s="46"/>
      <c r="D717" s="16"/>
      <c r="E717" s="16"/>
      <c r="F717" s="16"/>
      <c r="G717" s="16"/>
      <c r="H717" s="16"/>
      <c r="I717" s="16"/>
      <c r="J717" s="6"/>
      <c r="K717" s="16"/>
      <c r="L717" s="16"/>
      <c r="M717" s="16"/>
      <c r="N717" s="46"/>
    </row>
    <row r="718">
      <c r="A718" s="46"/>
      <c r="B718" s="46"/>
      <c r="C718" s="46"/>
      <c r="D718" s="16"/>
      <c r="E718" s="16"/>
      <c r="F718" s="16"/>
      <c r="G718" s="16"/>
      <c r="H718" s="16"/>
      <c r="I718" s="16"/>
      <c r="J718" s="6"/>
      <c r="K718" s="16"/>
      <c r="L718" s="16"/>
      <c r="M718" s="16"/>
      <c r="N718" s="46"/>
    </row>
    <row r="719">
      <c r="A719" s="46"/>
      <c r="B719" s="46"/>
      <c r="C719" s="46"/>
      <c r="D719" s="16"/>
      <c r="E719" s="16"/>
      <c r="F719" s="16"/>
      <c r="G719" s="16"/>
      <c r="H719" s="16"/>
      <c r="I719" s="16"/>
      <c r="J719" s="6"/>
      <c r="K719" s="16"/>
      <c r="L719" s="16"/>
      <c r="M719" s="16"/>
      <c r="N719" s="46"/>
    </row>
    <row r="720">
      <c r="A720" s="46"/>
      <c r="B720" s="46"/>
      <c r="C720" s="46"/>
      <c r="D720" s="16"/>
      <c r="E720" s="16"/>
      <c r="F720" s="16"/>
      <c r="G720" s="16"/>
      <c r="H720" s="16"/>
      <c r="I720" s="16"/>
      <c r="J720" s="6"/>
      <c r="K720" s="16"/>
      <c r="L720" s="16"/>
      <c r="M720" s="16"/>
      <c r="N720" s="46"/>
    </row>
    <row r="721">
      <c r="A721" s="46"/>
      <c r="B721" s="46"/>
      <c r="C721" s="46"/>
      <c r="D721" s="16"/>
      <c r="E721" s="16"/>
      <c r="F721" s="16"/>
      <c r="G721" s="16"/>
      <c r="H721" s="16"/>
      <c r="I721" s="16"/>
      <c r="J721" s="6"/>
      <c r="K721" s="16"/>
      <c r="L721" s="16"/>
      <c r="M721" s="16"/>
      <c r="N721" s="46"/>
    </row>
    <row r="722">
      <c r="A722" s="46"/>
      <c r="B722" s="46"/>
      <c r="C722" s="46"/>
      <c r="D722" s="16"/>
      <c r="E722" s="16"/>
      <c r="F722" s="16"/>
      <c r="G722" s="16"/>
      <c r="H722" s="16"/>
      <c r="I722" s="16"/>
      <c r="J722" s="6"/>
      <c r="K722" s="16"/>
      <c r="L722" s="16"/>
      <c r="M722" s="16"/>
      <c r="N722" s="46"/>
    </row>
    <row r="723">
      <c r="A723" s="46"/>
      <c r="B723" s="46"/>
      <c r="C723" s="46"/>
      <c r="D723" s="16"/>
      <c r="E723" s="16"/>
      <c r="F723" s="16"/>
      <c r="G723" s="16"/>
      <c r="H723" s="16"/>
      <c r="I723" s="16"/>
      <c r="J723" s="6"/>
      <c r="K723" s="16"/>
      <c r="L723" s="16"/>
      <c r="M723" s="16"/>
      <c r="N723" s="46"/>
    </row>
    <row r="724">
      <c r="A724" s="46"/>
      <c r="B724" s="46"/>
      <c r="C724" s="46"/>
      <c r="D724" s="16"/>
      <c r="E724" s="16"/>
      <c r="F724" s="16"/>
      <c r="G724" s="16"/>
      <c r="H724" s="16"/>
      <c r="I724" s="16"/>
      <c r="J724" s="6"/>
      <c r="K724" s="16"/>
      <c r="L724" s="16"/>
      <c r="M724" s="16"/>
      <c r="N724" s="46"/>
    </row>
    <row r="725">
      <c r="A725" s="46"/>
      <c r="B725" s="46"/>
      <c r="C725" s="46"/>
      <c r="D725" s="16"/>
      <c r="E725" s="16"/>
      <c r="F725" s="16"/>
      <c r="G725" s="16"/>
      <c r="H725" s="16"/>
      <c r="I725" s="16"/>
      <c r="J725" s="6"/>
      <c r="K725" s="16"/>
      <c r="L725" s="16"/>
      <c r="M725" s="16"/>
      <c r="N725" s="46"/>
    </row>
    <row r="726">
      <c r="A726" s="46"/>
      <c r="B726" s="46"/>
      <c r="C726" s="46"/>
      <c r="D726" s="16"/>
      <c r="E726" s="16"/>
      <c r="F726" s="16"/>
      <c r="G726" s="16"/>
      <c r="H726" s="16"/>
      <c r="I726" s="16"/>
      <c r="J726" s="6"/>
      <c r="K726" s="16"/>
      <c r="L726" s="16"/>
      <c r="M726" s="16"/>
      <c r="N726" s="46"/>
    </row>
    <row r="727">
      <c r="A727" s="46"/>
      <c r="B727" s="46"/>
      <c r="C727" s="46"/>
      <c r="D727" s="16"/>
      <c r="E727" s="16"/>
      <c r="F727" s="16"/>
      <c r="G727" s="16"/>
      <c r="H727" s="16"/>
      <c r="I727" s="16"/>
      <c r="J727" s="6"/>
      <c r="K727" s="16"/>
      <c r="L727" s="16"/>
      <c r="M727" s="16"/>
      <c r="N727" s="46"/>
    </row>
    <row r="728">
      <c r="A728" s="46"/>
      <c r="B728" s="46"/>
      <c r="C728" s="46"/>
      <c r="D728" s="16"/>
      <c r="E728" s="16"/>
      <c r="F728" s="16"/>
      <c r="G728" s="16"/>
      <c r="H728" s="16"/>
      <c r="I728" s="16"/>
      <c r="J728" s="6"/>
      <c r="K728" s="16"/>
      <c r="L728" s="16"/>
      <c r="M728" s="16"/>
      <c r="N728" s="46"/>
    </row>
    <row r="729">
      <c r="A729" s="46"/>
      <c r="B729" s="46"/>
      <c r="C729" s="46"/>
      <c r="D729" s="16"/>
      <c r="E729" s="16"/>
      <c r="F729" s="16"/>
      <c r="G729" s="16"/>
      <c r="H729" s="16"/>
      <c r="I729" s="16"/>
      <c r="J729" s="6"/>
      <c r="K729" s="16"/>
      <c r="L729" s="16"/>
      <c r="M729" s="16"/>
      <c r="N729" s="46"/>
    </row>
    <row r="730">
      <c r="A730" s="46"/>
      <c r="B730" s="46"/>
      <c r="C730" s="46"/>
      <c r="D730" s="16"/>
      <c r="E730" s="16"/>
      <c r="F730" s="16"/>
      <c r="G730" s="16"/>
      <c r="H730" s="16"/>
      <c r="I730" s="16"/>
      <c r="J730" s="6"/>
      <c r="K730" s="16"/>
      <c r="L730" s="16"/>
      <c r="M730" s="16"/>
      <c r="N730" s="46"/>
    </row>
    <row r="731">
      <c r="A731" s="46"/>
      <c r="B731" s="46"/>
      <c r="C731" s="46"/>
      <c r="D731" s="16"/>
      <c r="E731" s="16"/>
      <c r="F731" s="16"/>
      <c r="G731" s="16"/>
      <c r="H731" s="16"/>
      <c r="I731" s="16"/>
      <c r="J731" s="6"/>
      <c r="K731" s="16"/>
      <c r="L731" s="16"/>
      <c r="M731" s="16"/>
      <c r="N731" s="46"/>
    </row>
    <row r="732">
      <c r="A732" s="46"/>
      <c r="B732" s="46"/>
      <c r="C732" s="46"/>
      <c r="D732" s="16"/>
      <c r="E732" s="16"/>
      <c r="F732" s="16"/>
      <c r="G732" s="16"/>
      <c r="H732" s="16"/>
      <c r="I732" s="16"/>
      <c r="J732" s="6"/>
      <c r="K732" s="16"/>
      <c r="L732" s="16"/>
      <c r="M732" s="16"/>
      <c r="N732" s="46"/>
    </row>
    <row r="733">
      <c r="A733" s="46"/>
      <c r="B733" s="46"/>
      <c r="C733" s="46"/>
      <c r="D733" s="16"/>
      <c r="E733" s="16"/>
      <c r="F733" s="16"/>
      <c r="G733" s="16"/>
      <c r="H733" s="16"/>
      <c r="I733" s="16"/>
      <c r="J733" s="6"/>
      <c r="K733" s="16"/>
      <c r="L733" s="16"/>
      <c r="M733" s="16"/>
      <c r="N733" s="46"/>
    </row>
    <row r="734">
      <c r="A734" s="46"/>
      <c r="B734" s="46"/>
      <c r="C734" s="46"/>
      <c r="D734" s="16"/>
      <c r="E734" s="16"/>
      <c r="F734" s="16"/>
      <c r="G734" s="16"/>
      <c r="H734" s="16"/>
      <c r="I734" s="16"/>
      <c r="J734" s="6"/>
      <c r="K734" s="16"/>
      <c r="L734" s="16"/>
      <c r="M734" s="16"/>
      <c r="N734" s="46"/>
    </row>
    <row r="735">
      <c r="A735" s="46"/>
      <c r="B735" s="46"/>
      <c r="C735" s="46"/>
      <c r="D735" s="16"/>
      <c r="E735" s="16"/>
      <c r="F735" s="16"/>
      <c r="G735" s="16"/>
      <c r="H735" s="16"/>
      <c r="I735" s="16"/>
      <c r="J735" s="6"/>
      <c r="K735" s="16"/>
      <c r="L735" s="16"/>
      <c r="M735" s="16"/>
      <c r="N735" s="46"/>
    </row>
    <row r="736">
      <c r="A736" s="46"/>
      <c r="B736" s="46"/>
      <c r="C736" s="46"/>
      <c r="D736" s="16"/>
      <c r="E736" s="16"/>
      <c r="F736" s="16"/>
      <c r="G736" s="16"/>
      <c r="H736" s="16"/>
      <c r="I736" s="16"/>
      <c r="J736" s="6"/>
      <c r="K736" s="16"/>
      <c r="L736" s="16"/>
      <c r="M736" s="16"/>
      <c r="N736" s="46"/>
    </row>
    <row r="737">
      <c r="A737" s="46"/>
      <c r="B737" s="46"/>
      <c r="C737" s="46"/>
      <c r="D737" s="16"/>
      <c r="E737" s="16"/>
      <c r="F737" s="16"/>
      <c r="G737" s="16"/>
      <c r="H737" s="16"/>
      <c r="I737" s="16"/>
      <c r="J737" s="6"/>
      <c r="K737" s="16"/>
      <c r="L737" s="16"/>
      <c r="M737" s="16"/>
      <c r="N737" s="46"/>
    </row>
    <row r="738">
      <c r="A738" s="46"/>
      <c r="B738" s="46"/>
      <c r="C738" s="46"/>
      <c r="D738" s="16"/>
      <c r="E738" s="16"/>
      <c r="F738" s="16"/>
      <c r="G738" s="16"/>
      <c r="H738" s="16"/>
      <c r="I738" s="16"/>
      <c r="J738" s="6"/>
      <c r="K738" s="16"/>
      <c r="L738" s="16"/>
      <c r="M738" s="16"/>
      <c r="N738" s="46"/>
    </row>
    <row r="739">
      <c r="A739" s="46"/>
      <c r="B739" s="46"/>
      <c r="C739" s="46"/>
      <c r="D739" s="16"/>
      <c r="E739" s="16"/>
      <c r="F739" s="16"/>
      <c r="G739" s="16"/>
      <c r="H739" s="16"/>
      <c r="I739" s="16"/>
      <c r="J739" s="6"/>
      <c r="K739" s="16"/>
      <c r="L739" s="16"/>
      <c r="M739" s="16"/>
      <c r="N739" s="46"/>
    </row>
    <row r="740">
      <c r="A740" s="46"/>
      <c r="B740" s="46"/>
      <c r="C740" s="46"/>
      <c r="D740" s="16"/>
      <c r="E740" s="16"/>
      <c r="F740" s="16"/>
      <c r="G740" s="16"/>
      <c r="H740" s="16"/>
      <c r="I740" s="16"/>
      <c r="J740" s="6"/>
      <c r="K740" s="16"/>
      <c r="L740" s="16"/>
      <c r="M740" s="16"/>
      <c r="N740" s="46"/>
    </row>
    <row r="741">
      <c r="A741" s="46"/>
      <c r="B741" s="46"/>
      <c r="C741" s="46"/>
      <c r="D741" s="16"/>
      <c r="E741" s="16"/>
      <c r="F741" s="16"/>
      <c r="G741" s="16"/>
      <c r="H741" s="16"/>
      <c r="I741" s="16"/>
      <c r="J741" s="6"/>
      <c r="K741" s="16"/>
      <c r="L741" s="16"/>
      <c r="M741" s="16"/>
      <c r="N741" s="46"/>
    </row>
    <row r="742">
      <c r="A742" s="46"/>
      <c r="B742" s="46"/>
      <c r="C742" s="46"/>
      <c r="D742" s="16"/>
      <c r="E742" s="16"/>
      <c r="F742" s="16"/>
      <c r="G742" s="16"/>
      <c r="H742" s="16"/>
      <c r="I742" s="16"/>
      <c r="J742" s="6"/>
      <c r="K742" s="16"/>
      <c r="L742" s="16"/>
      <c r="M742" s="16"/>
      <c r="N742" s="46"/>
    </row>
    <row r="743">
      <c r="A743" s="46"/>
      <c r="B743" s="46"/>
      <c r="C743" s="46"/>
      <c r="D743" s="16"/>
      <c r="E743" s="16"/>
      <c r="F743" s="16"/>
      <c r="G743" s="16"/>
      <c r="H743" s="16"/>
      <c r="I743" s="16"/>
      <c r="J743" s="6"/>
      <c r="K743" s="16"/>
      <c r="L743" s="16"/>
      <c r="M743" s="16"/>
      <c r="N743" s="46"/>
    </row>
    <row r="744">
      <c r="A744" s="46"/>
      <c r="B744" s="46"/>
      <c r="C744" s="46"/>
      <c r="D744" s="16"/>
      <c r="E744" s="16"/>
      <c r="F744" s="16"/>
      <c r="G744" s="16"/>
      <c r="H744" s="16"/>
      <c r="I744" s="16"/>
      <c r="J744" s="6"/>
      <c r="K744" s="16"/>
      <c r="L744" s="16"/>
      <c r="M744" s="16"/>
      <c r="N744" s="46"/>
    </row>
    <row r="745">
      <c r="A745" s="46"/>
      <c r="B745" s="46"/>
      <c r="C745" s="46"/>
      <c r="D745" s="16"/>
      <c r="E745" s="16"/>
      <c r="F745" s="16"/>
      <c r="G745" s="16"/>
      <c r="H745" s="16"/>
      <c r="I745" s="16"/>
      <c r="J745" s="6"/>
      <c r="K745" s="16"/>
      <c r="L745" s="16"/>
      <c r="M745" s="16"/>
      <c r="N745" s="46"/>
    </row>
    <row r="746">
      <c r="A746" s="46"/>
      <c r="B746" s="46"/>
      <c r="C746" s="46"/>
      <c r="D746" s="16"/>
      <c r="E746" s="16"/>
      <c r="F746" s="16"/>
      <c r="G746" s="16"/>
      <c r="H746" s="16"/>
      <c r="I746" s="16"/>
      <c r="J746" s="6"/>
      <c r="K746" s="16"/>
      <c r="L746" s="16"/>
      <c r="M746" s="16"/>
      <c r="N746" s="46"/>
    </row>
    <row r="747">
      <c r="A747" s="46"/>
      <c r="B747" s="46"/>
      <c r="C747" s="46"/>
      <c r="D747" s="16"/>
      <c r="E747" s="16"/>
      <c r="F747" s="16"/>
      <c r="G747" s="16"/>
      <c r="H747" s="16"/>
      <c r="I747" s="16"/>
      <c r="J747" s="6"/>
      <c r="K747" s="16"/>
      <c r="L747" s="16"/>
      <c r="M747" s="16"/>
      <c r="N747" s="46"/>
    </row>
    <row r="748">
      <c r="A748" s="46"/>
      <c r="B748" s="46"/>
      <c r="C748" s="46"/>
      <c r="D748" s="16"/>
      <c r="E748" s="16"/>
      <c r="F748" s="16"/>
      <c r="G748" s="16"/>
      <c r="H748" s="16"/>
      <c r="I748" s="16"/>
      <c r="J748" s="6"/>
      <c r="K748" s="16"/>
      <c r="L748" s="16"/>
      <c r="M748" s="16"/>
      <c r="N748" s="46"/>
    </row>
    <row r="749">
      <c r="A749" s="46"/>
      <c r="B749" s="46"/>
      <c r="C749" s="46"/>
      <c r="D749" s="16"/>
      <c r="E749" s="16"/>
      <c r="F749" s="16"/>
      <c r="G749" s="16"/>
      <c r="H749" s="16"/>
      <c r="I749" s="16"/>
      <c r="J749" s="6"/>
      <c r="K749" s="16"/>
      <c r="L749" s="16"/>
      <c r="M749" s="16"/>
      <c r="N749" s="46"/>
    </row>
    <row r="750">
      <c r="A750" s="46"/>
      <c r="B750" s="46"/>
      <c r="C750" s="46"/>
      <c r="D750" s="16"/>
      <c r="E750" s="16"/>
      <c r="F750" s="16"/>
      <c r="G750" s="16"/>
      <c r="H750" s="16"/>
      <c r="I750" s="16"/>
      <c r="J750" s="6"/>
      <c r="K750" s="16"/>
      <c r="L750" s="16"/>
      <c r="M750" s="16"/>
      <c r="N750" s="46"/>
    </row>
    <row r="751">
      <c r="A751" s="46"/>
      <c r="B751" s="46"/>
      <c r="C751" s="46"/>
      <c r="D751" s="16"/>
      <c r="E751" s="16"/>
      <c r="F751" s="16"/>
      <c r="G751" s="16"/>
      <c r="H751" s="16"/>
      <c r="I751" s="16"/>
      <c r="J751" s="6"/>
      <c r="K751" s="16"/>
      <c r="L751" s="16"/>
      <c r="M751" s="16"/>
      <c r="N751" s="46"/>
    </row>
    <row r="752">
      <c r="A752" s="46"/>
      <c r="B752" s="46"/>
      <c r="C752" s="46"/>
      <c r="D752" s="16"/>
      <c r="E752" s="16"/>
      <c r="F752" s="16"/>
      <c r="G752" s="16"/>
      <c r="H752" s="16"/>
      <c r="I752" s="16"/>
      <c r="J752" s="6"/>
      <c r="K752" s="16"/>
      <c r="L752" s="16"/>
      <c r="M752" s="16"/>
      <c r="N752" s="46"/>
    </row>
    <row r="753">
      <c r="A753" s="46"/>
      <c r="B753" s="46"/>
      <c r="C753" s="46"/>
      <c r="D753" s="16"/>
      <c r="E753" s="16"/>
      <c r="F753" s="16"/>
      <c r="G753" s="16"/>
      <c r="H753" s="16"/>
      <c r="I753" s="16"/>
      <c r="J753" s="6"/>
      <c r="K753" s="16"/>
      <c r="L753" s="16"/>
      <c r="M753" s="16"/>
      <c r="N753" s="46"/>
    </row>
    <row r="754">
      <c r="A754" s="46"/>
      <c r="B754" s="46"/>
      <c r="C754" s="46"/>
      <c r="D754" s="16"/>
      <c r="E754" s="16"/>
      <c r="F754" s="16"/>
      <c r="G754" s="16"/>
      <c r="H754" s="16"/>
      <c r="I754" s="16"/>
      <c r="J754" s="6"/>
      <c r="K754" s="16"/>
      <c r="L754" s="16"/>
      <c r="M754" s="16"/>
      <c r="N754" s="46"/>
    </row>
    <row r="755">
      <c r="A755" s="46"/>
      <c r="B755" s="46"/>
      <c r="C755" s="46"/>
      <c r="D755" s="16"/>
      <c r="E755" s="16"/>
      <c r="F755" s="16"/>
      <c r="G755" s="16"/>
      <c r="H755" s="16"/>
      <c r="I755" s="16"/>
      <c r="J755" s="6"/>
      <c r="K755" s="16"/>
      <c r="L755" s="16"/>
      <c r="M755" s="16"/>
      <c r="N755" s="46"/>
    </row>
    <row r="756">
      <c r="A756" s="46"/>
      <c r="B756" s="46"/>
      <c r="C756" s="46"/>
      <c r="D756" s="16"/>
      <c r="E756" s="16"/>
      <c r="F756" s="16"/>
      <c r="G756" s="16"/>
      <c r="H756" s="16"/>
      <c r="I756" s="16"/>
      <c r="J756" s="6"/>
      <c r="K756" s="16"/>
      <c r="L756" s="16"/>
      <c r="M756" s="16"/>
      <c r="N756" s="46"/>
    </row>
    <row r="757">
      <c r="A757" s="46"/>
      <c r="B757" s="46"/>
      <c r="C757" s="46"/>
      <c r="D757" s="16"/>
      <c r="E757" s="16"/>
      <c r="F757" s="16"/>
      <c r="G757" s="16"/>
      <c r="H757" s="16"/>
      <c r="I757" s="16"/>
      <c r="J757" s="6"/>
      <c r="K757" s="16"/>
      <c r="L757" s="16"/>
      <c r="M757" s="16"/>
      <c r="N757" s="46"/>
    </row>
    <row r="758">
      <c r="A758" s="46"/>
      <c r="B758" s="46"/>
      <c r="C758" s="46"/>
      <c r="D758" s="16"/>
      <c r="E758" s="16"/>
      <c r="F758" s="16"/>
      <c r="G758" s="16"/>
      <c r="H758" s="16"/>
      <c r="I758" s="16"/>
      <c r="J758" s="6"/>
      <c r="K758" s="16"/>
      <c r="L758" s="16"/>
      <c r="M758" s="16"/>
      <c r="N758" s="46"/>
    </row>
    <row r="759">
      <c r="A759" s="46"/>
      <c r="B759" s="46"/>
      <c r="C759" s="46"/>
      <c r="D759" s="16"/>
      <c r="E759" s="16"/>
      <c r="F759" s="16"/>
      <c r="G759" s="16"/>
      <c r="H759" s="16"/>
      <c r="I759" s="16"/>
      <c r="J759" s="6"/>
      <c r="K759" s="16"/>
      <c r="L759" s="16"/>
      <c r="M759" s="16"/>
      <c r="N759" s="46"/>
    </row>
    <row r="760">
      <c r="A760" s="46"/>
      <c r="B760" s="46"/>
      <c r="C760" s="46"/>
      <c r="D760" s="16"/>
      <c r="E760" s="16"/>
      <c r="F760" s="16"/>
      <c r="G760" s="16"/>
      <c r="H760" s="16"/>
      <c r="I760" s="16"/>
      <c r="J760" s="6"/>
      <c r="K760" s="16"/>
      <c r="L760" s="16"/>
      <c r="M760" s="16"/>
      <c r="N760" s="46"/>
    </row>
    <row r="761">
      <c r="A761" s="46"/>
      <c r="B761" s="46"/>
      <c r="C761" s="46"/>
      <c r="D761" s="16"/>
      <c r="E761" s="16"/>
      <c r="F761" s="16"/>
      <c r="G761" s="16"/>
      <c r="H761" s="16"/>
      <c r="I761" s="16"/>
      <c r="J761" s="6"/>
      <c r="K761" s="16"/>
      <c r="L761" s="16"/>
      <c r="M761" s="16"/>
      <c r="N761" s="46"/>
    </row>
    <row r="762">
      <c r="A762" s="46"/>
      <c r="B762" s="46"/>
      <c r="C762" s="46"/>
      <c r="D762" s="16"/>
      <c r="E762" s="16"/>
      <c r="F762" s="16"/>
      <c r="G762" s="16"/>
      <c r="H762" s="16"/>
      <c r="I762" s="16"/>
      <c r="J762" s="6"/>
      <c r="K762" s="16"/>
      <c r="L762" s="16"/>
      <c r="M762" s="16"/>
      <c r="N762" s="46"/>
    </row>
    <row r="763">
      <c r="A763" s="46"/>
      <c r="B763" s="46"/>
      <c r="C763" s="46"/>
      <c r="D763" s="16"/>
      <c r="E763" s="16"/>
      <c r="F763" s="16"/>
      <c r="G763" s="16"/>
      <c r="H763" s="16"/>
      <c r="I763" s="16"/>
      <c r="J763" s="6"/>
      <c r="K763" s="16"/>
      <c r="L763" s="16"/>
      <c r="M763" s="16"/>
      <c r="N763" s="46"/>
    </row>
    <row r="764">
      <c r="A764" s="46"/>
      <c r="B764" s="46"/>
      <c r="C764" s="46"/>
      <c r="D764" s="16"/>
      <c r="E764" s="16"/>
      <c r="F764" s="16"/>
      <c r="G764" s="16"/>
      <c r="H764" s="16"/>
      <c r="I764" s="16"/>
      <c r="J764" s="6"/>
      <c r="K764" s="16"/>
      <c r="L764" s="16"/>
      <c r="M764" s="16"/>
      <c r="N764" s="46"/>
    </row>
    <row r="765">
      <c r="A765" s="46"/>
      <c r="B765" s="46"/>
      <c r="C765" s="46"/>
      <c r="D765" s="16"/>
      <c r="E765" s="16"/>
      <c r="F765" s="16"/>
      <c r="G765" s="16"/>
      <c r="H765" s="16"/>
      <c r="I765" s="16"/>
      <c r="J765" s="6"/>
      <c r="K765" s="16"/>
      <c r="L765" s="16"/>
      <c r="M765" s="16"/>
      <c r="N765" s="46"/>
    </row>
    <row r="766">
      <c r="A766" s="46"/>
      <c r="B766" s="46"/>
      <c r="C766" s="46"/>
      <c r="D766" s="16"/>
      <c r="E766" s="16"/>
      <c r="F766" s="16"/>
      <c r="G766" s="16"/>
      <c r="H766" s="16"/>
      <c r="I766" s="16"/>
      <c r="J766" s="6"/>
      <c r="K766" s="16"/>
      <c r="L766" s="16"/>
      <c r="M766" s="16"/>
      <c r="N766" s="46"/>
    </row>
    <row r="767">
      <c r="A767" s="46"/>
      <c r="B767" s="46"/>
      <c r="C767" s="46"/>
      <c r="D767" s="16"/>
      <c r="E767" s="16"/>
      <c r="F767" s="16"/>
      <c r="G767" s="16"/>
      <c r="H767" s="16"/>
      <c r="I767" s="16"/>
      <c r="J767" s="6"/>
      <c r="K767" s="16"/>
      <c r="L767" s="16"/>
      <c r="M767" s="16"/>
      <c r="N767" s="46"/>
    </row>
    <row r="768">
      <c r="A768" s="46"/>
      <c r="B768" s="46"/>
      <c r="C768" s="46"/>
      <c r="D768" s="16"/>
      <c r="E768" s="16"/>
      <c r="F768" s="16"/>
      <c r="G768" s="16"/>
      <c r="H768" s="16"/>
      <c r="I768" s="16"/>
      <c r="J768" s="6"/>
      <c r="K768" s="16"/>
      <c r="L768" s="16"/>
      <c r="M768" s="16"/>
      <c r="N768" s="46"/>
    </row>
    <row r="769">
      <c r="A769" s="46"/>
      <c r="B769" s="46"/>
      <c r="C769" s="46"/>
      <c r="D769" s="16"/>
      <c r="E769" s="16"/>
      <c r="F769" s="16"/>
      <c r="G769" s="16"/>
      <c r="H769" s="16"/>
      <c r="I769" s="16"/>
      <c r="J769" s="6"/>
      <c r="K769" s="16"/>
      <c r="L769" s="16"/>
      <c r="M769" s="16"/>
      <c r="N769" s="46"/>
    </row>
    <row r="770">
      <c r="A770" s="46"/>
      <c r="B770" s="46"/>
      <c r="C770" s="46"/>
      <c r="D770" s="16"/>
      <c r="E770" s="16"/>
      <c r="F770" s="16"/>
      <c r="G770" s="16"/>
      <c r="H770" s="16"/>
      <c r="I770" s="16"/>
      <c r="J770" s="6"/>
      <c r="K770" s="16"/>
      <c r="L770" s="16"/>
      <c r="M770" s="16"/>
      <c r="N770" s="46"/>
    </row>
    <row r="771">
      <c r="A771" s="46"/>
      <c r="B771" s="46"/>
      <c r="C771" s="46"/>
      <c r="D771" s="16"/>
      <c r="E771" s="16"/>
      <c r="F771" s="16"/>
      <c r="G771" s="16"/>
      <c r="H771" s="16"/>
      <c r="I771" s="16"/>
      <c r="J771" s="6"/>
      <c r="K771" s="16"/>
      <c r="L771" s="16"/>
      <c r="M771" s="16"/>
      <c r="N771" s="46"/>
    </row>
    <row r="772">
      <c r="A772" s="46"/>
      <c r="B772" s="46"/>
      <c r="C772" s="46"/>
      <c r="D772" s="16"/>
      <c r="E772" s="16"/>
      <c r="F772" s="16"/>
      <c r="G772" s="16"/>
      <c r="H772" s="16"/>
      <c r="I772" s="16"/>
      <c r="J772" s="6"/>
      <c r="K772" s="16"/>
      <c r="L772" s="16"/>
      <c r="M772" s="16"/>
      <c r="N772" s="46"/>
    </row>
    <row r="773">
      <c r="A773" s="46"/>
      <c r="B773" s="46"/>
      <c r="C773" s="46"/>
      <c r="D773" s="16"/>
      <c r="E773" s="16"/>
      <c r="F773" s="16"/>
      <c r="G773" s="16"/>
      <c r="H773" s="16"/>
      <c r="I773" s="16"/>
      <c r="J773" s="6"/>
      <c r="K773" s="16"/>
      <c r="L773" s="16"/>
      <c r="M773" s="16"/>
      <c r="N773" s="46"/>
    </row>
    <row r="774">
      <c r="A774" s="46"/>
      <c r="B774" s="46"/>
      <c r="C774" s="46"/>
      <c r="D774" s="16"/>
      <c r="E774" s="16"/>
      <c r="F774" s="16"/>
      <c r="G774" s="16"/>
      <c r="H774" s="16"/>
      <c r="I774" s="16"/>
      <c r="J774" s="6"/>
      <c r="K774" s="16"/>
      <c r="L774" s="16"/>
      <c r="M774" s="16"/>
      <c r="N774" s="46"/>
    </row>
    <row r="775">
      <c r="A775" s="46"/>
      <c r="B775" s="46"/>
      <c r="C775" s="46"/>
      <c r="D775" s="16"/>
      <c r="E775" s="16"/>
      <c r="F775" s="16"/>
      <c r="G775" s="16"/>
      <c r="H775" s="16"/>
      <c r="I775" s="16"/>
      <c r="J775" s="6"/>
      <c r="K775" s="16"/>
      <c r="L775" s="16"/>
      <c r="M775" s="16"/>
      <c r="N775" s="46"/>
    </row>
    <row r="776">
      <c r="A776" s="46"/>
      <c r="B776" s="46"/>
      <c r="C776" s="46"/>
      <c r="D776" s="16"/>
      <c r="E776" s="16"/>
      <c r="F776" s="16"/>
      <c r="G776" s="16"/>
      <c r="H776" s="16"/>
      <c r="I776" s="16"/>
      <c r="J776" s="6"/>
      <c r="K776" s="16"/>
      <c r="L776" s="16"/>
      <c r="M776" s="16"/>
      <c r="N776" s="46"/>
    </row>
    <row r="777">
      <c r="A777" s="46"/>
      <c r="B777" s="46"/>
      <c r="C777" s="46"/>
      <c r="D777" s="16"/>
      <c r="E777" s="16"/>
      <c r="F777" s="16"/>
      <c r="G777" s="16"/>
      <c r="H777" s="16"/>
      <c r="I777" s="16"/>
      <c r="J777" s="6"/>
      <c r="K777" s="16"/>
      <c r="L777" s="16"/>
      <c r="M777" s="16"/>
      <c r="N777" s="46"/>
    </row>
    <row r="778">
      <c r="A778" s="46"/>
      <c r="B778" s="46"/>
      <c r="C778" s="46"/>
      <c r="D778" s="16"/>
      <c r="E778" s="16"/>
      <c r="F778" s="16"/>
      <c r="G778" s="16"/>
      <c r="H778" s="16"/>
      <c r="I778" s="16"/>
      <c r="J778" s="6"/>
      <c r="K778" s="16"/>
      <c r="L778" s="16"/>
      <c r="M778" s="16"/>
      <c r="N778" s="46"/>
    </row>
    <row r="779">
      <c r="A779" s="46"/>
      <c r="B779" s="46"/>
      <c r="C779" s="46"/>
      <c r="D779" s="16"/>
      <c r="E779" s="16"/>
      <c r="F779" s="16"/>
      <c r="G779" s="16"/>
      <c r="H779" s="16"/>
      <c r="I779" s="16"/>
      <c r="J779" s="6"/>
      <c r="K779" s="16"/>
      <c r="L779" s="16"/>
      <c r="M779" s="16"/>
      <c r="N779" s="46"/>
    </row>
    <row r="780">
      <c r="A780" s="46"/>
      <c r="B780" s="46"/>
      <c r="C780" s="46"/>
      <c r="D780" s="16"/>
      <c r="E780" s="16"/>
      <c r="F780" s="16"/>
      <c r="G780" s="16"/>
      <c r="H780" s="16"/>
      <c r="I780" s="16"/>
      <c r="J780" s="6"/>
      <c r="K780" s="16"/>
      <c r="L780" s="16"/>
      <c r="M780" s="16"/>
      <c r="N780" s="46"/>
    </row>
    <row r="781">
      <c r="A781" s="46"/>
      <c r="B781" s="46"/>
      <c r="C781" s="46"/>
      <c r="D781" s="16"/>
      <c r="E781" s="16"/>
      <c r="F781" s="16"/>
      <c r="G781" s="16"/>
      <c r="H781" s="16"/>
      <c r="I781" s="16"/>
      <c r="J781" s="6"/>
      <c r="K781" s="16"/>
      <c r="L781" s="16"/>
      <c r="M781" s="16"/>
      <c r="N781" s="46"/>
    </row>
    <row r="782">
      <c r="A782" s="46"/>
      <c r="B782" s="46"/>
      <c r="C782" s="46"/>
      <c r="D782" s="16"/>
      <c r="E782" s="16"/>
      <c r="F782" s="16"/>
      <c r="G782" s="16"/>
      <c r="H782" s="16"/>
      <c r="I782" s="16"/>
      <c r="J782" s="6"/>
      <c r="K782" s="16"/>
      <c r="L782" s="16"/>
      <c r="M782" s="16"/>
      <c r="N782" s="46"/>
    </row>
    <row r="783">
      <c r="A783" s="46"/>
      <c r="B783" s="46"/>
      <c r="C783" s="46"/>
      <c r="D783" s="16"/>
      <c r="E783" s="16"/>
      <c r="F783" s="16"/>
      <c r="G783" s="16"/>
      <c r="H783" s="16"/>
      <c r="I783" s="16"/>
      <c r="J783" s="6"/>
      <c r="K783" s="16"/>
      <c r="L783" s="16"/>
      <c r="M783" s="16"/>
      <c r="N783" s="46"/>
    </row>
    <row r="784">
      <c r="A784" s="46"/>
      <c r="B784" s="46"/>
      <c r="C784" s="46"/>
      <c r="D784" s="16"/>
      <c r="E784" s="16"/>
      <c r="F784" s="16"/>
      <c r="G784" s="16"/>
      <c r="H784" s="16"/>
      <c r="I784" s="16"/>
      <c r="J784" s="6"/>
      <c r="K784" s="16"/>
      <c r="L784" s="16"/>
      <c r="M784" s="16"/>
      <c r="N784" s="46"/>
    </row>
    <row r="785">
      <c r="A785" s="46"/>
      <c r="B785" s="46"/>
      <c r="C785" s="46"/>
      <c r="D785" s="16"/>
      <c r="E785" s="16"/>
      <c r="F785" s="16"/>
      <c r="G785" s="16"/>
      <c r="H785" s="16"/>
      <c r="I785" s="16"/>
      <c r="J785" s="6"/>
      <c r="K785" s="16"/>
      <c r="L785" s="16"/>
      <c r="M785" s="16"/>
      <c r="N785" s="46"/>
    </row>
    <row r="786">
      <c r="A786" s="46"/>
      <c r="B786" s="46"/>
      <c r="C786" s="46"/>
      <c r="D786" s="16"/>
      <c r="E786" s="16"/>
      <c r="F786" s="16"/>
      <c r="G786" s="16"/>
      <c r="H786" s="16"/>
      <c r="I786" s="16"/>
      <c r="J786" s="6"/>
      <c r="K786" s="16"/>
      <c r="L786" s="16"/>
      <c r="M786" s="16"/>
      <c r="N786" s="46"/>
    </row>
    <row r="787">
      <c r="A787" s="46"/>
      <c r="B787" s="46"/>
      <c r="C787" s="46"/>
      <c r="D787" s="16"/>
      <c r="E787" s="16"/>
      <c r="F787" s="16"/>
      <c r="G787" s="16"/>
      <c r="H787" s="16"/>
      <c r="I787" s="16"/>
      <c r="J787" s="6"/>
      <c r="K787" s="16"/>
      <c r="L787" s="16"/>
      <c r="M787" s="16"/>
      <c r="N787" s="46"/>
    </row>
    <row r="788">
      <c r="A788" s="46"/>
      <c r="B788" s="46"/>
      <c r="C788" s="46"/>
      <c r="D788" s="16"/>
      <c r="E788" s="16"/>
      <c r="F788" s="16"/>
      <c r="G788" s="16"/>
      <c r="H788" s="16"/>
      <c r="I788" s="16"/>
      <c r="J788" s="6"/>
      <c r="K788" s="16"/>
      <c r="L788" s="16"/>
      <c r="M788" s="16"/>
      <c r="N788" s="46"/>
    </row>
    <row r="789">
      <c r="A789" s="46"/>
      <c r="B789" s="46"/>
      <c r="C789" s="46"/>
      <c r="D789" s="16"/>
      <c r="E789" s="16"/>
      <c r="F789" s="16"/>
      <c r="G789" s="16"/>
      <c r="H789" s="16"/>
      <c r="I789" s="16"/>
      <c r="J789" s="6"/>
      <c r="K789" s="16"/>
      <c r="L789" s="16"/>
      <c r="M789" s="16"/>
      <c r="N789" s="46"/>
    </row>
    <row r="790">
      <c r="A790" s="46"/>
      <c r="B790" s="46"/>
      <c r="C790" s="46"/>
      <c r="D790" s="16"/>
      <c r="E790" s="16"/>
      <c r="F790" s="16"/>
      <c r="G790" s="16"/>
      <c r="H790" s="16"/>
      <c r="I790" s="16"/>
      <c r="J790" s="6"/>
      <c r="K790" s="16"/>
      <c r="L790" s="16"/>
      <c r="M790" s="16"/>
      <c r="N790" s="46"/>
    </row>
    <row r="791">
      <c r="A791" s="46"/>
      <c r="B791" s="46"/>
      <c r="C791" s="46"/>
      <c r="D791" s="16"/>
      <c r="E791" s="16"/>
      <c r="F791" s="16"/>
      <c r="G791" s="16"/>
      <c r="H791" s="16"/>
      <c r="I791" s="16"/>
      <c r="J791" s="6"/>
      <c r="K791" s="16"/>
      <c r="L791" s="16"/>
      <c r="M791" s="16"/>
      <c r="N791" s="46"/>
    </row>
    <row r="792">
      <c r="A792" s="46"/>
      <c r="B792" s="46"/>
      <c r="C792" s="46"/>
      <c r="D792" s="16"/>
      <c r="E792" s="16"/>
      <c r="F792" s="16"/>
      <c r="G792" s="16"/>
      <c r="H792" s="16"/>
      <c r="I792" s="16"/>
      <c r="J792" s="6"/>
      <c r="K792" s="16"/>
      <c r="L792" s="16"/>
      <c r="M792" s="16"/>
      <c r="N792" s="46"/>
    </row>
    <row r="793">
      <c r="A793" s="46"/>
      <c r="B793" s="46"/>
      <c r="C793" s="46"/>
      <c r="D793" s="16"/>
      <c r="E793" s="16"/>
      <c r="F793" s="16"/>
      <c r="G793" s="16"/>
      <c r="H793" s="16"/>
      <c r="I793" s="16"/>
      <c r="J793" s="6"/>
      <c r="K793" s="16"/>
      <c r="L793" s="16"/>
      <c r="M793" s="16"/>
      <c r="N793" s="46"/>
    </row>
    <row r="794">
      <c r="A794" s="46"/>
      <c r="B794" s="46"/>
      <c r="C794" s="46"/>
      <c r="D794" s="16"/>
      <c r="E794" s="16"/>
      <c r="F794" s="16"/>
      <c r="G794" s="16"/>
      <c r="H794" s="16"/>
      <c r="I794" s="16"/>
      <c r="J794" s="6"/>
      <c r="K794" s="16"/>
      <c r="L794" s="16"/>
      <c r="M794" s="16"/>
      <c r="N794" s="46"/>
    </row>
    <row r="795">
      <c r="A795" s="46"/>
      <c r="B795" s="46"/>
      <c r="C795" s="46"/>
      <c r="D795" s="16"/>
      <c r="E795" s="16"/>
      <c r="F795" s="16"/>
      <c r="G795" s="16"/>
      <c r="H795" s="16"/>
      <c r="I795" s="16"/>
      <c r="J795" s="6"/>
      <c r="K795" s="16"/>
      <c r="L795" s="16"/>
      <c r="M795" s="16"/>
      <c r="N795" s="46"/>
    </row>
    <row r="796">
      <c r="A796" s="46"/>
      <c r="B796" s="46"/>
      <c r="C796" s="46"/>
      <c r="D796" s="16"/>
      <c r="E796" s="16"/>
      <c r="F796" s="16"/>
      <c r="G796" s="16"/>
      <c r="H796" s="16"/>
      <c r="I796" s="16"/>
      <c r="J796" s="6"/>
      <c r="K796" s="16"/>
      <c r="L796" s="16"/>
      <c r="M796" s="16"/>
      <c r="N796" s="46"/>
    </row>
    <row r="797">
      <c r="A797" s="46"/>
      <c r="B797" s="46"/>
      <c r="C797" s="46"/>
      <c r="D797" s="16"/>
      <c r="E797" s="16"/>
      <c r="F797" s="16"/>
      <c r="G797" s="16"/>
      <c r="H797" s="16"/>
      <c r="I797" s="16"/>
      <c r="J797" s="6"/>
      <c r="K797" s="16"/>
      <c r="L797" s="16"/>
      <c r="M797" s="16"/>
      <c r="N797" s="46"/>
    </row>
    <row r="798">
      <c r="A798" s="46"/>
      <c r="B798" s="46"/>
      <c r="C798" s="46"/>
      <c r="D798" s="16"/>
      <c r="E798" s="16"/>
      <c r="F798" s="16"/>
      <c r="G798" s="16"/>
      <c r="H798" s="16"/>
      <c r="I798" s="16"/>
      <c r="J798" s="6"/>
      <c r="K798" s="16"/>
      <c r="L798" s="16"/>
      <c r="M798" s="16"/>
      <c r="N798" s="46"/>
    </row>
    <row r="799">
      <c r="A799" s="46"/>
      <c r="B799" s="46"/>
      <c r="C799" s="46"/>
      <c r="D799" s="16"/>
      <c r="E799" s="16"/>
      <c r="F799" s="16"/>
      <c r="G799" s="16"/>
      <c r="H799" s="16"/>
      <c r="I799" s="16"/>
      <c r="J799" s="6"/>
      <c r="K799" s="16"/>
      <c r="L799" s="16"/>
      <c r="M799" s="16"/>
      <c r="N799" s="46"/>
    </row>
    <row r="800">
      <c r="A800" s="46"/>
      <c r="B800" s="46"/>
      <c r="C800" s="46"/>
      <c r="D800" s="16"/>
      <c r="E800" s="16"/>
      <c r="F800" s="16"/>
      <c r="G800" s="16"/>
      <c r="H800" s="16"/>
      <c r="I800" s="16"/>
      <c r="J800" s="6"/>
      <c r="K800" s="16"/>
      <c r="L800" s="16"/>
      <c r="M800" s="16"/>
      <c r="N800" s="46"/>
    </row>
    <row r="801">
      <c r="A801" s="46"/>
      <c r="B801" s="46"/>
      <c r="C801" s="46"/>
      <c r="D801" s="16"/>
      <c r="E801" s="16"/>
      <c r="F801" s="16"/>
      <c r="G801" s="16"/>
      <c r="H801" s="16"/>
      <c r="I801" s="16"/>
      <c r="J801" s="6"/>
      <c r="K801" s="16"/>
      <c r="L801" s="16"/>
      <c r="M801" s="16"/>
      <c r="N801" s="46"/>
    </row>
    <row r="802">
      <c r="A802" s="46"/>
      <c r="B802" s="46"/>
      <c r="C802" s="46"/>
      <c r="D802" s="16"/>
      <c r="E802" s="16"/>
      <c r="F802" s="16"/>
      <c r="G802" s="16"/>
      <c r="H802" s="16"/>
      <c r="I802" s="16"/>
      <c r="J802" s="6"/>
      <c r="K802" s="16"/>
      <c r="L802" s="16"/>
      <c r="M802" s="16"/>
      <c r="N802" s="46"/>
    </row>
    <row r="803">
      <c r="A803" s="46"/>
      <c r="B803" s="46"/>
      <c r="C803" s="46"/>
      <c r="D803" s="16"/>
      <c r="E803" s="16"/>
      <c r="F803" s="16"/>
      <c r="G803" s="16"/>
      <c r="H803" s="16"/>
      <c r="I803" s="16"/>
      <c r="J803" s="6"/>
      <c r="K803" s="16"/>
      <c r="L803" s="16"/>
      <c r="M803" s="16"/>
      <c r="N803" s="46"/>
    </row>
    <row r="804">
      <c r="A804" s="46"/>
      <c r="B804" s="46"/>
      <c r="C804" s="46"/>
      <c r="D804" s="16"/>
      <c r="E804" s="16"/>
      <c r="F804" s="16"/>
      <c r="G804" s="16"/>
      <c r="H804" s="16"/>
      <c r="I804" s="16"/>
      <c r="J804" s="6"/>
      <c r="K804" s="16"/>
      <c r="L804" s="16"/>
      <c r="M804" s="16"/>
      <c r="N804" s="46"/>
    </row>
    <row r="805">
      <c r="A805" s="46"/>
      <c r="B805" s="46"/>
      <c r="C805" s="46"/>
      <c r="D805" s="16"/>
      <c r="E805" s="16"/>
      <c r="F805" s="16"/>
      <c r="G805" s="16"/>
      <c r="H805" s="16"/>
      <c r="I805" s="16"/>
      <c r="J805" s="6"/>
      <c r="K805" s="16"/>
      <c r="L805" s="16"/>
      <c r="M805" s="16"/>
      <c r="N805" s="46"/>
    </row>
    <row r="806">
      <c r="A806" s="46"/>
      <c r="B806" s="46"/>
      <c r="C806" s="46"/>
      <c r="D806" s="16"/>
      <c r="E806" s="16"/>
      <c r="F806" s="16"/>
      <c r="G806" s="16"/>
      <c r="H806" s="16"/>
      <c r="I806" s="16"/>
      <c r="J806" s="6"/>
      <c r="K806" s="16"/>
      <c r="L806" s="16"/>
      <c r="M806" s="16"/>
      <c r="N806" s="46"/>
    </row>
    <row r="807">
      <c r="A807" s="46"/>
      <c r="B807" s="46"/>
      <c r="C807" s="46"/>
      <c r="D807" s="16"/>
      <c r="E807" s="16"/>
      <c r="F807" s="16"/>
      <c r="G807" s="16"/>
      <c r="H807" s="16"/>
      <c r="I807" s="16"/>
      <c r="J807" s="6"/>
      <c r="K807" s="16"/>
      <c r="L807" s="16"/>
      <c r="M807" s="16"/>
      <c r="N807" s="46"/>
    </row>
    <row r="808">
      <c r="A808" s="46"/>
      <c r="B808" s="46"/>
      <c r="C808" s="46"/>
      <c r="D808" s="16"/>
      <c r="E808" s="16"/>
      <c r="F808" s="16"/>
      <c r="G808" s="16"/>
      <c r="H808" s="16"/>
      <c r="I808" s="16"/>
      <c r="J808" s="6"/>
      <c r="K808" s="16"/>
      <c r="L808" s="16"/>
      <c r="M808" s="16"/>
      <c r="N808" s="46"/>
    </row>
    <row r="809">
      <c r="A809" s="46"/>
      <c r="B809" s="46"/>
      <c r="C809" s="46"/>
      <c r="D809" s="16"/>
      <c r="E809" s="16"/>
      <c r="F809" s="16"/>
      <c r="G809" s="16"/>
      <c r="H809" s="16"/>
      <c r="I809" s="16"/>
      <c r="J809" s="6"/>
      <c r="K809" s="16"/>
      <c r="L809" s="16"/>
      <c r="M809" s="16"/>
      <c r="N809" s="46"/>
    </row>
    <row r="810">
      <c r="A810" s="46"/>
      <c r="B810" s="46"/>
      <c r="C810" s="46"/>
      <c r="D810" s="16"/>
      <c r="E810" s="16"/>
      <c r="F810" s="16"/>
      <c r="G810" s="16"/>
      <c r="H810" s="16"/>
      <c r="I810" s="16"/>
      <c r="J810" s="6"/>
      <c r="K810" s="16"/>
      <c r="L810" s="16"/>
      <c r="M810" s="16"/>
      <c r="N810" s="46"/>
    </row>
    <row r="811">
      <c r="A811" s="46"/>
      <c r="B811" s="46"/>
      <c r="C811" s="46"/>
      <c r="D811" s="16"/>
      <c r="E811" s="16"/>
      <c r="F811" s="16"/>
      <c r="G811" s="16"/>
      <c r="H811" s="16"/>
      <c r="I811" s="16"/>
      <c r="J811" s="6"/>
      <c r="K811" s="16"/>
      <c r="L811" s="16"/>
      <c r="M811" s="16"/>
      <c r="N811" s="46"/>
    </row>
    <row r="812">
      <c r="A812" s="46"/>
      <c r="B812" s="46"/>
      <c r="C812" s="46"/>
      <c r="D812" s="16"/>
      <c r="E812" s="16"/>
      <c r="F812" s="16"/>
      <c r="G812" s="16"/>
      <c r="H812" s="16"/>
      <c r="I812" s="16"/>
      <c r="J812" s="6"/>
      <c r="K812" s="16"/>
      <c r="L812" s="16"/>
      <c r="M812" s="16"/>
      <c r="N812" s="46"/>
    </row>
    <row r="813">
      <c r="A813" s="46"/>
      <c r="B813" s="46"/>
      <c r="C813" s="46"/>
      <c r="D813" s="16"/>
      <c r="E813" s="16"/>
      <c r="F813" s="16"/>
      <c r="G813" s="16"/>
      <c r="H813" s="16"/>
      <c r="I813" s="16"/>
      <c r="J813" s="6"/>
      <c r="K813" s="16"/>
      <c r="L813" s="16"/>
      <c r="M813" s="16"/>
      <c r="N813" s="46"/>
    </row>
    <row r="814">
      <c r="A814" s="46"/>
      <c r="B814" s="46"/>
      <c r="C814" s="46"/>
      <c r="D814" s="16"/>
      <c r="E814" s="16"/>
      <c r="F814" s="16"/>
      <c r="G814" s="16"/>
      <c r="H814" s="16"/>
      <c r="I814" s="16"/>
      <c r="J814" s="6"/>
      <c r="K814" s="16"/>
      <c r="L814" s="16"/>
      <c r="M814" s="16"/>
      <c r="N814" s="46"/>
    </row>
    <row r="815">
      <c r="A815" s="46"/>
      <c r="B815" s="46"/>
      <c r="C815" s="46"/>
      <c r="D815" s="16"/>
      <c r="E815" s="16"/>
      <c r="F815" s="16"/>
      <c r="G815" s="16"/>
      <c r="H815" s="16"/>
      <c r="I815" s="16"/>
      <c r="J815" s="6"/>
      <c r="K815" s="16"/>
      <c r="L815" s="16"/>
      <c r="M815" s="16"/>
      <c r="N815" s="46"/>
    </row>
    <row r="816">
      <c r="A816" s="46"/>
      <c r="B816" s="46"/>
      <c r="C816" s="46"/>
      <c r="D816" s="16"/>
      <c r="E816" s="16"/>
      <c r="F816" s="16"/>
      <c r="G816" s="16"/>
      <c r="H816" s="16"/>
      <c r="I816" s="16"/>
      <c r="J816" s="6"/>
      <c r="K816" s="16"/>
      <c r="L816" s="16"/>
      <c r="M816" s="16"/>
      <c r="N816" s="46"/>
    </row>
    <row r="817">
      <c r="A817" s="46"/>
      <c r="B817" s="46"/>
      <c r="C817" s="46"/>
      <c r="D817" s="16"/>
      <c r="E817" s="16"/>
      <c r="F817" s="16"/>
      <c r="G817" s="16"/>
      <c r="H817" s="16"/>
      <c r="I817" s="16"/>
      <c r="J817" s="6"/>
      <c r="K817" s="16"/>
      <c r="L817" s="16"/>
      <c r="M817" s="16"/>
      <c r="N817" s="46"/>
    </row>
    <row r="818">
      <c r="A818" s="46"/>
      <c r="B818" s="46"/>
      <c r="C818" s="46"/>
      <c r="D818" s="16"/>
      <c r="E818" s="16"/>
      <c r="F818" s="16"/>
      <c r="G818" s="16"/>
      <c r="H818" s="16"/>
      <c r="I818" s="16"/>
      <c r="J818" s="6"/>
      <c r="K818" s="16"/>
      <c r="L818" s="16"/>
      <c r="M818" s="16"/>
      <c r="N818" s="46"/>
    </row>
    <row r="819">
      <c r="A819" s="46"/>
      <c r="B819" s="46"/>
      <c r="C819" s="46"/>
      <c r="D819" s="16"/>
      <c r="E819" s="16"/>
      <c r="F819" s="16"/>
      <c r="G819" s="16"/>
      <c r="H819" s="16"/>
      <c r="I819" s="16"/>
      <c r="J819" s="6"/>
      <c r="K819" s="16"/>
      <c r="L819" s="16"/>
      <c r="M819" s="16"/>
      <c r="N819" s="46"/>
    </row>
    <row r="820">
      <c r="A820" s="46"/>
      <c r="B820" s="46"/>
      <c r="C820" s="46"/>
      <c r="D820" s="16"/>
      <c r="E820" s="16"/>
      <c r="F820" s="16"/>
      <c r="G820" s="16"/>
      <c r="H820" s="16"/>
      <c r="I820" s="16"/>
      <c r="J820" s="6"/>
      <c r="K820" s="16"/>
      <c r="L820" s="16"/>
      <c r="M820" s="16"/>
      <c r="N820" s="46"/>
    </row>
    <row r="821">
      <c r="A821" s="46"/>
      <c r="B821" s="46"/>
      <c r="C821" s="46"/>
      <c r="D821" s="16"/>
      <c r="E821" s="16"/>
      <c r="F821" s="16"/>
      <c r="G821" s="16"/>
      <c r="H821" s="16"/>
      <c r="I821" s="16"/>
      <c r="J821" s="6"/>
      <c r="K821" s="16"/>
      <c r="L821" s="16"/>
      <c r="M821" s="16"/>
      <c r="N821" s="46"/>
    </row>
    <row r="822">
      <c r="A822" s="46"/>
      <c r="B822" s="46"/>
      <c r="C822" s="46"/>
      <c r="D822" s="16"/>
      <c r="E822" s="16"/>
      <c r="F822" s="16"/>
      <c r="G822" s="16"/>
      <c r="H822" s="16"/>
      <c r="I822" s="16"/>
      <c r="J822" s="6"/>
      <c r="K822" s="16"/>
      <c r="L822" s="16"/>
      <c r="M822" s="16"/>
      <c r="N822" s="46"/>
    </row>
    <row r="823">
      <c r="A823" s="46"/>
      <c r="B823" s="46"/>
      <c r="C823" s="46"/>
      <c r="D823" s="16"/>
      <c r="E823" s="16"/>
      <c r="F823" s="16"/>
      <c r="G823" s="16"/>
      <c r="H823" s="16"/>
      <c r="I823" s="16"/>
      <c r="J823" s="6"/>
      <c r="K823" s="16"/>
      <c r="L823" s="16"/>
      <c r="M823" s="16"/>
      <c r="N823" s="46"/>
    </row>
    <row r="824">
      <c r="A824" s="46"/>
      <c r="B824" s="46"/>
      <c r="C824" s="46"/>
      <c r="D824" s="16"/>
      <c r="E824" s="16"/>
      <c r="F824" s="16"/>
      <c r="G824" s="16"/>
      <c r="H824" s="16"/>
      <c r="I824" s="16"/>
      <c r="J824" s="6"/>
      <c r="K824" s="16"/>
      <c r="L824" s="16"/>
      <c r="M824" s="16"/>
      <c r="N824" s="46"/>
    </row>
    <row r="825">
      <c r="A825" s="46"/>
      <c r="B825" s="46"/>
      <c r="C825" s="46"/>
      <c r="D825" s="16"/>
      <c r="E825" s="16"/>
      <c r="F825" s="16"/>
      <c r="G825" s="16"/>
      <c r="H825" s="16"/>
      <c r="I825" s="16"/>
      <c r="J825" s="6"/>
      <c r="K825" s="16"/>
      <c r="L825" s="16"/>
      <c r="M825" s="16"/>
      <c r="N825" s="46"/>
    </row>
    <row r="826">
      <c r="A826" s="46"/>
      <c r="B826" s="46"/>
      <c r="C826" s="46"/>
      <c r="D826" s="16"/>
      <c r="E826" s="16"/>
      <c r="F826" s="16"/>
      <c r="G826" s="16"/>
      <c r="H826" s="16"/>
      <c r="I826" s="16"/>
      <c r="J826" s="6"/>
      <c r="K826" s="16"/>
      <c r="L826" s="16"/>
      <c r="M826" s="16"/>
      <c r="N826" s="46"/>
    </row>
    <row r="827">
      <c r="A827" s="46"/>
      <c r="B827" s="46"/>
      <c r="C827" s="46"/>
      <c r="D827" s="16"/>
      <c r="E827" s="16"/>
      <c r="F827" s="16"/>
      <c r="G827" s="16"/>
      <c r="H827" s="16"/>
      <c r="I827" s="16"/>
      <c r="J827" s="6"/>
      <c r="K827" s="16"/>
      <c r="L827" s="16"/>
      <c r="M827" s="16"/>
      <c r="N827" s="46"/>
    </row>
    <row r="828">
      <c r="A828" s="46"/>
      <c r="B828" s="46"/>
      <c r="C828" s="46"/>
      <c r="D828" s="16"/>
      <c r="E828" s="16"/>
      <c r="F828" s="16"/>
      <c r="G828" s="16"/>
      <c r="H828" s="16"/>
      <c r="I828" s="16"/>
      <c r="J828" s="6"/>
      <c r="K828" s="16"/>
      <c r="L828" s="16"/>
      <c r="M828" s="16"/>
      <c r="N828" s="46"/>
    </row>
    <row r="829">
      <c r="A829" s="46"/>
      <c r="B829" s="46"/>
      <c r="C829" s="46"/>
      <c r="D829" s="16"/>
      <c r="E829" s="16"/>
      <c r="F829" s="16"/>
      <c r="G829" s="16"/>
      <c r="H829" s="16"/>
      <c r="I829" s="16"/>
      <c r="J829" s="6"/>
      <c r="K829" s="16"/>
      <c r="L829" s="16"/>
      <c r="M829" s="16"/>
      <c r="N829" s="46"/>
    </row>
    <row r="830">
      <c r="A830" s="46"/>
      <c r="B830" s="46"/>
      <c r="C830" s="46"/>
      <c r="D830" s="16"/>
      <c r="E830" s="16"/>
      <c r="F830" s="16"/>
      <c r="G830" s="16"/>
      <c r="H830" s="16"/>
      <c r="I830" s="16"/>
      <c r="J830" s="6"/>
      <c r="K830" s="16"/>
      <c r="L830" s="16"/>
      <c r="M830" s="16"/>
      <c r="N830" s="46"/>
    </row>
    <row r="831">
      <c r="A831" s="46"/>
      <c r="B831" s="46"/>
      <c r="C831" s="46"/>
      <c r="D831" s="16"/>
      <c r="E831" s="16"/>
      <c r="F831" s="16"/>
      <c r="G831" s="16"/>
      <c r="H831" s="16"/>
      <c r="I831" s="16"/>
      <c r="J831" s="6"/>
      <c r="K831" s="16"/>
      <c r="L831" s="16"/>
      <c r="M831" s="16"/>
      <c r="N831" s="46"/>
    </row>
    <row r="832">
      <c r="A832" s="46"/>
      <c r="B832" s="46"/>
      <c r="C832" s="46"/>
      <c r="D832" s="16"/>
      <c r="E832" s="16"/>
      <c r="F832" s="16"/>
      <c r="G832" s="16"/>
      <c r="H832" s="16"/>
      <c r="I832" s="16"/>
      <c r="J832" s="6"/>
      <c r="K832" s="16"/>
      <c r="L832" s="16"/>
      <c r="M832" s="16"/>
      <c r="N832" s="46"/>
    </row>
    <row r="833">
      <c r="A833" s="46"/>
      <c r="B833" s="46"/>
      <c r="C833" s="46"/>
      <c r="D833" s="16"/>
      <c r="E833" s="16"/>
      <c r="F833" s="16"/>
      <c r="G833" s="16"/>
      <c r="H833" s="16"/>
      <c r="I833" s="16"/>
      <c r="J833" s="6"/>
      <c r="K833" s="16"/>
      <c r="L833" s="16"/>
      <c r="M833" s="16"/>
      <c r="N833" s="46"/>
    </row>
    <row r="834">
      <c r="A834" s="46"/>
      <c r="B834" s="46"/>
      <c r="C834" s="46"/>
      <c r="D834" s="16"/>
      <c r="E834" s="16"/>
      <c r="F834" s="16"/>
      <c r="G834" s="16"/>
      <c r="H834" s="16"/>
      <c r="I834" s="16"/>
      <c r="J834" s="6"/>
      <c r="K834" s="16"/>
      <c r="L834" s="16"/>
      <c r="M834" s="16"/>
      <c r="N834" s="46"/>
    </row>
    <row r="835">
      <c r="A835" s="46"/>
      <c r="B835" s="46"/>
      <c r="C835" s="46"/>
      <c r="D835" s="16"/>
      <c r="E835" s="16"/>
      <c r="F835" s="16"/>
      <c r="G835" s="16"/>
      <c r="H835" s="16"/>
      <c r="I835" s="16"/>
      <c r="J835" s="6"/>
      <c r="K835" s="16"/>
      <c r="L835" s="16"/>
      <c r="M835" s="16"/>
      <c r="N835" s="46"/>
    </row>
    <row r="836">
      <c r="A836" s="46"/>
      <c r="B836" s="46"/>
      <c r="C836" s="46"/>
      <c r="D836" s="16"/>
      <c r="E836" s="16"/>
      <c r="F836" s="16"/>
      <c r="G836" s="16"/>
      <c r="H836" s="16"/>
      <c r="I836" s="16"/>
      <c r="J836" s="6"/>
      <c r="K836" s="16"/>
      <c r="L836" s="16"/>
      <c r="M836" s="16"/>
      <c r="N836" s="46"/>
    </row>
    <row r="837">
      <c r="A837" s="46"/>
      <c r="B837" s="46"/>
      <c r="C837" s="46"/>
      <c r="D837" s="16"/>
      <c r="E837" s="16"/>
      <c r="F837" s="16"/>
      <c r="G837" s="16"/>
      <c r="H837" s="16"/>
      <c r="I837" s="16"/>
      <c r="J837" s="6"/>
      <c r="K837" s="16"/>
      <c r="L837" s="16"/>
      <c r="M837" s="16"/>
      <c r="N837" s="46"/>
    </row>
    <row r="838">
      <c r="A838" s="46"/>
      <c r="B838" s="46"/>
      <c r="C838" s="46"/>
      <c r="D838" s="16"/>
      <c r="E838" s="16"/>
      <c r="F838" s="16"/>
      <c r="G838" s="16"/>
      <c r="H838" s="16"/>
      <c r="I838" s="16"/>
      <c r="J838" s="6"/>
      <c r="K838" s="16"/>
      <c r="L838" s="16"/>
      <c r="M838" s="16"/>
      <c r="N838" s="46"/>
    </row>
    <row r="839">
      <c r="A839" s="46"/>
      <c r="B839" s="46"/>
      <c r="C839" s="46"/>
      <c r="D839" s="16"/>
      <c r="E839" s="16"/>
      <c r="F839" s="16"/>
      <c r="G839" s="16"/>
      <c r="H839" s="16"/>
      <c r="I839" s="16"/>
      <c r="J839" s="6"/>
      <c r="K839" s="16"/>
      <c r="L839" s="16"/>
      <c r="M839" s="16"/>
      <c r="N839" s="46"/>
    </row>
    <row r="840">
      <c r="A840" s="46"/>
      <c r="B840" s="46"/>
      <c r="C840" s="46"/>
      <c r="D840" s="16"/>
      <c r="E840" s="16"/>
      <c r="F840" s="16"/>
      <c r="G840" s="16"/>
      <c r="H840" s="16"/>
      <c r="I840" s="16"/>
      <c r="J840" s="6"/>
      <c r="K840" s="16"/>
      <c r="L840" s="16"/>
      <c r="M840" s="16"/>
      <c r="N840" s="46"/>
    </row>
    <row r="841">
      <c r="A841" s="46"/>
      <c r="B841" s="46"/>
      <c r="C841" s="46"/>
      <c r="D841" s="16"/>
      <c r="E841" s="16"/>
      <c r="F841" s="16"/>
      <c r="G841" s="16"/>
      <c r="H841" s="16"/>
      <c r="I841" s="16"/>
      <c r="J841" s="6"/>
      <c r="K841" s="16"/>
      <c r="L841" s="16"/>
      <c r="M841" s="16"/>
      <c r="N841" s="46"/>
    </row>
    <row r="842">
      <c r="A842" s="46"/>
      <c r="B842" s="46"/>
      <c r="C842" s="46"/>
      <c r="D842" s="16"/>
      <c r="E842" s="16"/>
      <c r="F842" s="16"/>
      <c r="G842" s="16"/>
      <c r="H842" s="16"/>
      <c r="I842" s="16"/>
      <c r="J842" s="6"/>
      <c r="K842" s="16"/>
      <c r="L842" s="16"/>
      <c r="M842" s="16"/>
      <c r="N842" s="46"/>
    </row>
    <row r="843">
      <c r="A843" s="46"/>
      <c r="B843" s="46"/>
      <c r="C843" s="46"/>
      <c r="D843" s="16"/>
      <c r="E843" s="16"/>
      <c r="F843" s="16"/>
      <c r="G843" s="16"/>
      <c r="H843" s="16"/>
      <c r="I843" s="16"/>
      <c r="J843" s="6"/>
      <c r="K843" s="16"/>
      <c r="L843" s="16"/>
      <c r="M843" s="16"/>
      <c r="N843" s="46"/>
    </row>
    <row r="844">
      <c r="A844" s="46"/>
      <c r="B844" s="46"/>
      <c r="C844" s="46"/>
      <c r="D844" s="16"/>
      <c r="E844" s="16"/>
      <c r="F844" s="16"/>
      <c r="G844" s="16"/>
      <c r="H844" s="16"/>
      <c r="I844" s="16"/>
      <c r="J844" s="6"/>
      <c r="K844" s="16"/>
      <c r="L844" s="16"/>
      <c r="M844" s="16"/>
      <c r="N844" s="46"/>
    </row>
    <row r="845">
      <c r="A845" s="46"/>
      <c r="B845" s="46"/>
      <c r="C845" s="46"/>
      <c r="D845" s="16"/>
      <c r="E845" s="16"/>
      <c r="F845" s="16"/>
      <c r="G845" s="16"/>
      <c r="H845" s="16"/>
      <c r="I845" s="16"/>
      <c r="J845" s="6"/>
      <c r="K845" s="16"/>
      <c r="L845" s="16"/>
      <c r="M845" s="16"/>
      <c r="N845" s="46"/>
    </row>
    <row r="846">
      <c r="A846" s="46"/>
      <c r="B846" s="46"/>
      <c r="C846" s="46"/>
      <c r="D846" s="16"/>
      <c r="E846" s="16"/>
      <c r="F846" s="16"/>
      <c r="G846" s="16"/>
      <c r="H846" s="16"/>
      <c r="I846" s="16"/>
      <c r="J846" s="6"/>
      <c r="K846" s="16"/>
      <c r="L846" s="16"/>
      <c r="M846" s="16"/>
      <c r="N846" s="46"/>
    </row>
    <row r="847">
      <c r="A847" s="46"/>
      <c r="B847" s="46"/>
      <c r="C847" s="46"/>
      <c r="D847" s="16"/>
      <c r="E847" s="16"/>
      <c r="F847" s="16"/>
      <c r="G847" s="16"/>
      <c r="H847" s="16"/>
      <c r="I847" s="16"/>
      <c r="J847" s="6"/>
      <c r="K847" s="16"/>
      <c r="L847" s="16"/>
      <c r="M847" s="16"/>
      <c r="N847" s="46"/>
    </row>
    <row r="848">
      <c r="A848" s="46"/>
      <c r="B848" s="46"/>
      <c r="C848" s="46"/>
      <c r="D848" s="16"/>
      <c r="E848" s="16"/>
      <c r="F848" s="16"/>
      <c r="G848" s="16"/>
      <c r="H848" s="16"/>
      <c r="I848" s="16"/>
      <c r="J848" s="6"/>
      <c r="K848" s="16"/>
      <c r="L848" s="16"/>
      <c r="M848" s="16"/>
      <c r="N848" s="46"/>
    </row>
    <row r="849">
      <c r="A849" s="46"/>
      <c r="B849" s="46"/>
      <c r="C849" s="46"/>
      <c r="D849" s="16"/>
      <c r="E849" s="16"/>
      <c r="F849" s="16"/>
      <c r="G849" s="16"/>
      <c r="H849" s="16"/>
      <c r="I849" s="16"/>
      <c r="J849" s="6"/>
      <c r="K849" s="16"/>
      <c r="L849" s="16"/>
      <c r="M849" s="16"/>
      <c r="N849" s="46"/>
    </row>
    <row r="850">
      <c r="A850" s="46"/>
      <c r="B850" s="46"/>
      <c r="C850" s="46"/>
      <c r="D850" s="16"/>
      <c r="E850" s="16"/>
      <c r="F850" s="16"/>
      <c r="G850" s="16"/>
      <c r="H850" s="16"/>
      <c r="I850" s="16"/>
      <c r="J850" s="6"/>
      <c r="K850" s="16"/>
      <c r="L850" s="16"/>
      <c r="M850" s="16"/>
      <c r="N850" s="46"/>
    </row>
    <row r="851">
      <c r="A851" s="46"/>
      <c r="B851" s="46"/>
      <c r="C851" s="46"/>
      <c r="D851" s="16"/>
      <c r="E851" s="16"/>
      <c r="F851" s="16"/>
      <c r="G851" s="16"/>
      <c r="H851" s="16"/>
      <c r="I851" s="16"/>
      <c r="J851" s="6"/>
      <c r="K851" s="16"/>
      <c r="L851" s="16"/>
      <c r="M851" s="16"/>
      <c r="N851" s="46"/>
    </row>
    <row r="852">
      <c r="A852" s="46"/>
      <c r="B852" s="46"/>
      <c r="C852" s="46"/>
      <c r="D852" s="16"/>
      <c r="E852" s="16"/>
      <c r="F852" s="16"/>
      <c r="G852" s="16"/>
      <c r="H852" s="16"/>
      <c r="I852" s="16"/>
      <c r="J852" s="6"/>
      <c r="K852" s="16"/>
      <c r="L852" s="16"/>
      <c r="M852" s="16"/>
      <c r="N852" s="46"/>
    </row>
    <row r="853">
      <c r="A853" s="46"/>
      <c r="B853" s="46"/>
      <c r="C853" s="46"/>
      <c r="D853" s="16"/>
      <c r="E853" s="16"/>
      <c r="F853" s="16"/>
      <c r="G853" s="16"/>
      <c r="H853" s="16"/>
      <c r="I853" s="16"/>
      <c r="J853" s="6"/>
      <c r="K853" s="16"/>
      <c r="L853" s="16"/>
      <c r="M853" s="16"/>
      <c r="N853" s="46"/>
    </row>
    <row r="854">
      <c r="A854" s="46"/>
      <c r="B854" s="46"/>
      <c r="C854" s="46"/>
      <c r="D854" s="16"/>
      <c r="E854" s="16"/>
      <c r="F854" s="16"/>
      <c r="G854" s="16"/>
      <c r="H854" s="16"/>
      <c r="I854" s="16"/>
      <c r="J854" s="6"/>
      <c r="K854" s="16"/>
      <c r="L854" s="16"/>
      <c r="M854" s="16"/>
      <c r="N854" s="46"/>
    </row>
    <row r="855">
      <c r="A855" s="46"/>
      <c r="B855" s="46"/>
      <c r="C855" s="46"/>
      <c r="D855" s="16"/>
      <c r="E855" s="16"/>
      <c r="F855" s="16"/>
      <c r="G855" s="16"/>
      <c r="H855" s="16"/>
      <c r="I855" s="16"/>
      <c r="J855" s="6"/>
      <c r="K855" s="16"/>
      <c r="L855" s="16"/>
      <c r="M855" s="16"/>
      <c r="N855" s="46"/>
    </row>
    <row r="856">
      <c r="A856" s="46"/>
      <c r="B856" s="46"/>
      <c r="C856" s="46"/>
      <c r="D856" s="16"/>
      <c r="E856" s="16"/>
      <c r="F856" s="16"/>
      <c r="G856" s="16"/>
      <c r="H856" s="16"/>
      <c r="I856" s="16"/>
      <c r="J856" s="6"/>
      <c r="K856" s="16"/>
      <c r="L856" s="16"/>
      <c r="M856" s="16"/>
      <c r="N856" s="46"/>
    </row>
    <row r="857">
      <c r="A857" s="46"/>
      <c r="B857" s="46"/>
      <c r="C857" s="46"/>
      <c r="D857" s="16"/>
      <c r="E857" s="16"/>
      <c r="F857" s="16"/>
      <c r="G857" s="16"/>
      <c r="H857" s="16"/>
      <c r="I857" s="16"/>
      <c r="J857" s="6"/>
      <c r="K857" s="16"/>
      <c r="L857" s="16"/>
      <c r="M857" s="16"/>
      <c r="N857" s="46"/>
    </row>
    <row r="858">
      <c r="A858" s="46"/>
      <c r="B858" s="46"/>
      <c r="C858" s="46"/>
      <c r="D858" s="16"/>
      <c r="E858" s="16"/>
      <c r="F858" s="16"/>
      <c r="G858" s="16"/>
      <c r="H858" s="16"/>
      <c r="I858" s="16"/>
      <c r="J858" s="6"/>
      <c r="K858" s="16"/>
      <c r="L858" s="16"/>
      <c r="M858" s="16"/>
      <c r="N858" s="46"/>
    </row>
    <row r="859">
      <c r="A859" s="46"/>
      <c r="B859" s="46"/>
      <c r="C859" s="46"/>
      <c r="D859" s="16"/>
      <c r="E859" s="16"/>
      <c r="F859" s="16"/>
      <c r="G859" s="16"/>
      <c r="H859" s="16"/>
      <c r="I859" s="16"/>
      <c r="J859" s="6"/>
      <c r="K859" s="16"/>
      <c r="L859" s="16"/>
      <c r="M859" s="16"/>
      <c r="N859" s="46"/>
    </row>
    <row r="860">
      <c r="A860" s="46"/>
      <c r="B860" s="46"/>
      <c r="C860" s="46"/>
      <c r="D860" s="16"/>
      <c r="E860" s="16"/>
      <c r="F860" s="16"/>
      <c r="G860" s="16"/>
      <c r="H860" s="16"/>
      <c r="I860" s="16"/>
      <c r="J860" s="6"/>
      <c r="K860" s="16"/>
      <c r="L860" s="16"/>
      <c r="M860" s="16"/>
      <c r="N860" s="46"/>
    </row>
    <row r="861">
      <c r="A861" s="46"/>
      <c r="B861" s="46"/>
      <c r="C861" s="46"/>
      <c r="D861" s="16"/>
      <c r="E861" s="16"/>
      <c r="F861" s="16"/>
      <c r="G861" s="16"/>
      <c r="H861" s="16"/>
      <c r="I861" s="16"/>
      <c r="J861" s="6"/>
      <c r="K861" s="16"/>
      <c r="L861" s="16"/>
      <c r="M861" s="16"/>
      <c r="N861" s="46"/>
    </row>
    <row r="862">
      <c r="A862" s="46"/>
      <c r="B862" s="46"/>
      <c r="C862" s="46"/>
      <c r="D862" s="16"/>
      <c r="E862" s="16"/>
      <c r="F862" s="16"/>
      <c r="G862" s="16"/>
      <c r="H862" s="16"/>
      <c r="I862" s="16"/>
      <c r="J862" s="6"/>
      <c r="K862" s="16"/>
      <c r="L862" s="16"/>
      <c r="M862" s="16"/>
      <c r="N862" s="46"/>
    </row>
    <row r="863">
      <c r="A863" s="46"/>
      <c r="B863" s="46"/>
      <c r="C863" s="46"/>
      <c r="D863" s="16"/>
      <c r="E863" s="16"/>
      <c r="F863" s="16"/>
      <c r="G863" s="16"/>
      <c r="H863" s="16"/>
      <c r="I863" s="16"/>
      <c r="J863" s="6"/>
      <c r="K863" s="16"/>
      <c r="L863" s="16"/>
      <c r="M863" s="16"/>
      <c r="N863" s="46"/>
    </row>
    <row r="864">
      <c r="A864" s="46"/>
      <c r="B864" s="46"/>
      <c r="C864" s="46"/>
      <c r="D864" s="16"/>
      <c r="E864" s="16"/>
      <c r="F864" s="16"/>
      <c r="G864" s="16"/>
      <c r="H864" s="16"/>
      <c r="I864" s="16"/>
      <c r="J864" s="6"/>
      <c r="K864" s="16"/>
      <c r="L864" s="16"/>
      <c r="M864" s="16"/>
      <c r="N864" s="46"/>
    </row>
    <row r="865">
      <c r="A865" s="46"/>
      <c r="B865" s="46"/>
      <c r="C865" s="46"/>
      <c r="D865" s="16"/>
      <c r="E865" s="16"/>
      <c r="F865" s="16"/>
      <c r="G865" s="16"/>
      <c r="H865" s="16"/>
      <c r="I865" s="16"/>
      <c r="J865" s="6"/>
      <c r="K865" s="16"/>
      <c r="L865" s="16"/>
      <c r="M865" s="16"/>
      <c r="N865" s="46"/>
    </row>
    <row r="866">
      <c r="A866" s="46"/>
      <c r="B866" s="46"/>
      <c r="C866" s="46"/>
      <c r="D866" s="16"/>
      <c r="E866" s="16"/>
      <c r="F866" s="16"/>
      <c r="G866" s="16"/>
      <c r="H866" s="16"/>
      <c r="I866" s="16"/>
      <c r="J866" s="6"/>
      <c r="K866" s="16"/>
      <c r="L866" s="16"/>
      <c r="M866" s="16"/>
      <c r="N866" s="46"/>
    </row>
    <row r="867">
      <c r="A867" s="46"/>
      <c r="B867" s="46"/>
      <c r="C867" s="46"/>
      <c r="D867" s="16"/>
      <c r="E867" s="16"/>
      <c r="F867" s="16"/>
      <c r="G867" s="16"/>
      <c r="H867" s="16"/>
      <c r="I867" s="16"/>
      <c r="J867" s="6"/>
      <c r="K867" s="16"/>
      <c r="L867" s="16"/>
      <c r="M867" s="16"/>
      <c r="N867" s="46"/>
    </row>
    <row r="868">
      <c r="A868" s="46"/>
      <c r="B868" s="46"/>
      <c r="C868" s="46"/>
      <c r="D868" s="16"/>
      <c r="E868" s="16"/>
      <c r="F868" s="16"/>
      <c r="G868" s="16"/>
      <c r="H868" s="16"/>
      <c r="I868" s="16"/>
      <c r="J868" s="6"/>
      <c r="K868" s="16"/>
      <c r="L868" s="16"/>
      <c r="M868" s="16"/>
      <c r="N868" s="46"/>
    </row>
    <row r="869">
      <c r="A869" s="46"/>
      <c r="B869" s="46"/>
      <c r="C869" s="46"/>
      <c r="D869" s="16"/>
      <c r="E869" s="16"/>
      <c r="F869" s="16"/>
      <c r="G869" s="16"/>
      <c r="H869" s="16"/>
      <c r="I869" s="16"/>
      <c r="J869" s="6"/>
      <c r="K869" s="16"/>
      <c r="L869" s="16"/>
      <c r="M869" s="16"/>
      <c r="N869" s="46"/>
    </row>
    <row r="870">
      <c r="A870" s="46"/>
      <c r="B870" s="46"/>
      <c r="C870" s="46"/>
      <c r="D870" s="16"/>
      <c r="E870" s="16"/>
      <c r="F870" s="16"/>
      <c r="G870" s="16"/>
      <c r="H870" s="16"/>
      <c r="I870" s="16"/>
      <c r="J870" s="6"/>
      <c r="K870" s="16"/>
      <c r="L870" s="16"/>
      <c r="M870" s="16"/>
      <c r="N870" s="46"/>
    </row>
    <row r="871">
      <c r="A871" s="46"/>
      <c r="B871" s="46"/>
      <c r="C871" s="46"/>
      <c r="D871" s="16"/>
      <c r="E871" s="16"/>
      <c r="F871" s="16"/>
      <c r="G871" s="16"/>
      <c r="H871" s="16"/>
      <c r="I871" s="16"/>
      <c r="J871" s="6"/>
      <c r="K871" s="16"/>
      <c r="L871" s="16"/>
      <c r="M871" s="16"/>
      <c r="N871" s="46"/>
    </row>
    <row r="872">
      <c r="A872" s="46"/>
      <c r="B872" s="46"/>
      <c r="C872" s="46"/>
      <c r="D872" s="16"/>
      <c r="E872" s="16"/>
      <c r="F872" s="16"/>
      <c r="G872" s="16"/>
      <c r="H872" s="16"/>
      <c r="I872" s="16"/>
      <c r="J872" s="6"/>
      <c r="K872" s="16"/>
      <c r="L872" s="16"/>
      <c r="M872" s="16"/>
      <c r="N872" s="46"/>
    </row>
    <row r="873">
      <c r="A873" s="46"/>
      <c r="B873" s="46"/>
      <c r="C873" s="46"/>
      <c r="D873" s="16"/>
      <c r="E873" s="16"/>
      <c r="F873" s="16"/>
      <c r="G873" s="16"/>
      <c r="H873" s="16"/>
      <c r="I873" s="16"/>
      <c r="J873" s="6"/>
      <c r="K873" s="16"/>
      <c r="L873" s="16"/>
      <c r="M873" s="16"/>
      <c r="N873" s="46"/>
    </row>
    <row r="874">
      <c r="A874" s="46"/>
      <c r="B874" s="46"/>
      <c r="C874" s="46"/>
      <c r="D874" s="16"/>
      <c r="E874" s="16"/>
      <c r="F874" s="16"/>
      <c r="G874" s="16"/>
      <c r="H874" s="16"/>
      <c r="I874" s="16"/>
      <c r="J874" s="6"/>
      <c r="K874" s="16"/>
      <c r="L874" s="16"/>
      <c r="M874" s="16"/>
      <c r="N874" s="46"/>
    </row>
    <row r="875">
      <c r="A875" s="46"/>
      <c r="B875" s="46"/>
      <c r="C875" s="46"/>
      <c r="D875" s="16"/>
      <c r="E875" s="16"/>
      <c r="F875" s="16"/>
      <c r="G875" s="16"/>
      <c r="H875" s="16"/>
      <c r="I875" s="16"/>
      <c r="J875" s="6"/>
      <c r="K875" s="16"/>
      <c r="L875" s="16"/>
      <c r="M875" s="16"/>
      <c r="N875" s="46"/>
    </row>
    <row r="876">
      <c r="A876" s="46"/>
      <c r="B876" s="46"/>
      <c r="C876" s="46"/>
      <c r="D876" s="16"/>
      <c r="E876" s="16"/>
      <c r="F876" s="16"/>
      <c r="G876" s="16"/>
      <c r="H876" s="16"/>
      <c r="I876" s="16"/>
      <c r="J876" s="6"/>
      <c r="K876" s="16"/>
      <c r="L876" s="16"/>
      <c r="M876" s="16"/>
      <c r="N876" s="46"/>
    </row>
    <row r="877">
      <c r="A877" s="46"/>
      <c r="B877" s="46"/>
      <c r="C877" s="46"/>
      <c r="D877" s="16"/>
      <c r="E877" s="16"/>
      <c r="F877" s="16"/>
      <c r="G877" s="16"/>
      <c r="H877" s="16"/>
      <c r="I877" s="16"/>
      <c r="J877" s="6"/>
      <c r="K877" s="16"/>
      <c r="L877" s="16"/>
      <c r="M877" s="16"/>
      <c r="N877" s="46"/>
    </row>
    <row r="878">
      <c r="A878" s="46"/>
      <c r="B878" s="46"/>
      <c r="C878" s="46"/>
      <c r="D878" s="16"/>
      <c r="E878" s="16"/>
      <c r="F878" s="16"/>
      <c r="G878" s="16"/>
      <c r="H878" s="16"/>
      <c r="I878" s="16"/>
      <c r="J878" s="6"/>
      <c r="K878" s="16"/>
      <c r="L878" s="16"/>
      <c r="M878" s="16"/>
      <c r="N878" s="46"/>
    </row>
    <row r="879">
      <c r="A879" s="46"/>
      <c r="B879" s="46"/>
      <c r="C879" s="46"/>
      <c r="D879" s="16"/>
      <c r="E879" s="16"/>
      <c r="F879" s="16"/>
      <c r="G879" s="16"/>
      <c r="H879" s="16"/>
      <c r="I879" s="16"/>
      <c r="J879" s="6"/>
      <c r="K879" s="16"/>
      <c r="L879" s="16"/>
      <c r="M879" s="16"/>
      <c r="N879" s="46"/>
    </row>
    <row r="880">
      <c r="A880" s="46"/>
      <c r="B880" s="46"/>
      <c r="C880" s="46"/>
      <c r="D880" s="16"/>
      <c r="E880" s="16"/>
      <c r="F880" s="16"/>
      <c r="G880" s="16"/>
      <c r="H880" s="16"/>
      <c r="I880" s="16"/>
      <c r="J880" s="6"/>
      <c r="K880" s="16"/>
      <c r="L880" s="16"/>
      <c r="M880" s="16"/>
      <c r="N880" s="46"/>
    </row>
    <row r="881">
      <c r="A881" s="46"/>
      <c r="B881" s="46"/>
      <c r="C881" s="46"/>
      <c r="D881" s="16"/>
      <c r="E881" s="16"/>
      <c r="F881" s="16"/>
      <c r="G881" s="16"/>
      <c r="H881" s="16"/>
      <c r="I881" s="16"/>
      <c r="J881" s="6"/>
      <c r="K881" s="16"/>
      <c r="L881" s="16"/>
      <c r="M881" s="16"/>
      <c r="N881" s="46"/>
    </row>
    <row r="882">
      <c r="A882" s="46"/>
      <c r="B882" s="46"/>
      <c r="C882" s="46"/>
      <c r="D882" s="16"/>
      <c r="E882" s="16"/>
      <c r="F882" s="16"/>
      <c r="G882" s="16"/>
      <c r="H882" s="16"/>
      <c r="I882" s="16"/>
      <c r="J882" s="6"/>
      <c r="K882" s="16"/>
      <c r="L882" s="16"/>
      <c r="M882" s="16"/>
      <c r="N882" s="46"/>
    </row>
    <row r="883">
      <c r="A883" s="46"/>
      <c r="B883" s="46"/>
      <c r="C883" s="46"/>
      <c r="D883" s="16"/>
      <c r="E883" s="16"/>
      <c r="F883" s="16"/>
      <c r="G883" s="16"/>
      <c r="H883" s="16"/>
      <c r="I883" s="16"/>
      <c r="J883" s="6"/>
      <c r="K883" s="16"/>
      <c r="L883" s="16"/>
      <c r="M883" s="16"/>
      <c r="N883" s="46"/>
    </row>
    <row r="884">
      <c r="A884" s="46"/>
      <c r="B884" s="46"/>
      <c r="C884" s="46"/>
      <c r="D884" s="16"/>
      <c r="E884" s="16"/>
      <c r="F884" s="16"/>
      <c r="G884" s="16"/>
      <c r="H884" s="16"/>
      <c r="I884" s="16"/>
      <c r="J884" s="6"/>
      <c r="K884" s="16"/>
      <c r="L884" s="16"/>
      <c r="M884" s="16"/>
      <c r="N884" s="46"/>
    </row>
    <row r="885">
      <c r="A885" s="46"/>
      <c r="B885" s="46"/>
      <c r="C885" s="46"/>
      <c r="D885" s="16"/>
      <c r="E885" s="16"/>
      <c r="F885" s="16"/>
      <c r="G885" s="16"/>
      <c r="H885" s="16"/>
      <c r="I885" s="16"/>
      <c r="J885" s="6"/>
      <c r="K885" s="16"/>
      <c r="L885" s="16"/>
      <c r="M885" s="16"/>
      <c r="N885" s="46"/>
    </row>
    <row r="886">
      <c r="A886" s="46"/>
      <c r="B886" s="46"/>
      <c r="C886" s="46"/>
      <c r="D886" s="16"/>
      <c r="E886" s="16"/>
      <c r="F886" s="16"/>
      <c r="G886" s="16"/>
      <c r="H886" s="16"/>
      <c r="I886" s="16"/>
      <c r="J886" s="6"/>
      <c r="K886" s="16"/>
      <c r="L886" s="16"/>
      <c r="M886" s="16"/>
      <c r="N886" s="46"/>
    </row>
    <row r="887">
      <c r="A887" s="46"/>
      <c r="B887" s="46"/>
      <c r="C887" s="46"/>
      <c r="D887" s="16"/>
      <c r="E887" s="16"/>
      <c r="F887" s="16"/>
      <c r="G887" s="16"/>
      <c r="H887" s="16"/>
      <c r="I887" s="16"/>
      <c r="J887" s="6"/>
      <c r="K887" s="16"/>
      <c r="L887" s="16"/>
      <c r="M887" s="16"/>
      <c r="N887" s="46"/>
    </row>
    <row r="888">
      <c r="A888" s="46"/>
      <c r="B888" s="46"/>
      <c r="C888" s="46"/>
      <c r="D888" s="16"/>
      <c r="E888" s="16"/>
      <c r="F888" s="16"/>
      <c r="G888" s="16"/>
      <c r="H888" s="16"/>
      <c r="I888" s="16"/>
      <c r="J888" s="6"/>
      <c r="K888" s="16"/>
      <c r="L888" s="16"/>
      <c r="M888" s="16"/>
      <c r="N888" s="46"/>
    </row>
    <row r="889">
      <c r="A889" s="46"/>
      <c r="B889" s="46"/>
      <c r="C889" s="46"/>
      <c r="D889" s="16"/>
      <c r="E889" s="16"/>
      <c r="F889" s="16"/>
      <c r="G889" s="16"/>
      <c r="H889" s="16"/>
      <c r="I889" s="16"/>
      <c r="J889" s="6"/>
      <c r="K889" s="16"/>
      <c r="L889" s="16"/>
      <c r="M889" s="16"/>
      <c r="N889" s="46"/>
    </row>
    <row r="890">
      <c r="A890" s="46"/>
      <c r="B890" s="46"/>
      <c r="C890" s="46"/>
      <c r="D890" s="16"/>
      <c r="E890" s="16"/>
      <c r="F890" s="16"/>
      <c r="G890" s="16"/>
      <c r="H890" s="16"/>
      <c r="I890" s="16"/>
      <c r="J890" s="6"/>
      <c r="K890" s="16"/>
      <c r="L890" s="16"/>
      <c r="M890" s="16"/>
      <c r="N890" s="46"/>
    </row>
    <row r="891">
      <c r="A891" s="46"/>
      <c r="B891" s="46"/>
      <c r="C891" s="46"/>
      <c r="D891" s="16"/>
      <c r="E891" s="16"/>
      <c r="F891" s="16"/>
      <c r="G891" s="16"/>
      <c r="H891" s="16"/>
      <c r="I891" s="16"/>
      <c r="J891" s="6"/>
      <c r="K891" s="16"/>
      <c r="L891" s="16"/>
      <c r="M891" s="16"/>
      <c r="N891" s="46"/>
    </row>
    <row r="892">
      <c r="A892" s="46"/>
      <c r="B892" s="46"/>
      <c r="C892" s="46"/>
      <c r="D892" s="16"/>
      <c r="E892" s="16"/>
      <c r="F892" s="16"/>
      <c r="G892" s="16"/>
      <c r="H892" s="16"/>
      <c r="I892" s="16"/>
      <c r="J892" s="6"/>
      <c r="K892" s="16"/>
      <c r="L892" s="16"/>
      <c r="M892" s="16"/>
      <c r="N892" s="46"/>
    </row>
    <row r="893">
      <c r="A893" s="46"/>
      <c r="B893" s="46"/>
      <c r="C893" s="46"/>
      <c r="D893" s="16"/>
      <c r="E893" s="16"/>
      <c r="F893" s="16"/>
      <c r="G893" s="16"/>
      <c r="H893" s="16"/>
      <c r="I893" s="16"/>
      <c r="J893" s="6"/>
      <c r="K893" s="16"/>
      <c r="L893" s="16"/>
      <c r="M893" s="16"/>
      <c r="N893" s="46"/>
    </row>
    <row r="894">
      <c r="A894" s="46"/>
      <c r="B894" s="46"/>
      <c r="C894" s="46"/>
      <c r="D894" s="16"/>
      <c r="E894" s="16"/>
      <c r="F894" s="16"/>
      <c r="G894" s="16"/>
      <c r="H894" s="16"/>
      <c r="I894" s="16"/>
      <c r="J894" s="6"/>
      <c r="K894" s="16"/>
      <c r="L894" s="16"/>
      <c r="M894" s="16"/>
      <c r="N894" s="46"/>
    </row>
    <row r="895">
      <c r="A895" s="46"/>
      <c r="B895" s="46"/>
      <c r="C895" s="46"/>
      <c r="D895" s="16"/>
      <c r="E895" s="16"/>
      <c r="F895" s="16"/>
      <c r="G895" s="16"/>
      <c r="H895" s="16"/>
      <c r="I895" s="16"/>
      <c r="J895" s="6"/>
      <c r="K895" s="16"/>
      <c r="L895" s="16"/>
      <c r="M895" s="16"/>
      <c r="N895" s="46"/>
    </row>
    <row r="896">
      <c r="A896" s="46"/>
      <c r="B896" s="46"/>
      <c r="C896" s="46"/>
      <c r="D896" s="16"/>
      <c r="E896" s="16"/>
      <c r="F896" s="16"/>
      <c r="G896" s="16"/>
      <c r="H896" s="16"/>
      <c r="I896" s="16"/>
      <c r="J896" s="6"/>
      <c r="K896" s="16"/>
      <c r="L896" s="16"/>
      <c r="M896" s="16"/>
      <c r="N896" s="46"/>
    </row>
    <row r="897">
      <c r="A897" s="46"/>
      <c r="B897" s="46"/>
      <c r="C897" s="46"/>
      <c r="D897" s="16"/>
      <c r="E897" s="16"/>
      <c r="F897" s="16"/>
      <c r="G897" s="16"/>
      <c r="H897" s="16"/>
      <c r="I897" s="16"/>
      <c r="J897" s="6"/>
      <c r="K897" s="16"/>
      <c r="L897" s="16"/>
      <c r="M897" s="16"/>
      <c r="N897" s="46"/>
    </row>
    <row r="898">
      <c r="A898" s="46"/>
      <c r="B898" s="46"/>
      <c r="C898" s="46"/>
      <c r="D898" s="16"/>
      <c r="E898" s="16"/>
      <c r="F898" s="16"/>
      <c r="G898" s="16"/>
      <c r="H898" s="16"/>
      <c r="I898" s="16"/>
      <c r="J898" s="6"/>
      <c r="K898" s="16"/>
      <c r="L898" s="16"/>
      <c r="M898" s="16"/>
      <c r="N898" s="46"/>
    </row>
    <row r="899">
      <c r="A899" s="46"/>
      <c r="B899" s="46"/>
      <c r="C899" s="46"/>
      <c r="D899" s="16"/>
      <c r="E899" s="16"/>
      <c r="F899" s="16"/>
      <c r="G899" s="16"/>
      <c r="H899" s="16"/>
      <c r="I899" s="16"/>
      <c r="J899" s="6"/>
      <c r="K899" s="16"/>
      <c r="L899" s="16"/>
      <c r="M899" s="16"/>
      <c r="N899" s="46"/>
    </row>
    <row r="900">
      <c r="A900" s="46"/>
      <c r="B900" s="46"/>
      <c r="C900" s="46"/>
      <c r="D900" s="16"/>
      <c r="E900" s="16"/>
      <c r="F900" s="16"/>
      <c r="G900" s="16"/>
      <c r="H900" s="16"/>
      <c r="I900" s="16"/>
      <c r="J900" s="6"/>
      <c r="K900" s="16"/>
      <c r="L900" s="16"/>
      <c r="M900" s="16"/>
      <c r="N900" s="46"/>
    </row>
    <row r="901">
      <c r="A901" s="46"/>
      <c r="B901" s="46"/>
      <c r="C901" s="46"/>
      <c r="D901" s="16"/>
      <c r="E901" s="16"/>
      <c r="F901" s="16"/>
      <c r="G901" s="16"/>
      <c r="H901" s="16"/>
      <c r="I901" s="16"/>
      <c r="J901" s="6"/>
      <c r="K901" s="16"/>
      <c r="L901" s="16"/>
      <c r="M901" s="16"/>
      <c r="N901" s="46"/>
    </row>
    <row r="902">
      <c r="A902" s="46"/>
      <c r="B902" s="46"/>
      <c r="C902" s="46"/>
      <c r="D902" s="16"/>
      <c r="E902" s="16"/>
      <c r="F902" s="16"/>
      <c r="G902" s="16"/>
      <c r="H902" s="16"/>
      <c r="I902" s="16"/>
      <c r="J902" s="6"/>
      <c r="K902" s="16"/>
      <c r="L902" s="16"/>
      <c r="M902" s="16"/>
      <c r="N902" s="46"/>
    </row>
    <row r="903">
      <c r="A903" s="46"/>
      <c r="B903" s="46"/>
      <c r="C903" s="46"/>
      <c r="D903" s="16"/>
      <c r="E903" s="16"/>
      <c r="F903" s="16"/>
      <c r="G903" s="16"/>
      <c r="H903" s="16"/>
      <c r="I903" s="16"/>
      <c r="J903" s="6"/>
      <c r="K903" s="16"/>
      <c r="L903" s="16"/>
      <c r="M903" s="16"/>
      <c r="N903" s="46"/>
    </row>
    <row r="904">
      <c r="A904" s="46"/>
      <c r="B904" s="46"/>
      <c r="C904" s="46"/>
      <c r="D904" s="16"/>
      <c r="E904" s="16"/>
      <c r="F904" s="16"/>
      <c r="G904" s="16"/>
      <c r="H904" s="16"/>
      <c r="I904" s="16"/>
      <c r="J904" s="6"/>
      <c r="K904" s="16"/>
      <c r="L904" s="16"/>
      <c r="M904" s="16"/>
      <c r="N904" s="46"/>
    </row>
    <row r="905">
      <c r="A905" s="46"/>
      <c r="B905" s="46"/>
      <c r="C905" s="46"/>
      <c r="D905" s="16"/>
      <c r="E905" s="16"/>
      <c r="F905" s="16"/>
      <c r="G905" s="16"/>
      <c r="H905" s="16"/>
      <c r="I905" s="16"/>
      <c r="J905" s="6"/>
      <c r="K905" s="16"/>
      <c r="L905" s="16"/>
      <c r="M905" s="16"/>
      <c r="N905" s="46"/>
    </row>
    <row r="906">
      <c r="A906" s="46"/>
      <c r="B906" s="46"/>
      <c r="C906" s="46"/>
      <c r="D906" s="16"/>
      <c r="E906" s="16"/>
      <c r="F906" s="16"/>
      <c r="G906" s="16"/>
      <c r="H906" s="16"/>
      <c r="I906" s="16"/>
      <c r="J906" s="6"/>
      <c r="K906" s="16"/>
      <c r="L906" s="16"/>
      <c r="M906" s="16"/>
      <c r="N906" s="46"/>
    </row>
    <row r="907">
      <c r="A907" s="46"/>
      <c r="B907" s="46"/>
      <c r="C907" s="46"/>
      <c r="D907" s="16"/>
      <c r="E907" s="16"/>
      <c r="F907" s="16"/>
      <c r="G907" s="16"/>
      <c r="H907" s="16"/>
      <c r="I907" s="16"/>
      <c r="J907" s="6"/>
      <c r="K907" s="16"/>
      <c r="L907" s="16"/>
      <c r="M907" s="16"/>
      <c r="N907" s="46"/>
    </row>
    <row r="908">
      <c r="A908" s="46"/>
      <c r="B908" s="46"/>
      <c r="C908" s="46"/>
      <c r="D908" s="16"/>
      <c r="E908" s="16"/>
      <c r="F908" s="16"/>
      <c r="G908" s="16"/>
      <c r="H908" s="16"/>
      <c r="I908" s="16"/>
      <c r="J908" s="6"/>
      <c r="K908" s="16"/>
      <c r="L908" s="16"/>
      <c r="M908" s="16"/>
      <c r="N908" s="46"/>
    </row>
    <row r="909">
      <c r="A909" s="46"/>
      <c r="B909" s="46"/>
      <c r="C909" s="46"/>
      <c r="D909" s="16"/>
      <c r="E909" s="16"/>
      <c r="F909" s="16"/>
      <c r="G909" s="16"/>
      <c r="H909" s="16"/>
      <c r="I909" s="16"/>
      <c r="J909" s="6"/>
      <c r="K909" s="16"/>
      <c r="L909" s="16"/>
      <c r="M909" s="16"/>
      <c r="N909" s="46"/>
    </row>
    <row r="910">
      <c r="A910" s="46"/>
      <c r="B910" s="46"/>
      <c r="C910" s="46"/>
      <c r="D910" s="16"/>
      <c r="E910" s="16"/>
      <c r="F910" s="16"/>
      <c r="G910" s="16"/>
      <c r="H910" s="16"/>
      <c r="I910" s="16"/>
      <c r="J910" s="6"/>
      <c r="K910" s="16"/>
      <c r="L910" s="16"/>
      <c r="M910" s="16"/>
      <c r="N910" s="46"/>
    </row>
    <row r="911">
      <c r="A911" s="46"/>
      <c r="B911" s="46"/>
      <c r="C911" s="46"/>
      <c r="D911" s="16"/>
      <c r="E911" s="16"/>
      <c r="F911" s="16"/>
      <c r="G911" s="16"/>
      <c r="H911" s="16"/>
      <c r="I911" s="16"/>
      <c r="J911" s="6"/>
      <c r="K911" s="16"/>
      <c r="L911" s="16"/>
      <c r="M911" s="16"/>
      <c r="N911" s="46"/>
    </row>
    <row r="912">
      <c r="A912" s="46"/>
      <c r="B912" s="46"/>
      <c r="C912" s="46"/>
      <c r="D912" s="16"/>
      <c r="E912" s="16"/>
      <c r="F912" s="16"/>
      <c r="G912" s="16"/>
      <c r="H912" s="16"/>
      <c r="I912" s="16"/>
      <c r="J912" s="6"/>
      <c r="K912" s="16"/>
      <c r="L912" s="16"/>
      <c r="M912" s="16"/>
      <c r="N912" s="46"/>
    </row>
    <row r="913">
      <c r="A913" s="46"/>
      <c r="B913" s="46"/>
      <c r="C913" s="46"/>
      <c r="D913" s="16"/>
      <c r="E913" s="16"/>
      <c r="F913" s="16"/>
      <c r="G913" s="16"/>
      <c r="H913" s="16"/>
      <c r="I913" s="16"/>
      <c r="J913" s="6"/>
      <c r="K913" s="16"/>
      <c r="L913" s="16"/>
      <c r="M913" s="16"/>
      <c r="N913" s="46"/>
    </row>
    <row r="914">
      <c r="A914" s="46"/>
      <c r="B914" s="46"/>
      <c r="C914" s="46"/>
      <c r="D914" s="16"/>
      <c r="E914" s="16"/>
      <c r="F914" s="16"/>
      <c r="G914" s="16"/>
      <c r="H914" s="16"/>
      <c r="I914" s="16"/>
      <c r="J914" s="6"/>
      <c r="K914" s="16"/>
      <c r="L914" s="16"/>
      <c r="M914" s="16"/>
      <c r="N914" s="46"/>
    </row>
    <row r="915">
      <c r="A915" s="46"/>
      <c r="B915" s="46"/>
      <c r="C915" s="46"/>
      <c r="D915" s="16"/>
      <c r="E915" s="16"/>
      <c r="F915" s="16"/>
      <c r="G915" s="16"/>
      <c r="H915" s="16"/>
      <c r="I915" s="16"/>
      <c r="J915" s="6"/>
      <c r="K915" s="16"/>
      <c r="L915" s="16"/>
      <c r="M915" s="16"/>
      <c r="N915" s="46"/>
    </row>
    <row r="916">
      <c r="A916" s="46"/>
      <c r="B916" s="46"/>
      <c r="C916" s="46"/>
      <c r="D916" s="16"/>
      <c r="E916" s="16"/>
      <c r="F916" s="16"/>
      <c r="G916" s="16"/>
      <c r="H916" s="16"/>
      <c r="I916" s="16"/>
      <c r="J916" s="6"/>
      <c r="K916" s="16"/>
      <c r="L916" s="16"/>
      <c r="M916" s="16"/>
      <c r="N916" s="46"/>
    </row>
    <row r="917">
      <c r="A917" s="46"/>
      <c r="B917" s="46"/>
      <c r="C917" s="46"/>
      <c r="D917" s="16"/>
      <c r="E917" s="16"/>
      <c r="F917" s="16"/>
      <c r="G917" s="16"/>
      <c r="H917" s="16"/>
      <c r="I917" s="16"/>
      <c r="J917" s="6"/>
      <c r="K917" s="16"/>
      <c r="L917" s="16"/>
      <c r="M917" s="16"/>
      <c r="N917" s="46"/>
    </row>
    <row r="918">
      <c r="A918" s="46"/>
      <c r="B918" s="46"/>
      <c r="C918" s="46"/>
      <c r="D918" s="16"/>
      <c r="E918" s="16"/>
      <c r="F918" s="16"/>
      <c r="G918" s="16"/>
      <c r="H918" s="16"/>
      <c r="I918" s="16"/>
      <c r="J918" s="6"/>
      <c r="K918" s="16"/>
      <c r="L918" s="16"/>
      <c r="M918" s="16"/>
      <c r="N918" s="46"/>
    </row>
    <row r="919">
      <c r="A919" s="46"/>
      <c r="B919" s="46"/>
      <c r="C919" s="46"/>
      <c r="D919" s="16"/>
      <c r="E919" s="16"/>
      <c r="F919" s="16"/>
      <c r="G919" s="16"/>
      <c r="H919" s="16"/>
      <c r="I919" s="16"/>
      <c r="J919" s="6"/>
      <c r="K919" s="16"/>
      <c r="L919" s="16"/>
      <c r="M919" s="16"/>
      <c r="N919" s="46"/>
    </row>
    <row r="920">
      <c r="A920" s="46"/>
      <c r="B920" s="46"/>
      <c r="C920" s="46"/>
      <c r="D920" s="16"/>
      <c r="E920" s="16"/>
      <c r="F920" s="16"/>
      <c r="G920" s="16"/>
      <c r="H920" s="16"/>
      <c r="I920" s="16"/>
      <c r="J920" s="6"/>
      <c r="K920" s="16"/>
      <c r="L920" s="16"/>
      <c r="M920" s="16"/>
      <c r="N920" s="46"/>
    </row>
    <row r="921">
      <c r="A921" s="46"/>
      <c r="B921" s="46"/>
      <c r="C921" s="46"/>
      <c r="D921" s="16"/>
      <c r="E921" s="16"/>
      <c r="F921" s="16"/>
      <c r="G921" s="16"/>
      <c r="H921" s="16"/>
      <c r="I921" s="16"/>
      <c r="J921" s="6"/>
      <c r="K921" s="16"/>
      <c r="L921" s="16"/>
      <c r="M921" s="16"/>
      <c r="N921" s="46"/>
    </row>
    <row r="922">
      <c r="A922" s="46"/>
      <c r="B922" s="46"/>
      <c r="C922" s="46"/>
      <c r="D922" s="16"/>
      <c r="E922" s="16"/>
      <c r="F922" s="16"/>
      <c r="G922" s="16"/>
      <c r="H922" s="16"/>
      <c r="I922" s="16"/>
      <c r="J922" s="6"/>
      <c r="K922" s="16"/>
      <c r="L922" s="16"/>
      <c r="M922" s="16"/>
      <c r="N922" s="46"/>
    </row>
    <row r="923">
      <c r="A923" s="46"/>
      <c r="B923" s="46"/>
      <c r="C923" s="46"/>
      <c r="D923" s="16"/>
      <c r="E923" s="16"/>
      <c r="F923" s="16"/>
      <c r="G923" s="16"/>
      <c r="H923" s="16"/>
      <c r="I923" s="16"/>
      <c r="J923" s="6"/>
      <c r="K923" s="16"/>
      <c r="L923" s="16"/>
      <c r="M923" s="16"/>
      <c r="N923" s="46"/>
    </row>
    <row r="924">
      <c r="A924" s="46"/>
      <c r="B924" s="46"/>
      <c r="C924" s="46"/>
      <c r="D924" s="16"/>
      <c r="E924" s="16"/>
      <c r="F924" s="16"/>
      <c r="G924" s="16"/>
      <c r="H924" s="16"/>
      <c r="I924" s="16"/>
      <c r="J924" s="6"/>
      <c r="K924" s="16"/>
      <c r="L924" s="16"/>
      <c r="M924" s="16"/>
      <c r="N924" s="46"/>
    </row>
    <row r="925">
      <c r="A925" s="46"/>
      <c r="B925" s="46"/>
      <c r="C925" s="46"/>
      <c r="D925" s="16"/>
      <c r="E925" s="16"/>
      <c r="F925" s="16"/>
      <c r="G925" s="16"/>
      <c r="H925" s="16"/>
      <c r="I925" s="16"/>
      <c r="J925" s="6"/>
      <c r="K925" s="16"/>
      <c r="L925" s="16"/>
      <c r="M925" s="16"/>
      <c r="N925" s="46"/>
    </row>
    <row r="926">
      <c r="A926" s="46"/>
      <c r="B926" s="46"/>
      <c r="C926" s="46"/>
      <c r="D926" s="16"/>
      <c r="E926" s="16"/>
      <c r="F926" s="16"/>
      <c r="G926" s="16"/>
      <c r="H926" s="16"/>
      <c r="I926" s="16"/>
      <c r="J926" s="6"/>
      <c r="K926" s="16"/>
      <c r="L926" s="16"/>
      <c r="M926" s="16"/>
      <c r="N926" s="46"/>
    </row>
    <row r="927">
      <c r="A927" s="46"/>
      <c r="B927" s="46"/>
      <c r="C927" s="46"/>
      <c r="D927" s="16"/>
      <c r="E927" s="16"/>
      <c r="F927" s="16"/>
      <c r="G927" s="16"/>
      <c r="H927" s="16"/>
      <c r="I927" s="16"/>
      <c r="J927" s="6"/>
      <c r="K927" s="16"/>
      <c r="L927" s="16"/>
      <c r="M927" s="16"/>
      <c r="N927" s="46"/>
    </row>
    <row r="928">
      <c r="A928" s="46"/>
      <c r="B928" s="46"/>
      <c r="C928" s="46"/>
      <c r="D928" s="16"/>
      <c r="E928" s="16"/>
      <c r="F928" s="16"/>
      <c r="G928" s="16"/>
      <c r="H928" s="16"/>
      <c r="I928" s="16"/>
      <c r="J928" s="6"/>
      <c r="K928" s="16"/>
      <c r="L928" s="16"/>
      <c r="M928" s="16"/>
      <c r="N928" s="46"/>
    </row>
    <row r="929">
      <c r="A929" s="46"/>
      <c r="B929" s="46"/>
      <c r="C929" s="46"/>
      <c r="D929" s="16"/>
      <c r="E929" s="16"/>
      <c r="F929" s="16"/>
      <c r="G929" s="16"/>
      <c r="H929" s="16"/>
      <c r="I929" s="16"/>
      <c r="J929" s="6"/>
      <c r="K929" s="16"/>
      <c r="L929" s="16"/>
      <c r="M929" s="16"/>
      <c r="N929" s="46"/>
    </row>
    <row r="930">
      <c r="A930" s="46"/>
      <c r="B930" s="46"/>
      <c r="C930" s="46"/>
      <c r="D930" s="16"/>
      <c r="E930" s="16"/>
      <c r="F930" s="16"/>
      <c r="G930" s="16"/>
      <c r="H930" s="16"/>
      <c r="I930" s="16"/>
      <c r="J930" s="6"/>
      <c r="K930" s="16"/>
      <c r="L930" s="16"/>
      <c r="M930" s="16"/>
      <c r="N930" s="46"/>
    </row>
    <row r="931">
      <c r="A931" s="46"/>
      <c r="B931" s="46"/>
      <c r="C931" s="46"/>
      <c r="D931" s="16"/>
      <c r="E931" s="16"/>
      <c r="F931" s="16"/>
      <c r="G931" s="16"/>
      <c r="H931" s="16"/>
      <c r="I931" s="16"/>
      <c r="J931" s="6"/>
      <c r="K931" s="16"/>
      <c r="L931" s="16"/>
      <c r="M931" s="16"/>
      <c r="N931" s="46"/>
    </row>
    <row r="932">
      <c r="A932" s="46"/>
      <c r="B932" s="46"/>
      <c r="C932" s="46"/>
      <c r="D932" s="16"/>
      <c r="E932" s="16"/>
      <c r="F932" s="16"/>
      <c r="G932" s="16"/>
      <c r="H932" s="16"/>
      <c r="I932" s="16"/>
      <c r="J932" s="6"/>
      <c r="K932" s="16"/>
      <c r="L932" s="16"/>
      <c r="M932" s="16"/>
      <c r="N932" s="46"/>
    </row>
    <row r="933">
      <c r="A933" s="46"/>
      <c r="B933" s="46"/>
      <c r="C933" s="46"/>
      <c r="D933" s="16"/>
      <c r="E933" s="16"/>
      <c r="F933" s="16"/>
      <c r="G933" s="16"/>
      <c r="H933" s="16"/>
      <c r="I933" s="16"/>
      <c r="J933" s="6"/>
      <c r="K933" s="16"/>
      <c r="L933" s="16"/>
      <c r="M933" s="16"/>
      <c r="N933" s="46"/>
    </row>
    <row r="934">
      <c r="A934" s="46"/>
      <c r="B934" s="46"/>
      <c r="C934" s="46"/>
      <c r="D934" s="16"/>
      <c r="E934" s="16"/>
      <c r="F934" s="16"/>
      <c r="G934" s="16"/>
      <c r="H934" s="16"/>
      <c r="I934" s="16"/>
      <c r="J934" s="6"/>
      <c r="K934" s="16"/>
      <c r="L934" s="16"/>
      <c r="M934" s="16"/>
      <c r="N934" s="46"/>
    </row>
    <row r="935">
      <c r="A935" s="46"/>
      <c r="B935" s="46"/>
      <c r="C935" s="46"/>
      <c r="D935" s="16"/>
      <c r="E935" s="16"/>
      <c r="F935" s="16"/>
      <c r="G935" s="16"/>
      <c r="H935" s="16"/>
      <c r="I935" s="16"/>
      <c r="J935" s="6"/>
      <c r="K935" s="16"/>
      <c r="L935" s="16"/>
      <c r="M935" s="16"/>
      <c r="N935" s="46"/>
    </row>
    <row r="936">
      <c r="A936" s="46"/>
      <c r="B936" s="46"/>
      <c r="C936" s="46"/>
      <c r="D936" s="16"/>
      <c r="E936" s="16"/>
      <c r="F936" s="16"/>
      <c r="G936" s="16"/>
      <c r="H936" s="16"/>
      <c r="I936" s="16"/>
      <c r="J936" s="6"/>
      <c r="K936" s="16"/>
      <c r="L936" s="16"/>
      <c r="M936" s="16"/>
      <c r="N936" s="46"/>
    </row>
    <row r="937">
      <c r="A937" s="46"/>
      <c r="B937" s="46"/>
      <c r="C937" s="46"/>
      <c r="D937" s="16"/>
      <c r="E937" s="16"/>
      <c r="F937" s="16"/>
      <c r="G937" s="16"/>
      <c r="H937" s="16"/>
      <c r="I937" s="16"/>
      <c r="J937" s="6"/>
      <c r="K937" s="16"/>
      <c r="L937" s="16"/>
      <c r="M937" s="16"/>
      <c r="N937" s="46"/>
    </row>
    <row r="938">
      <c r="A938" s="46"/>
      <c r="B938" s="46"/>
      <c r="C938" s="46"/>
      <c r="D938" s="16"/>
      <c r="E938" s="16"/>
      <c r="F938" s="16"/>
      <c r="G938" s="16"/>
      <c r="H938" s="16"/>
      <c r="I938" s="16"/>
      <c r="J938" s="6"/>
      <c r="K938" s="16"/>
      <c r="L938" s="16"/>
      <c r="M938" s="16"/>
      <c r="N938" s="46"/>
    </row>
    <row r="939">
      <c r="A939" s="46"/>
      <c r="B939" s="46"/>
      <c r="C939" s="46"/>
      <c r="D939" s="16"/>
      <c r="E939" s="16"/>
      <c r="F939" s="16"/>
      <c r="G939" s="16"/>
      <c r="H939" s="16"/>
      <c r="I939" s="16"/>
      <c r="J939" s="6"/>
      <c r="K939" s="16"/>
      <c r="L939" s="16"/>
      <c r="M939" s="16"/>
      <c r="N939" s="46"/>
    </row>
    <row r="940">
      <c r="A940" s="46"/>
      <c r="B940" s="46"/>
      <c r="C940" s="46"/>
      <c r="D940" s="16"/>
      <c r="E940" s="16"/>
      <c r="F940" s="16"/>
      <c r="G940" s="16"/>
      <c r="H940" s="16"/>
      <c r="I940" s="16"/>
      <c r="J940" s="6"/>
      <c r="K940" s="16"/>
      <c r="L940" s="16"/>
      <c r="M940" s="16"/>
      <c r="N940" s="46"/>
    </row>
    <row r="941">
      <c r="A941" s="46"/>
      <c r="B941" s="46"/>
      <c r="C941" s="46"/>
      <c r="D941" s="16"/>
      <c r="E941" s="16"/>
      <c r="F941" s="16"/>
      <c r="G941" s="16"/>
      <c r="H941" s="16"/>
      <c r="I941" s="16"/>
      <c r="J941" s="6"/>
      <c r="K941" s="16"/>
      <c r="L941" s="16"/>
      <c r="M941" s="16"/>
      <c r="N941" s="46"/>
    </row>
    <row r="942">
      <c r="A942" s="46"/>
      <c r="B942" s="46"/>
      <c r="C942" s="46"/>
      <c r="D942" s="16"/>
      <c r="E942" s="16"/>
      <c r="F942" s="16"/>
      <c r="G942" s="16"/>
      <c r="H942" s="16"/>
      <c r="I942" s="16"/>
      <c r="J942" s="6"/>
      <c r="K942" s="16"/>
      <c r="L942" s="16"/>
      <c r="M942" s="16"/>
      <c r="N942" s="46"/>
    </row>
    <row r="943">
      <c r="A943" s="46"/>
      <c r="B943" s="46"/>
      <c r="C943" s="46"/>
      <c r="D943" s="16"/>
      <c r="E943" s="16"/>
      <c r="F943" s="16"/>
      <c r="G943" s="16"/>
      <c r="H943" s="16"/>
      <c r="I943" s="16"/>
      <c r="J943" s="6"/>
      <c r="K943" s="16"/>
      <c r="L943" s="16"/>
      <c r="M943" s="16"/>
      <c r="N943" s="46"/>
    </row>
    <row r="944">
      <c r="A944" s="46"/>
      <c r="B944" s="46"/>
      <c r="C944" s="46"/>
      <c r="D944" s="16"/>
      <c r="E944" s="16"/>
      <c r="F944" s="16"/>
      <c r="G944" s="16"/>
      <c r="H944" s="16"/>
      <c r="I944" s="16"/>
      <c r="J944" s="6"/>
      <c r="K944" s="16"/>
      <c r="L944" s="16"/>
      <c r="M944" s="16"/>
      <c r="N944" s="46"/>
    </row>
    <row r="945">
      <c r="A945" s="46"/>
      <c r="B945" s="46"/>
      <c r="C945" s="46"/>
      <c r="D945" s="16"/>
      <c r="E945" s="16"/>
      <c r="F945" s="16"/>
      <c r="G945" s="16"/>
      <c r="H945" s="16"/>
      <c r="I945" s="16"/>
      <c r="J945" s="6"/>
      <c r="K945" s="16"/>
      <c r="L945" s="16"/>
      <c r="M945" s="16"/>
      <c r="N945" s="46"/>
    </row>
    <row r="946">
      <c r="A946" s="46"/>
      <c r="B946" s="46"/>
      <c r="C946" s="46"/>
      <c r="D946" s="16"/>
      <c r="E946" s="16"/>
      <c r="F946" s="16"/>
      <c r="G946" s="16"/>
      <c r="H946" s="16"/>
      <c r="I946" s="16"/>
      <c r="J946" s="6"/>
      <c r="K946" s="16"/>
      <c r="L946" s="16"/>
      <c r="M946" s="16"/>
      <c r="N946" s="46"/>
    </row>
    <row r="947">
      <c r="A947" s="46"/>
      <c r="B947" s="46"/>
      <c r="C947" s="46"/>
      <c r="D947" s="16"/>
      <c r="E947" s="16"/>
      <c r="F947" s="16"/>
      <c r="G947" s="16"/>
      <c r="H947" s="16"/>
      <c r="I947" s="16"/>
      <c r="J947" s="6"/>
      <c r="K947" s="16"/>
      <c r="L947" s="16"/>
      <c r="M947" s="16"/>
      <c r="N947" s="46"/>
    </row>
    <row r="948">
      <c r="A948" s="46"/>
      <c r="B948" s="46"/>
      <c r="C948" s="46"/>
      <c r="D948" s="16"/>
      <c r="E948" s="16"/>
      <c r="F948" s="16"/>
      <c r="G948" s="16"/>
      <c r="H948" s="16"/>
      <c r="I948" s="16"/>
      <c r="J948" s="6"/>
      <c r="K948" s="16"/>
      <c r="L948" s="16"/>
      <c r="M948" s="16"/>
      <c r="N948" s="46"/>
    </row>
    <row r="949">
      <c r="A949" s="46"/>
      <c r="B949" s="46"/>
      <c r="C949" s="46"/>
      <c r="D949" s="16"/>
      <c r="E949" s="16"/>
      <c r="F949" s="16"/>
      <c r="G949" s="16"/>
      <c r="H949" s="16"/>
      <c r="I949" s="16"/>
      <c r="J949" s="6"/>
      <c r="K949" s="16"/>
      <c r="L949" s="16"/>
      <c r="M949" s="16"/>
      <c r="N949" s="46"/>
    </row>
    <row r="950">
      <c r="A950" s="46"/>
      <c r="B950" s="46"/>
      <c r="C950" s="46"/>
      <c r="D950" s="16"/>
      <c r="E950" s="16"/>
      <c r="F950" s="16"/>
      <c r="G950" s="16"/>
      <c r="H950" s="16"/>
      <c r="I950" s="16"/>
      <c r="J950" s="6"/>
      <c r="K950" s="16"/>
      <c r="L950" s="16"/>
      <c r="M950" s="16"/>
      <c r="N950" s="46"/>
    </row>
    <row r="951">
      <c r="A951" s="46"/>
      <c r="B951" s="46"/>
      <c r="C951" s="46"/>
      <c r="D951" s="16"/>
      <c r="E951" s="16"/>
      <c r="F951" s="16"/>
      <c r="G951" s="16"/>
      <c r="H951" s="16"/>
      <c r="I951" s="16"/>
      <c r="J951" s="6"/>
      <c r="K951" s="16"/>
      <c r="L951" s="16"/>
      <c r="M951" s="16"/>
      <c r="N951" s="46"/>
    </row>
    <row r="952">
      <c r="A952" s="46"/>
      <c r="B952" s="46"/>
      <c r="C952" s="46"/>
      <c r="D952" s="16"/>
      <c r="E952" s="16"/>
      <c r="F952" s="16"/>
      <c r="G952" s="16"/>
      <c r="H952" s="16"/>
      <c r="I952" s="16"/>
      <c r="J952" s="6"/>
      <c r="K952" s="16"/>
      <c r="L952" s="16"/>
      <c r="M952" s="16"/>
      <c r="N952" s="46"/>
    </row>
    <row r="953">
      <c r="A953" s="46"/>
      <c r="B953" s="46"/>
      <c r="C953" s="46"/>
      <c r="D953" s="16"/>
      <c r="E953" s="16"/>
      <c r="F953" s="16"/>
      <c r="G953" s="16"/>
      <c r="H953" s="16"/>
      <c r="I953" s="16"/>
      <c r="J953" s="6"/>
      <c r="K953" s="16"/>
      <c r="L953" s="16"/>
      <c r="M953" s="16"/>
      <c r="N953" s="46"/>
    </row>
    <row r="954">
      <c r="A954" s="46"/>
      <c r="B954" s="46"/>
      <c r="C954" s="46"/>
      <c r="D954" s="16"/>
      <c r="E954" s="16"/>
      <c r="F954" s="16"/>
      <c r="G954" s="16"/>
      <c r="H954" s="16"/>
      <c r="I954" s="16"/>
      <c r="J954" s="6"/>
      <c r="K954" s="16"/>
      <c r="L954" s="16"/>
      <c r="M954" s="16"/>
      <c r="N954" s="46"/>
    </row>
    <row r="955">
      <c r="A955" s="46"/>
      <c r="B955" s="46"/>
      <c r="C955" s="46"/>
      <c r="D955" s="16"/>
      <c r="E955" s="16"/>
      <c r="F955" s="16"/>
      <c r="G955" s="16"/>
      <c r="H955" s="16"/>
      <c r="I955" s="16"/>
      <c r="J955" s="6"/>
      <c r="K955" s="16"/>
      <c r="L955" s="16"/>
      <c r="M955" s="16"/>
      <c r="N955" s="46"/>
    </row>
    <row r="956">
      <c r="A956" s="46"/>
      <c r="B956" s="46"/>
      <c r="C956" s="46"/>
      <c r="D956" s="16"/>
      <c r="E956" s="16"/>
      <c r="F956" s="16"/>
      <c r="G956" s="16"/>
      <c r="H956" s="16"/>
      <c r="I956" s="16"/>
      <c r="J956" s="6"/>
      <c r="K956" s="16"/>
      <c r="L956" s="16"/>
      <c r="M956" s="16"/>
      <c r="N956" s="46"/>
    </row>
    <row r="957">
      <c r="A957" s="46"/>
      <c r="B957" s="46"/>
      <c r="C957" s="46"/>
      <c r="D957" s="16"/>
      <c r="E957" s="16"/>
      <c r="F957" s="16"/>
      <c r="G957" s="16"/>
      <c r="H957" s="16"/>
      <c r="I957" s="16"/>
      <c r="J957" s="6"/>
      <c r="K957" s="16"/>
      <c r="L957" s="16"/>
      <c r="M957" s="16"/>
      <c r="N957" s="46"/>
    </row>
    <row r="958">
      <c r="A958" s="46"/>
      <c r="B958" s="46"/>
      <c r="C958" s="46"/>
      <c r="D958" s="16"/>
      <c r="E958" s="16"/>
      <c r="F958" s="16"/>
      <c r="G958" s="16"/>
      <c r="H958" s="16"/>
      <c r="I958" s="16"/>
      <c r="J958" s="6"/>
      <c r="K958" s="16"/>
      <c r="L958" s="16"/>
      <c r="M958" s="16"/>
      <c r="N958" s="46"/>
    </row>
    <row r="959">
      <c r="A959" s="46"/>
      <c r="B959" s="46"/>
      <c r="C959" s="46"/>
      <c r="D959" s="16"/>
      <c r="E959" s="16"/>
      <c r="F959" s="16"/>
      <c r="G959" s="16"/>
      <c r="H959" s="16"/>
      <c r="I959" s="16"/>
      <c r="J959" s="6"/>
      <c r="K959" s="16"/>
      <c r="L959" s="16"/>
      <c r="M959" s="16"/>
      <c r="N959" s="46"/>
    </row>
    <row r="960">
      <c r="A960" s="46"/>
      <c r="B960" s="46"/>
      <c r="C960" s="46"/>
      <c r="D960" s="16"/>
      <c r="E960" s="16"/>
      <c r="F960" s="16"/>
      <c r="G960" s="16"/>
      <c r="H960" s="16"/>
      <c r="I960" s="16"/>
      <c r="J960" s="6"/>
      <c r="K960" s="16"/>
      <c r="L960" s="16"/>
      <c r="M960" s="16"/>
      <c r="N960" s="46"/>
    </row>
    <row r="961">
      <c r="A961" s="46"/>
      <c r="B961" s="46"/>
      <c r="C961" s="46"/>
      <c r="D961" s="16"/>
      <c r="E961" s="16"/>
      <c r="F961" s="16"/>
      <c r="G961" s="16"/>
      <c r="H961" s="16"/>
      <c r="I961" s="16"/>
      <c r="J961" s="6"/>
      <c r="K961" s="16"/>
      <c r="L961" s="16"/>
      <c r="M961" s="16"/>
      <c r="N961" s="46"/>
    </row>
    <row r="962">
      <c r="A962" s="46"/>
      <c r="B962" s="46"/>
      <c r="C962" s="46"/>
      <c r="D962" s="16"/>
      <c r="E962" s="16"/>
      <c r="F962" s="16"/>
      <c r="G962" s="16"/>
      <c r="H962" s="16"/>
      <c r="I962" s="16"/>
      <c r="J962" s="6"/>
      <c r="K962" s="16"/>
      <c r="L962" s="16"/>
      <c r="M962" s="16"/>
      <c r="N962" s="46"/>
    </row>
    <row r="963">
      <c r="A963" s="46"/>
      <c r="B963" s="46"/>
      <c r="C963" s="46"/>
      <c r="D963" s="16"/>
      <c r="E963" s="16"/>
      <c r="F963" s="16"/>
      <c r="G963" s="16"/>
      <c r="H963" s="16"/>
      <c r="I963" s="16"/>
      <c r="J963" s="6"/>
      <c r="K963" s="16"/>
      <c r="L963" s="16"/>
      <c r="M963" s="16"/>
      <c r="N963" s="46"/>
    </row>
    <row r="964">
      <c r="A964" s="46"/>
      <c r="B964" s="46"/>
      <c r="C964" s="46"/>
      <c r="D964" s="16"/>
      <c r="E964" s="16"/>
      <c r="F964" s="16"/>
      <c r="G964" s="16"/>
      <c r="H964" s="16"/>
      <c r="I964" s="16"/>
      <c r="J964" s="6"/>
      <c r="K964" s="16"/>
      <c r="L964" s="16"/>
      <c r="M964" s="16"/>
      <c r="N964" s="46"/>
    </row>
    <row r="965">
      <c r="A965" s="46"/>
      <c r="B965" s="46"/>
      <c r="C965" s="46"/>
      <c r="D965" s="16"/>
      <c r="E965" s="16"/>
      <c r="F965" s="16"/>
      <c r="G965" s="16"/>
      <c r="H965" s="16"/>
      <c r="I965" s="16"/>
      <c r="J965" s="6"/>
      <c r="K965" s="16"/>
      <c r="L965" s="16"/>
      <c r="M965" s="16"/>
      <c r="N965" s="46"/>
    </row>
    <row r="966">
      <c r="A966" s="46"/>
      <c r="B966" s="46"/>
      <c r="C966" s="46"/>
      <c r="D966" s="16"/>
      <c r="E966" s="16"/>
      <c r="F966" s="16"/>
      <c r="G966" s="16"/>
      <c r="H966" s="16"/>
      <c r="I966" s="16"/>
      <c r="J966" s="6"/>
      <c r="K966" s="16"/>
      <c r="L966" s="16"/>
      <c r="M966" s="16"/>
      <c r="N966" s="46"/>
    </row>
    <row r="967">
      <c r="A967" s="46"/>
      <c r="B967" s="46"/>
      <c r="C967" s="46"/>
      <c r="D967" s="16"/>
      <c r="E967" s="16"/>
      <c r="F967" s="16"/>
      <c r="G967" s="16"/>
      <c r="H967" s="16"/>
      <c r="I967" s="16"/>
      <c r="J967" s="6"/>
      <c r="K967" s="16"/>
      <c r="L967" s="16"/>
      <c r="M967" s="16"/>
      <c r="N967" s="46"/>
    </row>
    <row r="968">
      <c r="A968" s="46"/>
      <c r="B968" s="46"/>
      <c r="C968" s="46"/>
      <c r="D968" s="16"/>
      <c r="E968" s="16"/>
      <c r="F968" s="16"/>
      <c r="G968" s="16"/>
      <c r="H968" s="16"/>
      <c r="I968" s="16"/>
      <c r="J968" s="6"/>
      <c r="K968" s="16"/>
      <c r="L968" s="16"/>
      <c r="M968" s="16"/>
      <c r="N968" s="46"/>
    </row>
    <row r="969">
      <c r="A969" s="46"/>
      <c r="B969" s="46"/>
      <c r="C969" s="46"/>
      <c r="D969" s="16"/>
      <c r="E969" s="16"/>
      <c r="F969" s="16"/>
      <c r="G969" s="16"/>
      <c r="H969" s="16"/>
      <c r="I969" s="16"/>
      <c r="J969" s="6"/>
      <c r="K969" s="16"/>
      <c r="L969" s="16"/>
      <c r="M969" s="16"/>
      <c r="N969" s="46"/>
    </row>
    <row r="970">
      <c r="A970" s="46"/>
      <c r="B970" s="46"/>
      <c r="C970" s="46"/>
      <c r="D970" s="16"/>
      <c r="E970" s="16"/>
      <c r="F970" s="16"/>
      <c r="G970" s="16"/>
      <c r="H970" s="16"/>
      <c r="I970" s="16"/>
      <c r="J970" s="6"/>
      <c r="K970" s="16"/>
      <c r="L970" s="16"/>
      <c r="M970" s="16"/>
      <c r="N970" s="46"/>
    </row>
    <row r="971">
      <c r="A971" s="46"/>
      <c r="B971" s="46"/>
      <c r="C971" s="46"/>
      <c r="D971" s="16"/>
      <c r="E971" s="16"/>
      <c r="F971" s="16"/>
      <c r="G971" s="16"/>
      <c r="H971" s="16"/>
      <c r="I971" s="16"/>
      <c r="J971" s="6"/>
      <c r="K971" s="16"/>
      <c r="L971" s="16"/>
      <c r="M971" s="16"/>
      <c r="N971" s="46"/>
    </row>
    <row r="972">
      <c r="A972" s="46"/>
      <c r="B972" s="46"/>
      <c r="C972" s="46"/>
      <c r="D972" s="16"/>
      <c r="E972" s="16"/>
      <c r="F972" s="16"/>
      <c r="G972" s="16"/>
      <c r="H972" s="16"/>
      <c r="I972" s="16"/>
      <c r="J972" s="6"/>
      <c r="K972" s="16"/>
      <c r="L972" s="16"/>
      <c r="M972" s="16"/>
      <c r="N972" s="46"/>
    </row>
    <row r="973">
      <c r="A973" s="46"/>
      <c r="B973" s="46"/>
      <c r="C973" s="46"/>
      <c r="D973" s="16"/>
      <c r="E973" s="16"/>
      <c r="F973" s="16"/>
      <c r="G973" s="16"/>
      <c r="H973" s="16"/>
      <c r="I973" s="16"/>
      <c r="J973" s="6"/>
      <c r="K973" s="16"/>
      <c r="L973" s="16"/>
      <c r="M973" s="16"/>
      <c r="N973" s="46"/>
    </row>
    <row r="974">
      <c r="A974" s="46"/>
      <c r="B974" s="46"/>
      <c r="C974" s="46"/>
      <c r="D974" s="16"/>
      <c r="E974" s="16"/>
      <c r="F974" s="16"/>
      <c r="G974" s="16"/>
      <c r="H974" s="16"/>
      <c r="I974" s="16"/>
      <c r="J974" s="6"/>
      <c r="K974" s="16"/>
      <c r="L974" s="16"/>
      <c r="M974" s="16"/>
      <c r="N974" s="46"/>
    </row>
    <row r="975">
      <c r="A975" s="46"/>
      <c r="B975" s="46"/>
      <c r="C975" s="46"/>
      <c r="D975" s="16"/>
      <c r="E975" s="16"/>
      <c r="F975" s="16"/>
      <c r="G975" s="16"/>
      <c r="H975" s="16"/>
      <c r="I975" s="16"/>
      <c r="J975" s="6"/>
      <c r="K975" s="16"/>
      <c r="L975" s="16"/>
      <c r="M975" s="16"/>
      <c r="N975" s="46"/>
    </row>
    <row r="976">
      <c r="A976" s="46"/>
      <c r="B976" s="46"/>
      <c r="C976" s="46"/>
      <c r="D976" s="16"/>
      <c r="E976" s="16"/>
      <c r="F976" s="16"/>
      <c r="G976" s="16"/>
      <c r="H976" s="16"/>
      <c r="I976" s="16"/>
      <c r="J976" s="6"/>
      <c r="K976" s="16"/>
      <c r="L976" s="16"/>
      <c r="M976" s="16"/>
      <c r="N976" s="46"/>
    </row>
    <row r="977">
      <c r="A977" s="46"/>
      <c r="B977" s="46"/>
      <c r="C977" s="46"/>
      <c r="D977" s="16"/>
      <c r="E977" s="16"/>
      <c r="F977" s="16"/>
      <c r="G977" s="16"/>
      <c r="H977" s="16"/>
      <c r="I977" s="16"/>
      <c r="J977" s="6"/>
      <c r="K977" s="16"/>
      <c r="L977" s="16"/>
      <c r="M977" s="16"/>
      <c r="N977" s="46"/>
    </row>
    <row r="978">
      <c r="A978" s="46"/>
      <c r="B978" s="46"/>
      <c r="C978" s="46"/>
      <c r="D978" s="16"/>
      <c r="E978" s="16"/>
      <c r="F978" s="16"/>
      <c r="G978" s="16"/>
      <c r="H978" s="16"/>
      <c r="I978" s="16"/>
      <c r="J978" s="6"/>
      <c r="K978" s="16"/>
      <c r="L978" s="16"/>
      <c r="M978" s="16"/>
      <c r="N978" s="46"/>
    </row>
    <row r="979">
      <c r="A979" s="46"/>
      <c r="B979" s="46"/>
      <c r="C979" s="46"/>
      <c r="D979" s="16"/>
      <c r="E979" s="16"/>
      <c r="F979" s="16"/>
      <c r="G979" s="16"/>
      <c r="H979" s="16"/>
      <c r="I979" s="16"/>
      <c r="J979" s="6"/>
      <c r="K979" s="16"/>
      <c r="L979" s="16"/>
      <c r="M979" s="16"/>
      <c r="N979" s="46"/>
    </row>
    <row r="980">
      <c r="A980" s="46"/>
      <c r="B980" s="46"/>
      <c r="C980" s="46"/>
      <c r="D980" s="16"/>
      <c r="E980" s="16"/>
      <c r="F980" s="16"/>
      <c r="G980" s="16"/>
      <c r="H980" s="16"/>
      <c r="I980" s="16"/>
      <c r="J980" s="6"/>
      <c r="K980" s="16"/>
      <c r="L980" s="16"/>
      <c r="M980" s="16"/>
      <c r="N980" s="46"/>
    </row>
    <row r="981">
      <c r="A981" s="46"/>
      <c r="B981" s="46"/>
      <c r="C981" s="46"/>
      <c r="D981" s="16"/>
      <c r="E981" s="16"/>
      <c r="F981" s="16"/>
      <c r="G981" s="16"/>
      <c r="H981" s="16"/>
      <c r="I981" s="16"/>
      <c r="J981" s="6"/>
      <c r="K981" s="16"/>
      <c r="L981" s="16"/>
      <c r="M981" s="16"/>
      <c r="N981" s="46"/>
    </row>
    <row r="982">
      <c r="A982" s="46"/>
      <c r="B982" s="46"/>
      <c r="C982" s="46"/>
      <c r="D982" s="16"/>
      <c r="E982" s="16"/>
      <c r="F982" s="16"/>
      <c r="G982" s="16"/>
      <c r="H982" s="16"/>
      <c r="I982" s="16"/>
      <c r="J982" s="6"/>
      <c r="K982" s="16"/>
      <c r="L982" s="16"/>
      <c r="M982" s="16"/>
      <c r="N982" s="46"/>
    </row>
    <row r="983">
      <c r="A983" s="46"/>
      <c r="B983" s="46"/>
      <c r="C983" s="46"/>
      <c r="D983" s="16"/>
      <c r="E983" s="16"/>
      <c r="F983" s="16"/>
      <c r="G983" s="16"/>
      <c r="H983" s="16"/>
      <c r="I983" s="16"/>
      <c r="J983" s="6"/>
      <c r="K983" s="16"/>
      <c r="L983" s="16"/>
      <c r="M983" s="16"/>
      <c r="N983" s="46"/>
    </row>
    <row r="984">
      <c r="A984" s="46"/>
      <c r="B984" s="46"/>
      <c r="C984" s="46"/>
      <c r="D984" s="16"/>
      <c r="E984" s="16"/>
      <c r="F984" s="16"/>
      <c r="G984" s="16"/>
      <c r="H984" s="16"/>
      <c r="I984" s="16"/>
      <c r="J984" s="6"/>
      <c r="K984" s="16"/>
      <c r="L984" s="16"/>
      <c r="M984" s="16"/>
      <c r="N984" s="46"/>
    </row>
    <row r="985">
      <c r="A985" s="46"/>
      <c r="B985" s="46"/>
      <c r="C985" s="46"/>
      <c r="D985" s="16"/>
      <c r="E985" s="16"/>
      <c r="F985" s="16"/>
      <c r="G985" s="16"/>
      <c r="H985" s="16"/>
      <c r="I985" s="16"/>
      <c r="J985" s="6"/>
      <c r="K985" s="16"/>
      <c r="L985" s="16"/>
      <c r="M985" s="16"/>
      <c r="N985" s="46"/>
    </row>
    <row r="986">
      <c r="A986" s="46"/>
      <c r="B986" s="46"/>
      <c r="C986" s="46"/>
      <c r="D986" s="16"/>
      <c r="E986" s="16"/>
      <c r="F986" s="16"/>
      <c r="G986" s="16"/>
      <c r="H986" s="16"/>
      <c r="I986" s="16"/>
      <c r="J986" s="6"/>
      <c r="K986" s="16"/>
      <c r="L986" s="16"/>
      <c r="M986" s="16"/>
      <c r="N986" s="46"/>
    </row>
    <row r="987">
      <c r="A987" s="46"/>
      <c r="B987" s="46"/>
      <c r="C987" s="46"/>
      <c r="D987" s="16"/>
      <c r="E987" s="16"/>
      <c r="F987" s="16"/>
      <c r="G987" s="16"/>
      <c r="H987" s="16"/>
      <c r="I987" s="16"/>
      <c r="J987" s="6"/>
      <c r="K987" s="16"/>
      <c r="L987" s="16"/>
      <c r="M987" s="16"/>
      <c r="N987" s="46"/>
    </row>
    <row r="988">
      <c r="A988" s="46"/>
      <c r="B988" s="46"/>
      <c r="C988" s="46"/>
      <c r="D988" s="16"/>
      <c r="E988" s="16"/>
      <c r="F988" s="16"/>
      <c r="G988" s="16"/>
      <c r="H988" s="16"/>
      <c r="I988" s="16"/>
      <c r="J988" s="6"/>
      <c r="K988" s="16"/>
      <c r="L988" s="16"/>
      <c r="M988" s="16"/>
      <c r="N988" s="46"/>
    </row>
    <row r="989">
      <c r="A989" s="46"/>
      <c r="B989" s="46"/>
      <c r="C989" s="46"/>
      <c r="D989" s="16"/>
      <c r="E989" s="16"/>
      <c r="F989" s="16"/>
      <c r="G989" s="16"/>
      <c r="H989" s="16"/>
      <c r="I989" s="16"/>
      <c r="J989" s="6"/>
      <c r="K989" s="16"/>
      <c r="L989" s="16"/>
      <c r="M989" s="16"/>
      <c r="N989" s="46"/>
    </row>
    <row r="990">
      <c r="A990" s="46"/>
      <c r="B990" s="46"/>
      <c r="C990" s="46"/>
      <c r="D990" s="16"/>
      <c r="E990" s="16"/>
      <c r="F990" s="16"/>
      <c r="G990" s="16"/>
      <c r="H990" s="16"/>
      <c r="I990" s="16"/>
      <c r="J990" s="6"/>
      <c r="K990" s="16"/>
      <c r="L990" s="16"/>
      <c r="M990" s="16"/>
      <c r="N990" s="46"/>
    </row>
    <row r="991">
      <c r="A991" s="46"/>
      <c r="B991" s="46"/>
      <c r="C991" s="46"/>
      <c r="D991" s="16"/>
      <c r="E991" s="16"/>
      <c r="F991" s="16"/>
      <c r="G991" s="16"/>
      <c r="H991" s="16"/>
      <c r="I991" s="16"/>
      <c r="J991" s="6"/>
      <c r="K991" s="16"/>
      <c r="L991" s="16"/>
      <c r="M991" s="16"/>
      <c r="N991" s="46"/>
    </row>
    <row r="992">
      <c r="A992" s="46"/>
      <c r="B992" s="46"/>
      <c r="C992" s="46"/>
      <c r="D992" s="16"/>
      <c r="E992" s="16"/>
      <c r="F992" s="16"/>
      <c r="G992" s="16"/>
      <c r="H992" s="16"/>
      <c r="I992" s="16"/>
      <c r="J992" s="6"/>
      <c r="K992" s="16"/>
      <c r="L992" s="16"/>
      <c r="M992" s="16"/>
      <c r="N992" s="46"/>
    </row>
    <row r="993">
      <c r="A993" s="46"/>
      <c r="B993" s="46"/>
      <c r="C993" s="46"/>
      <c r="D993" s="16"/>
      <c r="E993" s="16"/>
      <c r="F993" s="16"/>
      <c r="G993" s="16"/>
      <c r="H993" s="16"/>
      <c r="I993" s="16"/>
      <c r="J993" s="6"/>
      <c r="K993" s="16"/>
      <c r="L993" s="16"/>
      <c r="M993" s="16"/>
      <c r="N993" s="46"/>
    </row>
    <row r="994">
      <c r="A994" s="46"/>
      <c r="B994" s="46"/>
      <c r="C994" s="46"/>
      <c r="D994" s="16"/>
      <c r="E994" s="16"/>
      <c r="F994" s="16"/>
      <c r="G994" s="16"/>
      <c r="H994" s="16"/>
      <c r="I994" s="16"/>
      <c r="J994" s="6"/>
      <c r="K994" s="16"/>
      <c r="L994" s="16"/>
      <c r="M994" s="16"/>
      <c r="N994" s="46"/>
    </row>
    <row r="995">
      <c r="A995" s="46"/>
      <c r="B995" s="46"/>
      <c r="C995" s="46"/>
      <c r="D995" s="16"/>
      <c r="E995" s="16"/>
      <c r="F995" s="16"/>
      <c r="G995" s="16"/>
      <c r="H995" s="16"/>
      <c r="I995" s="16"/>
      <c r="J995" s="6"/>
      <c r="K995" s="16"/>
      <c r="L995" s="16"/>
      <c r="M995" s="16"/>
      <c r="N995" s="46"/>
    </row>
    <row r="996">
      <c r="A996" s="46"/>
      <c r="B996" s="46"/>
      <c r="C996" s="46"/>
      <c r="D996" s="16"/>
      <c r="E996" s="16"/>
      <c r="F996" s="16"/>
      <c r="G996" s="16"/>
      <c r="H996" s="16"/>
      <c r="I996" s="16"/>
      <c r="J996" s="6"/>
      <c r="K996" s="16"/>
      <c r="L996" s="16"/>
      <c r="M996" s="16"/>
      <c r="N996" s="46"/>
    </row>
    <row r="997">
      <c r="A997" s="46"/>
      <c r="B997" s="46"/>
      <c r="C997" s="46"/>
      <c r="D997" s="16"/>
      <c r="E997" s="16"/>
      <c r="F997" s="16"/>
      <c r="G997" s="16"/>
      <c r="H997" s="16"/>
      <c r="I997" s="16"/>
      <c r="J997" s="6"/>
      <c r="K997" s="16"/>
      <c r="L997" s="16"/>
      <c r="M997" s="16"/>
      <c r="N997" s="46"/>
    </row>
    <row r="998">
      <c r="A998" s="46"/>
      <c r="B998" s="46"/>
      <c r="C998" s="46"/>
      <c r="D998" s="16"/>
      <c r="E998" s="16"/>
      <c r="F998" s="16"/>
      <c r="G998" s="16"/>
      <c r="H998" s="16"/>
      <c r="I998" s="16"/>
      <c r="J998" s="6"/>
      <c r="K998" s="16"/>
      <c r="L998" s="16"/>
      <c r="M998" s="16"/>
      <c r="N998" s="46"/>
    </row>
    <row r="999">
      <c r="A999" s="46"/>
      <c r="B999" s="46"/>
      <c r="C999" s="46"/>
      <c r="D999" s="16"/>
      <c r="E999" s="16"/>
      <c r="F999" s="16"/>
      <c r="G999" s="16"/>
      <c r="H999" s="16"/>
      <c r="I999" s="16"/>
      <c r="J999" s="6"/>
      <c r="K999" s="16"/>
      <c r="L999" s="16"/>
      <c r="M999" s="16"/>
      <c r="N999" s="46"/>
    </row>
    <row r="1000">
      <c r="A1000" s="46"/>
      <c r="B1000" s="46"/>
      <c r="C1000" s="46"/>
      <c r="D1000" s="16"/>
      <c r="E1000" s="16"/>
      <c r="F1000" s="16"/>
      <c r="G1000" s="16"/>
      <c r="H1000" s="16"/>
      <c r="I1000" s="16"/>
      <c r="J1000" s="6"/>
      <c r="K1000" s="16"/>
      <c r="L1000" s="16"/>
      <c r="M1000" s="16"/>
      <c r="N1000" s="46"/>
    </row>
    <row r="1001">
      <c r="A1001" s="46"/>
      <c r="B1001" s="46"/>
      <c r="C1001" s="46"/>
      <c r="D1001" s="16"/>
      <c r="E1001" s="16"/>
      <c r="F1001" s="16"/>
      <c r="G1001" s="16"/>
      <c r="H1001" s="16"/>
      <c r="I1001" s="16"/>
      <c r="J1001" s="6"/>
      <c r="K1001" s="16"/>
      <c r="L1001" s="16"/>
      <c r="M1001" s="16"/>
      <c r="N1001" s="46"/>
    </row>
    <row r="1002">
      <c r="A1002" s="46"/>
      <c r="B1002" s="46"/>
      <c r="C1002" s="46"/>
      <c r="D1002" s="16"/>
      <c r="E1002" s="16"/>
      <c r="F1002" s="16"/>
      <c r="G1002" s="16"/>
      <c r="H1002" s="16"/>
      <c r="I1002" s="16"/>
      <c r="J1002" s="6"/>
      <c r="K1002" s="16"/>
      <c r="L1002" s="16"/>
      <c r="M1002" s="16"/>
      <c r="N1002" s="46"/>
    </row>
    <row r="1003">
      <c r="A1003" s="46"/>
      <c r="B1003" s="46"/>
      <c r="C1003" s="46"/>
      <c r="D1003" s="16"/>
      <c r="E1003" s="16"/>
      <c r="F1003" s="16"/>
      <c r="G1003" s="16"/>
      <c r="H1003" s="16"/>
      <c r="I1003" s="16"/>
      <c r="J1003" s="6"/>
      <c r="K1003" s="16"/>
      <c r="L1003" s="16"/>
      <c r="M1003" s="16"/>
      <c r="N1003" s="46"/>
    </row>
    <row r="1004">
      <c r="A1004" s="46"/>
      <c r="B1004" s="46"/>
      <c r="C1004" s="46"/>
      <c r="D1004" s="16"/>
      <c r="E1004" s="16"/>
      <c r="F1004" s="16"/>
      <c r="G1004" s="16"/>
      <c r="H1004" s="16"/>
      <c r="I1004" s="16"/>
      <c r="J1004" s="6"/>
      <c r="K1004" s="16"/>
      <c r="L1004" s="16"/>
      <c r="M1004" s="16"/>
      <c r="N1004" s="46"/>
    </row>
    <row r="1005">
      <c r="A1005" s="46"/>
      <c r="B1005" s="46"/>
      <c r="C1005" s="46"/>
      <c r="D1005" s="16"/>
      <c r="E1005" s="16"/>
      <c r="F1005" s="16"/>
      <c r="G1005" s="16"/>
      <c r="H1005" s="16"/>
      <c r="I1005" s="16"/>
      <c r="J1005" s="6"/>
      <c r="K1005" s="16"/>
      <c r="L1005" s="16"/>
      <c r="M1005" s="16"/>
      <c r="N1005" s="46"/>
    </row>
    <row r="1006">
      <c r="A1006" s="46"/>
      <c r="B1006" s="46"/>
      <c r="C1006" s="46"/>
      <c r="D1006" s="16"/>
      <c r="E1006" s="16"/>
      <c r="F1006" s="16"/>
      <c r="G1006" s="16"/>
      <c r="H1006" s="16"/>
      <c r="I1006" s="16"/>
      <c r="J1006" s="6"/>
      <c r="K1006" s="16"/>
      <c r="L1006" s="16"/>
      <c r="M1006" s="16"/>
      <c r="N1006" s="46"/>
    </row>
    <row r="1007">
      <c r="A1007" s="46"/>
      <c r="B1007" s="46"/>
      <c r="C1007" s="46"/>
      <c r="D1007" s="16"/>
      <c r="E1007" s="16"/>
      <c r="F1007" s="16"/>
      <c r="G1007" s="16"/>
      <c r="H1007" s="16"/>
      <c r="I1007" s="16"/>
      <c r="J1007" s="6"/>
      <c r="K1007" s="16"/>
      <c r="L1007" s="16"/>
      <c r="M1007" s="16"/>
      <c r="N1007" s="46"/>
    </row>
    <row r="1008">
      <c r="A1008" s="46"/>
      <c r="B1008" s="46"/>
      <c r="C1008" s="46"/>
      <c r="D1008" s="16"/>
      <c r="E1008" s="16"/>
      <c r="F1008" s="16"/>
      <c r="G1008" s="16"/>
      <c r="H1008" s="16"/>
      <c r="I1008" s="16"/>
      <c r="J1008" s="6"/>
      <c r="K1008" s="16"/>
      <c r="L1008" s="16"/>
      <c r="M1008" s="16"/>
      <c r="N1008" s="46"/>
    </row>
    <row r="1009">
      <c r="A1009" s="46"/>
      <c r="B1009" s="46"/>
      <c r="C1009" s="46"/>
      <c r="D1009" s="16"/>
      <c r="E1009" s="16"/>
      <c r="F1009" s="16"/>
      <c r="G1009" s="16"/>
      <c r="H1009" s="16"/>
      <c r="I1009" s="16"/>
      <c r="J1009" s="6"/>
      <c r="K1009" s="16"/>
      <c r="L1009" s="16"/>
      <c r="M1009" s="16"/>
      <c r="N1009" s="46"/>
    </row>
    <row r="1010">
      <c r="A1010" s="46"/>
      <c r="B1010" s="46"/>
      <c r="C1010" s="46"/>
      <c r="D1010" s="16"/>
      <c r="E1010" s="16"/>
      <c r="F1010" s="16"/>
      <c r="G1010" s="16"/>
      <c r="H1010" s="16"/>
      <c r="I1010" s="16"/>
      <c r="J1010" s="6"/>
      <c r="K1010" s="16"/>
      <c r="L1010" s="16"/>
      <c r="M1010" s="16"/>
      <c r="N1010" s="46"/>
    </row>
    <row r="1011">
      <c r="A1011" s="46"/>
      <c r="B1011" s="46"/>
      <c r="C1011" s="46"/>
      <c r="D1011" s="16"/>
      <c r="E1011" s="16"/>
      <c r="F1011" s="16"/>
      <c r="G1011" s="16"/>
      <c r="H1011" s="16"/>
      <c r="I1011" s="16"/>
      <c r="J1011" s="6"/>
      <c r="K1011" s="16"/>
      <c r="L1011" s="16"/>
      <c r="M1011" s="16"/>
      <c r="N1011" s="46"/>
    </row>
    <row r="1012">
      <c r="A1012" s="46"/>
      <c r="B1012" s="46"/>
      <c r="C1012" s="46"/>
      <c r="D1012" s="16"/>
      <c r="E1012" s="16"/>
      <c r="F1012" s="16"/>
      <c r="G1012" s="16"/>
      <c r="H1012" s="16"/>
      <c r="I1012" s="16"/>
      <c r="J1012" s="6"/>
      <c r="K1012" s="16"/>
      <c r="L1012" s="16"/>
      <c r="M1012" s="16"/>
      <c r="N1012" s="46"/>
    </row>
    <row r="1013">
      <c r="A1013" s="46"/>
      <c r="B1013" s="46"/>
      <c r="C1013" s="46"/>
      <c r="D1013" s="16"/>
      <c r="E1013" s="16"/>
      <c r="F1013" s="16"/>
      <c r="G1013" s="16"/>
      <c r="H1013" s="16"/>
      <c r="I1013" s="16"/>
      <c r="J1013" s="6"/>
      <c r="K1013" s="16"/>
      <c r="L1013" s="16"/>
      <c r="M1013" s="16"/>
      <c r="N1013" s="46"/>
    </row>
    <row r="1014">
      <c r="A1014" s="46"/>
      <c r="B1014" s="46"/>
      <c r="C1014" s="46"/>
      <c r="D1014" s="16"/>
      <c r="E1014" s="16"/>
      <c r="F1014" s="16"/>
      <c r="G1014" s="16"/>
      <c r="H1014" s="16"/>
      <c r="I1014" s="16"/>
      <c r="J1014" s="6"/>
      <c r="K1014" s="16"/>
      <c r="L1014" s="16"/>
      <c r="M1014" s="16"/>
      <c r="N1014" s="46"/>
    </row>
    <row r="1015">
      <c r="A1015" s="46"/>
      <c r="B1015" s="46"/>
      <c r="C1015" s="46"/>
      <c r="D1015" s="16"/>
      <c r="E1015" s="16"/>
      <c r="F1015" s="16"/>
      <c r="G1015" s="16"/>
      <c r="H1015" s="16"/>
      <c r="I1015" s="16"/>
      <c r="J1015" s="6"/>
      <c r="K1015" s="16"/>
      <c r="L1015" s="16"/>
      <c r="M1015" s="16"/>
      <c r="N1015" s="46"/>
    </row>
    <row r="1016">
      <c r="A1016" s="46"/>
      <c r="B1016" s="46"/>
      <c r="C1016" s="46"/>
      <c r="D1016" s="16"/>
      <c r="E1016" s="16"/>
      <c r="F1016" s="16"/>
      <c r="G1016" s="16"/>
      <c r="H1016" s="16"/>
      <c r="I1016" s="16"/>
      <c r="J1016" s="6"/>
      <c r="K1016" s="16"/>
      <c r="L1016" s="16"/>
      <c r="M1016" s="16"/>
      <c r="N1016" s="46"/>
    </row>
    <row r="1017">
      <c r="A1017" s="46"/>
      <c r="B1017" s="46"/>
      <c r="C1017" s="46"/>
      <c r="D1017" s="16"/>
      <c r="E1017" s="16"/>
      <c r="F1017" s="16"/>
      <c r="G1017" s="16"/>
      <c r="H1017" s="16"/>
      <c r="I1017" s="16"/>
      <c r="J1017" s="6"/>
      <c r="K1017" s="16"/>
      <c r="L1017" s="16"/>
      <c r="M1017" s="16"/>
      <c r="N1017" s="46"/>
    </row>
    <row r="1018">
      <c r="A1018" s="46"/>
      <c r="B1018" s="46"/>
      <c r="C1018" s="46"/>
      <c r="D1018" s="16"/>
      <c r="E1018" s="16"/>
      <c r="F1018" s="16"/>
      <c r="G1018" s="16"/>
      <c r="H1018" s="16"/>
      <c r="I1018" s="16"/>
      <c r="J1018" s="6"/>
      <c r="K1018" s="16"/>
      <c r="L1018" s="16"/>
      <c r="M1018" s="16"/>
      <c r="N1018" s="46"/>
    </row>
    <row r="1019">
      <c r="A1019" s="46"/>
      <c r="B1019" s="46"/>
      <c r="C1019" s="46"/>
      <c r="D1019" s="16"/>
      <c r="E1019" s="16"/>
      <c r="F1019" s="16"/>
      <c r="G1019" s="16"/>
      <c r="H1019" s="16"/>
      <c r="I1019" s="16"/>
      <c r="J1019" s="6"/>
      <c r="K1019" s="16"/>
      <c r="L1019" s="16"/>
      <c r="M1019" s="16"/>
      <c r="N1019" s="46"/>
    </row>
    <row r="1020">
      <c r="A1020" s="46"/>
      <c r="B1020" s="46"/>
      <c r="C1020" s="46"/>
      <c r="D1020" s="16"/>
      <c r="E1020" s="16"/>
      <c r="F1020" s="16"/>
      <c r="G1020" s="16"/>
      <c r="H1020" s="16"/>
      <c r="I1020" s="16"/>
      <c r="J1020" s="6"/>
      <c r="K1020" s="16"/>
      <c r="L1020" s="16"/>
      <c r="M1020" s="16"/>
      <c r="N1020" s="46"/>
    </row>
    <row r="1021">
      <c r="A1021" s="46"/>
      <c r="B1021" s="46"/>
      <c r="C1021" s="46"/>
      <c r="D1021" s="16"/>
      <c r="E1021" s="16"/>
      <c r="F1021" s="16"/>
      <c r="G1021" s="16"/>
      <c r="H1021" s="16"/>
      <c r="I1021" s="16"/>
      <c r="J1021" s="6"/>
      <c r="K1021" s="16"/>
      <c r="L1021" s="16"/>
      <c r="M1021" s="16"/>
      <c r="N1021" s="46"/>
    </row>
    <row r="1022">
      <c r="A1022" s="46"/>
      <c r="B1022" s="46"/>
      <c r="C1022" s="46"/>
      <c r="D1022" s="16"/>
      <c r="E1022" s="16"/>
      <c r="F1022" s="16"/>
      <c r="G1022" s="16"/>
      <c r="H1022" s="16"/>
      <c r="I1022" s="16"/>
      <c r="J1022" s="6"/>
      <c r="K1022" s="16"/>
      <c r="L1022" s="16"/>
      <c r="M1022" s="16"/>
      <c r="N1022" s="46"/>
    </row>
    <row r="1023">
      <c r="A1023" s="46"/>
      <c r="B1023" s="46"/>
      <c r="C1023" s="46"/>
      <c r="D1023" s="16"/>
      <c r="E1023" s="16"/>
      <c r="F1023" s="16"/>
      <c r="G1023" s="16"/>
      <c r="H1023" s="16"/>
      <c r="I1023" s="16"/>
      <c r="J1023" s="6"/>
      <c r="K1023" s="16"/>
      <c r="L1023" s="16"/>
      <c r="M1023" s="16"/>
      <c r="N1023" s="46"/>
    </row>
    <row r="1024">
      <c r="A1024" s="46"/>
      <c r="B1024" s="46"/>
      <c r="C1024" s="46"/>
      <c r="D1024" s="16"/>
      <c r="E1024" s="16"/>
      <c r="F1024" s="16"/>
      <c r="G1024" s="16"/>
      <c r="H1024" s="16"/>
      <c r="I1024" s="16"/>
      <c r="J1024" s="6"/>
      <c r="K1024" s="16"/>
      <c r="L1024" s="16"/>
      <c r="M1024" s="16"/>
      <c r="N1024" s="46"/>
    </row>
    <row r="1025">
      <c r="A1025" s="46"/>
      <c r="B1025" s="46"/>
      <c r="C1025" s="46"/>
      <c r="D1025" s="16"/>
      <c r="E1025" s="16"/>
      <c r="F1025" s="16"/>
      <c r="G1025" s="16"/>
      <c r="H1025" s="16"/>
      <c r="I1025" s="16"/>
      <c r="J1025" s="6"/>
      <c r="K1025" s="16"/>
      <c r="L1025" s="16"/>
      <c r="M1025" s="16"/>
      <c r="N1025" s="46"/>
    </row>
    <row r="1026">
      <c r="A1026" s="46"/>
      <c r="B1026" s="46"/>
      <c r="C1026" s="46"/>
      <c r="D1026" s="16"/>
      <c r="E1026" s="16"/>
      <c r="F1026" s="16"/>
      <c r="G1026" s="16"/>
      <c r="H1026" s="16"/>
      <c r="I1026" s="16"/>
      <c r="J1026" s="6"/>
      <c r="K1026" s="16"/>
      <c r="L1026" s="16"/>
      <c r="M1026" s="16"/>
      <c r="N1026" s="46"/>
    </row>
  </sheetData>
  <mergeCells count="2">
    <mergeCell ref="B1:L1"/>
    <mergeCell ref="C14:D14"/>
  </mergeCells>
  <conditionalFormatting sqref="C3 M4:M1026 C15:C19">
    <cfRule type="cellIs" dxfId="1" priority="1" operator="equal">
      <formula>"Fast Moving"</formula>
    </cfRule>
  </conditionalFormatting>
  <conditionalFormatting sqref="C3 M4:M1026 C15:C19">
    <cfRule type="cellIs" dxfId="2" priority="2" operator="equal">
      <formula>"Normal Moving"</formula>
    </cfRule>
  </conditionalFormatting>
  <conditionalFormatting sqref="C3 M4:M1026 C15:C19">
    <cfRule type="cellIs" dxfId="3" priority="3" operator="equal">
      <formula>"Slow Moving"</formula>
    </cfRule>
  </conditionalFormatting>
  <conditionalFormatting sqref="C3 M4:M1026 C15:C19">
    <cfRule type="cellIs" dxfId="4" priority="4" operator="equal">
      <formula>"Very Slow Moving"</formula>
    </cfRule>
  </conditionalFormatting>
  <conditionalFormatting sqref="C3 M4:M1026 C15:C19">
    <cfRule type="cellIs" dxfId="5" priority="5" operator="equal">
      <formula>"Deadstock"</formula>
    </cfRule>
  </conditionalFormatting>
  <conditionalFormatting sqref="C3 J4:J1026 M4:M1026 C15:C19">
    <cfRule type="containsText" dxfId="3" priority="6" operator="containsText" text="ควรเติม">
      <formula>NOT(ISERROR(SEARCH(("ควรเติม"),(C3))))</formula>
    </cfRule>
  </conditionalFormatting>
  <conditionalFormatting sqref="C3 J4:J1026 M4:M1026 C15:C19">
    <cfRule type="containsText" dxfId="1" priority="7" operator="containsText" text="OK">
      <formula>NOT(ISERROR(SEARCH(("OK"),(C3))))</formula>
    </cfRule>
  </conditionalFormatting>
  <conditionalFormatting sqref="C3 J4:J1026 M4:M1026 C15:C19">
    <cfRule type="cellIs" dxfId="6" priority="8" operator="equal">
      <formula>"สินค้าหมด"</formula>
    </cfRule>
  </conditionalFormatting>
  <dataValidations>
    <dataValidation type="list" allowBlank="1" showErrorMessage="1" sqref="C3">
      <formula1>'⚙️ Config'!$K$2:$K$6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6" max="6" width="16.38"/>
    <col customWidth="1" min="7" max="7" width="18.13"/>
    <col customWidth="1" min="8" max="8" width="7.38"/>
  </cols>
  <sheetData>
    <row r="1" ht="48.75" customHeight="1">
      <c r="A1" s="53"/>
      <c r="B1" s="54" t="str">
        <f>"Dashboard ประจำเดือน "&amp;vlookup(C3,'⚙️ Config'!C:E,2,false)&amp;" ปี "&amp;C4</f>
        <v>Dashboard ประจำเดือน พฤษภาคม ปี 2024</v>
      </c>
      <c r="C1" s="55"/>
      <c r="D1" s="55"/>
      <c r="E1" s="55"/>
      <c r="F1" s="55"/>
      <c r="G1" s="55"/>
      <c r="H1" s="56"/>
    </row>
    <row r="2">
      <c r="B2" s="47"/>
      <c r="C2" s="47"/>
      <c r="D2" s="47"/>
      <c r="E2" s="47"/>
      <c r="F2" s="47"/>
      <c r="G2" s="47"/>
      <c r="H2" s="48"/>
    </row>
    <row r="3">
      <c r="B3" s="57" t="s">
        <v>56</v>
      </c>
      <c r="C3" s="58">
        <v>5.0</v>
      </c>
      <c r="D3" s="47"/>
      <c r="E3" s="47" t="s">
        <v>66</v>
      </c>
      <c r="F3" s="59">
        <f>'ข้อมูล Dashboard รายเดือน'!E1</f>
        <v>24450</v>
      </c>
      <c r="G3" s="47"/>
      <c r="H3" s="48"/>
    </row>
    <row r="4">
      <c r="B4" s="60" t="s">
        <v>55</v>
      </c>
      <c r="C4" s="61">
        <v>2024.0</v>
      </c>
      <c r="D4" s="47"/>
      <c r="E4" s="47"/>
      <c r="F4" s="47"/>
      <c r="G4" s="47"/>
      <c r="H4" s="48"/>
    </row>
    <row r="5">
      <c r="A5" s="47"/>
      <c r="B5" s="47"/>
      <c r="C5" s="47"/>
      <c r="D5" s="47"/>
      <c r="E5" s="47"/>
      <c r="F5" s="47"/>
      <c r="G5" s="47"/>
      <c r="H5" s="48"/>
    </row>
    <row r="6">
      <c r="A6" s="47"/>
      <c r="B6" s="52" t="s">
        <v>67</v>
      </c>
      <c r="C6" s="47"/>
      <c r="D6" s="47"/>
      <c r="E6" s="47"/>
      <c r="F6" s="52" t="s">
        <v>68</v>
      </c>
      <c r="G6" s="47"/>
      <c r="H6" s="48"/>
    </row>
    <row r="7">
      <c r="B7" s="6"/>
      <c r="C7" s="16"/>
      <c r="D7" s="16"/>
      <c r="E7" s="16"/>
      <c r="F7" s="16"/>
      <c r="G7" s="46"/>
      <c r="H7" s="46"/>
    </row>
    <row r="8">
      <c r="B8" s="6"/>
      <c r="C8" s="16"/>
      <c r="D8" s="16"/>
      <c r="E8" s="16"/>
      <c r="F8" s="16"/>
      <c r="G8" s="46"/>
      <c r="H8" s="46"/>
    </row>
    <row r="9">
      <c r="B9" s="6"/>
      <c r="C9" s="16"/>
      <c r="D9" s="16"/>
      <c r="E9" s="16"/>
      <c r="F9" s="16"/>
      <c r="G9" s="46"/>
      <c r="H9" s="46"/>
    </row>
    <row r="10">
      <c r="B10" s="6"/>
      <c r="C10" s="16"/>
      <c r="D10" s="16"/>
      <c r="E10" s="16"/>
      <c r="F10" s="16"/>
      <c r="G10" s="46"/>
      <c r="H10" s="46"/>
    </row>
    <row r="11">
      <c r="B11" s="6"/>
      <c r="C11" s="16"/>
      <c r="D11" s="16"/>
      <c r="E11" s="16"/>
      <c r="F11" s="16"/>
      <c r="G11" s="46"/>
      <c r="H11" s="46"/>
    </row>
    <row r="12">
      <c r="B12" s="6"/>
      <c r="C12" s="16"/>
      <c r="D12" s="16"/>
      <c r="E12" s="16"/>
      <c r="F12" s="16"/>
      <c r="G12" s="46"/>
      <c r="H12" s="46"/>
    </row>
    <row r="13">
      <c r="B13" s="6"/>
      <c r="C13" s="16"/>
      <c r="D13" s="16"/>
      <c r="E13" s="16"/>
      <c r="F13" s="16"/>
      <c r="G13" s="46"/>
      <c r="H13" s="46"/>
    </row>
    <row r="14">
      <c r="B14" s="6"/>
      <c r="C14" s="16"/>
      <c r="D14" s="16"/>
      <c r="E14" s="16"/>
      <c r="F14" s="16"/>
      <c r="G14" s="46"/>
      <c r="H14" s="46"/>
    </row>
    <row r="15">
      <c r="B15" s="6"/>
      <c r="C15" s="16"/>
      <c r="D15" s="16"/>
      <c r="E15" s="16"/>
      <c r="F15" s="16"/>
      <c r="G15" s="46"/>
      <c r="H15" s="46"/>
    </row>
    <row r="16">
      <c r="B16" s="6"/>
      <c r="C16" s="16"/>
      <c r="D16" s="16"/>
      <c r="E16" s="16"/>
      <c r="F16" s="16"/>
      <c r="G16" s="46"/>
      <c r="H16" s="46"/>
    </row>
    <row r="17">
      <c r="B17" s="6"/>
      <c r="C17" s="16"/>
      <c r="D17" s="16"/>
      <c r="E17" s="16"/>
      <c r="F17" s="16"/>
      <c r="G17" s="46"/>
      <c r="H17" s="46"/>
    </row>
    <row r="18">
      <c r="A18" s="6"/>
      <c r="B18" s="62"/>
      <c r="C18" s="16"/>
      <c r="D18" s="16"/>
      <c r="E18" s="16"/>
      <c r="F18" s="46"/>
      <c r="G18" s="46"/>
      <c r="H18" s="46"/>
    </row>
    <row r="19">
      <c r="A19" s="6"/>
      <c r="B19" s="16"/>
      <c r="C19" s="16"/>
      <c r="D19" s="16"/>
      <c r="E19" s="16"/>
      <c r="F19" s="46"/>
      <c r="G19" s="46"/>
      <c r="H19" s="46"/>
    </row>
    <row r="20">
      <c r="A20" s="17"/>
      <c r="B20" s="16"/>
      <c r="C20" s="16"/>
      <c r="D20" s="16"/>
      <c r="E20" s="16"/>
      <c r="F20" s="46"/>
      <c r="G20" s="46"/>
      <c r="H20" s="46"/>
    </row>
  </sheetData>
  <dataValidations>
    <dataValidation type="list" allowBlank="1" sqref="C4">
      <formula1>"2022,2023,2024,2025"</formula1>
    </dataValidation>
    <dataValidation type="list" allowBlank="1" sqref="C3">
      <formula1>"1,2,3,4,5,6,7,8,9,10,11,12"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5.25"/>
    <col customWidth="1" min="3" max="3" width="7.25"/>
    <col customWidth="1" min="4" max="4" width="14.13"/>
    <col customWidth="1" min="5" max="15" width="7.25"/>
    <col customWidth="1" min="16" max="17" width="6.25"/>
  </cols>
  <sheetData>
    <row r="1" ht="45.75" customHeight="1">
      <c r="A1" s="56"/>
      <c r="B1" s="54" t="str">
        <f>"Dashboard ประจำปี "&amp;C3</f>
        <v>Dashboard ประจำปี 2024</v>
      </c>
      <c r="C1" s="56"/>
      <c r="D1" s="56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56"/>
    </row>
    <row r="2">
      <c r="A2" s="46"/>
      <c r="B2" s="46"/>
      <c r="C2" s="46"/>
      <c r="D2" s="4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46"/>
    </row>
    <row r="3">
      <c r="A3" s="46"/>
      <c r="B3" s="64" t="s">
        <v>55</v>
      </c>
      <c r="C3" s="65">
        <v>2024.0</v>
      </c>
      <c r="D3" s="4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46"/>
    </row>
    <row r="4">
      <c r="A4" s="46"/>
      <c r="B4" s="46"/>
      <c r="C4" s="46"/>
      <c r="D4" s="4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46"/>
    </row>
    <row r="5">
      <c r="A5" s="46"/>
      <c r="B5" s="66"/>
      <c r="C5" s="46"/>
      <c r="D5" s="4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46"/>
    </row>
    <row r="6">
      <c r="A6" s="46"/>
      <c r="B6" s="46"/>
      <c r="C6" s="46"/>
      <c r="D6" s="4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46"/>
    </row>
    <row r="7">
      <c r="A7" s="46"/>
      <c r="B7" s="46"/>
      <c r="C7" s="46"/>
      <c r="D7" s="4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46"/>
    </row>
    <row r="8">
      <c r="A8" s="46"/>
      <c r="B8" s="46"/>
      <c r="C8" s="46"/>
      <c r="D8" s="4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46"/>
    </row>
    <row r="9">
      <c r="A9" s="46"/>
      <c r="B9" s="46"/>
      <c r="C9" s="46"/>
      <c r="D9" s="4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46"/>
    </row>
    <row r="10">
      <c r="A10" s="46"/>
      <c r="B10" s="46"/>
      <c r="C10" s="46"/>
      <c r="D10" s="4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46"/>
    </row>
    <row r="11">
      <c r="A11" s="46"/>
      <c r="B11" s="46"/>
      <c r="C11" s="46"/>
      <c r="D11" s="67" t="s">
        <v>69</v>
      </c>
      <c r="E11" s="68">
        <v>1.0</v>
      </c>
      <c r="F11" s="68">
        <v>2.0</v>
      </c>
      <c r="G11" s="68">
        <v>3.0</v>
      </c>
      <c r="H11" s="68">
        <v>4.0</v>
      </c>
      <c r="I11" s="68">
        <v>5.0</v>
      </c>
      <c r="J11" s="68">
        <v>6.0</v>
      </c>
      <c r="K11" s="68">
        <v>7.0</v>
      </c>
      <c r="L11" s="68">
        <v>8.0</v>
      </c>
      <c r="M11" s="68">
        <v>9.0</v>
      </c>
      <c r="N11" s="68">
        <v>10.0</v>
      </c>
      <c r="O11" s="68">
        <v>11.0</v>
      </c>
      <c r="P11" s="68">
        <v>12.0</v>
      </c>
      <c r="Q11" s="6"/>
    </row>
    <row r="12">
      <c r="A12" s="46"/>
      <c r="B12" s="46"/>
      <c r="C12" s="46"/>
      <c r="D12" s="69" t="s">
        <v>70</v>
      </c>
      <c r="E12" s="70" t="str">
        <f>VLOOKUP(E11,'⚙️ Config'!$C:$E,3,false)</f>
        <v>ม.ค.</v>
      </c>
      <c r="F12" s="70" t="str">
        <f>VLOOKUP(F11,'⚙️ Config'!$C:$E,3,false)</f>
        <v>ก.พ.</v>
      </c>
      <c r="G12" s="70" t="str">
        <f>VLOOKUP(G11,'⚙️ Config'!$C:$E,3,false)</f>
        <v>มี.ค.</v>
      </c>
      <c r="H12" s="70" t="str">
        <f>VLOOKUP(H11,'⚙️ Config'!$C:$E,3,false)</f>
        <v>เม.ย.</v>
      </c>
      <c r="I12" s="70" t="str">
        <f>VLOOKUP(I11,'⚙️ Config'!$C:$E,3,false)</f>
        <v>พ.ค.</v>
      </c>
      <c r="J12" s="70" t="str">
        <f>VLOOKUP(J11,'⚙️ Config'!$C:$E,3,false)</f>
        <v>มิ.ย.</v>
      </c>
      <c r="K12" s="70" t="str">
        <f>VLOOKUP(K11,'⚙️ Config'!$C:$E,3,false)</f>
        <v>ก.ค.</v>
      </c>
      <c r="L12" s="70" t="str">
        <f>VLOOKUP(L11,'⚙️ Config'!$C:$E,3,false)</f>
        <v>ส.ค.</v>
      </c>
      <c r="M12" s="70" t="str">
        <f>VLOOKUP(M11,'⚙️ Config'!$C:$E,3,false)</f>
        <v>ก.ย.</v>
      </c>
      <c r="N12" s="70" t="str">
        <f>VLOOKUP(N11,'⚙️ Config'!$C:$E,3,false)</f>
        <v>ต.ค.</v>
      </c>
      <c r="O12" s="70" t="str">
        <f>VLOOKUP(O11,'⚙️ Config'!$C:$E,3,false)</f>
        <v>พ.ย.</v>
      </c>
      <c r="P12" s="70" t="str">
        <f>VLOOKUP(P11,'⚙️ Config'!$C:$E,3,false)</f>
        <v>ธ.ค.</v>
      </c>
      <c r="Q12" s="16"/>
    </row>
    <row r="13">
      <c r="A13" s="46"/>
      <c r="B13" s="46"/>
      <c r="C13" s="46"/>
      <c r="D13" s="71" t="s">
        <v>71</v>
      </c>
      <c r="E13" s="72">
        <f>vlookup($C$3&amp;"-"&amp;E11,'เป้าหมายยอดขาย'!$A:$B,2,false)</f>
        <v>50000</v>
      </c>
      <c r="F13" s="72">
        <f>vlookup($C$3&amp;"-"&amp;F11,'เป้าหมายยอดขาย'!$A:$B,2,false)</f>
        <v>50000</v>
      </c>
      <c r="G13" s="72">
        <f>vlookup($C$3&amp;"-"&amp;G11,'เป้าหมายยอดขาย'!$A:$B,2,false)</f>
        <v>50000</v>
      </c>
      <c r="H13" s="72">
        <f>vlookup($C$3&amp;"-"&amp;H11,'เป้าหมายยอดขาย'!$A:$B,2,false)</f>
        <v>50000</v>
      </c>
      <c r="I13" s="72">
        <f>vlookup($C$3&amp;"-"&amp;I11,'เป้าหมายยอดขาย'!$A:$B,2,false)</f>
        <v>50000</v>
      </c>
      <c r="J13" s="72">
        <f>vlookup($C$3&amp;"-"&amp;J11,'เป้าหมายยอดขาย'!$A:$B,2,false)</f>
        <v>50000</v>
      </c>
      <c r="K13" s="72">
        <f>vlookup($C$3&amp;"-"&amp;K11,'เป้าหมายยอดขาย'!$A:$B,2,false)</f>
        <v>50000</v>
      </c>
      <c r="L13" s="72">
        <f>vlookup($C$3&amp;"-"&amp;L11,'เป้าหมายยอดขาย'!$A:$B,2,false)</f>
        <v>50000</v>
      </c>
      <c r="M13" s="72">
        <f>vlookup($C$3&amp;"-"&amp;M11,'เป้าหมายยอดขาย'!$A:$B,2,false)</f>
        <v>50000</v>
      </c>
      <c r="N13" s="72">
        <f>vlookup($C$3&amp;"-"&amp;N11,'เป้าหมายยอดขาย'!$A:$B,2,false)</f>
        <v>50000</v>
      </c>
      <c r="O13" s="72">
        <f>vlookup($C$3&amp;"-"&amp;O11,'เป้าหมายยอดขาย'!$A:$B,2,false)</f>
        <v>50000</v>
      </c>
      <c r="P13" s="72">
        <f>vlookup($C$3&amp;"-"&amp;P11,'เป้าหมายยอดขาย'!$A:$B,2,false)</f>
        <v>50000</v>
      </c>
      <c r="Q13" s="46"/>
    </row>
    <row r="14">
      <c r="A14" s="46"/>
      <c r="B14" s="46"/>
      <c r="C14" s="46"/>
      <c r="D14" s="73" t="s">
        <v>72</v>
      </c>
      <c r="E14" s="74">
        <f>SUMIF('💰 Transaction ขาย'!$J:$J,$C$3&amp;"-"&amp;E11,'💰 Transaction ขาย'!$F:$F)</f>
        <v>0</v>
      </c>
      <c r="F14" s="74">
        <f>SUMIF('💰 Transaction ขาย'!$J:$J,$C$3&amp;"-"&amp;F11,'💰 Transaction ขาย'!$F:$F)</f>
        <v>0</v>
      </c>
      <c r="G14" s="74">
        <f>SUMIF('💰 Transaction ขาย'!$J:$J,$C$3&amp;"-"&amp;G11,'💰 Transaction ขาย'!$F:$F)</f>
        <v>0</v>
      </c>
      <c r="H14" s="74">
        <f>SUMIF('💰 Transaction ขาย'!$J:$J,$C$3&amp;"-"&amp;H11,'💰 Transaction ขาย'!$F:$F)</f>
        <v>250</v>
      </c>
      <c r="I14" s="74">
        <f>SUMIF('💰 Transaction ขาย'!$J:$J,$C$3&amp;"-"&amp;I11,'💰 Transaction ขาย'!$F:$F)</f>
        <v>24450</v>
      </c>
      <c r="J14" s="74">
        <f>SUMIF('💰 Transaction ขาย'!$J:$J,$C$3&amp;"-"&amp;J11,'💰 Transaction ขาย'!$F:$F)</f>
        <v>0</v>
      </c>
      <c r="K14" s="74">
        <f>SUMIF('💰 Transaction ขาย'!$J:$J,$C$3&amp;"-"&amp;K11,'💰 Transaction ขาย'!$F:$F)</f>
        <v>0</v>
      </c>
      <c r="L14" s="74">
        <f>SUMIF('💰 Transaction ขาย'!$J:$J,$C$3&amp;"-"&amp;L11,'💰 Transaction ขาย'!$F:$F)</f>
        <v>0</v>
      </c>
      <c r="M14" s="74">
        <f>SUMIF('💰 Transaction ขาย'!$J:$J,$C$3&amp;"-"&amp;M11,'💰 Transaction ขาย'!$F:$F)</f>
        <v>0</v>
      </c>
      <c r="N14" s="74">
        <f>SUMIF('💰 Transaction ขาย'!$J:$J,$C$3&amp;"-"&amp;N11,'💰 Transaction ขาย'!$F:$F)</f>
        <v>0</v>
      </c>
      <c r="O14" s="74">
        <f>SUMIF('💰 Transaction ขาย'!$J:$J,$C$3&amp;"-"&amp;O11,'💰 Transaction ขาย'!$F:$F)</f>
        <v>0</v>
      </c>
      <c r="P14" s="74">
        <f>SUMIF('💰 Transaction ขาย'!$J:$J,$C$3&amp;"-"&amp;P11,'💰 Transaction ขาย'!$F:$F)</f>
        <v>0</v>
      </c>
      <c r="Q14" s="46"/>
    </row>
    <row r="15">
      <c r="A15" s="46"/>
      <c r="B15" s="46"/>
      <c r="C15" s="46"/>
      <c r="D15" s="75" t="s">
        <v>73</v>
      </c>
      <c r="E15" s="76">
        <f t="shared" ref="E15:P15" si="1">IFERROR(E14/E13,"-")</f>
        <v>0</v>
      </c>
      <c r="F15" s="76">
        <f t="shared" si="1"/>
        <v>0</v>
      </c>
      <c r="G15" s="76">
        <f t="shared" si="1"/>
        <v>0</v>
      </c>
      <c r="H15" s="76">
        <f t="shared" si="1"/>
        <v>0.005</v>
      </c>
      <c r="I15" s="76">
        <f t="shared" si="1"/>
        <v>0.489</v>
      </c>
      <c r="J15" s="76">
        <f t="shared" si="1"/>
        <v>0</v>
      </c>
      <c r="K15" s="76">
        <f t="shared" si="1"/>
        <v>0</v>
      </c>
      <c r="L15" s="76">
        <f t="shared" si="1"/>
        <v>0</v>
      </c>
      <c r="M15" s="76">
        <f t="shared" si="1"/>
        <v>0</v>
      </c>
      <c r="N15" s="76">
        <f t="shared" si="1"/>
        <v>0</v>
      </c>
      <c r="O15" s="76">
        <f t="shared" si="1"/>
        <v>0</v>
      </c>
      <c r="P15" s="76">
        <f t="shared" si="1"/>
        <v>0</v>
      </c>
      <c r="Q15" s="46"/>
    </row>
    <row r="16">
      <c r="A16" s="46"/>
      <c r="B16" s="46"/>
      <c r="C16" s="46"/>
      <c r="D16" s="77" t="s">
        <v>74</v>
      </c>
      <c r="E16" s="78">
        <f>SUMIF('💰 Transaction ขาย'!$J:$J,$C$3&amp;"-"&amp;E11,'💰 Transaction ขาย'!$G:$G)</f>
        <v>0</v>
      </c>
      <c r="F16" s="78">
        <f>SUMIF('💰 Transaction ขาย'!$J:$J,$C$3&amp;"-"&amp;F11,'💰 Transaction ขาย'!$G:$G)</f>
        <v>0</v>
      </c>
      <c r="G16" s="78">
        <f>SUMIF('💰 Transaction ขาย'!$J:$J,$C$3&amp;"-"&amp;G11,'💰 Transaction ขาย'!$G:$G)</f>
        <v>0</v>
      </c>
      <c r="H16" s="78" t="str">
        <f>SUMIF('💰 Transaction ขาย'!$J:$J,$C$3&amp;"-"&amp;H11,'💰 Transaction ขาย'!$G:$G)</f>
        <v>#VALUE!</v>
      </c>
      <c r="I16" s="78" t="str">
        <f>SUMIF('💰 Transaction ขาย'!$J:$J,$C$3&amp;"-"&amp;I11,'💰 Transaction ขาย'!$G:$G)</f>
        <v>#VALUE!</v>
      </c>
      <c r="J16" s="78">
        <f>SUMIF('💰 Transaction ขาย'!$J:$J,$C$3&amp;"-"&amp;J11,'💰 Transaction ขาย'!$G:$G)</f>
        <v>0</v>
      </c>
      <c r="K16" s="78">
        <f>SUMIF('💰 Transaction ขาย'!$J:$J,$C$3&amp;"-"&amp;K11,'💰 Transaction ขาย'!$G:$G)</f>
        <v>0</v>
      </c>
      <c r="L16" s="78">
        <f>SUMIF('💰 Transaction ขาย'!$J:$J,$C$3&amp;"-"&amp;L11,'💰 Transaction ขาย'!$G:$G)</f>
        <v>0</v>
      </c>
      <c r="M16" s="78">
        <f>SUMIF('💰 Transaction ขาย'!$J:$J,$C$3&amp;"-"&amp;M11,'💰 Transaction ขาย'!$G:$G)</f>
        <v>0</v>
      </c>
      <c r="N16" s="78">
        <f>SUMIF('💰 Transaction ขาย'!$J:$J,$C$3&amp;"-"&amp;N11,'💰 Transaction ขาย'!$G:$G)</f>
        <v>0</v>
      </c>
      <c r="O16" s="78">
        <f>SUMIF('💰 Transaction ขาย'!$J:$J,$C$3&amp;"-"&amp;O11,'💰 Transaction ขาย'!$G:$G)</f>
        <v>0</v>
      </c>
      <c r="P16" s="78">
        <f>SUMIF('💰 Transaction ขาย'!$J:$J,$C$3&amp;"-"&amp;P11,'💰 Transaction ขาย'!$G:$G)</f>
        <v>0</v>
      </c>
      <c r="Q16" s="46"/>
    </row>
    <row r="17">
      <c r="A17" s="46"/>
      <c r="B17" s="46"/>
      <c r="C17" s="46"/>
      <c r="D17" s="79" t="s">
        <v>75</v>
      </c>
      <c r="E17" s="80" t="str">
        <f t="shared" ref="E17:P17" si="2">IFERROR(E16/E14,"-")</f>
        <v>-</v>
      </c>
      <c r="F17" s="80" t="str">
        <f t="shared" si="2"/>
        <v>-</v>
      </c>
      <c r="G17" s="80" t="str">
        <f t="shared" si="2"/>
        <v>-</v>
      </c>
      <c r="H17" s="80" t="str">
        <f t="shared" si="2"/>
        <v>-</v>
      </c>
      <c r="I17" s="80" t="str">
        <f t="shared" si="2"/>
        <v>-</v>
      </c>
      <c r="J17" s="80" t="str">
        <f t="shared" si="2"/>
        <v>-</v>
      </c>
      <c r="K17" s="80" t="str">
        <f t="shared" si="2"/>
        <v>-</v>
      </c>
      <c r="L17" s="80" t="str">
        <f t="shared" si="2"/>
        <v>-</v>
      </c>
      <c r="M17" s="80" t="str">
        <f t="shared" si="2"/>
        <v>-</v>
      </c>
      <c r="N17" s="80" t="str">
        <f t="shared" si="2"/>
        <v>-</v>
      </c>
      <c r="O17" s="80" t="str">
        <f t="shared" si="2"/>
        <v>-</v>
      </c>
      <c r="P17" s="80" t="str">
        <f t="shared" si="2"/>
        <v>-</v>
      </c>
      <c r="Q17" s="46"/>
    </row>
    <row r="18">
      <c r="A18" s="46"/>
      <c r="B18" s="46"/>
      <c r="C18" s="46"/>
      <c r="D18" s="71" t="s">
        <v>7</v>
      </c>
      <c r="E18" s="81">
        <f t="shared" ref="E18:P18" si="3">E14-E16</f>
        <v>0</v>
      </c>
      <c r="F18" s="81">
        <f t="shared" si="3"/>
        <v>0</v>
      </c>
      <c r="G18" s="81">
        <f t="shared" si="3"/>
        <v>0</v>
      </c>
      <c r="H18" s="82" t="str">
        <f t="shared" si="3"/>
        <v>#VALUE!</v>
      </c>
      <c r="I18" s="82" t="str">
        <f t="shared" si="3"/>
        <v>#VALUE!</v>
      </c>
      <c r="J18" s="81">
        <f t="shared" si="3"/>
        <v>0</v>
      </c>
      <c r="K18" s="81">
        <f t="shared" si="3"/>
        <v>0</v>
      </c>
      <c r="L18" s="81">
        <f t="shared" si="3"/>
        <v>0</v>
      </c>
      <c r="M18" s="81">
        <f t="shared" si="3"/>
        <v>0</v>
      </c>
      <c r="N18" s="81">
        <f t="shared" si="3"/>
        <v>0</v>
      </c>
      <c r="O18" s="81">
        <f t="shared" si="3"/>
        <v>0</v>
      </c>
      <c r="P18" s="81">
        <f t="shared" si="3"/>
        <v>0</v>
      </c>
      <c r="Q18" s="46"/>
    </row>
    <row r="19">
      <c r="A19" s="46"/>
      <c r="B19" s="46"/>
      <c r="C19" s="46"/>
      <c r="D19" s="79" t="s">
        <v>76</v>
      </c>
      <c r="E19" s="83">
        <f>E18</f>
        <v>0</v>
      </c>
      <c r="F19" s="83">
        <f t="shared" ref="F19:P19" si="4">E19+F18</f>
        <v>0</v>
      </c>
      <c r="G19" s="83">
        <f t="shared" si="4"/>
        <v>0</v>
      </c>
      <c r="H19" s="84" t="str">
        <f t="shared" si="4"/>
        <v>#VALUE!</v>
      </c>
      <c r="I19" s="84" t="str">
        <f t="shared" si="4"/>
        <v>#VALUE!</v>
      </c>
      <c r="J19" s="84" t="str">
        <f t="shared" si="4"/>
        <v>#VALUE!</v>
      </c>
      <c r="K19" s="84" t="str">
        <f t="shared" si="4"/>
        <v>#VALUE!</v>
      </c>
      <c r="L19" s="84" t="str">
        <f t="shared" si="4"/>
        <v>#VALUE!</v>
      </c>
      <c r="M19" s="84" t="str">
        <f t="shared" si="4"/>
        <v>#VALUE!</v>
      </c>
      <c r="N19" s="84" t="str">
        <f t="shared" si="4"/>
        <v>#VALUE!</v>
      </c>
      <c r="O19" s="84" t="str">
        <f t="shared" si="4"/>
        <v>#VALUE!</v>
      </c>
      <c r="P19" s="84" t="str">
        <f t="shared" si="4"/>
        <v>#VALUE!</v>
      </c>
      <c r="Q19" s="46"/>
    </row>
    <row r="20">
      <c r="A20" s="46"/>
      <c r="B20" s="46"/>
      <c r="C20" s="46"/>
      <c r="D20" s="4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46"/>
    </row>
  </sheetData>
  <conditionalFormatting sqref="E15:P15">
    <cfRule type="cellIs" dxfId="1" priority="1" operator="greaterThan">
      <formula>"100%"</formula>
    </cfRule>
  </conditionalFormatting>
  <conditionalFormatting sqref="E15:P15">
    <cfRule type="cellIs" dxfId="6" priority="2" operator="lessThan">
      <formula>"100%"</formula>
    </cfRule>
  </conditionalFormatting>
  <dataValidations>
    <dataValidation type="list" allowBlank="1" sqref="C3">
      <formula1>"2022,2023,2024,2025"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4" max="4" width="15.75"/>
    <col customWidth="1" min="5" max="5" width="4.63"/>
    <col customWidth="1" min="7" max="7" width="16.38"/>
    <col customWidth="1" min="8" max="8" width="6.5"/>
    <col customWidth="1" min="9" max="9" width="6.88"/>
    <col customWidth="1" min="10" max="10" width="18.88"/>
    <col customWidth="1" min="11" max="11" width="6.13"/>
    <col customWidth="1" min="12" max="12" width="11.25"/>
    <col customWidth="1" min="13" max="13" width="16.5"/>
    <col customWidth="1" min="14" max="14" width="17.13"/>
    <col customWidth="1" min="15" max="15" width="11.25"/>
    <col customWidth="1" min="16" max="16" width="6.75"/>
  </cols>
  <sheetData>
    <row r="1" ht="48.75" customHeight="1">
      <c r="A1" s="85"/>
      <c r="B1" s="86" t="str">
        <f>"Dashboard ข้อมูลสต๊อกสินค้า"</f>
        <v>Dashboard ข้อมูลสต๊อกสินค้า</v>
      </c>
      <c r="C1" s="87"/>
      <c r="D1" s="87"/>
      <c r="E1" s="87"/>
      <c r="F1" s="87"/>
      <c r="G1" s="87"/>
      <c r="H1" s="87"/>
      <c r="I1" s="45"/>
      <c r="J1" s="45"/>
      <c r="K1" s="45"/>
      <c r="L1" s="45"/>
      <c r="M1" s="45"/>
      <c r="N1" s="45"/>
      <c r="O1" s="45"/>
      <c r="P1" s="45"/>
    </row>
    <row r="2">
      <c r="A2" s="46"/>
      <c r="B2" s="47"/>
      <c r="C2" s="47"/>
      <c r="D2" s="47"/>
      <c r="E2" s="47"/>
      <c r="F2" s="47"/>
      <c r="G2" s="47"/>
      <c r="H2" s="47"/>
      <c r="I2" s="48"/>
      <c r="J2" s="48"/>
      <c r="K2" s="48"/>
      <c r="L2" s="48"/>
      <c r="M2" s="48"/>
      <c r="N2" s="48"/>
      <c r="O2" s="48"/>
      <c r="P2" s="48"/>
    </row>
    <row r="3">
      <c r="A3" s="46"/>
      <c r="B3" s="52" t="s">
        <v>77</v>
      </c>
      <c r="C3" s="88">
        <f>SUM('📊 รายงานสินค้าคงเหลือ'!G:G)</f>
        <v>454272.0442</v>
      </c>
      <c r="D3" s="46"/>
      <c r="E3" s="46"/>
      <c r="F3" s="46"/>
      <c r="G3" s="46"/>
      <c r="H3" s="46"/>
      <c r="I3" s="48"/>
      <c r="J3" s="48"/>
      <c r="K3" s="48"/>
      <c r="L3" s="48"/>
      <c r="M3" s="48"/>
      <c r="N3" s="48"/>
      <c r="O3" s="48"/>
      <c r="P3" s="48"/>
    </row>
    <row r="4">
      <c r="A4" s="46"/>
      <c r="B4" s="46"/>
      <c r="C4" s="46"/>
      <c r="D4" s="46"/>
      <c r="E4" s="46"/>
      <c r="F4" s="46"/>
      <c r="G4" s="46"/>
      <c r="H4" s="46"/>
      <c r="I4" s="48"/>
      <c r="J4" s="48"/>
      <c r="K4" s="48"/>
      <c r="L4" s="48"/>
      <c r="M4" s="48"/>
      <c r="N4" s="48"/>
      <c r="O4" s="48"/>
      <c r="P4" s="48"/>
    </row>
    <row r="5">
      <c r="A5" s="47"/>
      <c r="B5" s="52" t="s">
        <v>78</v>
      </c>
      <c r="C5" s="46"/>
      <c r="D5" s="46"/>
      <c r="E5" s="52"/>
      <c r="F5" s="52" t="s">
        <v>79</v>
      </c>
      <c r="J5" s="52" t="s">
        <v>80</v>
      </c>
      <c r="L5" s="48"/>
      <c r="M5" s="52" t="s">
        <v>81</v>
      </c>
      <c r="N5" s="48"/>
      <c r="O5" s="48"/>
      <c r="P5" s="48"/>
    </row>
    <row r="6">
      <c r="A6" s="47"/>
      <c r="B6" s="46"/>
      <c r="C6" s="46"/>
      <c r="D6" s="46"/>
      <c r="E6" s="46"/>
      <c r="F6" s="46"/>
      <c r="L6" s="48"/>
      <c r="M6" s="48"/>
      <c r="N6" s="48"/>
      <c r="O6" s="48"/>
      <c r="P6" s="48"/>
    </row>
    <row r="7">
      <c r="A7" s="46"/>
      <c r="B7" s="46"/>
      <c r="C7" s="46"/>
      <c r="D7" s="46"/>
      <c r="E7" s="46"/>
      <c r="F7" s="46"/>
      <c r="L7" s="46"/>
      <c r="M7" s="46"/>
      <c r="N7" s="46"/>
      <c r="O7" s="46"/>
      <c r="P7" s="46"/>
    </row>
    <row r="8">
      <c r="A8" s="46"/>
      <c r="B8" s="46"/>
      <c r="C8" s="46"/>
      <c r="D8" s="46"/>
      <c r="E8" s="46"/>
      <c r="F8" s="46"/>
      <c r="L8" s="46"/>
      <c r="M8" s="46"/>
      <c r="N8" s="46"/>
      <c r="O8" s="46"/>
      <c r="P8" s="46"/>
    </row>
    <row r="9">
      <c r="A9" s="46"/>
      <c r="B9" s="46"/>
      <c r="C9" s="46"/>
      <c r="D9" s="46"/>
      <c r="E9" s="46"/>
      <c r="F9" s="46"/>
      <c r="L9" s="46"/>
      <c r="M9" s="46"/>
      <c r="N9" s="46"/>
      <c r="O9" s="46"/>
      <c r="P9" s="46"/>
    </row>
    <row r="10">
      <c r="A10" s="46"/>
      <c r="B10" s="46"/>
      <c r="C10" s="46"/>
      <c r="D10" s="46"/>
      <c r="E10" s="46"/>
      <c r="F10" s="46"/>
      <c r="J10" s="46"/>
      <c r="K10" s="46"/>
      <c r="L10" s="46"/>
      <c r="M10" s="46"/>
      <c r="N10" s="46"/>
      <c r="O10" s="46"/>
      <c r="P10" s="46"/>
    </row>
    <row r="11">
      <c r="A11" s="46"/>
      <c r="B11" s="46"/>
      <c r="C11" s="46"/>
      <c r="D11" s="46"/>
      <c r="E11" s="46"/>
      <c r="F11" s="46"/>
      <c r="J11" s="46"/>
      <c r="K11" s="46"/>
      <c r="L11" s="46"/>
      <c r="M11" s="46"/>
      <c r="N11" s="46"/>
      <c r="O11" s="46"/>
      <c r="P11" s="46"/>
    </row>
    <row r="12">
      <c r="A12" s="46"/>
      <c r="B12" s="46"/>
      <c r="C12" s="46"/>
      <c r="D12" s="46"/>
      <c r="E12" s="46"/>
      <c r="F12" s="46"/>
      <c r="J12" s="46"/>
      <c r="K12" s="46"/>
      <c r="L12" s="46"/>
      <c r="M12" s="46"/>
      <c r="N12" s="46"/>
      <c r="O12" s="46"/>
      <c r="P12" s="46"/>
    </row>
    <row r="13">
      <c r="A13" s="46"/>
      <c r="B13" s="46"/>
      <c r="C13" s="46"/>
      <c r="D13" s="46"/>
      <c r="E13" s="46"/>
      <c r="F13" s="46"/>
      <c r="J13" s="46"/>
      <c r="K13" s="46"/>
      <c r="L13" s="46"/>
      <c r="M13" s="46"/>
      <c r="N13" s="46"/>
      <c r="O13" s="46"/>
      <c r="P13" s="46"/>
    </row>
    <row r="14">
      <c r="A14" s="46"/>
      <c r="B14" s="46"/>
      <c r="C14" s="46"/>
      <c r="D14" s="46"/>
      <c r="E14" s="46"/>
      <c r="F14" s="46"/>
      <c r="J14" s="46"/>
      <c r="K14" s="46"/>
      <c r="L14" s="46"/>
      <c r="M14" s="46"/>
      <c r="N14" s="46"/>
      <c r="O14" s="46"/>
      <c r="P14" s="46"/>
    </row>
    <row r="15">
      <c r="A15" s="46"/>
      <c r="B15" s="46"/>
      <c r="C15" s="46"/>
      <c r="D15" s="46"/>
      <c r="E15" s="46"/>
      <c r="F15" s="46"/>
      <c r="J15" s="46"/>
      <c r="K15" s="46"/>
      <c r="L15" s="46"/>
      <c r="M15" s="46"/>
      <c r="N15" s="46"/>
      <c r="O15" s="46"/>
      <c r="P15" s="46"/>
    </row>
    <row r="16">
      <c r="A16" s="46"/>
      <c r="B16" s="89" t="s">
        <v>82</v>
      </c>
      <c r="C16" s="90"/>
      <c r="D16" s="90"/>
      <c r="E16" s="52"/>
      <c r="F16" s="89" t="s">
        <v>83</v>
      </c>
      <c r="G16" s="90"/>
      <c r="H16" s="90"/>
      <c r="I16" s="46"/>
      <c r="J16" s="89" t="s">
        <v>84</v>
      </c>
      <c r="K16" s="91"/>
      <c r="L16" s="46"/>
      <c r="M16" s="92" t="s">
        <v>85</v>
      </c>
      <c r="N16" s="92" t="s">
        <v>86</v>
      </c>
      <c r="O16" s="92" t="s">
        <v>87</v>
      </c>
      <c r="P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66" t="s">
        <v>88</v>
      </c>
      <c r="K17" s="93">
        <f>COUNTIF('📊 รายงานสินค้าคงเหลือ'!E:E,"OK")</f>
        <v>12</v>
      </c>
      <c r="L17" s="46"/>
      <c r="M17" s="6" t="s">
        <v>63</v>
      </c>
      <c r="N17" s="16">
        <f>COUNTIF('📊 รายงานสินค้าคงเหลือ'!J:J,M17)</f>
        <v>0</v>
      </c>
      <c r="O17" s="94">
        <f>SUMIF('📊 รายงานสินค้าคงเหลือ'!J:J,M17,'📊 รายงานสินค้าคงเหลือ'!G:G)</f>
        <v>0</v>
      </c>
      <c r="P17" s="46"/>
    </row>
    <row r="18">
      <c r="A18" s="6"/>
      <c r="B18" s="46"/>
      <c r="C18" s="46"/>
      <c r="D18" s="46"/>
      <c r="E18" s="46"/>
      <c r="F18" s="46"/>
      <c r="G18" s="46"/>
      <c r="H18" s="46"/>
      <c r="I18" s="46"/>
      <c r="J18" s="66" t="s">
        <v>89</v>
      </c>
      <c r="K18" s="95">
        <f>COUNTIF('📊 รายงานสินค้าคงเหลือ'!E:E,"ควรเติมทันที")</f>
        <v>1</v>
      </c>
      <c r="L18" s="46"/>
      <c r="M18" s="6" t="s">
        <v>64</v>
      </c>
      <c r="N18" s="16">
        <f>COUNTIF('📊 รายงานสินค้าคงเหลือ'!J:J,M18)</f>
        <v>0</v>
      </c>
      <c r="O18" s="94">
        <f>SUMIF('📊 รายงานสินค้าคงเหลือ'!J:J,M18,'📊 รายงานสินค้าคงเหลือ'!G:G)</f>
        <v>0</v>
      </c>
      <c r="P18" s="46"/>
    </row>
    <row r="19">
      <c r="A19" s="6"/>
      <c r="B19" s="46"/>
      <c r="C19" s="46"/>
      <c r="D19" s="46"/>
      <c r="E19" s="46"/>
      <c r="F19" s="46"/>
      <c r="G19" s="46"/>
      <c r="H19" s="46"/>
      <c r="I19" s="46"/>
      <c r="J19" s="66" t="s">
        <v>90</v>
      </c>
      <c r="K19" s="96">
        <f>COUNTIF('📊 รายงานสินค้าคงเหลือ'!E:E,"สินค้าหมด")</f>
        <v>8</v>
      </c>
      <c r="L19" s="46"/>
      <c r="M19" s="6" t="s">
        <v>61</v>
      </c>
      <c r="N19" s="16">
        <f>COUNTIF('📊 รายงานสินค้าคงเหลือ'!J:J,M19)</f>
        <v>0</v>
      </c>
      <c r="O19" s="94">
        <f>SUMIF('📊 รายงานสินค้าคงเหลือ'!J:J,M19,'📊 รายงานสินค้าคงเหลือ'!G:G)</f>
        <v>0</v>
      </c>
      <c r="P19" s="46"/>
    </row>
    <row r="20">
      <c r="A20" s="6"/>
      <c r="B20" s="46"/>
      <c r="C20" s="46"/>
      <c r="D20" s="46"/>
      <c r="E20" s="46"/>
      <c r="F20" s="46"/>
      <c r="G20" s="46"/>
      <c r="H20" s="46"/>
      <c r="I20" s="46"/>
      <c r="J20" s="97" t="s">
        <v>91</v>
      </c>
      <c r="K20" s="98">
        <f>SUM(K17:K19)</f>
        <v>21</v>
      </c>
      <c r="L20" s="46"/>
      <c r="M20" s="6" t="s">
        <v>65</v>
      </c>
      <c r="N20" s="16">
        <f>COUNTIF('📊 รายงานสินค้าคงเหลือ'!J:J,M20)</f>
        <v>0</v>
      </c>
      <c r="O20" s="94">
        <f>SUMIF('📊 รายงานสินค้าคงเหลือ'!J:J,M20,'📊 รายงานสินค้าคงเหลือ'!G:G)</f>
        <v>0</v>
      </c>
      <c r="P20" s="46"/>
    </row>
    <row r="21">
      <c r="A21" s="6"/>
      <c r="B21" s="16"/>
      <c r="C21" s="16"/>
      <c r="D21" s="16"/>
      <c r="E21" s="16"/>
      <c r="F21" s="16"/>
      <c r="G21" s="46"/>
      <c r="H21" s="46"/>
      <c r="I21" s="46"/>
      <c r="L21" s="46"/>
      <c r="M21" s="6" t="s">
        <v>53</v>
      </c>
      <c r="N21" s="16">
        <f>COUNTIF('📊 รายงานสินค้าคงเหลือ'!J:J,M21)</f>
        <v>13</v>
      </c>
      <c r="O21" s="94">
        <f>SUMIF('📊 รายงานสินค้าคงเหลือ'!J:J,M21,'📊 รายงานสินค้าคงเหลือ'!G:G)</f>
        <v>224132.0442</v>
      </c>
      <c r="P21" s="46"/>
    </row>
    <row r="22">
      <c r="A22" s="6"/>
      <c r="B22" s="16"/>
      <c r="C22" s="16"/>
      <c r="D22" s="16"/>
      <c r="E22" s="16"/>
      <c r="F22" s="16"/>
      <c r="G22" s="46"/>
      <c r="H22" s="46"/>
      <c r="I22" s="46"/>
      <c r="L22" s="46"/>
      <c r="M22" s="46"/>
      <c r="N22" s="46"/>
      <c r="O22" s="46"/>
      <c r="P22" s="46"/>
    </row>
    <row r="23">
      <c r="A23" s="6"/>
      <c r="B23" s="16"/>
      <c r="C23" s="16"/>
      <c r="D23" s="16"/>
      <c r="E23" s="16"/>
      <c r="F23" s="16"/>
      <c r="G23" s="46"/>
      <c r="H23" s="46"/>
      <c r="I23" s="46"/>
      <c r="L23" s="46"/>
      <c r="M23" s="46"/>
      <c r="N23" s="46"/>
      <c r="O23" s="46"/>
      <c r="P23" s="46"/>
    </row>
    <row r="24">
      <c r="A24" s="17"/>
      <c r="B24" s="16"/>
      <c r="C24" s="16"/>
      <c r="D24" s="16"/>
      <c r="E24" s="16"/>
      <c r="F24" s="16"/>
      <c r="G24" s="46"/>
      <c r="H24" s="46"/>
      <c r="I24" s="46"/>
      <c r="L24" s="46"/>
      <c r="M24" s="46"/>
      <c r="N24" s="46"/>
      <c r="O24" s="46"/>
      <c r="P24" s="46"/>
    </row>
    <row r="25">
      <c r="A25" s="17"/>
      <c r="B25" s="16"/>
      <c r="C25" s="16"/>
      <c r="D25" s="16"/>
      <c r="E25" s="16"/>
      <c r="F25" s="16"/>
      <c r="G25" s="46"/>
      <c r="H25" s="46"/>
      <c r="I25" s="46"/>
      <c r="J25" s="46"/>
      <c r="K25" s="46"/>
      <c r="L25" s="46"/>
      <c r="M25" s="46"/>
      <c r="N25" s="46"/>
      <c r="O25" s="46"/>
      <c r="P25" s="46"/>
    </row>
    <row r="26">
      <c r="A26" s="17"/>
      <c r="B26" s="16"/>
      <c r="C26" s="16"/>
      <c r="D26" s="16"/>
      <c r="E26" s="16"/>
      <c r="F26" s="16"/>
      <c r="G26" s="46"/>
      <c r="H26" s="46"/>
      <c r="I26" s="46"/>
      <c r="J26" s="46"/>
      <c r="K26" s="46"/>
      <c r="L26" s="46"/>
      <c r="M26" s="46"/>
      <c r="N26" s="46"/>
      <c r="O26" s="46"/>
      <c r="P26" s="46"/>
    </row>
  </sheetData>
  <conditionalFormatting sqref="M17:M21">
    <cfRule type="cellIs" dxfId="1" priority="1" operator="equal">
      <formula>"Fast Moving"</formula>
    </cfRule>
  </conditionalFormatting>
  <conditionalFormatting sqref="M17:M21">
    <cfRule type="cellIs" dxfId="2" priority="2" operator="equal">
      <formula>"Normal Moving"</formula>
    </cfRule>
  </conditionalFormatting>
  <conditionalFormatting sqref="M17:M21">
    <cfRule type="cellIs" dxfId="3" priority="3" operator="equal">
      <formula>"Slow Moving"</formula>
    </cfRule>
  </conditionalFormatting>
  <conditionalFormatting sqref="M17:M21">
    <cfRule type="cellIs" dxfId="4" priority="4" operator="equal">
      <formula>"Very Slow Moving"</formula>
    </cfRule>
  </conditionalFormatting>
  <conditionalFormatting sqref="M17:M21">
    <cfRule type="cellIs" dxfId="5" priority="5" operator="equal">
      <formula>"Deadstock"</formula>
    </cfRule>
  </conditionalFormatting>
  <conditionalFormatting sqref="M17:M21">
    <cfRule type="containsText" dxfId="3" priority="6" operator="containsText" text="ควรเติม">
      <formula>NOT(ISERROR(SEARCH(("ควรเติม"),(M17))))</formula>
    </cfRule>
  </conditionalFormatting>
  <conditionalFormatting sqref="M17:M21">
    <cfRule type="containsText" dxfId="1" priority="7" operator="containsText" text="OK">
      <formula>NOT(ISERROR(SEARCH(("OK"),(M17))))</formula>
    </cfRule>
  </conditionalFormatting>
  <conditionalFormatting sqref="M17:M21">
    <cfRule type="cellIs" dxfId="6" priority="8" operator="equal">
      <formula>"สินค้าหมด"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7.0"/>
  </cols>
  <sheetData>
    <row r="1" ht="36.0" customHeight="1">
      <c r="A1" s="99" t="str">
        <f>"รายงานขายรายวัน ประจำเดือน "&amp;VLOOKUP(MONTH(A3),'⚙️ Config'!C:D,2,false)</f>
        <v>รายงานขายรายวัน ประจำเดือน เมษายน</v>
      </c>
      <c r="B1" s="100"/>
      <c r="C1" s="100"/>
      <c r="D1" s="100"/>
    </row>
    <row r="2">
      <c r="A2" s="2" t="s">
        <v>0</v>
      </c>
      <c r="B2" s="101" t="s">
        <v>72</v>
      </c>
      <c r="C2" s="101" t="s">
        <v>66</v>
      </c>
      <c r="D2" s="101" t="s">
        <v>92</v>
      </c>
    </row>
    <row r="3">
      <c r="A3" s="102">
        <f>eomonth(today(),-1)+1</f>
        <v>46113</v>
      </c>
      <c r="B3" s="16">
        <f>IF(A3&lt;&gt;"",SUMIFS('💰 Transaction ขาย'!$F:$F,'💰 Transaction ขาย'!$A:$A,$A3),)</f>
        <v>0</v>
      </c>
      <c r="C3" s="16">
        <f>B3</f>
        <v>0</v>
      </c>
      <c r="D3" s="103" t="str">
        <f>IFERROR(__xludf.DUMMYFUNCTION("SPARKLINE(B3,{""charttype"",""bar"";""max"",MAX($B$3:$B33)})"),"")</f>
        <v/>
      </c>
    </row>
    <row r="4">
      <c r="A4" s="102">
        <f t="shared" ref="A4:A33" si="1">IF(MONTH(A3+1)=MONTH($A$3),A3+1,"")</f>
        <v>46114</v>
      </c>
      <c r="B4" s="16">
        <f>IF(A4&lt;&gt;"",SUMIFS('💰 Transaction ขาย'!$F:$F,'💰 Transaction ขาย'!$A:$A,$A4),)</f>
        <v>0</v>
      </c>
      <c r="C4" s="16">
        <f t="shared" ref="C4:C31" si="2">B4+C3</f>
        <v>0</v>
      </c>
      <c r="D4" s="103" t="str">
        <f>IFERROR(__xludf.DUMMYFUNCTION("SPARKLINE(B4,{""charttype"",""bar"";""max"",MAX($B$3:$B33)})"),"")</f>
        <v/>
      </c>
    </row>
    <row r="5">
      <c r="A5" s="102">
        <f t="shared" si="1"/>
        <v>46115</v>
      </c>
      <c r="B5" s="16">
        <f>IF(A5&lt;&gt;"",SUMIFS('💰 Transaction ขาย'!$F:$F,'💰 Transaction ขาย'!$A:$A,$A5),)</f>
        <v>0</v>
      </c>
      <c r="C5" s="16">
        <f t="shared" si="2"/>
        <v>0</v>
      </c>
      <c r="D5" s="103" t="str">
        <f>IFERROR(__xludf.DUMMYFUNCTION("SPARKLINE(B5,{""charttype"",""bar"";""max"",MAX($B$3:$B33)})"),"")</f>
        <v/>
      </c>
    </row>
    <row r="6">
      <c r="A6" s="102">
        <f t="shared" si="1"/>
        <v>46116</v>
      </c>
      <c r="B6" s="16">
        <f>IF(A6&lt;&gt;"",SUMIFS('💰 Transaction ขาย'!$F:$F,'💰 Transaction ขาย'!$A:$A,$A6),)</f>
        <v>0</v>
      </c>
      <c r="C6" s="16">
        <f t="shared" si="2"/>
        <v>0</v>
      </c>
      <c r="D6" s="103" t="str">
        <f>IFERROR(__xludf.DUMMYFUNCTION("SPARKLINE(B6,{""charttype"",""bar"";""max"",MAX($B$3:$B33)})"),"")</f>
        <v/>
      </c>
    </row>
    <row r="7">
      <c r="A7" s="102">
        <f t="shared" si="1"/>
        <v>46117</v>
      </c>
      <c r="B7" s="16">
        <f>IF(A7&lt;&gt;"",SUMIFS('💰 Transaction ขาย'!$F:$F,'💰 Transaction ขาย'!$A:$A,$A7),)</f>
        <v>0</v>
      </c>
      <c r="C7" s="16">
        <f t="shared" si="2"/>
        <v>0</v>
      </c>
      <c r="D7" s="103" t="str">
        <f>IFERROR(__xludf.DUMMYFUNCTION("SPARKLINE(B7,{""charttype"",""bar"";""max"",MAX($B$3:$B33)})"),"")</f>
        <v/>
      </c>
    </row>
    <row r="8">
      <c r="A8" s="102">
        <f t="shared" si="1"/>
        <v>46118</v>
      </c>
      <c r="B8" s="16">
        <f>IF(A8&lt;&gt;"",SUMIFS('💰 Transaction ขาย'!$F:$F,'💰 Transaction ขาย'!$A:$A,$A8),)</f>
        <v>0</v>
      </c>
      <c r="C8" s="16">
        <f t="shared" si="2"/>
        <v>0</v>
      </c>
      <c r="D8" s="103" t="str">
        <f>IFERROR(__xludf.DUMMYFUNCTION("SPARKLINE(B8,{""charttype"",""bar"";""max"",MAX($B$3:$B33)})"),"")</f>
        <v/>
      </c>
    </row>
    <row r="9">
      <c r="A9" s="102">
        <f t="shared" si="1"/>
        <v>46119</v>
      </c>
      <c r="B9" s="16">
        <f>IF(A9&lt;&gt;"",SUMIFS('💰 Transaction ขาย'!$F:$F,'💰 Transaction ขาย'!$A:$A,$A9),)</f>
        <v>0</v>
      </c>
      <c r="C9" s="16">
        <f t="shared" si="2"/>
        <v>0</v>
      </c>
      <c r="D9" s="103" t="str">
        <f>IFERROR(__xludf.DUMMYFUNCTION("SPARKLINE(B9,{""charttype"",""bar"";""max"",MAX($B$3:$B33)})"),"")</f>
        <v/>
      </c>
    </row>
    <row r="10">
      <c r="A10" s="102">
        <f t="shared" si="1"/>
        <v>46120</v>
      </c>
      <c r="B10" s="16">
        <f>IF(A10&lt;&gt;"",SUMIFS('💰 Transaction ขาย'!$F:$F,'💰 Transaction ขาย'!$A:$A,$A10),)</f>
        <v>0</v>
      </c>
      <c r="C10" s="16">
        <f t="shared" si="2"/>
        <v>0</v>
      </c>
      <c r="D10" s="103" t="str">
        <f>IFERROR(__xludf.DUMMYFUNCTION("SPARKLINE(B10,{""charttype"",""bar"";""max"",MAX($B$3:$B33)})"),"")</f>
        <v/>
      </c>
    </row>
    <row r="11">
      <c r="A11" s="102">
        <f t="shared" si="1"/>
        <v>46121</v>
      </c>
      <c r="B11" s="16">
        <f>IF(A11&lt;&gt;"",SUMIFS('💰 Transaction ขาย'!$F:$F,'💰 Transaction ขาย'!$A:$A,$A11),)</f>
        <v>0</v>
      </c>
      <c r="C11" s="16">
        <f t="shared" si="2"/>
        <v>0</v>
      </c>
      <c r="D11" s="103" t="str">
        <f>IFERROR(__xludf.DUMMYFUNCTION("SPARKLINE(B11,{""charttype"",""bar"";""max"",MAX($B$3:$B33)})"),"")</f>
        <v/>
      </c>
    </row>
    <row r="12">
      <c r="A12" s="102">
        <f t="shared" si="1"/>
        <v>46122</v>
      </c>
      <c r="B12" s="16">
        <f>IF(A12&lt;&gt;"",SUMIFS('💰 Transaction ขาย'!$F:$F,'💰 Transaction ขาย'!$A:$A,$A12),)</f>
        <v>0</v>
      </c>
      <c r="C12" s="16">
        <f t="shared" si="2"/>
        <v>0</v>
      </c>
      <c r="D12" s="103" t="str">
        <f>IFERROR(__xludf.DUMMYFUNCTION("SPARKLINE(B12,{""charttype"",""bar"";""max"",MAX($B$3:$B33)})"),"")</f>
        <v/>
      </c>
    </row>
    <row r="13">
      <c r="A13" s="102">
        <f t="shared" si="1"/>
        <v>46123</v>
      </c>
      <c r="B13" s="16">
        <f>IF(A13&lt;&gt;"",SUMIFS('💰 Transaction ขาย'!$F:$F,'💰 Transaction ขาย'!$A:$A,$A13),)</f>
        <v>0</v>
      </c>
      <c r="C13" s="16">
        <f t="shared" si="2"/>
        <v>0</v>
      </c>
      <c r="D13" s="103" t="str">
        <f>IFERROR(__xludf.DUMMYFUNCTION("SPARKLINE(B13,{""charttype"",""bar"";""max"",MAX($B$3:$B33)})"),"")</f>
        <v/>
      </c>
    </row>
    <row r="14">
      <c r="A14" s="102">
        <f t="shared" si="1"/>
        <v>46124</v>
      </c>
      <c r="B14" s="16">
        <f>IF(A14&lt;&gt;"",SUMIFS('💰 Transaction ขาย'!$F:$F,'💰 Transaction ขาย'!$A:$A,$A14),)</f>
        <v>0</v>
      </c>
      <c r="C14" s="16">
        <f t="shared" si="2"/>
        <v>0</v>
      </c>
      <c r="D14" s="103" t="str">
        <f>IFERROR(__xludf.DUMMYFUNCTION("SPARKLINE(B14,{""charttype"",""bar"";""max"",MAX($B$3:$B33)})"),"")</f>
        <v/>
      </c>
    </row>
    <row r="15">
      <c r="A15" s="102">
        <f t="shared" si="1"/>
        <v>46125</v>
      </c>
      <c r="B15" s="16">
        <f>IF(A15&lt;&gt;"",SUMIFS('💰 Transaction ขาย'!$F:$F,'💰 Transaction ขาย'!$A:$A,$A15),)</f>
        <v>0</v>
      </c>
      <c r="C15" s="16">
        <f t="shared" si="2"/>
        <v>0</v>
      </c>
      <c r="D15" s="103" t="str">
        <f>IFERROR(__xludf.DUMMYFUNCTION("SPARKLINE(B15,{""charttype"",""bar"";""max"",MAX($B$3:$B33)})"),"")</f>
        <v/>
      </c>
    </row>
    <row r="16">
      <c r="A16" s="102">
        <f t="shared" si="1"/>
        <v>46126</v>
      </c>
      <c r="B16" s="16">
        <f>IF(A16&lt;&gt;"",SUMIFS('💰 Transaction ขาย'!$F:$F,'💰 Transaction ขาย'!$A:$A,$A16),)</f>
        <v>0</v>
      </c>
      <c r="C16" s="16">
        <f t="shared" si="2"/>
        <v>0</v>
      </c>
      <c r="D16" s="103" t="str">
        <f>IFERROR(__xludf.DUMMYFUNCTION("SPARKLINE(B16,{""charttype"",""bar"";""max"",MAX($B$3:$B33)})"),"")</f>
        <v/>
      </c>
    </row>
    <row r="17">
      <c r="A17" s="102">
        <f t="shared" si="1"/>
        <v>46127</v>
      </c>
      <c r="B17" s="16">
        <f>IF(A17&lt;&gt;"",SUMIFS('💰 Transaction ขาย'!$F:$F,'💰 Transaction ขาย'!$A:$A,$A17),)</f>
        <v>0</v>
      </c>
      <c r="C17" s="16">
        <f t="shared" si="2"/>
        <v>0</v>
      </c>
      <c r="D17" s="103" t="str">
        <f>IFERROR(__xludf.DUMMYFUNCTION("SPARKLINE(B17,{""charttype"",""bar"";""max"",MAX($B$3:$B33)})"),"")</f>
        <v/>
      </c>
    </row>
    <row r="18">
      <c r="A18" s="102">
        <f t="shared" si="1"/>
        <v>46128</v>
      </c>
      <c r="B18" s="16">
        <f>IF(A18&lt;&gt;"",SUMIFS('💰 Transaction ขาย'!$F:$F,'💰 Transaction ขาย'!$A:$A,$A18),)</f>
        <v>0</v>
      </c>
      <c r="C18" s="16">
        <f t="shared" si="2"/>
        <v>0</v>
      </c>
      <c r="D18" s="103" t="str">
        <f>IFERROR(__xludf.DUMMYFUNCTION("SPARKLINE(B18,{""charttype"",""bar"";""max"",MAX($B$3:$B33)})"),"")</f>
        <v/>
      </c>
    </row>
    <row r="19">
      <c r="A19" s="102">
        <f t="shared" si="1"/>
        <v>46129</v>
      </c>
      <c r="B19" s="16">
        <f>IF(A19&lt;&gt;"",SUMIFS('💰 Transaction ขาย'!$F:$F,'💰 Transaction ขาย'!$A:$A,$A19),)</f>
        <v>0</v>
      </c>
      <c r="C19" s="16">
        <f t="shared" si="2"/>
        <v>0</v>
      </c>
      <c r="D19" s="103" t="str">
        <f>IFERROR(__xludf.DUMMYFUNCTION("SPARKLINE(B19,{""charttype"",""bar"";""max"",MAX($B$3:$B33)})"),"")</f>
        <v/>
      </c>
    </row>
    <row r="20">
      <c r="A20" s="102">
        <f t="shared" si="1"/>
        <v>46130</v>
      </c>
      <c r="B20" s="16">
        <f>IF(A20&lt;&gt;"",SUMIFS('💰 Transaction ขาย'!$F:$F,'💰 Transaction ขาย'!$A:$A,$A20),)</f>
        <v>0</v>
      </c>
      <c r="C20" s="16">
        <f t="shared" si="2"/>
        <v>0</v>
      </c>
      <c r="D20" s="103" t="str">
        <f>IFERROR(__xludf.DUMMYFUNCTION("SPARKLINE(B20,{""charttype"",""bar"";""max"",MAX($B$3:$B33)})"),"")</f>
        <v/>
      </c>
    </row>
    <row r="21">
      <c r="A21" s="102">
        <f t="shared" si="1"/>
        <v>46131</v>
      </c>
      <c r="B21" s="16">
        <f>IF(A21&lt;&gt;"",SUMIFS('💰 Transaction ขาย'!$F:$F,'💰 Transaction ขาย'!$A:$A,$A21),)</f>
        <v>0</v>
      </c>
      <c r="C21" s="16">
        <f t="shared" si="2"/>
        <v>0</v>
      </c>
      <c r="D21" s="103" t="str">
        <f>IFERROR(__xludf.DUMMYFUNCTION("SPARKLINE(B21,{""charttype"",""bar"";""max"",MAX($B$3:$B33)})"),"")</f>
        <v/>
      </c>
    </row>
    <row r="22">
      <c r="A22" s="102">
        <f t="shared" si="1"/>
        <v>46132</v>
      </c>
      <c r="B22" s="16">
        <f>IF(A22&lt;&gt;"",SUMIFS('💰 Transaction ขาย'!$F:$F,'💰 Transaction ขาย'!$A:$A,$A22),)</f>
        <v>0</v>
      </c>
      <c r="C22" s="16">
        <f t="shared" si="2"/>
        <v>0</v>
      </c>
      <c r="D22" s="103" t="str">
        <f>IFERROR(__xludf.DUMMYFUNCTION("SPARKLINE(B22,{""charttype"",""bar"";""max"",MAX($B$3:$B33)})"),"")</f>
        <v/>
      </c>
    </row>
    <row r="23">
      <c r="A23" s="102">
        <f t="shared" si="1"/>
        <v>46133</v>
      </c>
      <c r="B23" s="16">
        <f>IF(A23&lt;&gt;"",SUMIFS('💰 Transaction ขาย'!$F:$F,'💰 Transaction ขาย'!$A:$A,$A23),)</f>
        <v>0</v>
      </c>
      <c r="C23" s="16">
        <f t="shared" si="2"/>
        <v>0</v>
      </c>
      <c r="D23" s="103" t="str">
        <f>IFERROR(__xludf.DUMMYFUNCTION("SPARKLINE(B23,{""charttype"",""bar"";""max"",MAX($B$3:$B33)})"),"")</f>
        <v/>
      </c>
    </row>
    <row r="24">
      <c r="A24" s="102">
        <f t="shared" si="1"/>
        <v>46134</v>
      </c>
      <c r="B24" s="16">
        <f>IF(A24&lt;&gt;"",SUMIFS('💰 Transaction ขาย'!$F:$F,'💰 Transaction ขาย'!$A:$A,$A24),)</f>
        <v>0</v>
      </c>
      <c r="C24" s="16">
        <f t="shared" si="2"/>
        <v>0</v>
      </c>
      <c r="D24" s="103" t="str">
        <f>IFERROR(__xludf.DUMMYFUNCTION("SPARKLINE(B24,{""charttype"",""bar"";""max"",MAX($B$3:$B33)})"),"")</f>
        <v/>
      </c>
    </row>
    <row r="25">
      <c r="A25" s="102">
        <f t="shared" si="1"/>
        <v>46135</v>
      </c>
      <c r="B25" s="16">
        <f>IF(A25&lt;&gt;"",SUMIFS('💰 Transaction ขาย'!$F:$F,'💰 Transaction ขาย'!$A:$A,$A25),)</f>
        <v>0</v>
      </c>
      <c r="C25" s="16">
        <f t="shared" si="2"/>
        <v>0</v>
      </c>
      <c r="D25" s="103" t="str">
        <f>IFERROR(__xludf.DUMMYFUNCTION("SPARKLINE(B25,{""charttype"",""bar"";""max"",MAX($B$3:$B33)})"),"")</f>
        <v/>
      </c>
    </row>
    <row r="26">
      <c r="A26" s="102">
        <f t="shared" si="1"/>
        <v>46136</v>
      </c>
      <c r="B26" s="16">
        <f>IF(A26&lt;&gt;"",SUMIFS('💰 Transaction ขาย'!$F:$F,'💰 Transaction ขาย'!$A:$A,$A26),)</f>
        <v>0</v>
      </c>
      <c r="C26" s="16">
        <f t="shared" si="2"/>
        <v>0</v>
      </c>
      <c r="D26" s="103" t="str">
        <f>IFERROR(__xludf.DUMMYFUNCTION("SPARKLINE(B26,{""charttype"",""bar"";""max"",MAX($B$3:$B33)})"),"")</f>
        <v/>
      </c>
    </row>
    <row r="27">
      <c r="A27" s="102">
        <f t="shared" si="1"/>
        <v>46137</v>
      </c>
      <c r="B27" s="16">
        <f>IF(A27&lt;&gt;"",SUMIFS('💰 Transaction ขาย'!$F:$F,'💰 Transaction ขาย'!$A:$A,$A27),)</f>
        <v>0</v>
      </c>
      <c r="C27" s="16">
        <f t="shared" si="2"/>
        <v>0</v>
      </c>
      <c r="D27" s="103" t="str">
        <f>IFERROR(__xludf.DUMMYFUNCTION("SPARKLINE(B27,{""charttype"",""bar"";""max"",MAX($B$3:$B33)})"),"")</f>
        <v/>
      </c>
    </row>
    <row r="28">
      <c r="A28" s="102">
        <f t="shared" si="1"/>
        <v>46138</v>
      </c>
      <c r="B28" s="16">
        <f>IF(A28&lt;&gt;"",SUMIFS('💰 Transaction ขาย'!$F:$F,'💰 Transaction ขาย'!$A:$A,$A28),)</f>
        <v>0</v>
      </c>
      <c r="C28" s="16">
        <f t="shared" si="2"/>
        <v>0</v>
      </c>
      <c r="D28" s="103" t="str">
        <f>IFERROR(__xludf.DUMMYFUNCTION("SPARKLINE(B28,{""charttype"",""bar"";""max"",MAX($B$3:$B33)})"),"")</f>
        <v/>
      </c>
    </row>
    <row r="29">
      <c r="A29" s="102">
        <f t="shared" si="1"/>
        <v>46139</v>
      </c>
      <c r="B29" s="16">
        <f>IF(A29&lt;&gt;"",SUMIFS('💰 Transaction ขาย'!$F:$F,'💰 Transaction ขาย'!$A:$A,$A29),)</f>
        <v>0</v>
      </c>
      <c r="C29" s="16">
        <f t="shared" si="2"/>
        <v>0</v>
      </c>
      <c r="D29" s="103" t="str">
        <f>IFERROR(__xludf.DUMMYFUNCTION("SPARKLINE(B29,{""charttype"",""bar"";""max"",MAX($B$3:$B33)})"),"")</f>
        <v/>
      </c>
    </row>
    <row r="30">
      <c r="A30" s="102">
        <f t="shared" si="1"/>
        <v>46140</v>
      </c>
      <c r="B30" s="16">
        <f>IF(A30&lt;&gt;"",SUMIFS('💰 Transaction ขาย'!$F:$F,'💰 Transaction ขาย'!$A:$A,$A30),)</f>
        <v>0</v>
      </c>
      <c r="C30" s="16">
        <f t="shared" si="2"/>
        <v>0</v>
      </c>
      <c r="D30" s="103" t="str">
        <f>IFERROR(__xludf.DUMMYFUNCTION("SPARKLINE(B30,{""charttype"",""bar"";""max"",MAX($B$3:$B33)})"),"")</f>
        <v/>
      </c>
    </row>
    <row r="31">
      <c r="A31" s="102">
        <f t="shared" si="1"/>
        <v>46141</v>
      </c>
      <c r="B31" s="16">
        <f>IF(A31&lt;&gt;"",SUMIFS('💰 Transaction ขาย'!$F:$F,'💰 Transaction ขาย'!$A:$A,$A31),)</f>
        <v>0</v>
      </c>
      <c r="C31" s="16">
        <f t="shared" si="2"/>
        <v>0</v>
      </c>
      <c r="D31" s="103" t="str">
        <f>IFERROR(__xludf.DUMMYFUNCTION("SPARKLINE(B31,{""charttype"",""bar"";""max"",MAX($B$3:$B33)})"),"")</f>
        <v/>
      </c>
    </row>
    <row r="32">
      <c r="A32" s="102">
        <f t="shared" si="1"/>
        <v>46142</v>
      </c>
      <c r="B32" s="16">
        <f>IF(A32&lt;&gt;"",SUMIFS('💰 Transaction ขาย'!$F:$F,'💰 Transaction ขาย'!$A:$A,$A32),)</f>
        <v>0</v>
      </c>
      <c r="C32" s="104" t="str">
        <f t="shared" ref="C32:C33" si="3">IF(A32&gt;"",B32+C31,)</f>
        <v/>
      </c>
      <c r="D32" s="103" t="str">
        <f>IFERROR(__xludf.DUMMYFUNCTION("IF(A32&lt;&gt;"""",SPARKLINE(B32,{""charttype"",""bar"";""max"",MAX($B$3:$B33)}),)"),"")</f>
        <v/>
      </c>
    </row>
    <row r="33">
      <c r="A33" s="102" t="str">
        <f t="shared" si="1"/>
        <v/>
      </c>
      <c r="B33" s="16" t="str">
        <f>IF(A33&lt;&gt;"",SUMIFS('💰 Transaction ขาย'!$F:$F,'💰 Transaction ขาย'!$A:$A,$A33),)</f>
        <v/>
      </c>
      <c r="C33" s="104" t="str">
        <f t="shared" si="3"/>
        <v/>
      </c>
      <c r="D33" s="103" t="str">
        <f>IFERROR(__xludf.DUMMYFUNCTION("IF(A33&lt;&gt;"""",SPARKLINE(B33,{""charttype"",""bar"";""max"",MAX($B$3:$B33)}),)"),"")</f>
        <v/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.25"/>
    <col customWidth="1" min="3" max="3" width="17.5"/>
    <col customWidth="1" min="4" max="4" width="10.0"/>
    <col customWidth="1" min="5" max="5" width="3.0"/>
    <col customWidth="1" min="6" max="6" width="6.63"/>
    <col customWidth="1" min="7" max="7" width="7.75"/>
    <col customWidth="1" min="8" max="8" width="10.0"/>
    <col customWidth="1" min="9" max="9" width="12.38"/>
    <col customWidth="1" min="10" max="11" width="12.13"/>
    <col customWidth="1" min="12" max="13" width="14.88"/>
    <col customWidth="1" min="14" max="14" width="17.13"/>
    <col customWidth="1" min="15" max="15" width="4.0"/>
    <col customWidth="1" min="16" max="16" width="35.5"/>
    <col customWidth="1" min="17" max="17" width="12.0"/>
    <col customWidth="1" min="18" max="18" width="3.5"/>
    <col customWidth="1" min="19" max="19" width="17.38"/>
    <col customWidth="1" min="20" max="20" width="14.88"/>
    <col customWidth="1" min="21" max="21" width="3.75"/>
    <col customWidth="1" min="22" max="22" width="20.13"/>
    <col customWidth="1" min="23" max="23" width="11.75"/>
    <col customWidth="1" min="24" max="24" width="3.63"/>
    <col customWidth="1" min="25" max="25" width="17.5"/>
    <col customWidth="1" min="27" max="27" width="3.75"/>
    <col customWidth="1" min="28" max="28" width="37.13"/>
    <col customWidth="1" min="29" max="29" width="15.0"/>
    <col customWidth="1" min="33" max="33" width="4.25"/>
    <col customWidth="1" min="34" max="34" width="36.5"/>
    <col customWidth="1" min="35" max="35" width="15.75"/>
    <col customWidth="1" min="36" max="36" width="12.88"/>
    <col customWidth="1" min="37" max="37" width="12.25"/>
    <col customWidth="1" min="38" max="38" width="4.25"/>
  </cols>
  <sheetData>
    <row r="1">
      <c r="A1" s="105">
        <f>'📊 Inventory Dashboard'!E3</f>
        <v>2024</v>
      </c>
      <c r="B1" s="105"/>
      <c r="C1" s="105" t="s">
        <v>93</v>
      </c>
      <c r="D1" s="106">
        <f>COUNTIFS('📦 ชื่อสินค้า'!G2:G1501,"Active")</f>
        <v>14</v>
      </c>
      <c r="F1" s="105" t="s">
        <v>94</v>
      </c>
      <c r="H1" s="107"/>
      <c r="P1" s="105" t="s">
        <v>95</v>
      </c>
      <c r="S1" s="105" t="s">
        <v>96</v>
      </c>
      <c r="V1" s="105" t="s">
        <v>97</v>
      </c>
      <c r="Y1" s="105" t="s">
        <v>98</v>
      </c>
      <c r="AB1" s="105" t="s">
        <v>99</v>
      </c>
      <c r="AH1" s="105" t="s">
        <v>100</v>
      </c>
    </row>
    <row r="2">
      <c r="A2" s="105">
        <f>'📊 Inventory Dashboard'!E4</f>
        <v>1</v>
      </c>
      <c r="B2" s="105"/>
      <c r="C2" s="105" t="s">
        <v>101</v>
      </c>
      <c r="D2" s="108">
        <f>SUM('📊 รายงานสินค้าคงเหลือ'!G:G)</f>
        <v>454272.0442</v>
      </c>
      <c r="F2" s="109" t="s">
        <v>102</v>
      </c>
      <c r="G2" s="109" t="s">
        <v>103</v>
      </c>
      <c r="H2" s="110" t="s">
        <v>104</v>
      </c>
      <c r="I2" s="109" t="s">
        <v>105</v>
      </c>
      <c r="J2" s="109" t="s">
        <v>106</v>
      </c>
      <c r="K2" s="109" t="s">
        <v>107</v>
      </c>
      <c r="L2" s="109" t="s">
        <v>108</v>
      </c>
      <c r="M2" s="109" t="s">
        <v>66</v>
      </c>
      <c r="N2" s="109" t="s">
        <v>109</v>
      </c>
    </row>
    <row r="3">
      <c r="C3" s="105" t="s">
        <v>110</v>
      </c>
      <c r="D3" s="108">
        <f>SUM(M3:M14)</f>
        <v>24700</v>
      </c>
      <c r="F3" s="111">
        <f t="shared" ref="F3:F14" si="1">$A$1</f>
        <v>2024</v>
      </c>
      <c r="G3" s="105">
        <v>1.0</v>
      </c>
      <c r="H3" s="107" t="str">
        <f t="shared" ref="H3:H14" si="2">F3&amp;"-"&amp;G3</f>
        <v>2024-1</v>
      </c>
      <c r="I3" s="112">
        <f>SUMIFS('💸 Transaction ซื้อ'!G:G,'💸 Transaction ซื้อ'!A:A,"&lt;="&amp;DATE($A$1-1,12,31))-SUMIFS('💰 Transaction ขาย'!G:G,'💰 Transaction ขาย'!A:A,"&lt;="&amp;DATE($A$1-1,12,31))</f>
        <v>0</v>
      </c>
      <c r="J3" s="108">
        <f t="shared" ref="J3:J14" si="3">K3-L3</f>
        <v>0</v>
      </c>
      <c r="K3" s="108">
        <f>SUMIF('💸 Transaction ซื้อ'!H:H,H3,'💸 Transaction ซื้อ'!G:G)</f>
        <v>0</v>
      </c>
      <c r="L3" s="108">
        <f>SUMIF('💰 Transaction ขาย'!J:J,H3,'💰 Transaction ขาย'!G:G)</f>
        <v>0</v>
      </c>
      <c r="M3" s="108">
        <f>SUMIF('💰 Transaction ขาย'!J:J,H3,'💰 Transaction ขาย'!F:F)</f>
        <v>0</v>
      </c>
      <c r="N3" s="108" t="str">
        <f t="shared" ref="N3:N14" si="4">IFERROR(I3/M3,)</f>
        <v/>
      </c>
      <c r="P3" s="105" t="s">
        <v>111</v>
      </c>
      <c r="Q3" s="112">
        <f>SUMIFS('💰 Transaction ขาย'!G:G,'💰 Transaction ขาย'!J:J,A1&amp;"-"&amp;A2)</f>
        <v>0</v>
      </c>
      <c r="S3" s="105" t="s">
        <v>112</v>
      </c>
      <c r="T3" s="112">
        <f>vlookup(A2,G:I,3,false)</f>
        <v>0</v>
      </c>
      <c r="V3" s="105" t="s">
        <v>113</v>
      </c>
      <c r="W3" s="112" t="str">
        <f>Q8</f>
        <v>#VALUE!</v>
      </c>
      <c r="Y3" s="105" t="s">
        <v>114</v>
      </c>
      <c r="Z3" s="112">
        <f>SUM(K3:K14)</f>
        <v>463000</v>
      </c>
      <c r="AB3" s="111" t="str">
        <f>IFERROR(__xludf.DUMMYFUNCTION("QUERY('📊 รายงานสินค้าคงเหลือ'!A:M,""select A,B,G,E,J where E != 'InActive' order by G desc limit 10"",1)"),"ชื่อสินค้า")</f>
        <v>ชื่อสินค้า</v>
      </c>
      <c r="AC3" s="111" t="str">
        <f>IFERROR(__xludf.DUMMYFUNCTION("""COMPUTED_VALUE"""),"จำนวนสินค้าคงเหลือ")</f>
        <v>จำนวนสินค้าคงเหลือ</v>
      </c>
      <c r="AD3" s="111" t="str">
        <f>IFERROR(__xludf.DUMMYFUNCTION("""COMPUTED_VALUE"""),"ต้นทุนรวมปัจจุบัน")</f>
        <v>ต้นทุนรวมปัจจุบัน</v>
      </c>
      <c r="AE3" s="111" t="str">
        <f>IFERROR(__xludf.DUMMYFUNCTION("""COMPUTED_VALUE"""),"สถานะการเติมสินค้า")</f>
        <v>สถานะการเติมสินค้า</v>
      </c>
      <c r="AF3" s="111" t="str">
        <f>IFERROR(__xludf.DUMMYFUNCTION("""COMPUTED_VALUE"""),"ประเภทการเคลื่อนไหวสินค้า")</f>
        <v>ประเภทการเคลื่อนไหวสินค้า</v>
      </c>
      <c r="AH3" s="111" t="str">
        <f>IFERROR(__xludf.DUMMYFUNCTION("QUERY('📊 รายงานสินค้าคงเหลือ'!A:N,""select A,N,E,J order by N desc limit 10"",1)"),"ชื่อสินค้า")</f>
        <v>ชื่อสินค้า</v>
      </c>
      <c r="AI3" s="111" t="str">
        <f>IFERROR(__xludf.DUMMYFUNCTION("""COMPUTED_VALUE"""),"ยอดขายรวมของปีนี้")</f>
        <v>ยอดขายรวมของปีนี้</v>
      </c>
      <c r="AJ3" s="111" t="str">
        <f>IFERROR(__xludf.DUMMYFUNCTION("""COMPUTED_VALUE"""),"สถานะการเติมสินค้า")</f>
        <v>สถานะการเติมสินค้า</v>
      </c>
      <c r="AK3" s="111" t="str">
        <f>IFERROR(__xludf.DUMMYFUNCTION("""COMPUTED_VALUE"""),"ประเภทการเคลื่อนไหวสินค้า")</f>
        <v>ประเภทการเคลื่อนไหวสินค้า</v>
      </c>
    </row>
    <row r="4">
      <c r="C4" s="105" t="s">
        <v>115</v>
      </c>
      <c r="D4" s="113">
        <f>D2/D3</f>
        <v>18.39158074</v>
      </c>
      <c r="F4" s="111">
        <f t="shared" si="1"/>
        <v>2024</v>
      </c>
      <c r="G4" s="105">
        <v>2.0</v>
      </c>
      <c r="H4" s="107" t="str">
        <f t="shared" si="2"/>
        <v>2024-2</v>
      </c>
      <c r="I4" s="112">
        <f t="shared" ref="I4:I14" si="5">I3+J3</f>
        <v>0</v>
      </c>
      <c r="J4" s="108">
        <f t="shared" si="3"/>
        <v>0</v>
      </c>
      <c r="K4" s="108">
        <f>SUMIF('💸 Transaction ซื้อ'!H:H,H4,'💸 Transaction ซื้อ'!G:G)</f>
        <v>0</v>
      </c>
      <c r="L4" s="108">
        <f>SUMIF('💰 Transaction ขาย'!J:J,H4,'💰 Transaction ขาย'!G:G)</f>
        <v>0</v>
      </c>
      <c r="M4" s="108">
        <f>SUMIF('💰 Transaction ขาย'!J:J,H4,'💰 Transaction ขาย'!F:F)</f>
        <v>0</v>
      </c>
      <c r="N4" s="108" t="str">
        <f t="shared" si="4"/>
        <v/>
      </c>
      <c r="P4" s="105" t="s">
        <v>116</v>
      </c>
      <c r="Q4" s="114">
        <f>DATE(A1,12,31)</f>
        <v>45657</v>
      </c>
      <c r="S4" s="105" t="s">
        <v>117</v>
      </c>
      <c r="T4" s="112">
        <f>vlookup(A2,G:M,7,false)</f>
        <v>0</v>
      </c>
      <c r="V4" s="105" t="s">
        <v>118</v>
      </c>
      <c r="W4" s="112">
        <f>SUM(M3:M14)</f>
        <v>24700</v>
      </c>
      <c r="Y4" s="105" t="s">
        <v>119</v>
      </c>
      <c r="Z4" s="112" t="str">
        <f>SUM(L3:L14)*-1</f>
        <v>#VALUE!</v>
      </c>
      <c r="AB4" s="111" t="str">
        <f>IFERROR(__xludf.DUMMYFUNCTION("""COMPUTED_VALUE"""),"111 เงินเงา")</f>
        <v>111 เงินเงา</v>
      </c>
      <c r="AC4" s="111">
        <f>IFERROR(__xludf.DUMMYFUNCTION("""COMPUTED_VALUE"""),335.0)</f>
        <v>335</v>
      </c>
      <c r="AD4" s="112">
        <f>IFERROR(__xludf.DUMMYFUNCTION("""COMPUTED_VALUE"""),83750.0)</f>
        <v>83750</v>
      </c>
      <c r="AE4" s="111" t="str">
        <f>IFERROR(__xludf.DUMMYFUNCTION("""COMPUTED_VALUE"""),"OK")</f>
        <v>OK</v>
      </c>
      <c r="AF4" s="111" t="str">
        <f>IFERROR(__xludf.DUMMYFUNCTION("""COMPUTED_VALUE"""),"-")</f>
        <v>-</v>
      </c>
      <c r="AH4" s="111" t="str">
        <f>IFERROR(__xludf.DUMMYFUNCTION("""COMPUTED_VALUE"""),"510 ขาวธรรมชาติ")</f>
        <v>510 ขาวธรรมชาติ</v>
      </c>
      <c r="AI4" s="115">
        <f>IFERROR(__xludf.DUMMYFUNCTION("""COMPUTED_VALUE"""),0.0)</f>
        <v>0</v>
      </c>
      <c r="AJ4" s="111" t="str">
        <f>IFERROR(__xludf.DUMMYFUNCTION("""COMPUTED_VALUE"""),"OK")</f>
        <v>OK</v>
      </c>
      <c r="AK4" s="111" t="str">
        <f>IFERROR(__xludf.DUMMYFUNCTION("""COMPUTED_VALUE"""),"Deadstock")</f>
        <v>Deadstock</v>
      </c>
    </row>
    <row r="5">
      <c r="C5" s="105" t="s">
        <v>120</v>
      </c>
      <c r="D5" s="108">
        <f>AVERAGEIF(G3:G14,"&lt;="&amp;A2,I3:I14)</f>
        <v>0</v>
      </c>
      <c r="F5" s="111">
        <f t="shared" si="1"/>
        <v>2024</v>
      </c>
      <c r="G5" s="105">
        <v>3.0</v>
      </c>
      <c r="H5" s="107" t="str">
        <f t="shared" si="2"/>
        <v>2024-3</v>
      </c>
      <c r="I5" s="112">
        <f t="shared" si="5"/>
        <v>0</v>
      </c>
      <c r="J5" s="108">
        <f t="shared" si="3"/>
        <v>240680</v>
      </c>
      <c r="K5" s="108">
        <f>SUMIF('💸 Transaction ซื้อ'!H:H,H5,'💸 Transaction ซื้อ'!G:G)</f>
        <v>240680</v>
      </c>
      <c r="L5" s="108">
        <f>SUMIF('💰 Transaction ขาย'!J:J,H5,'💰 Transaction ขาย'!G:G)</f>
        <v>0</v>
      </c>
      <c r="M5" s="108">
        <f>SUMIF('💰 Transaction ขาย'!J:J,H5,'💰 Transaction ขาย'!F:F)</f>
        <v>0</v>
      </c>
      <c r="N5" s="108" t="str">
        <f t="shared" si="4"/>
        <v/>
      </c>
      <c r="P5" s="105" t="s">
        <v>121</v>
      </c>
      <c r="Q5" s="114">
        <f>DATE(A1-1,12,31)</f>
        <v>45291</v>
      </c>
      <c r="S5" s="105" t="s">
        <v>122</v>
      </c>
      <c r="T5" s="116" t="str">
        <f>T3/T4</f>
        <v>#DIV/0!</v>
      </c>
      <c r="V5" s="105" t="s">
        <v>122</v>
      </c>
      <c r="W5" s="116" t="str">
        <f>W3/W4</f>
        <v>#VALUE!</v>
      </c>
      <c r="Y5" s="105" t="s">
        <v>123</v>
      </c>
      <c r="Z5" s="111" t="str">
        <f>Z3+Z4</f>
        <v>#VALUE!</v>
      </c>
      <c r="AB5" s="111" t="str">
        <f>IFERROR(__xludf.DUMMYFUNCTION("""COMPUTED_VALUE"""),"112 เงินด้าน")</f>
        <v>112 เงินด้าน</v>
      </c>
      <c r="AC5" s="111">
        <f>IFERROR(__xludf.DUMMYFUNCTION("""COMPUTED_VALUE"""),335.0)</f>
        <v>335</v>
      </c>
      <c r="AD5" s="112">
        <f>IFERROR(__xludf.DUMMYFUNCTION("""COMPUTED_VALUE"""),83750.0)</f>
        <v>83750</v>
      </c>
      <c r="AE5" s="111" t="str">
        <f>IFERROR(__xludf.DUMMYFUNCTION("""COMPUTED_VALUE"""),"OK")</f>
        <v>OK</v>
      </c>
      <c r="AF5" s="111" t="str">
        <f>IFERROR(__xludf.DUMMYFUNCTION("""COMPUTED_VALUE"""),"-")</f>
        <v>-</v>
      </c>
      <c r="AH5" s="111" t="str">
        <f>IFERROR(__xludf.DUMMYFUNCTION("""COMPUTED_VALUE"""),"861 ฟ้าอ่อน")</f>
        <v>861 ฟ้าอ่อน</v>
      </c>
      <c r="AI5" s="115">
        <f>IFERROR(__xludf.DUMMYFUNCTION("""COMPUTED_VALUE"""),0.0)</f>
        <v>0</v>
      </c>
      <c r="AJ5" s="111" t="str">
        <f>IFERROR(__xludf.DUMMYFUNCTION("""COMPUTED_VALUE"""),"OK")</f>
        <v>OK</v>
      </c>
      <c r="AK5" s="111" t="str">
        <f>IFERROR(__xludf.DUMMYFUNCTION("""COMPUTED_VALUE"""),"-")</f>
        <v>-</v>
      </c>
    </row>
    <row r="6">
      <c r="D6" s="106"/>
      <c r="F6" s="111">
        <f t="shared" si="1"/>
        <v>2024</v>
      </c>
      <c r="G6" s="105">
        <v>4.0</v>
      </c>
      <c r="H6" s="107" t="str">
        <f t="shared" si="2"/>
        <v>2024-4</v>
      </c>
      <c r="I6" s="112">
        <f t="shared" si="5"/>
        <v>240680</v>
      </c>
      <c r="J6" s="108" t="str">
        <f t="shared" si="3"/>
        <v>#VALUE!</v>
      </c>
      <c r="K6" s="108">
        <f>SUMIF('💸 Transaction ซื้อ'!H:H,H6,'💸 Transaction ซื้อ'!G:G)</f>
        <v>91900</v>
      </c>
      <c r="L6" s="108" t="str">
        <f>SUMIF('💰 Transaction ขาย'!J:J,H6,'💰 Transaction ขาย'!G:G)</f>
        <v>#VALUE!</v>
      </c>
      <c r="M6" s="108">
        <f>SUMIF('💰 Transaction ขาย'!J:J,H6,'💰 Transaction ขาย'!F:F)</f>
        <v>250</v>
      </c>
      <c r="N6" s="108">
        <f t="shared" si="4"/>
        <v>962.72</v>
      </c>
      <c r="P6" s="105" t="s">
        <v>124</v>
      </c>
      <c r="Q6" s="112" t="str">
        <f>SUMIFS('💸 Transaction ซื้อ'!G:G,'💸 Transaction ซื้อ'!A:A,"&lt;="&amp;$Q$4)-SUMIFS('💰 Transaction ขาย'!G:G,'💰 Transaction ขาย'!A:A,"&lt;="&amp;$Q$4)</f>
        <v>#VALUE!</v>
      </c>
      <c r="AB6" s="111" t="str">
        <f>IFERROR(__xludf.DUMMYFUNCTION("""COMPUTED_VALUE"""),"510 ขาวธรรมชาติ")</f>
        <v>510 ขาวธรรมชาติ</v>
      </c>
      <c r="AC6" s="111">
        <f>IFERROR(__xludf.DUMMYFUNCTION("""COMPUTED_VALUE"""),885.0)</f>
        <v>885</v>
      </c>
      <c r="AD6" s="112">
        <f>IFERROR(__xludf.DUMMYFUNCTION("""COMPUTED_VALUE"""),74692.04419889503)</f>
        <v>74692.0442</v>
      </c>
      <c r="AE6" s="111" t="str">
        <f>IFERROR(__xludf.DUMMYFUNCTION("""COMPUTED_VALUE"""),"OK")</f>
        <v>OK</v>
      </c>
      <c r="AF6" s="111" t="str">
        <f>IFERROR(__xludf.DUMMYFUNCTION("""COMPUTED_VALUE"""),"Deadstock")</f>
        <v>Deadstock</v>
      </c>
      <c r="AH6" s="111" t="str">
        <f>IFERROR(__xludf.DUMMYFUNCTION("""COMPUTED_VALUE"""),"831 สีโอรส")</f>
        <v>831 สีโอรส</v>
      </c>
      <c r="AI6" s="115">
        <f>IFERROR(__xludf.DUMMYFUNCTION("""COMPUTED_VALUE"""),0.0)</f>
        <v>0</v>
      </c>
      <c r="AJ6" s="111" t="str">
        <f>IFERROR(__xludf.DUMMYFUNCTION("""COMPUTED_VALUE"""),"OK")</f>
        <v>OK</v>
      </c>
      <c r="AK6" s="111" t="str">
        <f>IFERROR(__xludf.DUMMYFUNCTION("""COMPUTED_VALUE"""),"Deadstock")</f>
        <v>Deadstock</v>
      </c>
    </row>
    <row r="7">
      <c r="D7" s="106"/>
      <c r="F7" s="111">
        <f t="shared" si="1"/>
        <v>2024</v>
      </c>
      <c r="G7" s="105">
        <v>5.0</v>
      </c>
      <c r="H7" s="107" t="str">
        <f t="shared" si="2"/>
        <v>2024-5</v>
      </c>
      <c r="I7" s="111" t="str">
        <f t="shared" si="5"/>
        <v>#VALUE!</v>
      </c>
      <c r="J7" s="108" t="str">
        <f t="shared" si="3"/>
        <v>#VALUE!</v>
      </c>
      <c r="K7" s="108">
        <f>SUMIF('💸 Transaction ซื้อ'!H:H,H7,'💸 Transaction ซื้อ'!G:G)</f>
        <v>50820</v>
      </c>
      <c r="L7" s="108" t="str">
        <f>SUMIF('💰 Transaction ขาย'!J:J,H7,'💰 Transaction ขาย'!G:G)</f>
        <v>#VALUE!</v>
      </c>
      <c r="M7" s="108">
        <f>SUMIF('💰 Transaction ขาย'!J:J,H7,'💰 Transaction ขาย'!F:F)</f>
        <v>24450</v>
      </c>
      <c r="N7" s="108" t="str">
        <f t="shared" si="4"/>
        <v/>
      </c>
      <c r="P7" s="105" t="s">
        <v>125</v>
      </c>
      <c r="Q7" s="112">
        <f>SUMIFS('💸 Transaction ซื้อ'!G:G,'💸 Transaction ซื้อ'!A:A,"&lt;="&amp;$Q$5)-SUMIFS('💰 Transaction ขาย'!G:G,'💰 Transaction ขาย'!A:A,"&lt;="&amp;$Q$5)</f>
        <v>0</v>
      </c>
      <c r="AB7" s="111" t="str">
        <f>IFERROR(__xludf.DUMMYFUNCTION("""COMPUTED_VALUE"""),"521 ครีม")</f>
        <v>521 ครีม</v>
      </c>
      <c r="AC7" s="111">
        <f>IFERROR(__xludf.DUMMYFUNCTION("""COMPUTED_VALUE"""),927.0)</f>
        <v>927</v>
      </c>
      <c r="AD7" s="112">
        <f>IFERROR(__xludf.DUMMYFUNCTION("""COMPUTED_VALUE"""),74160.0)</f>
        <v>74160</v>
      </c>
      <c r="AE7" s="111" t="str">
        <f>IFERROR(__xludf.DUMMYFUNCTION("""COMPUTED_VALUE"""),"OK")</f>
        <v>OK</v>
      </c>
      <c r="AF7" s="111" t="str">
        <f>IFERROR(__xludf.DUMMYFUNCTION("""COMPUTED_VALUE"""),"Deadstock")</f>
        <v>Deadstock</v>
      </c>
      <c r="AH7" s="111" t="str">
        <f>IFERROR(__xludf.DUMMYFUNCTION("""COMPUTED_VALUE"""),"552 ชมพูเข้ม")</f>
        <v>552 ชมพูเข้ม</v>
      </c>
      <c r="AI7" s="115">
        <f>IFERROR(__xludf.DUMMYFUNCTION("""COMPUTED_VALUE"""),0.0)</f>
        <v>0</v>
      </c>
      <c r="AJ7" s="111" t="str">
        <f>IFERROR(__xludf.DUMMYFUNCTION("""COMPUTED_VALUE"""),"OK")</f>
        <v>OK</v>
      </c>
      <c r="AK7" s="111" t="str">
        <f>IFERROR(__xludf.DUMMYFUNCTION("""COMPUTED_VALUE"""),"Deadstock")</f>
        <v>Deadstock</v>
      </c>
    </row>
    <row r="8">
      <c r="D8" s="106"/>
      <c r="F8" s="111">
        <f t="shared" si="1"/>
        <v>2024</v>
      </c>
      <c r="G8" s="105">
        <v>6.0</v>
      </c>
      <c r="H8" s="107" t="str">
        <f t="shared" si="2"/>
        <v>2024-6</v>
      </c>
      <c r="I8" s="111" t="str">
        <f t="shared" si="5"/>
        <v>#VALUE!</v>
      </c>
      <c r="J8" s="108">
        <f t="shared" si="3"/>
        <v>79600</v>
      </c>
      <c r="K8" s="108">
        <f>SUMIF('💸 Transaction ซื้อ'!H:H,H8,'💸 Transaction ซื้อ'!G:G)</f>
        <v>79600</v>
      </c>
      <c r="L8" s="108">
        <f>SUMIF('💰 Transaction ขาย'!J:J,H8,'💰 Transaction ขาย'!G:G)</f>
        <v>0</v>
      </c>
      <c r="M8" s="108">
        <f>SUMIF('💰 Transaction ขาย'!J:J,H8,'💰 Transaction ขาย'!F:F)</f>
        <v>0</v>
      </c>
      <c r="N8" s="108" t="str">
        <f t="shared" si="4"/>
        <v/>
      </c>
      <c r="P8" s="105" t="s">
        <v>113</v>
      </c>
      <c r="Q8" s="112" t="str">
        <f>(Q7+Q6)/2</f>
        <v>#VALUE!</v>
      </c>
      <c r="AB8" s="111" t="str">
        <f>IFERROR(__xludf.DUMMYFUNCTION("""COMPUTED_VALUE"""),"551 ชมพูอ่อน")</f>
        <v>551 ชมพูอ่อน</v>
      </c>
      <c r="AC8" s="111">
        <f>IFERROR(__xludf.DUMMYFUNCTION("""COMPUTED_VALUE"""),473.0)</f>
        <v>473</v>
      </c>
      <c r="AD8" s="112">
        <f>IFERROR(__xludf.DUMMYFUNCTION("""COMPUTED_VALUE"""),37840.0)</f>
        <v>37840</v>
      </c>
      <c r="AE8" s="111" t="str">
        <f>IFERROR(__xludf.DUMMYFUNCTION("""COMPUTED_VALUE"""),"OK")</f>
        <v>OK</v>
      </c>
      <c r="AF8" s="111" t="str">
        <f>IFERROR(__xludf.DUMMYFUNCTION("""COMPUTED_VALUE"""),"-")</f>
        <v>-</v>
      </c>
      <c r="AH8" s="111" t="str">
        <f>IFERROR(__xludf.DUMMYFUNCTION("""COMPUTED_VALUE"""),"551 ชมพูอ่อน")</f>
        <v>551 ชมพูอ่อน</v>
      </c>
      <c r="AI8" s="115">
        <f>IFERROR(__xludf.DUMMYFUNCTION("""COMPUTED_VALUE"""),0.0)</f>
        <v>0</v>
      </c>
      <c r="AJ8" s="111" t="str">
        <f>IFERROR(__xludf.DUMMYFUNCTION("""COMPUTED_VALUE"""),"OK")</f>
        <v>OK</v>
      </c>
      <c r="AK8" s="111" t="str">
        <f>IFERROR(__xludf.DUMMYFUNCTION("""COMPUTED_VALUE"""),"-")</f>
        <v>-</v>
      </c>
    </row>
    <row r="9">
      <c r="D9" s="106"/>
      <c r="F9" s="111">
        <f t="shared" si="1"/>
        <v>2024</v>
      </c>
      <c r="G9" s="105">
        <v>7.0</v>
      </c>
      <c r="H9" s="107" t="str">
        <f t="shared" si="2"/>
        <v>2024-7</v>
      </c>
      <c r="I9" s="111" t="str">
        <f t="shared" si="5"/>
        <v>#VALUE!</v>
      </c>
      <c r="J9" s="108">
        <f t="shared" si="3"/>
        <v>0</v>
      </c>
      <c r="K9" s="108">
        <f>SUMIF('💸 Transaction ซื้อ'!H:H,H9,'💸 Transaction ซื้อ'!G:G)</f>
        <v>0</v>
      </c>
      <c r="L9" s="108">
        <f>SUMIF('💰 Transaction ขาย'!J:J,H9,'💰 Transaction ขาย'!G:G)</f>
        <v>0</v>
      </c>
      <c r="M9" s="108">
        <f>SUMIF('💰 Transaction ขาย'!J:J,H9,'💰 Transaction ขาย'!F:F)</f>
        <v>0</v>
      </c>
      <c r="N9" s="108" t="str">
        <f t="shared" si="4"/>
        <v/>
      </c>
      <c r="P9" s="105" t="s">
        <v>126</v>
      </c>
      <c r="Q9" s="112" t="str">
        <f>Q3/Q8</f>
        <v>#VALUE!</v>
      </c>
      <c r="AB9" s="111" t="str">
        <f>IFERROR(__xludf.DUMMYFUNCTION("""COMPUTED_VALUE"""),"881 เปลือกไม้")</f>
        <v>881 เปลือกไม้</v>
      </c>
      <c r="AC9" s="111">
        <f>IFERROR(__xludf.DUMMYFUNCTION("""COMPUTED_VALUE"""),414.0)</f>
        <v>414</v>
      </c>
      <c r="AD9" s="112">
        <f>IFERROR(__xludf.DUMMYFUNCTION("""COMPUTED_VALUE"""),33120.0)</f>
        <v>33120</v>
      </c>
      <c r="AE9" s="111" t="str">
        <f>IFERROR(__xludf.DUMMYFUNCTION("""COMPUTED_VALUE"""),"OK")</f>
        <v>OK</v>
      </c>
      <c r="AF9" s="111" t="str">
        <f>IFERROR(__xludf.DUMMYFUNCTION("""COMPUTED_VALUE"""),"Deadstock")</f>
        <v>Deadstock</v>
      </c>
      <c r="AH9" s="111" t="str">
        <f>IFERROR(__xludf.DUMMYFUNCTION("""COMPUTED_VALUE"""),"860 ม่วงอ่อน")</f>
        <v>860 ม่วงอ่อน</v>
      </c>
      <c r="AI9" s="115">
        <f>IFERROR(__xludf.DUMMYFUNCTION("""COMPUTED_VALUE"""),0.0)</f>
        <v>0</v>
      </c>
      <c r="AJ9" s="111" t="str">
        <f>IFERROR(__xludf.DUMMYFUNCTION("""COMPUTED_VALUE"""),"OK")</f>
        <v>OK</v>
      </c>
      <c r="AK9" s="111" t="str">
        <f>IFERROR(__xludf.DUMMYFUNCTION("""COMPUTED_VALUE"""),"Deadstock")</f>
        <v>Deadstock</v>
      </c>
    </row>
    <row r="10">
      <c r="D10" s="106"/>
      <c r="F10" s="111">
        <f t="shared" si="1"/>
        <v>2024</v>
      </c>
      <c r="G10" s="105">
        <v>8.0</v>
      </c>
      <c r="H10" s="107" t="str">
        <f t="shared" si="2"/>
        <v>2024-8</v>
      </c>
      <c r="I10" s="111" t="str">
        <f t="shared" si="5"/>
        <v>#VALUE!</v>
      </c>
      <c r="J10" s="108">
        <f t="shared" si="3"/>
        <v>0</v>
      </c>
      <c r="K10" s="108">
        <f>SUMIF('💸 Transaction ซื้อ'!H:H,H10,'💸 Transaction ซื้อ'!G:G)</f>
        <v>0</v>
      </c>
      <c r="L10" s="108">
        <f>SUMIF('💰 Transaction ขาย'!J:J,H10,'💰 Transaction ขาย'!G:G)</f>
        <v>0</v>
      </c>
      <c r="M10" s="108">
        <f>SUMIF('💰 Transaction ขาย'!J:J,H10,'💰 Transaction ขาย'!F:F)</f>
        <v>0</v>
      </c>
      <c r="N10" s="108" t="str">
        <f t="shared" si="4"/>
        <v/>
      </c>
      <c r="P10" s="105" t="s">
        <v>127</v>
      </c>
      <c r="Q10" s="116" t="str">
        <f>365/Q9</f>
        <v>#VALUE!</v>
      </c>
      <c r="AB10" s="111" t="str">
        <f>IFERROR(__xludf.DUMMYFUNCTION("""COMPUTED_VALUE"""),"860 ม่วงอ่อน")</f>
        <v>860 ม่วงอ่อน</v>
      </c>
      <c r="AC10" s="111">
        <f>IFERROR(__xludf.DUMMYFUNCTION("""COMPUTED_VALUE"""),188.0)</f>
        <v>188</v>
      </c>
      <c r="AD10" s="112">
        <f>IFERROR(__xludf.DUMMYFUNCTION("""COMPUTED_VALUE"""),15040.0)</f>
        <v>15040</v>
      </c>
      <c r="AE10" s="111" t="str">
        <f>IFERROR(__xludf.DUMMYFUNCTION("""COMPUTED_VALUE"""),"OK")</f>
        <v>OK</v>
      </c>
      <c r="AF10" s="111" t="str">
        <f>IFERROR(__xludf.DUMMYFUNCTION("""COMPUTED_VALUE"""),"Deadstock")</f>
        <v>Deadstock</v>
      </c>
      <c r="AH10" s="111" t="str">
        <f>IFERROR(__xludf.DUMMYFUNCTION("""COMPUTED_VALUE"""),"591 เทาอ่อน")</f>
        <v>591 เทาอ่อน</v>
      </c>
      <c r="AI10" s="115">
        <f>IFERROR(__xludf.DUMMYFUNCTION("""COMPUTED_VALUE"""),0.0)</f>
        <v>0</v>
      </c>
      <c r="AJ10" s="111" t="str">
        <f>IFERROR(__xludf.DUMMYFUNCTION("""COMPUTED_VALUE"""),"OK")</f>
        <v>OK</v>
      </c>
      <c r="AK10" s="111" t="str">
        <f>IFERROR(__xludf.DUMMYFUNCTION("""COMPUTED_VALUE"""),"-")</f>
        <v>-</v>
      </c>
    </row>
    <row r="11">
      <c r="D11" s="106"/>
      <c r="F11" s="111">
        <f t="shared" si="1"/>
        <v>2024</v>
      </c>
      <c r="G11" s="105">
        <v>9.0</v>
      </c>
      <c r="H11" s="107" t="str">
        <f t="shared" si="2"/>
        <v>2024-9</v>
      </c>
      <c r="I11" s="111" t="str">
        <f t="shared" si="5"/>
        <v>#VALUE!</v>
      </c>
      <c r="J11" s="108">
        <f t="shared" si="3"/>
        <v>0</v>
      </c>
      <c r="K11" s="108">
        <f>SUMIF('💸 Transaction ซื้อ'!H:H,H11,'💸 Transaction ซื้อ'!G:G)</f>
        <v>0</v>
      </c>
      <c r="L11" s="108">
        <f>SUMIF('💰 Transaction ขาย'!J:J,H11,'💰 Transaction ขาย'!G:G)</f>
        <v>0</v>
      </c>
      <c r="M11" s="108">
        <f>SUMIF('💰 Transaction ขาย'!J:J,H11,'💰 Transaction ขาย'!F:F)</f>
        <v>0</v>
      </c>
      <c r="N11" s="108" t="str">
        <f t="shared" si="4"/>
        <v/>
      </c>
      <c r="P11" s="105" t="s">
        <v>128</v>
      </c>
      <c r="Q11" s="111">
        <f>DATEDIF(DATE(A1,1,1),EOMONTH(DATE(A1,A2,1),0),"d")</f>
        <v>30</v>
      </c>
      <c r="AB11" s="111" t="str">
        <f>IFERROR(__xludf.DUMMYFUNCTION("""COMPUTED_VALUE"""),"552 ชมพูเข้ม")</f>
        <v>552 ชมพูเข้ม</v>
      </c>
      <c r="AC11" s="111">
        <f>IFERROR(__xludf.DUMMYFUNCTION("""COMPUTED_VALUE"""),150.0)</f>
        <v>150</v>
      </c>
      <c r="AD11" s="112">
        <f>IFERROR(__xludf.DUMMYFUNCTION("""COMPUTED_VALUE"""),12000.0)</f>
        <v>12000</v>
      </c>
      <c r="AE11" s="111" t="str">
        <f>IFERROR(__xludf.DUMMYFUNCTION("""COMPUTED_VALUE"""),"OK")</f>
        <v>OK</v>
      </c>
      <c r="AF11" s="111" t="str">
        <f>IFERROR(__xludf.DUMMYFUNCTION("""COMPUTED_VALUE"""),"Deadstock")</f>
        <v>Deadstock</v>
      </c>
      <c r="AH11" s="111" t="str">
        <f>IFERROR(__xludf.DUMMYFUNCTION("""COMPUTED_VALUE"""),"561 ฟ้าเข้ม")</f>
        <v>561 ฟ้าเข้ม</v>
      </c>
      <c r="AI11" s="115">
        <f>IFERROR(__xludf.DUMMYFUNCTION("""COMPUTED_VALUE"""),0.0)</f>
        <v>0</v>
      </c>
      <c r="AJ11" s="111" t="str">
        <f>IFERROR(__xludf.DUMMYFUNCTION("""COMPUTED_VALUE"""),"OK")</f>
        <v>OK</v>
      </c>
      <c r="AK11" s="111" t="str">
        <f>IFERROR(__xludf.DUMMYFUNCTION("""COMPUTED_VALUE"""),"Deadstock")</f>
        <v>Deadstock</v>
      </c>
    </row>
    <row r="12">
      <c r="D12" s="106"/>
      <c r="F12" s="111">
        <f t="shared" si="1"/>
        <v>2024</v>
      </c>
      <c r="G12" s="105">
        <v>10.0</v>
      </c>
      <c r="H12" s="107" t="str">
        <f t="shared" si="2"/>
        <v>2024-10</v>
      </c>
      <c r="I12" s="111" t="str">
        <f t="shared" si="5"/>
        <v>#VALUE!</v>
      </c>
      <c r="J12" s="108">
        <f t="shared" si="3"/>
        <v>0</v>
      </c>
      <c r="K12" s="108">
        <f>SUMIF('💸 Transaction ซื้อ'!H:H,H12,'💸 Transaction ซื้อ'!G:G)</f>
        <v>0</v>
      </c>
      <c r="L12" s="108">
        <f>SUMIF('💰 Transaction ขาย'!J:J,H12,'💰 Transaction ขาย'!G:G)</f>
        <v>0</v>
      </c>
      <c r="M12" s="108">
        <f>SUMIF('💰 Transaction ขาย'!J:J,H12,'💰 Transaction ขาย'!F:F)</f>
        <v>0</v>
      </c>
      <c r="N12" s="108" t="str">
        <f t="shared" si="4"/>
        <v/>
      </c>
      <c r="P12" s="105" t="s">
        <v>129</v>
      </c>
      <c r="Q12" s="112">
        <f>SUMIF(G3:G14,"&lt;="&amp;A2,L3:L14)</f>
        <v>0</v>
      </c>
      <c r="AB12" s="111" t="str">
        <f>IFERROR(__xludf.DUMMYFUNCTION("""COMPUTED_VALUE"""),"861 ฟ้าอ่อน")</f>
        <v>861 ฟ้าอ่อน</v>
      </c>
      <c r="AC12" s="111">
        <f>IFERROR(__xludf.DUMMYFUNCTION("""COMPUTED_VALUE"""),114.0)</f>
        <v>114</v>
      </c>
      <c r="AD12" s="112">
        <f>IFERROR(__xludf.DUMMYFUNCTION("""COMPUTED_VALUE"""),10260.0)</f>
        <v>10260</v>
      </c>
      <c r="AE12" s="111" t="str">
        <f>IFERROR(__xludf.DUMMYFUNCTION("""COMPUTED_VALUE"""),"OK")</f>
        <v>OK</v>
      </c>
      <c r="AF12" s="111" t="str">
        <f>IFERROR(__xludf.DUMMYFUNCTION("""COMPUTED_VALUE"""),"-")</f>
        <v>-</v>
      </c>
      <c r="AH12" s="111" t="str">
        <f>IFERROR(__xludf.DUMMYFUNCTION("""COMPUTED_VALUE"""),"521 ครีม")</f>
        <v>521 ครีม</v>
      </c>
      <c r="AI12" s="115">
        <f>IFERROR(__xludf.DUMMYFUNCTION("""COMPUTED_VALUE"""),0.0)</f>
        <v>0</v>
      </c>
      <c r="AJ12" s="111" t="str">
        <f>IFERROR(__xludf.DUMMYFUNCTION("""COMPUTED_VALUE"""),"OK")</f>
        <v>OK</v>
      </c>
      <c r="AK12" s="111" t="str">
        <f>IFERROR(__xludf.DUMMYFUNCTION("""COMPUTED_VALUE"""),"Deadstock")</f>
        <v>Deadstock</v>
      </c>
    </row>
    <row r="13">
      <c r="D13" s="106"/>
      <c r="F13" s="111">
        <f t="shared" si="1"/>
        <v>2024</v>
      </c>
      <c r="G13" s="105">
        <v>11.0</v>
      </c>
      <c r="H13" s="107" t="str">
        <f t="shared" si="2"/>
        <v>2024-11</v>
      </c>
      <c r="I13" s="111" t="str">
        <f t="shared" si="5"/>
        <v>#VALUE!</v>
      </c>
      <c r="J13" s="108">
        <f t="shared" si="3"/>
        <v>0</v>
      </c>
      <c r="K13" s="108">
        <f>SUMIF('💸 Transaction ซื้อ'!H:H,H13,'💸 Transaction ซื้อ'!G:G)</f>
        <v>0</v>
      </c>
      <c r="L13" s="108">
        <f>SUMIF('💰 Transaction ขาย'!J:J,H13,'💰 Transaction ขาย'!G:G)</f>
        <v>0</v>
      </c>
      <c r="M13" s="108">
        <f>SUMIF('💰 Transaction ขาย'!J:J,H13,'💰 Transaction ขาย'!F:F)</f>
        <v>0</v>
      </c>
      <c r="N13" s="108" t="str">
        <f t="shared" si="4"/>
        <v/>
      </c>
      <c r="P13" s="105" t="s">
        <v>130</v>
      </c>
      <c r="Q13" s="117">
        <f>Q12/Q11</f>
        <v>0</v>
      </c>
      <c r="AB13" s="111" t="str">
        <f>IFERROR(__xludf.DUMMYFUNCTION("""COMPUTED_VALUE"""),"591 เทาอ่อน")</f>
        <v>591 เทาอ่อน</v>
      </c>
      <c r="AC13" s="111">
        <f>IFERROR(__xludf.DUMMYFUNCTION("""COMPUTED_VALUE"""),130.0)</f>
        <v>130</v>
      </c>
      <c r="AD13" s="112">
        <f>IFERROR(__xludf.DUMMYFUNCTION("""COMPUTED_VALUE"""),9100.0)</f>
        <v>9100</v>
      </c>
      <c r="AE13" s="111" t="str">
        <f>IFERROR(__xludf.DUMMYFUNCTION("""COMPUTED_VALUE"""),"OK")</f>
        <v>OK</v>
      </c>
      <c r="AF13" s="111" t="str">
        <f>IFERROR(__xludf.DUMMYFUNCTION("""COMPUTED_VALUE"""),"-")</f>
        <v>-</v>
      </c>
      <c r="AH13" s="111" t="str">
        <f>IFERROR(__xludf.DUMMYFUNCTION("""COMPUTED_VALUE"""),"111 เงินเงา")</f>
        <v>111 เงินเงา</v>
      </c>
      <c r="AI13" s="115">
        <f>IFERROR(__xludf.DUMMYFUNCTION("""COMPUTED_VALUE"""),0.0)</f>
        <v>0</v>
      </c>
      <c r="AJ13" s="111" t="str">
        <f>IFERROR(__xludf.DUMMYFUNCTION("""COMPUTED_VALUE"""),"OK")</f>
        <v>OK</v>
      </c>
      <c r="AK13" s="111" t="str">
        <f>IFERROR(__xludf.DUMMYFUNCTION("""COMPUTED_VALUE"""),"-")</f>
        <v>-</v>
      </c>
    </row>
    <row r="14">
      <c r="D14" s="106"/>
      <c r="F14" s="111">
        <f t="shared" si="1"/>
        <v>2024</v>
      </c>
      <c r="G14" s="105">
        <v>12.0</v>
      </c>
      <c r="H14" s="107" t="str">
        <f t="shared" si="2"/>
        <v>2024-12</v>
      </c>
      <c r="I14" s="111" t="str">
        <f t="shared" si="5"/>
        <v>#VALUE!</v>
      </c>
      <c r="J14" s="108">
        <f t="shared" si="3"/>
        <v>0</v>
      </c>
      <c r="K14" s="108">
        <f>SUMIF('💸 Transaction ซื้อ'!H:H,H14,'💸 Transaction ซื้อ'!G:G)</f>
        <v>0</v>
      </c>
      <c r="L14" s="108">
        <f>SUMIF('💰 Transaction ขาย'!J:J,H14,'💰 Transaction ขาย'!G:G)</f>
        <v>0</v>
      </c>
      <c r="M14" s="108">
        <f>SUMIF('💰 Transaction ขาย'!J:J,H14,'💰 Transaction ขาย'!F:F)</f>
        <v>0</v>
      </c>
      <c r="N14" s="108" t="str">
        <f t="shared" si="4"/>
        <v/>
      </c>
      <c r="P14" s="105" t="s">
        <v>131</v>
      </c>
      <c r="Q14" s="112" t="str">
        <f>D5/Q13</f>
        <v>#DIV/0!</v>
      </c>
    </row>
    <row r="15">
      <c r="D15" s="106"/>
      <c r="H15" s="107"/>
    </row>
    <row r="16">
      <c r="D16" s="106"/>
      <c r="H16" s="107"/>
    </row>
    <row r="17">
      <c r="D17" s="106"/>
      <c r="H17" s="107"/>
    </row>
    <row r="18">
      <c r="D18" s="106"/>
      <c r="H18" s="107"/>
    </row>
    <row r="19">
      <c r="D19" s="106"/>
      <c r="H19" s="107"/>
    </row>
    <row r="20">
      <c r="D20" s="106"/>
      <c r="H20" s="107"/>
    </row>
    <row r="21">
      <c r="D21" s="106"/>
      <c r="H21" s="107"/>
    </row>
    <row r="22">
      <c r="D22" s="106"/>
      <c r="H22" s="107"/>
    </row>
    <row r="23">
      <c r="D23" s="106"/>
      <c r="H23" s="107"/>
    </row>
    <row r="24">
      <c r="D24" s="106"/>
      <c r="H24" s="107"/>
    </row>
    <row r="25">
      <c r="D25" s="106"/>
      <c r="H25" s="107"/>
    </row>
    <row r="26">
      <c r="D26" s="106"/>
      <c r="H26" s="107"/>
    </row>
    <row r="27">
      <c r="D27" s="106"/>
      <c r="H27" s="107"/>
    </row>
    <row r="28">
      <c r="D28" s="106"/>
      <c r="H28" s="107"/>
    </row>
    <row r="29">
      <c r="D29" s="106"/>
      <c r="H29" s="107"/>
    </row>
    <row r="30">
      <c r="D30" s="106"/>
      <c r="H30" s="107"/>
    </row>
    <row r="31">
      <c r="D31" s="106"/>
      <c r="H31" s="107"/>
    </row>
    <row r="32">
      <c r="D32" s="106"/>
      <c r="H32" s="107"/>
    </row>
    <row r="33">
      <c r="D33" s="106"/>
      <c r="H33" s="107"/>
    </row>
    <row r="34">
      <c r="D34" s="106"/>
      <c r="H34" s="107"/>
    </row>
    <row r="35">
      <c r="D35" s="106"/>
      <c r="H35" s="107"/>
    </row>
    <row r="36">
      <c r="D36" s="106"/>
      <c r="H36" s="107"/>
    </row>
    <row r="37">
      <c r="D37" s="106"/>
      <c r="H37" s="107"/>
    </row>
    <row r="38">
      <c r="D38" s="106"/>
      <c r="H38" s="107"/>
    </row>
    <row r="39">
      <c r="D39" s="106"/>
      <c r="H39" s="107"/>
    </row>
    <row r="40">
      <c r="D40" s="106"/>
      <c r="H40" s="107"/>
    </row>
    <row r="41">
      <c r="D41" s="106"/>
      <c r="H41" s="107"/>
    </row>
    <row r="42">
      <c r="D42" s="106"/>
      <c r="H42" s="107"/>
    </row>
    <row r="43">
      <c r="D43" s="106"/>
      <c r="H43" s="107"/>
    </row>
    <row r="44">
      <c r="D44" s="106"/>
      <c r="H44" s="107"/>
    </row>
    <row r="45">
      <c r="D45" s="106"/>
      <c r="H45" s="107"/>
    </row>
    <row r="46">
      <c r="D46" s="106"/>
      <c r="H46" s="107"/>
    </row>
    <row r="47">
      <c r="D47" s="106"/>
      <c r="H47" s="107"/>
    </row>
    <row r="48">
      <c r="D48" s="106"/>
      <c r="H48" s="107"/>
    </row>
    <row r="49">
      <c r="D49" s="106"/>
      <c r="H49" s="107"/>
    </row>
    <row r="50">
      <c r="D50" s="106"/>
      <c r="H50" s="107"/>
    </row>
    <row r="51">
      <c r="D51" s="106"/>
      <c r="H51" s="107"/>
    </row>
    <row r="52">
      <c r="D52" s="106"/>
      <c r="H52" s="107"/>
    </row>
    <row r="53">
      <c r="D53" s="106"/>
      <c r="H53" s="107"/>
    </row>
    <row r="54">
      <c r="D54" s="106"/>
      <c r="H54" s="107"/>
    </row>
    <row r="55">
      <c r="D55" s="106"/>
      <c r="H55" s="107"/>
    </row>
    <row r="56">
      <c r="D56" s="106"/>
      <c r="H56" s="107"/>
    </row>
    <row r="57">
      <c r="D57" s="106"/>
      <c r="H57" s="107"/>
    </row>
    <row r="58">
      <c r="D58" s="106"/>
      <c r="H58" s="107"/>
    </row>
    <row r="59">
      <c r="D59" s="106"/>
      <c r="H59" s="107"/>
    </row>
    <row r="60">
      <c r="D60" s="106"/>
      <c r="H60" s="107"/>
    </row>
    <row r="61">
      <c r="D61" s="106"/>
      <c r="H61" s="107"/>
    </row>
    <row r="62">
      <c r="D62" s="106"/>
      <c r="H62" s="107"/>
    </row>
    <row r="63">
      <c r="D63" s="106"/>
      <c r="H63" s="107"/>
    </row>
    <row r="64">
      <c r="D64" s="106"/>
      <c r="H64" s="107"/>
    </row>
    <row r="65">
      <c r="D65" s="106"/>
      <c r="H65" s="107"/>
    </row>
    <row r="66">
      <c r="D66" s="106"/>
      <c r="H66" s="107"/>
    </row>
    <row r="67">
      <c r="D67" s="106"/>
      <c r="H67" s="107"/>
    </row>
    <row r="68">
      <c r="D68" s="106"/>
      <c r="H68" s="107"/>
    </row>
    <row r="69">
      <c r="D69" s="106"/>
      <c r="H69" s="107"/>
    </row>
    <row r="70">
      <c r="D70" s="106"/>
      <c r="H70" s="107"/>
    </row>
    <row r="71">
      <c r="D71" s="106"/>
      <c r="H71" s="107"/>
    </row>
    <row r="72">
      <c r="D72" s="106"/>
      <c r="H72" s="107"/>
    </row>
    <row r="73">
      <c r="D73" s="106"/>
      <c r="H73" s="107"/>
    </row>
    <row r="74">
      <c r="D74" s="106"/>
      <c r="H74" s="107"/>
    </row>
    <row r="75">
      <c r="D75" s="106"/>
      <c r="H75" s="107"/>
    </row>
    <row r="76">
      <c r="D76" s="106"/>
      <c r="H76" s="107"/>
    </row>
    <row r="77">
      <c r="D77" s="106"/>
      <c r="H77" s="107"/>
    </row>
    <row r="78">
      <c r="D78" s="106"/>
      <c r="H78" s="107"/>
    </row>
    <row r="79">
      <c r="D79" s="106"/>
      <c r="H79" s="107"/>
    </row>
    <row r="80">
      <c r="D80" s="106"/>
      <c r="H80" s="107"/>
    </row>
    <row r="81">
      <c r="D81" s="106"/>
      <c r="H81" s="107"/>
    </row>
    <row r="82">
      <c r="D82" s="106"/>
      <c r="H82" s="107"/>
    </row>
    <row r="83">
      <c r="D83" s="106"/>
      <c r="H83" s="107"/>
    </row>
    <row r="84">
      <c r="D84" s="106"/>
      <c r="H84" s="107"/>
    </row>
    <row r="85">
      <c r="D85" s="106"/>
      <c r="H85" s="107"/>
    </row>
    <row r="86">
      <c r="D86" s="106"/>
      <c r="H86" s="107"/>
    </row>
    <row r="87">
      <c r="D87" s="106"/>
      <c r="H87" s="107"/>
    </row>
    <row r="88">
      <c r="D88" s="106"/>
      <c r="H88" s="107"/>
    </row>
    <row r="89">
      <c r="D89" s="106"/>
      <c r="H89" s="107"/>
    </row>
    <row r="90">
      <c r="D90" s="106"/>
      <c r="H90" s="107"/>
    </row>
    <row r="91">
      <c r="D91" s="106"/>
      <c r="H91" s="107"/>
    </row>
    <row r="92">
      <c r="D92" s="106"/>
      <c r="H92" s="107"/>
    </row>
    <row r="93">
      <c r="D93" s="106"/>
      <c r="H93" s="107"/>
    </row>
    <row r="94">
      <c r="D94" s="106"/>
      <c r="H94" s="107"/>
    </row>
    <row r="95">
      <c r="D95" s="106"/>
      <c r="H95" s="107"/>
    </row>
    <row r="96">
      <c r="D96" s="106"/>
      <c r="H96" s="107"/>
    </row>
    <row r="97">
      <c r="D97" s="106"/>
      <c r="H97" s="107"/>
    </row>
    <row r="98">
      <c r="D98" s="106"/>
      <c r="H98" s="107"/>
    </row>
    <row r="99">
      <c r="D99" s="106"/>
      <c r="H99" s="107"/>
    </row>
    <row r="100">
      <c r="D100" s="106"/>
      <c r="H100" s="107"/>
    </row>
    <row r="101">
      <c r="D101" s="106"/>
      <c r="H101" s="107"/>
    </row>
    <row r="102">
      <c r="D102" s="106"/>
      <c r="H102" s="107"/>
    </row>
    <row r="103">
      <c r="D103" s="106"/>
      <c r="H103" s="107"/>
    </row>
    <row r="104">
      <c r="D104" s="106"/>
      <c r="H104" s="107"/>
    </row>
    <row r="105">
      <c r="D105" s="106"/>
      <c r="H105" s="107"/>
    </row>
    <row r="106">
      <c r="D106" s="106"/>
      <c r="H106" s="107"/>
    </row>
    <row r="107">
      <c r="D107" s="106"/>
      <c r="H107" s="107"/>
    </row>
    <row r="108">
      <c r="D108" s="106"/>
      <c r="H108" s="107"/>
    </row>
    <row r="109">
      <c r="D109" s="106"/>
      <c r="H109" s="107"/>
    </row>
    <row r="110">
      <c r="D110" s="106"/>
      <c r="H110" s="107"/>
    </row>
    <row r="111">
      <c r="D111" s="106"/>
      <c r="H111" s="107"/>
    </row>
    <row r="112">
      <c r="D112" s="106"/>
      <c r="H112" s="107"/>
    </row>
    <row r="113">
      <c r="D113" s="106"/>
      <c r="H113" s="107"/>
    </row>
    <row r="114">
      <c r="D114" s="106"/>
      <c r="H114" s="107"/>
    </row>
    <row r="115">
      <c r="D115" s="106"/>
      <c r="H115" s="107"/>
    </row>
    <row r="116">
      <c r="D116" s="106"/>
      <c r="H116" s="107"/>
    </row>
    <row r="117">
      <c r="D117" s="106"/>
      <c r="H117" s="107"/>
    </row>
    <row r="118">
      <c r="D118" s="106"/>
      <c r="H118" s="107"/>
    </row>
    <row r="119">
      <c r="D119" s="106"/>
      <c r="H119" s="107"/>
    </row>
    <row r="120">
      <c r="D120" s="106"/>
      <c r="H120" s="107"/>
    </row>
    <row r="121">
      <c r="D121" s="106"/>
      <c r="H121" s="107"/>
    </row>
    <row r="122">
      <c r="D122" s="106"/>
      <c r="H122" s="107"/>
    </row>
    <row r="123">
      <c r="D123" s="106"/>
      <c r="H123" s="107"/>
    </row>
    <row r="124">
      <c r="D124" s="106"/>
      <c r="H124" s="107"/>
    </row>
    <row r="125">
      <c r="D125" s="106"/>
      <c r="H125" s="107"/>
    </row>
    <row r="126">
      <c r="D126" s="106"/>
      <c r="H126" s="107"/>
    </row>
    <row r="127">
      <c r="D127" s="106"/>
      <c r="H127" s="107"/>
    </row>
    <row r="128">
      <c r="D128" s="106"/>
      <c r="H128" s="107"/>
    </row>
    <row r="129">
      <c r="D129" s="106"/>
      <c r="H129" s="107"/>
    </row>
    <row r="130">
      <c r="D130" s="106"/>
      <c r="H130" s="107"/>
    </row>
    <row r="131">
      <c r="D131" s="106"/>
      <c r="H131" s="107"/>
    </row>
    <row r="132">
      <c r="D132" s="106"/>
      <c r="H132" s="107"/>
    </row>
    <row r="133">
      <c r="D133" s="106"/>
      <c r="H133" s="107"/>
    </row>
    <row r="134">
      <c r="D134" s="106"/>
      <c r="H134" s="107"/>
    </row>
    <row r="135">
      <c r="D135" s="106"/>
      <c r="H135" s="107"/>
    </row>
    <row r="136">
      <c r="D136" s="106"/>
      <c r="H136" s="107"/>
    </row>
    <row r="137">
      <c r="D137" s="106"/>
      <c r="H137" s="107"/>
    </row>
    <row r="138">
      <c r="D138" s="106"/>
      <c r="H138" s="107"/>
    </row>
    <row r="139">
      <c r="D139" s="106"/>
      <c r="H139" s="107"/>
    </row>
    <row r="140">
      <c r="D140" s="106"/>
      <c r="H140" s="107"/>
    </row>
    <row r="141">
      <c r="D141" s="106"/>
      <c r="H141" s="107"/>
    </row>
    <row r="142">
      <c r="D142" s="106"/>
      <c r="H142" s="107"/>
    </row>
    <row r="143">
      <c r="D143" s="106"/>
      <c r="H143" s="107"/>
    </row>
    <row r="144">
      <c r="D144" s="106"/>
      <c r="H144" s="107"/>
    </row>
    <row r="145">
      <c r="D145" s="106"/>
      <c r="H145" s="107"/>
    </row>
    <row r="146">
      <c r="D146" s="106"/>
      <c r="H146" s="107"/>
    </row>
    <row r="147">
      <c r="D147" s="106"/>
      <c r="H147" s="107"/>
    </row>
    <row r="148">
      <c r="D148" s="106"/>
      <c r="H148" s="107"/>
    </row>
    <row r="149">
      <c r="D149" s="106"/>
      <c r="H149" s="107"/>
    </row>
    <row r="150">
      <c r="D150" s="106"/>
      <c r="H150" s="107"/>
    </row>
    <row r="151">
      <c r="D151" s="106"/>
      <c r="H151" s="107"/>
    </row>
    <row r="152">
      <c r="D152" s="106"/>
      <c r="H152" s="107"/>
    </row>
    <row r="153">
      <c r="D153" s="106"/>
      <c r="H153" s="107"/>
    </row>
    <row r="154">
      <c r="D154" s="106"/>
      <c r="H154" s="107"/>
    </row>
    <row r="155">
      <c r="D155" s="106"/>
      <c r="H155" s="107"/>
    </row>
    <row r="156">
      <c r="D156" s="106"/>
      <c r="H156" s="107"/>
    </row>
    <row r="157">
      <c r="D157" s="106"/>
      <c r="H157" s="107"/>
    </row>
    <row r="158">
      <c r="D158" s="106"/>
      <c r="H158" s="107"/>
    </row>
    <row r="159">
      <c r="D159" s="106"/>
      <c r="H159" s="107"/>
    </row>
    <row r="160">
      <c r="D160" s="106"/>
      <c r="H160" s="107"/>
    </row>
    <row r="161">
      <c r="D161" s="106"/>
      <c r="H161" s="107"/>
    </row>
    <row r="162">
      <c r="D162" s="106"/>
      <c r="H162" s="107"/>
    </row>
    <row r="163">
      <c r="D163" s="106"/>
      <c r="H163" s="107"/>
    </row>
    <row r="164">
      <c r="D164" s="106"/>
      <c r="H164" s="107"/>
    </row>
    <row r="165">
      <c r="D165" s="106"/>
      <c r="H165" s="107"/>
    </row>
    <row r="166">
      <c r="D166" s="106"/>
      <c r="H166" s="107"/>
    </row>
    <row r="167">
      <c r="D167" s="106"/>
      <c r="H167" s="107"/>
    </row>
    <row r="168">
      <c r="D168" s="106"/>
      <c r="H168" s="107"/>
    </row>
    <row r="169">
      <c r="D169" s="106"/>
      <c r="H169" s="107"/>
    </row>
    <row r="170">
      <c r="D170" s="106"/>
      <c r="H170" s="107"/>
    </row>
    <row r="171">
      <c r="D171" s="106"/>
      <c r="H171" s="107"/>
    </row>
    <row r="172">
      <c r="D172" s="106"/>
      <c r="H172" s="107"/>
    </row>
    <row r="173">
      <c r="D173" s="106"/>
      <c r="H173" s="107"/>
    </row>
    <row r="174">
      <c r="D174" s="106"/>
      <c r="H174" s="107"/>
    </row>
    <row r="175">
      <c r="D175" s="106"/>
      <c r="H175" s="107"/>
    </row>
    <row r="176">
      <c r="D176" s="106"/>
      <c r="H176" s="107"/>
    </row>
    <row r="177">
      <c r="D177" s="106"/>
      <c r="H177" s="107"/>
    </row>
    <row r="178">
      <c r="D178" s="106"/>
      <c r="H178" s="107"/>
    </row>
    <row r="179">
      <c r="D179" s="106"/>
      <c r="H179" s="107"/>
    </row>
    <row r="180">
      <c r="D180" s="106"/>
      <c r="H180" s="107"/>
    </row>
    <row r="181">
      <c r="D181" s="106"/>
      <c r="H181" s="107"/>
    </row>
    <row r="182">
      <c r="D182" s="106"/>
      <c r="H182" s="107"/>
    </row>
    <row r="183">
      <c r="D183" s="106"/>
      <c r="H183" s="107"/>
    </row>
    <row r="184">
      <c r="D184" s="106"/>
      <c r="H184" s="107"/>
    </row>
    <row r="185">
      <c r="D185" s="106"/>
      <c r="H185" s="107"/>
    </row>
    <row r="186">
      <c r="D186" s="106"/>
      <c r="H186" s="107"/>
    </row>
    <row r="187">
      <c r="D187" s="106"/>
      <c r="H187" s="107"/>
    </row>
    <row r="188">
      <c r="D188" s="106"/>
      <c r="H188" s="107"/>
    </row>
    <row r="189">
      <c r="D189" s="106"/>
      <c r="H189" s="107"/>
    </row>
    <row r="190">
      <c r="D190" s="106"/>
      <c r="H190" s="107"/>
    </row>
    <row r="191">
      <c r="D191" s="106"/>
      <c r="H191" s="107"/>
    </row>
    <row r="192">
      <c r="D192" s="106"/>
      <c r="H192" s="107"/>
    </row>
    <row r="193">
      <c r="D193" s="106"/>
      <c r="H193" s="107"/>
    </row>
    <row r="194">
      <c r="D194" s="106"/>
      <c r="H194" s="107"/>
    </row>
    <row r="195">
      <c r="D195" s="106"/>
      <c r="H195" s="107"/>
    </row>
    <row r="196">
      <c r="D196" s="106"/>
      <c r="H196" s="107"/>
    </row>
    <row r="197">
      <c r="D197" s="106"/>
      <c r="H197" s="107"/>
    </row>
    <row r="198">
      <c r="D198" s="106"/>
      <c r="H198" s="107"/>
    </row>
    <row r="199">
      <c r="D199" s="106"/>
      <c r="H199" s="107"/>
    </row>
    <row r="200">
      <c r="D200" s="106"/>
      <c r="H200" s="107"/>
    </row>
    <row r="201">
      <c r="D201" s="106"/>
      <c r="H201" s="107"/>
    </row>
    <row r="202">
      <c r="D202" s="106"/>
      <c r="H202" s="107"/>
    </row>
    <row r="203">
      <c r="D203" s="106"/>
      <c r="H203" s="107"/>
    </row>
    <row r="204">
      <c r="D204" s="106"/>
      <c r="H204" s="107"/>
    </row>
    <row r="205">
      <c r="D205" s="106"/>
      <c r="H205" s="107"/>
    </row>
    <row r="206">
      <c r="D206" s="106"/>
      <c r="H206" s="107"/>
    </row>
    <row r="207">
      <c r="D207" s="106"/>
      <c r="H207" s="107"/>
    </row>
    <row r="208">
      <c r="D208" s="106"/>
      <c r="H208" s="107"/>
    </row>
    <row r="209">
      <c r="D209" s="106"/>
      <c r="H209" s="107"/>
    </row>
    <row r="210">
      <c r="D210" s="106"/>
      <c r="H210" s="107"/>
    </row>
    <row r="211">
      <c r="D211" s="106"/>
      <c r="H211" s="107"/>
    </row>
    <row r="212">
      <c r="D212" s="106"/>
      <c r="H212" s="107"/>
    </row>
    <row r="213">
      <c r="D213" s="106"/>
      <c r="H213" s="107"/>
    </row>
    <row r="214">
      <c r="D214" s="106"/>
      <c r="H214" s="107"/>
    </row>
    <row r="215">
      <c r="D215" s="106"/>
      <c r="H215" s="107"/>
    </row>
    <row r="216">
      <c r="D216" s="106"/>
      <c r="H216" s="107"/>
    </row>
    <row r="217">
      <c r="D217" s="106"/>
      <c r="H217" s="107"/>
    </row>
    <row r="218">
      <c r="D218" s="106"/>
      <c r="H218" s="107"/>
    </row>
    <row r="219">
      <c r="D219" s="106"/>
      <c r="H219" s="107"/>
    </row>
    <row r="220">
      <c r="D220" s="106"/>
      <c r="H220" s="107"/>
    </row>
    <row r="221">
      <c r="D221" s="106"/>
      <c r="H221" s="107"/>
    </row>
    <row r="222">
      <c r="D222" s="106"/>
      <c r="H222" s="107"/>
    </row>
    <row r="223">
      <c r="D223" s="106"/>
      <c r="H223" s="107"/>
    </row>
    <row r="224">
      <c r="D224" s="106"/>
      <c r="H224" s="107"/>
    </row>
    <row r="225">
      <c r="D225" s="106"/>
      <c r="H225" s="107"/>
    </row>
    <row r="226">
      <c r="D226" s="106"/>
      <c r="H226" s="107"/>
    </row>
    <row r="227">
      <c r="D227" s="106"/>
      <c r="H227" s="107"/>
    </row>
    <row r="228">
      <c r="D228" s="106"/>
      <c r="H228" s="107"/>
    </row>
    <row r="229">
      <c r="D229" s="106"/>
      <c r="H229" s="107"/>
    </row>
    <row r="230">
      <c r="D230" s="106"/>
      <c r="H230" s="107"/>
    </row>
    <row r="231">
      <c r="D231" s="106"/>
      <c r="H231" s="107"/>
    </row>
    <row r="232">
      <c r="D232" s="106"/>
      <c r="H232" s="107"/>
    </row>
    <row r="233">
      <c r="D233" s="106"/>
      <c r="H233" s="107"/>
    </row>
    <row r="234">
      <c r="D234" s="106"/>
      <c r="H234" s="107"/>
    </row>
    <row r="235">
      <c r="D235" s="106"/>
      <c r="H235" s="107"/>
    </row>
    <row r="236">
      <c r="D236" s="106"/>
      <c r="H236" s="107"/>
    </row>
    <row r="237">
      <c r="D237" s="106"/>
      <c r="H237" s="107"/>
    </row>
    <row r="238">
      <c r="D238" s="106"/>
      <c r="H238" s="107"/>
    </row>
    <row r="239">
      <c r="D239" s="106"/>
      <c r="H239" s="107"/>
    </row>
    <row r="240">
      <c r="D240" s="106"/>
      <c r="H240" s="107"/>
    </row>
    <row r="241">
      <c r="D241" s="106"/>
      <c r="H241" s="107"/>
    </row>
    <row r="242">
      <c r="D242" s="106"/>
      <c r="H242" s="107"/>
    </row>
    <row r="243">
      <c r="D243" s="106"/>
      <c r="H243" s="107"/>
    </row>
    <row r="244">
      <c r="D244" s="106"/>
      <c r="H244" s="107"/>
    </row>
    <row r="245">
      <c r="D245" s="106"/>
      <c r="H245" s="107"/>
    </row>
    <row r="246">
      <c r="D246" s="106"/>
      <c r="H246" s="107"/>
    </row>
    <row r="247">
      <c r="D247" s="106"/>
      <c r="H247" s="107"/>
    </row>
    <row r="248">
      <c r="D248" s="106"/>
      <c r="H248" s="107"/>
    </row>
    <row r="249">
      <c r="D249" s="106"/>
      <c r="H249" s="107"/>
    </row>
    <row r="250">
      <c r="D250" s="106"/>
      <c r="H250" s="107"/>
    </row>
    <row r="251">
      <c r="D251" s="106"/>
      <c r="H251" s="107"/>
    </row>
    <row r="252">
      <c r="D252" s="106"/>
      <c r="H252" s="107"/>
    </row>
    <row r="253">
      <c r="D253" s="106"/>
      <c r="H253" s="107"/>
    </row>
    <row r="254">
      <c r="D254" s="106"/>
      <c r="H254" s="107"/>
    </row>
    <row r="255">
      <c r="D255" s="106"/>
      <c r="H255" s="107"/>
    </row>
    <row r="256">
      <c r="D256" s="106"/>
      <c r="H256" s="107"/>
    </row>
    <row r="257">
      <c r="D257" s="106"/>
      <c r="H257" s="107"/>
    </row>
    <row r="258">
      <c r="D258" s="106"/>
      <c r="H258" s="107"/>
    </row>
    <row r="259">
      <c r="D259" s="106"/>
      <c r="H259" s="107"/>
    </row>
    <row r="260">
      <c r="D260" s="106"/>
      <c r="H260" s="107"/>
    </row>
    <row r="261">
      <c r="D261" s="106"/>
      <c r="H261" s="107"/>
    </row>
    <row r="262">
      <c r="D262" s="106"/>
      <c r="H262" s="107"/>
    </row>
    <row r="263">
      <c r="D263" s="106"/>
      <c r="H263" s="107"/>
    </row>
    <row r="264">
      <c r="D264" s="106"/>
      <c r="H264" s="107"/>
    </row>
    <row r="265">
      <c r="D265" s="106"/>
      <c r="H265" s="107"/>
    </row>
    <row r="266">
      <c r="D266" s="106"/>
      <c r="H266" s="107"/>
    </row>
    <row r="267">
      <c r="D267" s="106"/>
      <c r="H267" s="107"/>
    </row>
    <row r="268">
      <c r="D268" s="106"/>
      <c r="H268" s="107"/>
    </row>
    <row r="269">
      <c r="D269" s="106"/>
      <c r="H269" s="107"/>
    </row>
    <row r="270">
      <c r="D270" s="106"/>
      <c r="H270" s="107"/>
    </row>
    <row r="271">
      <c r="D271" s="106"/>
      <c r="H271" s="107"/>
    </row>
    <row r="272">
      <c r="D272" s="106"/>
      <c r="H272" s="107"/>
    </row>
    <row r="273">
      <c r="D273" s="106"/>
      <c r="H273" s="107"/>
    </row>
    <row r="274">
      <c r="D274" s="106"/>
      <c r="H274" s="107"/>
    </row>
    <row r="275">
      <c r="D275" s="106"/>
      <c r="H275" s="107"/>
    </row>
    <row r="276">
      <c r="D276" s="106"/>
      <c r="H276" s="107"/>
    </row>
    <row r="277">
      <c r="D277" s="106"/>
      <c r="H277" s="107"/>
    </row>
    <row r="278">
      <c r="D278" s="106"/>
      <c r="H278" s="107"/>
    </row>
    <row r="279">
      <c r="D279" s="106"/>
      <c r="H279" s="107"/>
    </row>
    <row r="280">
      <c r="D280" s="106"/>
      <c r="H280" s="107"/>
    </row>
    <row r="281">
      <c r="D281" s="106"/>
      <c r="H281" s="107"/>
    </row>
    <row r="282">
      <c r="D282" s="106"/>
      <c r="H282" s="107"/>
    </row>
    <row r="283">
      <c r="D283" s="106"/>
      <c r="H283" s="107"/>
    </row>
    <row r="284">
      <c r="D284" s="106"/>
      <c r="H284" s="107"/>
    </row>
    <row r="285">
      <c r="D285" s="106"/>
      <c r="H285" s="107"/>
    </row>
    <row r="286">
      <c r="D286" s="106"/>
      <c r="H286" s="107"/>
    </row>
    <row r="287">
      <c r="D287" s="106"/>
      <c r="H287" s="107"/>
    </row>
    <row r="288">
      <c r="D288" s="106"/>
      <c r="H288" s="107"/>
    </row>
    <row r="289">
      <c r="D289" s="106"/>
      <c r="H289" s="107"/>
    </row>
    <row r="290">
      <c r="D290" s="106"/>
      <c r="H290" s="107"/>
    </row>
    <row r="291">
      <c r="D291" s="106"/>
      <c r="H291" s="107"/>
    </row>
    <row r="292">
      <c r="D292" s="106"/>
      <c r="H292" s="107"/>
    </row>
    <row r="293">
      <c r="D293" s="106"/>
      <c r="H293" s="107"/>
    </row>
    <row r="294">
      <c r="D294" s="106"/>
      <c r="H294" s="107"/>
    </row>
    <row r="295">
      <c r="D295" s="106"/>
      <c r="H295" s="107"/>
    </row>
    <row r="296">
      <c r="D296" s="106"/>
      <c r="H296" s="107"/>
    </row>
    <row r="297">
      <c r="D297" s="106"/>
      <c r="H297" s="107"/>
    </row>
    <row r="298">
      <c r="D298" s="106"/>
      <c r="H298" s="107"/>
    </row>
    <row r="299">
      <c r="D299" s="106"/>
      <c r="H299" s="107"/>
    </row>
    <row r="300">
      <c r="D300" s="106"/>
      <c r="H300" s="107"/>
    </row>
    <row r="301">
      <c r="D301" s="106"/>
      <c r="H301" s="107"/>
    </row>
    <row r="302">
      <c r="D302" s="106"/>
      <c r="H302" s="107"/>
    </row>
    <row r="303">
      <c r="D303" s="106"/>
      <c r="H303" s="107"/>
    </row>
    <row r="304">
      <c r="D304" s="106"/>
      <c r="H304" s="107"/>
    </row>
    <row r="305">
      <c r="D305" s="106"/>
      <c r="H305" s="107"/>
    </row>
    <row r="306">
      <c r="D306" s="106"/>
      <c r="H306" s="107"/>
    </row>
    <row r="307">
      <c r="D307" s="106"/>
      <c r="H307" s="107"/>
    </row>
    <row r="308">
      <c r="D308" s="106"/>
      <c r="H308" s="107"/>
    </row>
    <row r="309">
      <c r="D309" s="106"/>
      <c r="H309" s="107"/>
    </row>
    <row r="310">
      <c r="D310" s="106"/>
      <c r="H310" s="107"/>
    </row>
    <row r="311">
      <c r="D311" s="106"/>
      <c r="H311" s="107"/>
    </row>
    <row r="312">
      <c r="D312" s="106"/>
      <c r="H312" s="107"/>
    </row>
    <row r="313">
      <c r="D313" s="106"/>
      <c r="H313" s="107"/>
    </row>
    <row r="314">
      <c r="D314" s="106"/>
      <c r="H314" s="107"/>
    </row>
    <row r="315">
      <c r="D315" s="106"/>
      <c r="H315" s="107"/>
    </row>
    <row r="316">
      <c r="D316" s="106"/>
      <c r="H316" s="107"/>
    </row>
    <row r="317">
      <c r="D317" s="106"/>
      <c r="H317" s="107"/>
    </row>
    <row r="318">
      <c r="D318" s="106"/>
      <c r="H318" s="107"/>
    </row>
    <row r="319">
      <c r="D319" s="106"/>
      <c r="H319" s="107"/>
    </row>
    <row r="320">
      <c r="D320" s="106"/>
      <c r="H320" s="107"/>
    </row>
    <row r="321">
      <c r="D321" s="106"/>
      <c r="H321" s="107"/>
    </row>
    <row r="322">
      <c r="D322" s="106"/>
      <c r="H322" s="107"/>
    </row>
    <row r="323">
      <c r="D323" s="106"/>
      <c r="H323" s="107"/>
    </row>
    <row r="324">
      <c r="D324" s="106"/>
      <c r="H324" s="107"/>
    </row>
    <row r="325">
      <c r="D325" s="106"/>
      <c r="H325" s="107"/>
    </row>
    <row r="326">
      <c r="D326" s="106"/>
      <c r="H326" s="107"/>
    </row>
    <row r="327">
      <c r="D327" s="106"/>
      <c r="H327" s="107"/>
    </row>
    <row r="328">
      <c r="D328" s="106"/>
      <c r="H328" s="107"/>
    </row>
    <row r="329">
      <c r="D329" s="106"/>
      <c r="H329" s="107"/>
    </row>
    <row r="330">
      <c r="D330" s="106"/>
      <c r="H330" s="107"/>
    </row>
    <row r="331">
      <c r="D331" s="106"/>
      <c r="H331" s="107"/>
    </row>
    <row r="332">
      <c r="D332" s="106"/>
      <c r="H332" s="107"/>
    </row>
    <row r="333">
      <c r="D333" s="106"/>
      <c r="H333" s="107"/>
    </row>
    <row r="334">
      <c r="D334" s="106"/>
      <c r="H334" s="107"/>
    </row>
    <row r="335">
      <c r="D335" s="106"/>
      <c r="H335" s="107"/>
    </row>
    <row r="336">
      <c r="D336" s="106"/>
      <c r="H336" s="107"/>
    </row>
    <row r="337">
      <c r="D337" s="106"/>
      <c r="H337" s="107"/>
    </row>
    <row r="338">
      <c r="D338" s="106"/>
      <c r="H338" s="107"/>
    </row>
    <row r="339">
      <c r="D339" s="106"/>
      <c r="H339" s="107"/>
    </row>
    <row r="340">
      <c r="D340" s="106"/>
      <c r="H340" s="107"/>
    </row>
    <row r="341">
      <c r="D341" s="106"/>
      <c r="H341" s="107"/>
    </row>
    <row r="342">
      <c r="D342" s="106"/>
      <c r="H342" s="107"/>
    </row>
    <row r="343">
      <c r="D343" s="106"/>
      <c r="H343" s="107"/>
    </row>
    <row r="344">
      <c r="D344" s="106"/>
      <c r="H344" s="107"/>
    </row>
    <row r="345">
      <c r="D345" s="106"/>
      <c r="H345" s="107"/>
    </row>
    <row r="346">
      <c r="D346" s="106"/>
      <c r="H346" s="107"/>
    </row>
    <row r="347">
      <c r="D347" s="106"/>
      <c r="H347" s="107"/>
    </row>
    <row r="348">
      <c r="D348" s="106"/>
      <c r="H348" s="107"/>
    </row>
    <row r="349">
      <c r="D349" s="106"/>
      <c r="H349" s="107"/>
    </row>
    <row r="350">
      <c r="D350" s="106"/>
      <c r="H350" s="107"/>
    </row>
    <row r="351">
      <c r="D351" s="106"/>
      <c r="H351" s="107"/>
    </row>
    <row r="352">
      <c r="D352" s="106"/>
      <c r="H352" s="107"/>
    </row>
    <row r="353">
      <c r="D353" s="106"/>
      <c r="H353" s="107"/>
    </row>
    <row r="354">
      <c r="D354" s="106"/>
      <c r="H354" s="107"/>
    </row>
    <row r="355">
      <c r="D355" s="106"/>
      <c r="H355" s="107"/>
    </row>
    <row r="356">
      <c r="D356" s="106"/>
      <c r="H356" s="107"/>
    </row>
    <row r="357">
      <c r="D357" s="106"/>
      <c r="H357" s="107"/>
    </row>
    <row r="358">
      <c r="D358" s="106"/>
      <c r="H358" s="107"/>
    </row>
    <row r="359">
      <c r="D359" s="106"/>
      <c r="H359" s="107"/>
    </row>
    <row r="360">
      <c r="D360" s="106"/>
      <c r="H360" s="107"/>
    </row>
    <row r="361">
      <c r="D361" s="106"/>
      <c r="H361" s="107"/>
    </row>
    <row r="362">
      <c r="D362" s="106"/>
      <c r="H362" s="107"/>
    </row>
    <row r="363">
      <c r="D363" s="106"/>
      <c r="H363" s="107"/>
    </row>
    <row r="364">
      <c r="D364" s="106"/>
      <c r="H364" s="107"/>
    </row>
    <row r="365">
      <c r="D365" s="106"/>
      <c r="H365" s="107"/>
    </row>
    <row r="366">
      <c r="D366" s="106"/>
      <c r="H366" s="107"/>
    </row>
    <row r="367">
      <c r="D367" s="106"/>
      <c r="H367" s="107"/>
    </row>
    <row r="368">
      <c r="D368" s="106"/>
      <c r="H368" s="107"/>
    </row>
    <row r="369">
      <c r="D369" s="106"/>
      <c r="H369" s="107"/>
    </row>
    <row r="370">
      <c r="D370" s="106"/>
      <c r="H370" s="107"/>
    </row>
    <row r="371">
      <c r="D371" s="106"/>
      <c r="H371" s="107"/>
    </row>
    <row r="372">
      <c r="D372" s="106"/>
      <c r="H372" s="107"/>
    </row>
    <row r="373">
      <c r="D373" s="106"/>
      <c r="H373" s="107"/>
    </row>
    <row r="374">
      <c r="D374" s="106"/>
      <c r="H374" s="107"/>
    </row>
    <row r="375">
      <c r="D375" s="106"/>
      <c r="H375" s="107"/>
    </row>
    <row r="376">
      <c r="D376" s="106"/>
      <c r="H376" s="107"/>
    </row>
    <row r="377">
      <c r="D377" s="106"/>
      <c r="H377" s="107"/>
    </row>
    <row r="378">
      <c r="D378" s="106"/>
      <c r="H378" s="107"/>
    </row>
    <row r="379">
      <c r="D379" s="106"/>
      <c r="H379" s="107"/>
    </row>
    <row r="380">
      <c r="D380" s="106"/>
      <c r="H380" s="107"/>
    </row>
    <row r="381">
      <c r="D381" s="106"/>
      <c r="H381" s="107"/>
    </row>
    <row r="382">
      <c r="D382" s="106"/>
      <c r="H382" s="107"/>
    </row>
    <row r="383">
      <c r="D383" s="106"/>
      <c r="H383" s="107"/>
    </row>
    <row r="384">
      <c r="D384" s="106"/>
      <c r="H384" s="107"/>
    </row>
    <row r="385">
      <c r="D385" s="106"/>
      <c r="H385" s="107"/>
    </row>
    <row r="386">
      <c r="D386" s="106"/>
      <c r="H386" s="107"/>
    </row>
    <row r="387">
      <c r="D387" s="106"/>
      <c r="H387" s="107"/>
    </row>
    <row r="388">
      <c r="D388" s="106"/>
      <c r="H388" s="107"/>
    </row>
    <row r="389">
      <c r="D389" s="106"/>
      <c r="H389" s="107"/>
    </row>
    <row r="390">
      <c r="D390" s="106"/>
      <c r="H390" s="107"/>
    </row>
    <row r="391">
      <c r="D391" s="106"/>
      <c r="H391" s="107"/>
    </row>
    <row r="392">
      <c r="D392" s="106"/>
      <c r="H392" s="107"/>
    </row>
    <row r="393">
      <c r="D393" s="106"/>
      <c r="H393" s="107"/>
    </row>
    <row r="394">
      <c r="D394" s="106"/>
      <c r="H394" s="107"/>
    </row>
    <row r="395">
      <c r="D395" s="106"/>
      <c r="H395" s="107"/>
    </row>
    <row r="396">
      <c r="D396" s="106"/>
      <c r="H396" s="107"/>
    </row>
    <row r="397">
      <c r="D397" s="106"/>
      <c r="H397" s="107"/>
    </row>
    <row r="398">
      <c r="D398" s="106"/>
      <c r="H398" s="107"/>
    </row>
    <row r="399">
      <c r="D399" s="106"/>
      <c r="H399" s="107"/>
    </row>
    <row r="400">
      <c r="D400" s="106"/>
      <c r="H400" s="107"/>
    </row>
    <row r="401">
      <c r="D401" s="106"/>
      <c r="H401" s="107"/>
    </row>
    <row r="402">
      <c r="D402" s="106"/>
      <c r="H402" s="107"/>
    </row>
    <row r="403">
      <c r="D403" s="106"/>
      <c r="H403" s="107"/>
    </row>
    <row r="404">
      <c r="D404" s="106"/>
      <c r="H404" s="107"/>
    </row>
    <row r="405">
      <c r="D405" s="106"/>
      <c r="H405" s="107"/>
    </row>
    <row r="406">
      <c r="D406" s="106"/>
      <c r="H406" s="107"/>
    </row>
    <row r="407">
      <c r="D407" s="106"/>
      <c r="H407" s="107"/>
    </row>
    <row r="408">
      <c r="D408" s="106"/>
      <c r="H408" s="107"/>
    </row>
    <row r="409">
      <c r="D409" s="106"/>
      <c r="H409" s="107"/>
    </row>
    <row r="410">
      <c r="D410" s="106"/>
      <c r="H410" s="107"/>
    </row>
    <row r="411">
      <c r="D411" s="106"/>
      <c r="H411" s="107"/>
    </row>
    <row r="412">
      <c r="D412" s="106"/>
      <c r="H412" s="107"/>
    </row>
    <row r="413">
      <c r="D413" s="106"/>
      <c r="H413" s="107"/>
    </row>
    <row r="414">
      <c r="D414" s="106"/>
      <c r="H414" s="107"/>
    </row>
    <row r="415">
      <c r="D415" s="106"/>
      <c r="H415" s="107"/>
    </row>
    <row r="416">
      <c r="D416" s="106"/>
      <c r="H416" s="107"/>
    </row>
    <row r="417">
      <c r="D417" s="106"/>
      <c r="H417" s="107"/>
    </row>
    <row r="418">
      <c r="D418" s="106"/>
      <c r="H418" s="107"/>
    </row>
    <row r="419">
      <c r="D419" s="106"/>
      <c r="H419" s="107"/>
    </row>
    <row r="420">
      <c r="D420" s="106"/>
      <c r="H420" s="107"/>
    </row>
    <row r="421">
      <c r="D421" s="106"/>
      <c r="H421" s="107"/>
    </row>
    <row r="422">
      <c r="D422" s="106"/>
      <c r="H422" s="107"/>
    </row>
    <row r="423">
      <c r="D423" s="106"/>
      <c r="H423" s="107"/>
    </row>
    <row r="424">
      <c r="D424" s="106"/>
      <c r="H424" s="107"/>
    </row>
    <row r="425">
      <c r="D425" s="106"/>
      <c r="H425" s="107"/>
    </row>
    <row r="426">
      <c r="D426" s="106"/>
      <c r="H426" s="107"/>
    </row>
    <row r="427">
      <c r="D427" s="106"/>
      <c r="H427" s="107"/>
    </row>
    <row r="428">
      <c r="D428" s="106"/>
      <c r="H428" s="107"/>
    </row>
    <row r="429">
      <c r="D429" s="106"/>
      <c r="H429" s="107"/>
    </row>
    <row r="430">
      <c r="D430" s="106"/>
      <c r="H430" s="107"/>
    </row>
    <row r="431">
      <c r="D431" s="106"/>
      <c r="H431" s="107"/>
    </row>
    <row r="432">
      <c r="D432" s="106"/>
      <c r="H432" s="107"/>
    </row>
    <row r="433">
      <c r="D433" s="106"/>
      <c r="H433" s="107"/>
    </row>
    <row r="434">
      <c r="D434" s="106"/>
      <c r="H434" s="107"/>
    </row>
    <row r="435">
      <c r="D435" s="106"/>
      <c r="H435" s="107"/>
    </row>
    <row r="436">
      <c r="D436" s="106"/>
      <c r="H436" s="107"/>
    </row>
    <row r="437">
      <c r="D437" s="106"/>
      <c r="H437" s="107"/>
    </row>
    <row r="438">
      <c r="D438" s="106"/>
      <c r="H438" s="107"/>
    </row>
    <row r="439">
      <c r="D439" s="106"/>
      <c r="H439" s="107"/>
    </row>
    <row r="440">
      <c r="D440" s="106"/>
      <c r="H440" s="107"/>
    </row>
    <row r="441">
      <c r="D441" s="106"/>
      <c r="H441" s="107"/>
    </row>
    <row r="442">
      <c r="D442" s="106"/>
      <c r="H442" s="107"/>
    </row>
    <row r="443">
      <c r="D443" s="106"/>
      <c r="H443" s="107"/>
    </row>
    <row r="444">
      <c r="D444" s="106"/>
      <c r="H444" s="107"/>
    </row>
    <row r="445">
      <c r="D445" s="106"/>
      <c r="H445" s="107"/>
    </row>
    <row r="446">
      <c r="D446" s="106"/>
      <c r="H446" s="107"/>
    </row>
    <row r="447">
      <c r="D447" s="106"/>
      <c r="H447" s="107"/>
    </row>
    <row r="448">
      <c r="D448" s="106"/>
      <c r="H448" s="107"/>
    </row>
    <row r="449">
      <c r="D449" s="106"/>
      <c r="H449" s="107"/>
    </row>
    <row r="450">
      <c r="D450" s="106"/>
      <c r="H450" s="107"/>
    </row>
    <row r="451">
      <c r="D451" s="106"/>
      <c r="H451" s="107"/>
    </row>
    <row r="452">
      <c r="D452" s="106"/>
      <c r="H452" s="107"/>
    </row>
    <row r="453">
      <c r="D453" s="106"/>
      <c r="H453" s="107"/>
    </row>
    <row r="454">
      <c r="D454" s="106"/>
      <c r="H454" s="107"/>
    </row>
    <row r="455">
      <c r="D455" s="106"/>
      <c r="H455" s="107"/>
    </row>
    <row r="456">
      <c r="D456" s="106"/>
      <c r="H456" s="107"/>
    </row>
    <row r="457">
      <c r="D457" s="106"/>
      <c r="H457" s="107"/>
    </row>
    <row r="458">
      <c r="D458" s="106"/>
      <c r="H458" s="107"/>
    </row>
    <row r="459">
      <c r="D459" s="106"/>
      <c r="H459" s="107"/>
    </row>
    <row r="460">
      <c r="D460" s="106"/>
      <c r="H460" s="107"/>
    </row>
    <row r="461">
      <c r="D461" s="106"/>
      <c r="H461" s="107"/>
    </row>
    <row r="462">
      <c r="D462" s="106"/>
      <c r="H462" s="107"/>
    </row>
    <row r="463">
      <c r="D463" s="106"/>
      <c r="H463" s="107"/>
    </row>
    <row r="464">
      <c r="D464" s="106"/>
      <c r="H464" s="107"/>
    </row>
    <row r="465">
      <c r="D465" s="106"/>
      <c r="H465" s="107"/>
    </row>
    <row r="466">
      <c r="D466" s="106"/>
      <c r="H466" s="107"/>
    </row>
    <row r="467">
      <c r="D467" s="106"/>
      <c r="H467" s="107"/>
    </row>
    <row r="468">
      <c r="D468" s="106"/>
      <c r="H468" s="107"/>
    </row>
    <row r="469">
      <c r="D469" s="106"/>
      <c r="H469" s="107"/>
    </row>
    <row r="470">
      <c r="D470" s="106"/>
      <c r="H470" s="107"/>
    </row>
    <row r="471">
      <c r="D471" s="106"/>
      <c r="H471" s="107"/>
    </row>
    <row r="472">
      <c r="D472" s="106"/>
      <c r="H472" s="107"/>
    </row>
    <row r="473">
      <c r="D473" s="106"/>
      <c r="H473" s="107"/>
    </row>
    <row r="474">
      <c r="D474" s="106"/>
      <c r="H474" s="107"/>
    </row>
    <row r="475">
      <c r="D475" s="106"/>
      <c r="H475" s="107"/>
    </row>
    <row r="476">
      <c r="D476" s="106"/>
      <c r="H476" s="107"/>
    </row>
    <row r="477">
      <c r="D477" s="106"/>
      <c r="H477" s="107"/>
    </row>
    <row r="478">
      <c r="D478" s="106"/>
      <c r="H478" s="107"/>
    </row>
    <row r="479">
      <c r="D479" s="106"/>
      <c r="H479" s="107"/>
    </row>
    <row r="480">
      <c r="D480" s="106"/>
      <c r="H480" s="107"/>
    </row>
    <row r="481">
      <c r="D481" s="106"/>
      <c r="H481" s="107"/>
    </row>
    <row r="482">
      <c r="D482" s="106"/>
      <c r="H482" s="107"/>
    </row>
    <row r="483">
      <c r="D483" s="106"/>
      <c r="H483" s="107"/>
    </row>
    <row r="484">
      <c r="D484" s="106"/>
      <c r="H484" s="107"/>
    </row>
    <row r="485">
      <c r="D485" s="106"/>
      <c r="H485" s="107"/>
    </row>
    <row r="486">
      <c r="D486" s="106"/>
      <c r="H486" s="107"/>
    </row>
    <row r="487">
      <c r="D487" s="106"/>
      <c r="H487" s="107"/>
    </row>
    <row r="488">
      <c r="D488" s="106"/>
      <c r="H488" s="107"/>
    </row>
    <row r="489">
      <c r="D489" s="106"/>
      <c r="H489" s="107"/>
    </row>
    <row r="490">
      <c r="D490" s="106"/>
      <c r="H490" s="107"/>
    </row>
    <row r="491">
      <c r="D491" s="106"/>
      <c r="H491" s="107"/>
    </row>
    <row r="492">
      <c r="D492" s="106"/>
      <c r="H492" s="107"/>
    </row>
    <row r="493">
      <c r="D493" s="106"/>
      <c r="H493" s="107"/>
    </row>
    <row r="494">
      <c r="D494" s="106"/>
      <c r="H494" s="107"/>
    </row>
    <row r="495">
      <c r="D495" s="106"/>
      <c r="H495" s="107"/>
    </row>
    <row r="496">
      <c r="D496" s="106"/>
      <c r="H496" s="107"/>
    </row>
    <row r="497">
      <c r="D497" s="106"/>
      <c r="H497" s="107"/>
    </row>
    <row r="498">
      <c r="D498" s="106"/>
      <c r="H498" s="107"/>
    </row>
    <row r="499">
      <c r="D499" s="106"/>
      <c r="H499" s="107"/>
    </row>
    <row r="500">
      <c r="D500" s="106"/>
      <c r="H500" s="107"/>
    </row>
    <row r="501">
      <c r="D501" s="106"/>
      <c r="H501" s="107"/>
    </row>
    <row r="502">
      <c r="D502" s="106"/>
      <c r="H502" s="107"/>
    </row>
    <row r="503">
      <c r="D503" s="106"/>
      <c r="H503" s="107"/>
    </row>
    <row r="504">
      <c r="D504" s="106"/>
      <c r="H504" s="107"/>
    </row>
    <row r="505">
      <c r="D505" s="106"/>
      <c r="H505" s="107"/>
    </row>
    <row r="506">
      <c r="D506" s="106"/>
      <c r="H506" s="107"/>
    </row>
    <row r="507">
      <c r="D507" s="106"/>
      <c r="H507" s="107"/>
    </row>
    <row r="508">
      <c r="D508" s="106"/>
      <c r="H508" s="107"/>
    </row>
    <row r="509">
      <c r="D509" s="106"/>
      <c r="H509" s="107"/>
    </row>
    <row r="510">
      <c r="D510" s="106"/>
      <c r="H510" s="107"/>
    </row>
    <row r="511">
      <c r="D511" s="106"/>
      <c r="H511" s="107"/>
    </row>
    <row r="512">
      <c r="D512" s="106"/>
      <c r="H512" s="107"/>
    </row>
    <row r="513">
      <c r="D513" s="106"/>
      <c r="H513" s="107"/>
    </row>
    <row r="514">
      <c r="D514" s="106"/>
      <c r="H514" s="107"/>
    </row>
    <row r="515">
      <c r="D515" s="106"/>
      <c r="H515" s="107"/>
    </row>
    <row r="516">
      <c r="D516" s="106"/>
      <c r="H516" s="107"/>
    </row>
    <row r="517">
      <c r="D517" s="106"/>
      <c r="H517" s="107"/>
    </row>
    <row r="518">
      <c r="D518" s="106"/>
      <c r="H518" s="107"/>
    </row>
    <row r="519">
      <c r="D519" s="106"/>
      <c r="H519" s="107"/>
    </row>
    <row r="520">
      <c r="D520" s="106"/>
      <c r="H520" s="107"/>
    </row>
    <row r="521">
      <c r="D521" s="106"/>
      <c r="H521" s="107"/>
    </row>
    <row r="522">
      <c r="D522" s="106"/>
      <c r="H522" s="107"/>
    </row>
    <row r="523">
      <c r="D523" s="106"/>
      <c r="H523" s="107"/>
    </row>
    <row r="524">
      <c r="D524" s="106"/>
      <c r="H524" s="107"/>
    </row>
    <row r="525">
      <c r="D525" s="106"/>
      <c r="H525" s="107"/>
    </row>
    <row r="526">
      <c r="D526" s="106"/>
      <c r="H526" s="107"/>
    </row>
    <row r="527">
      <c r="D527" s="106"/>
      <c r="H527" s="107"/>
    </row>
    <row r="528">
      <c r="D528" s="106"/>
      <c r="H528" s="107"/>
    </row>
    <row r="529">
      <c r="D529" s="106"/>
      <c r="H529" s="107"/>
    </row>
    <row r="530">
      <c r="D530" s="106"/>
      <c r="H530" s="107"/>
    </row>
    <row r="531">
      <c r="D531" s="106"/>
      <c r="H531" s="107"/>
    </row>
    <row r="532">
      <c r="D532" s="106"/>
      <c r="H532" s="107"/>
    </row>
    <row r="533">
      <c r="D533" s="106"/>
      <c r="H533" s="107"/>
    </row>
    <row r="534">
      <c r="D534" s="106"/>
      <c r="H534" s="107"/>
    </row>
    <row r="535">
      <c r="D535" s="106"/>
      <c r="H535" s="107"/>
    </row>
    <row r="536">
      <c r="D536" s="106"/>
      <c r="H536" s="107"/>
    </row>
    <row r="537">
      <c r="D537" s="106"/>
      <c r="H537" s="107"/>
    </row>
    <row r="538">
      <c r="D538" s="106"/>
      <c r="H538" s="107"/>
    </row>
    <row r="539">
      <c r="D539" s="106"/>
      <c r="H539" s="107"/>
    </row>
    <row r="540">
      <c r="D540" s="106"/>
      <c r="H540" s="107"/>
    </row>
    <row r="541">
      <c r="D541" s="106"/>
      <c r="H541" s="107"/>
    </row>
    <row r="542">
      <c r="D542" s="106"/>
      <c r="H542" s="107"/>
    </row>
    <row r="543">
      <c r="D543" s="106"/>
      <c r="H543" s="107"/>
    </row>
    <row r="544">
      <c r="D544" s="106"/>
      <c r="H544" s="107"/>
    </row>
    <row r="545">
      <c r="D545" s="106"/>
      <c r="H545" s="107"/>
    </row>
    <row r="546">
      <c r="D546" s="106"/>
      <c r="H546" s="107"/>
    </row>
    <row r="547">
      <c r="D547" s="106"/>
      <c r="H547" s="107"/>
    </row>
    <row r="548">
      <c r="D548" s="106"/>
      <c r="H548" s="107"/>
    </row>
    <row r="549">
      <c r="D549" s="106"/>
      <c r="H549" s="107"/>
    </row>
    <row r="550">
      <c r="D550" s="106"/>
      <c r="H550" s="107"/>
    </row>
    <row r="551">
      <c r="D551" s="106"/>
      <c r="H551" s="107"/>
    </row>
    <row r="552">
      <c r="D552" s="106"/>
      <c r="H552" s="107"/>
    </row>
    <row r="553">
      <c r="D553" s="106"/>
      <c r="H553" s="107"/>
    </row>
    <row r="554">
      <c r="D554" s="106"/>
      <c r="H554" s="107"/>
    </row>
    <row r="555">
      <c r="D555" s="106"/>
      <c r="H555" s="107"/>
    </row>
    <row r="556">
      <c r="D556" s="106"/>
      <c r="H556" s="107"/>
    </row>
    <row r="557">
      <c r="D557" s="106"/>
      <c r="H557" s="107"/>
    </row>
    <row r="558">
      <c r="D558" s="106"/>
      <c r="H558" s="107"/>
    </row>
    <row r="559">
      <c r="D559" s="106"/>
      <c r="H559" s="107"/>
    </row>
    <row r="560">
      <c r="D560" s="106"/>
      <c r="H560" s="107"/>
    </row>
    <row r="561">
      <c r="D561" s="106"/>
      <c r="H561" s="107"/>
    </row>
    <row r="562">
      <c r="D562" s="106"/>
      <c r="H562" s="107"/>
    </row>
    <row r="563">
      <c r="D563" s="106"/>
      <c r="H563" s="107"/>
    </row>
    <row r="564">
      <c r="D564" s="106"/>
      <c r="H564" s="107"/>
    </row>
    <row r="565">
      <c r="D565" s="106"/>
      <c r="H565" s="107"/>
    </row>
    <row r="566">
      <c r="D566" s="106"/>
      <c r="H566" s="107"/>
    </row>
    <row r="567">
      <c r="D567" s="106"/>
      <c r="H567" s="107"/>
    </row>
    <row r="568">
      <c r="D568" s="106"/>
      <c r="H568" s="107"/>
    </row>
    <row r="569">
      <c r="D569" s="106"/>
      <c r="H569" s="107"/>
    </row>
    <row r="570">
      <c r="D570" s="106"/>
      <c r="H570" s="107"/>
    </row>
    <row r="571">
      <c r="D571" s="106"/>
      <c r="H571" s="107"/>
    </row>
    <row r="572">
      <c r="D572" s="106"/>
      <c r="H572" s="107"/>
    </row>
    <row r="573">
      <c r="D573" s="106"/>
      <c r="H573" s="107"/>
    </row>
    <row r="574">
      <c r="D574" s="106"/>
      <c r="H574" s="107"/>
    </row>
    <row r="575">
      <c r="D575" s="106"/>
      <c r="H575" s="107"/>
    </row>
    <row r="576">
      <c r="D576" s="106"/>
      <c r="H576" s="107"/>
    </row>
    <row r="577">
      <c r="D577" s="106"/>
      <c r="H577" s="107"/>
    </row>
    <row r="578">
      <c r="D578" s="106"/>
      <c r="H578" s="107"/>
    </row>
    <row r="579">
      <c r="D579" s="106"/>
      <c r="H579" s="107"/>
    </row>
    <row r="580">
      <c r="D580" s="106"/>
      <c r="H580" s="107"/>
    </row>
    <row r="581">
      <c r="D581" s="106"/>
      <c r="H581" s="107"/>
    </row>
    <row r="582">
      <c r="D582" s="106"/>
      <c r="H582" s="107"/>
    </row>
    <row r="583">
      <c r="D583" s="106"/>
      <c r="H583" s="107"/>
    </row>
    <row r="584">
      <c r="D584" s="106"/>
      <c r="H584" s="107"/>
    </row>
    <row r="585">
      <c r="D585" s="106"/>
      <c r="H585" s="107"/>
    </row>
    <row r="586">
      <c r="D586" s="106"/>
      <c r="H586" s="107"/>
    </row>
    <row r="587">
      <c r="D587" s="106"/>
      <c r="H587" s="107"/>
    </row>
    <row r="588">
      <c r="D588" s="106"/>
      <c r="H588" s="107"/>
    </row>
    <row r="589">
      <c r="D589" s="106"/>
      <c r="H589" s="107"/>
    </row>
    <row r="590">
      <c r="D590" s="106"/>
      <c r="H590" s="107"/>
    </row>
    <row r="591">
      <c r="D591" s="106"/>
      <c r="H591" s="107"/>
    </row>
    <row r="592">
      <c r="D592" s="106"/>
      <c r="H592" s="107"/>
    </row>
    <row r="593">
      <c r="D593" s="106"/>
      <c r="H593" s="107"/>
    </row>
    <row r="594">
      <c r="D594" s="106"/>
      <c r="H594" s="107"/>
    </row>
    <row r="595">
      <c r="D595" s="106"/>
      <c r="H595" s="107"/>
    </row>
    <row r="596">
      <c r="D596" s="106"/>
      <c r="H596" s="107"/>
    </row>
    <row r="597">
      <c r="D597" s="106"/>
      <c r="H597" s="107"/>
    </row>
    <row r="598">
      <c r="D598" s="106"/>
      <c r="H598" s="107"/>
    </row>
    <row r="599">
      <c r="D599" s="106"/>
      <c r="H599" s="107"/>
    </row>
    <row r="600">
      <c r="D600" s="106"/>
      <c r="H600" s="107"/>
    </row>
    <row r="601">
      <c r="D601" s="106"/>
      <c r="H601" s="107"/>
    </row>
    <row r="602">
      <c r="D602" s="106"/>
      <c r="H602" s="107"/>
    </row>
    <row r="603">
      <c r="D603" s="106"/>
      <c r="H603" s="107"/>
    </row>
    <row r="604">
      <c r="D604" s="106"/>
      <c r="H604" s="107"/>
    </row>
    <row r="605">
      <c r="D605" s="106"/>
      <c r="H605" s="107"/>
    </row>
    <row r="606">
      <c r="D606" s="106"/>
      <c r="H606" s="107"/>
    </row>
    <row r="607">
      <c r="D607" s="106"/>
      <c r="H607" s="107"/>
    </row>
    <row r="608">
      <c r="D608" s="106"/>
      <c r="H608" s="107"/>
    </row>
    <row r="609">
      <c r="D609" s="106"/>
      <c r="H609" s="107"/>
    </row>
    <row r="610">
      <c r="D610" s="106"/>
      <c r="H610" s="107"/>
    </row>
    <row r="611">
      <c r="D611" s="106"/>
      <c r="H611" s="107"/>
    </row>
    <row r="612">
      <c r="D612" s="106"/>
      <c r="H612" s="107"/>
    </row>
    <row r="613">
      <c r="D613" s="106"/>
      <c r="H613" s="107"/>
    </row>
    <row r="614">
      <c r="D614" s="106"/>
      <c r="H614" s="107"/>
    </row>
    <row r="615">
      <c r="D615" s="106"/>
      <c r="H615" s="107"/>
    </row>
    <row r="616">
      <c r="D616" s="106"/>
      <c r="H616" s="107"/>
    </row>
    <row r="617">
      <c r="D617" s="106"/>
      <c r="H617" s="107"/>
    </row>
    <row r="618">
      <c r="D618" s="106"/>
      <c r="H618" s="107"/>
    </row>
    <row r="619">
      <c r="D619" s="106"/>
      <c r="H619" s="107"/>
    </row>
    <row r="620">
      <c r="D620" s="106"/>
      <c r="H620" s="107"/>
    </row>
    <row r="621">
      <c r="D621" s="106"/>
      <c r="H621" s="107"/>
    </row>
    <row r="622">
      <c r="D622" s="106"/>
      <c r="H622" s="107"/>
    </row>
    <row r="623">
      <c r="D623" s="106"/>
      <c r="H623" s="107"/>
    </row>
    <row r="624">
      <c r="D624" s="106"/>
      <c r="H624" s="107"/>
    </row>
    <row r="625">
      <c r="D625" s="106"/>
      <c r="H625" s="107"/>
    </row>
    <row r="626">
      <c r="D626" s="106"/>
      <c r="H626" s="107"/>
    </row>
    <row r="627">
      <c r="D627" s="106"/>
      <c r="H627" s="107"/>
    </row>
    <row r="628">
      <c r="D628" s="106"/>
      <c r="H628" s="107"/>
    </row>
    <row r="629">
      <c r="D629" s="106"/>
      <c r="H629" s="107"/>
    </row>
    <row r="630">
      <c r="D630" s="106"/>
      <c r="H630" s="107"/>
    </row>
    <row r="631">
      <c r="D631" s="106"/>
      <c r="H631" s="107"/>
    </row>
    <row r="632">
      <c r="D632" s="106"/>
      <c r="H632" s="107"/>
    </row>
    <row r="633">
      <c r="D633" s="106"/>
      <c r="H633" s="107"/>
    </row>
    <row r="634">
      <c r="D634" s="106"/>
      <c r="H634" s="107"/>
    </row>
    <row r="635">
      <c r="D635" s="106"/>
      <c r="H635" s="107"/>
    </row>
    <row r="636">
      <c r="D636" s="106"/>
      <c r="H636" s="107"/>
    </row>
    <row r="637">
      <c r="D637" s="106"/>
      <c r="H637" s="107"/>
    </row>
    <row r="638">
      <c r="D638" s="106"/>
      <c r="H638" s="107"/>
    </row>
    <row r="639">
      <c r="D639" s="106"/>
      <c r="H639" s="107"/>
    </row>
    <row r="640">
      <c r="D640" s="106"/>
      <c r="H640" s="107"/>
    </row>
    <row r="641">
      <c r="D641" s="106"/>
      <c r="H641" s="107"/>
    </row>
    <row r="642">
      <c r="D642" s="106"/>
      <c r="H642" s="107"/>
    </row>
    <row r="643">
      <c r="D643" s="106"/>
      <c r="H643" s="107"/>
    </row>
    <row r="644">
      <c r="D644" s="106"/>
      <c r="H644" s="107"/>
    </row>
    <row r="645">
      <c r="D645" s="106"/>
      <c r="H645" s="107"/>
    </row>
    <row r="646">
      <c r="D646" s="106"/>
      <c r="H646" s="107"/>
    </row>
    <row r="647">
      <c r="D647" s="106"/>
      <c r="H647" s="107"/>
    </row>
    <row r="648">
      <c r="D648" s="106"/>
      <c r="H648" s="107"/>
    </row>
    <row r="649">
      <c r="D649" s="106"/>
      <c r="H649" s="107"/>
    </row>
    <row r="650">
      <c r="D650" s="106"/>
      <c r="H650" s="107"/>
    </row>
    <row r="651">
      <c r="D651" s="106"/>
      <c r="H651" s="107"/>
    </row>
    <row r="652">
      <c r="D652" s="106"/>
      <c r="H652" s="107"/>
    </row>
    <row r="653">
      <c r="D653" s="106"/>
      <c r="H653" s="107"/>
    </row>
    <row r="654">
      <c r="D654" s="106"/>
      <c r="H654" s="107"/>
    </row>
    <row r="655">
      <c r="D655" s="106"/>
      <c r="H655" s="107"/>
    </row>
    <row r="656">
      <c r="D656" s="106"/>
      <c r="H656" s="107"/>
    </row>
    <row r="657">
      <c r="D657" s="106"/>
      <c r="H657" s="107"/>
    </row>
    <row r="658">
      <c r="D658" s="106"/>
      <c r="H658" s="107"/>
    </row>
    <row r="659">
      <c r="D659" s="106"/>
      <c r="H659" s="107"/>
    </row>
    <row r="660">
      <c r="D660" s="106"/>
      <c r="H660" s="107"/>
    </row>
    <row r="661">
      <c r="D661" s="106"/>
      <c r="H661" s="107"/>
    </row>
    <row r="662">
      <c r="D662" s="106"/>
      <c r="H662" s="107"/>
    </row>
    <row r="663">
      <c r="D663" s="106"/>
      <c r="H663" s="107"/>
    </row>
    <row r="664">
      <c r="D664" s="106"/>
      <c r="H664" s="107"/>
    </row>
    <row r="665">
      <c r="D665" s="106"/>
      <c r="H665" s="107"/>
    </row>
    <row r="666">
      <c r="D666" s="106"/>
      <c r="H666" s="107"/>
    </row>
    <row r="667">
      <c r="D667" s="106"/>
      <c r="H667" s="107"/>
    </row>
    <row r="668">
      <c r="D668" s="106"/>
      <c r="H668" s="107"/>
    </row>
    <row r="669">
      <c r="D669" s="106"/>
      <c r="H669" s="107"/>
    </row>
    <row r="670">
      <c r="D670" s="106"/>
      <c r="H670" s="107"/>
    </row>
    <row r="671">
      <c r="D671" s="106"/>
      <c r="H671" s="107"/>
    </row>
    <row r="672">
      <c r="D672" s="106"/>
      <c r="H672" s="107"/>
    </row>
    <row r="673">
      <c r="D673" s="106"/>
      <c r="H673" s="107"/>
    </row>
    <row r="674">
      <c r="D674" s="106"/>
      <c r="H674" s="107"/>
    </row>
    <row r="675">
      <c r="D675" s="106"/>
      <c r="H675" s="107"/>
    </row>
    <row r="676">
      <c r="D676" s="106"/>
      <c r="H676" s="107"/>
    </row>
    <row r="677">
      <c r="D677" s="106"/>
      <c r="H677" s="107"/>
    </row>
    <row r="678">
      <c r="D678" s="106"/>
      <c r="H678" s="107"/>
    </row>
    <row r="679">
      <c r="D679" s="106"/>
      <c r="H679" s="107"/>
    </row>
    <row r="680">
      <c r="D680" s="106"/>
      <c r="H680" s="107"/>
    </row>
    <row r="681">
      <c r="D681" s="106"/>
      <c r="H681" s="107"/>
    </row>
    <row r="682">
      <c r="D682" s="106"/>
      <c r="H682" s="107"/>
    </row>
    <row r="683">
      <c r="D683" s="106"/>
      <c r="H683" s="107"/>
    </row>
    <row r="684">
      <c r="D684" s="106"/>
      <c r="H684" s="107"/>
    </row>
    <row r="685">
      <c r="D685" s="106"/>
      <c r="H685" s="107"/>
    </row>
    <row r="686">
      <c r="D686" s="106"/>
      <c r="H686" s="107"/>
    </row>
    <row r="687">
      <c r="D687" s="106"/>
      <c r="H687" s="107"/>
    </row>
    <row r="688">
      <c r="D688" s="106"/>
      <c r="H688" s="107"/>
    </row>
    <row r="689">
      <c r="D689" s="106"/>
      <c r="H689" s="107"/>
    </row>
    <row r="690">
      <c r="D690" s="106"/>
      <c r="H690" s="107"/>
    </row>
    <row r="691">
      <c r="D691" s="106"/>
      <c r="H691" s="107"/>
    </row>
    <row r="692">
      <c r="D692" s="106"/>
      <c r="H692" s="107"/>
    </row>
    <row r="693">
      <c r="D693" s="106"/>
      <c r="H693" s="107"/>
    </row>
    <row r="694">
      <c r="D694" s="106"/>
      <c r="H694" s="107"/>
    </row>
    <row r="695">
      <c r="D695" s="106"/>
      <c r="H695" s="107"/>
    </row>
    <row r="696">
      <c r="D696" s="106"/>
      <c r="H696" s="107"/>
    </row>
    <row r="697">
      <c r="D697" s="106"/>
      <c r="H697" s="107"/>
    </row>
    <row r="698">
      <c r="D698" s="106"/>
      <c r="H698" s="107"/>
    </row>
    <row r="699">
      <c r="D699" s="106"/>
      <c r="H699" s="107"/>
    </row>
    <row r="700">
      <c r="D700" s="106"/>
      <c r="H700" s="107"/>
    </row>
    <row r="701">
      <c r="D701" s="106"/>
      <c r="H701" s="107"/>
    </row>
    <row r="702">
      <c r="D702" s="106"/>
      <c r="H702" s="107"/>
    </row>
    <row r="703">
      <c r="D703" s="106"/>
      <c r="H703" s="107"/>
    </row>
    <row r="704">
      <c r="D704" s="106"/>
      <c r="H704" s="107"/>
    </row>
    <row r="705">
      <c r="D705" s="106"/>
      <c r="H705" s="107"/>
    </row>
    <row r="706">
      <c r="D706" s="106"/>
      <c r="H706" s="107"/>
    </row>
    <row r="707">
      <c r="D707" s="106"/>
      <c r="H707" s="107"/>
    </row>
    <row r="708">
      <c r="D708" s="106"/>
      <c r="H708" s="107"/>
    </row>
    <row r="709">
      <c r="D709" s="106"/>
      <c r="H709" s="107"/>
    </row>
    <row r="710">
      <c r="D710" s="106"/>
      <c r="H710" s="107"/>
    </row>
    <row r="711">
      <c r="D711" s="106"/>
      <c r="H711" s="107"/>
    </row>
    <row r="712">
      <c r="D712" s="106"/>
      <c r="H712" s="107"/>
    </row>
    <row r="713">
      <c r="D713" s="106"/>
      <c r="H713" s="107"/>
    </row>
    <row r="714">
      <c r="D714" s="106"/>
      <c r="H714" s="107"/>
    </row>
    <row r="715">
      <c r="D715" s="106"/>
      <c r="H715" s="107"/>
    </row>
    <row r="716">
      <c r="D716" s="106"/>
      <c r="H716" s="107"/>
    </row>
    <row r="717">
      <c r="D717" s="106"/>
      <c r="H717" s="107"/>
    </row>
    <row r="718">
      <c r="D718" s="106"/>
      <c r="H718" s="107"/>
    </row>
    <row r="719">
      <c r="D719" s="106"/>
      <c r="H719" s="107"/>
    </row>
    <row r="720">
      <c r="D720" s="106"/>
      <c r="H720" s="107"/>
    </row>
    <row r="721">
      <c r="D721" s="106"/>
      <c r="H721" s="107"/>
    </row>
    <row r="722">
      <c r="D722" s="106"/>
      <c r="H722" s="107"/>
    </row>
    <row r="723">
      <c r="D723" s="106"/>
      <c r="H723" s="107"/>
    </row>
    <row r="724">
      <c r="D724" s="106"/>
      <c r="H724" s="107"/>
    </row>
    <row r="725">
      <c r="D725" s="106"/>
      <c r="H725" s="107"/>
    </row>
    <row r="726">
      <c r="D726" s="106"/>
      <c r="H726" s="107"/>
    </row>
    <row r="727">
      <c r="D727" s="106"/>
      <c r="H727" s="107"/>
    </row>
    <row r="728">
      <c r="D728" s="106"/>
      <c r="H728" s="107"/>
    </row>
    <row r="729">
      <c r="D729" s="106"/>
      <c r="H729" s="107"/>
    </row>
    <row r="730">
      <c r="D730" s="106"/>
      <c r="H730" s="107"/>
    </row>
    <row r="731">
      <c r="D731" s="106"/>
      <c r="H731" s="107"/>
    </row>
    <row r="732">
      <c r="D732" s="106"/>
      <c r="H732" s="107"/>
    </row>
    <row r="733">
      <c r="D733" s="106"/>
      <c r="H733" s="107"/>
    </row>
    <row r="734">
      <c r="D734" s="106"/>
      <c r="H734" s="107"/>
    </row>
    <row r="735">
      <c r="D735" s="106"/>
      <c r="H735" s="107"/>
    </row>
    <row r="736">
      <c r="D736" s="106"/>
      <c r="H736" s="107"/>
    </row>
    <row r="737">
      <c r="D737" s="106"/>
      <c r="H737" s="107"/>
    </row>
    <row r="738">
      <c r="D738" s="106"/>
      <c r="H738" s="107"/>
    </row>
    <row r="739">
      <c r="D739" s="106"/>
      <c r="H739" s="107"/>
    </row>
    <row r="740">
      <c r="D740" s="106"/>
      <c r="H740" s="107"/>
    </row>
    <row r="741">
      <c r="D741" s="106"/>
      <c r="H741" s="107"/>
    </row>
    <row r="742">
      <c r="D742" s="106"/>
      <c r="H742" s="107"/>
    </row>
    <row r="743">
      <c r="D743" s="106"/>
      <c r="H743" s="107"/>
    </row>
    <row r="744">
      <c r="D744" s="106"/>
      <c r="H744" s="107"/>
    </row>
    <row r="745">
      <c r="D745" s="106"/>
      <c r="H745" s="107"/>
    </row>
    <row r="746">
      <c r="D746" s="106"/>
      <c r="H746" s="107"/>
    </row>
    <row r="747">
      <c r="D747" s="106"/>
      <c r="H747" s="107"/>
    </row>
    <row r="748">
      <c r="D748" s="106"/>
      <c r="H748" s="107"/>
    </row>
    <row r="749">
      <c r="D749" s="106"/>
      <c r="H749" s="107"/>
    </row>
    <row r="750">
      <c r="D750" s="106"/>
      <c r="H750" s="107"/>
    </row>
    <row r="751">
      <c r="D751" s="106"/>
      <c r="H751" s="107"/>
    </row>
    <row r="752">
      <c r="D752" s="106"/>
      <c r="H752" s="107"/>
    </row>
    <row r="753">
      <c r="D753" s="106"/>
      <c r="H753" s="107"/>
    </row>
    <row r="754">
      <c r="D754" s="106"/>
      <c r="H754" s="107"/>
    </row>
    <row r="755">
      <c r="D755" s="106"/>
      <c r="H755" s="107"/>
    </row>
    <row r="756">
      <c r="D756" s="106"/>
      <c r="H756" s="107"/>
    </row>
    <row r="757">
      <c r="D757" s="106"/>
      <c r="H757" s="107"/>
    </row>
    <row r="758">
      <c r="D758" s="106"/>
      <c r="H758" s="107"/>
    </row>
    <row r="759">
      <c r="D759" s="106"/>
      <c r="H759" s="107"/>
    </row>
    <row r="760">
      <c r="D760" s="106"/>
      <c r="H760" s="107"/>
    </row>
    <row r="761">
      <c r="D761" s="106"/>
      <c r="H761" s="107"/>
    </row>
    <row r="762">
      <c r="D762" s="106"/>
      <c r="H762" s="107"/>
    </row>
    <row r="763">
      <c r="D763" s="106"/>
      <c r="H763" s="107"/>
    </row>
    <row r="764">
      <c r="D764" s="106"/>
      <c r="H764" s="107"/>
    </row>
    <row r="765">
      <c r="D765" s="106"/>
      <c r="H765" s="107"/>
    </row>
    <row r="766">
      <c r="D766" s="106"/>
      <c r="H766" s="107"/>
    </row>
    <row r="767">
      <c r="D767" s="106"/>
      <c r="H767" s="107"/>
    </row>
    <row r="768">
      <c r="D768" s="106"/>
      <c r="H768" s="107"/>
    </row>
    <row r="769">
      <c r="D769" s="106"/>
      <c r="H769" s="107"/>
    </row>
    <row r="770">
      <c r="D770" s="106"/>
      <c r="H770" s="107"/>
    </row>
    <row r="771">
      <c r="D771" s="106"/>
      <c r="H771" s="107"/>
    </row>
    <row r="772">
      <c r="D772" s="106"/>
      <c r="H772" s="107"/>
    </row>
    <row r="773">
      <c r="D773" s="106"/>
      <c r="H773" s="107"/>
    </row>
    <row r="774">
      <c r="D774" s="106"/>
      <c r="H774" s="107"/>
    </row>
    <row r="775">
      <c r="D775" s="106"/>
      <c r="H775" s="107"/>
    </row>
    <row r="776">
      <c r="D776" s="106"/>
      <c r="H776" s="107"/>
    </row>
    <row r="777">
      <c r="D777" s="106"/>
      <c r="H777" s="107"/>
    </row>
    <row r="778">
      <c r="D778" s="106"/>
      <c r="H778" s="107"/>
    </row>
    <row r="779">
      <c r="D779" s="106"/>
      <c r="H779" s="107"/>
    </row>
    <row r="780">
      <c r="D780" s="106"/>
      <c r="H780" s="107"/>
    </row>
    <row r="781">
      <c r="D781" s="106"/>
      <c r="H781" s="107"/>
    </row>
    <row r="782">
      <c r="D782" s="106"/>
      <c r="H782" s="107"/>
    </row>
    <row r="783">
      <c r="D783" s="106"/>
      <c r="H783" s="107"/>
    </row>
    <row r="784">
      <c r="D784" s="106"/>
      <c r="H784" s="107"/>
    </row>
    <row r="785">
      <c r="D785" s="106"/>
      <c r="H785" s="107"/>
    </row>
    <row r="786">
      <c r="D786" s="106"/>
      <c r="H786" s="107"/>
    </row>
    <row r="787">
      <c r="D787" s="106"/>
      <c r="H787" s="107"/>
    </row>
    <row r="788">
      <c r="D788" s="106"/>
      <c r="H788" s="107"/>
    </row>
    <row r="789">
      <c r="D789" s="106"/>
      <c r="H789" s="107"/>
    </row>
    <row r="790">
      <c r="D790" s="106"/>
      <c r="H790" s="107"/>
    </row>
    <row r="791">
      <c r="D791" s="106"/>
      <c r="H791" s="107"/>
    </row>
    <row r="792">
      <c r="D792" s="106"/>
      <c r="H792" s="107"/>
    </row>
    <row r="793">
      <c r="D793" s="106"/>
      <c r="H793" s="107"/>
    </row>
    <row r="794">
      <c r="D794" s="106"/>
      <c r="H794" s="107"/>
    </row>
    <row r="795">
      <c r="D795" s="106"/>
      <c r="H795" s="107"/>
    </row>
    <row r="796">
      <c r="D796" s="106"/>
      <c r="H796" s="107"/>
    </row>
    <row r="797">
      <c r="D797" s="106"/>
      <c r="H797" s="107"/>
    </row>
    <row r="798">
      <c r="D798" s="106"/>
      <c r="H798" s="107"/>
    </row>
    <row r="799">
      <c r="D799" s="106"/>
      <c r="H799" s="107"/>
    </row>
    <row r="800">
      <c r="D800" s="106"/>
      <c r="H800" s="107"/>
    </row>
    <row r="801">
      <c r="D801" s="106"/>
      <c r="H801" s="107"/>
    </row>
    <row r="802">
      <c r="D802" s="106"/>
      <c r="H802" s="107"/>
    </row>
    <row r="803">
      <c r="D803" s="106"/>
      <c r="H803" s="107"/>
    </row>
    <row r="804">
      <c r="D804" s="106"/>
      <c r="H804" s="107"/>
    </row>
    <row r="805">
      <c r="D805" s="106"/>
      <c r="H805" s="107"/>
    </row>
    <row r="806">
      <c r="D806" s="106"/>
      <c r="H806" s="107"/>
    </row>
    <row r="807">
      <c r="D807" s="106"/>
      <c r="H807" s="107"/>
    </row>
    <row r="808">
      <c r="D808" s="106"/>
      <c r="H808" s="107"/>
    </row>
    <row r="809">
      <c r="D809" s="106"/>
      <c r="H809" s="107"/>
    </row>
    <row r="810">
      <c r="D810" s="106"/>
      <c r="H810" s="107"/>
    </row>
    <row r="811">
      <c r="D811" s="106"/>
      <c r="H811" s="107"/>
    </row>
    <row r="812">
      <c r="D812" s="106"/>
      <c r="H812" s="107"/>
    </row>
    <row r="813">
      <c r="D813" s="106"/>
      <c r="H813" s="107"/>
    </row>
    <row r="814">
      <c r="D814" s="106"/>
      <c r="H814" s="107"/>
    </row>
    <row r="815">
      <c r="D815" s="106"/>
      <c r="H815" s="107"/>
    </row>
    <row r="816">
      <c r="D816" s="106"/>
      <c r="H816" s="107"/>
    </row>
    <row r="817">
      <c r="D817" s="106"/>
      <c r="H817" s="107"/>
    </row>
    <row r="818">
      <c r="D818" s="106"/>
      <c r="H818" s="107"/>
    </row>
    <row r="819">
      <c r="D819" s="106"/>
      <c r="H819" s="107"/>
    </row>
    <row r="820">
      <c r="D820" s="106"/>
      <c r="H820" s="107"/>
    </row>
    <row r="821">
      <c r="D821" s="106"/>
      <c r="H821" s="107"/>
    </row>
    <row r="822">
      <c r="D822" s="106"/>
      <c r="H822" s="107"/>
    </row>
    <row r="823">
      <c r="D823" s="106"/>
      <c r="H823" s="107"/>
    </row>
    <row r="824">
      <c r="D824" s="106"/>
      <c r="H824" s="107"/>
    </row>
    <row r="825">
      <c r="D825" s="106"/>
      <c r="H825" s="107"/>
    </row>
    <row r="826">
      <c r="D826" s="106"/>
      <c r="H826" s="107"/>
    </row>
    <row r="827">
      <c r="D827" s="106"/>
      <c r="H827" s="107"/>
    </row>
    <row r="828">
      <c r="D828" s="106"/>
      <c r="H828" s="107"/>
    </row>
    <row r="829">
      <c r="D829" s="106"/>
      <c r="H829" s="107"/>
    </row>
    <row r="830">
      <c r="D830" s="106"/>
      <c r="H830" s="107"/>
    </row>
    <row r="831">
      <c r="D831" s="106"/>
      <c r="H831" s="107"/>
    </row>
    <row r="832">
      <c r="D832" s="106"/>
      <c r="H832" s="107"/>
    </row>
    <row r="833">
      <c r="D833" s="106"/>
      <c r="H833" s="107"/>
    </row>
    <row r="834">
      <c r="D834" s="106"/>
      <c r="H834" s="107"/>
    </row>
    <row r="835">
      <c r="D835" s="106"/>
      <c r="H835" s="107"/>
    </row>
    <row r="836">
      <c r="D836" s="106"/>
      <c r="H836" s="107"/>
    </row>
    <row r="837">
      <c r="D837" s="106"/>
      <c r="H837" s="107"/>
    </row>
    <row r="838">
      <c r="D838" s="106"/>
      <c r="H838" s="107"/>
    </row>
    <row r="839">
      <c r="D839" s="106"/>
      <c r="H839" s="107"/>
    </row>
    <row r="840">
      <c r="D840" s="106"/>
      <c r="H840" s="107"/>
    </row>
    <row r="841">
      <c r="D841" s="106"/>
      <c r="H841" s="107"/>
    </row>
    <row r="842">
      <c r="D842" s="106"/>
      <c r="H842" s="107"/>
    </row>
    <row r="843">
      <c r="D843" s="106"/>
      <c r="H843" s="107"/>
    </row>
    <row r="844">
      <c r="D844" s="106"/>
      <c r="H844" s="107"/>
    </row>
    <row r="845">
      <c r="D845" s="106"/>
      <c r="H845" s="107"/>
    </row>
    <row r="846">
      <c r="D846" s="106"/>
      <c r="H846" s="107"/>
    </row>
    <row r="847">
      <c r="D847" s="106"/>
      <c r="H847" s="107"/>
    </row>
    <row r="848">
      <c r="D848" s="106"/>
      <c r="H848" s="107"/>
    </row>
    <row r="849">
      <c r="D849" s="106"/>
      <c r="H849" s="107"/>
    </row>
    <row r="850">
      <c r="D850" s="106"/>
      <c r="H850" s="107"/>
    </row>
    <row r="851">
      <c r="D851" s="106"/>
      <c r="H851" s="107"/>
    </row>
    <row r="852">
      <c r="D852" s="106"/>
      <c r="H852" s="107"/>
    </row>
    <row r="853">
      <c r="D853" s="106"/>
      <c r="H853" s="107"/>
    </row>
    <row r="854">
      <c r="D854" s="106"/>
      <c r="H854" s="107"/>
    </row>
    <row r="855">
      <c r="D855" s="106"/>
      <c r="H855" s="107"/>
    </row>
    <row r="856">
      <c r="D856" s="106"/>
      <c r="H856" s="107"/>
    </row>
    <row r="857">
      <c r="D857" s="106"/>
      <c r="H857" s="107"/>
    </row>
    <row r="858">
      <c r="D858" s="106"/>
      <c r="H858" s="107"/>
    </row>
    <row r="859">
      <c r="D859" s="106"/>
      <c r="H859" s="107"/>
    </row>
    <row r="860">
      <c r="D860" s="106"/>
      <c r="H860" s="107"/>
    </row>
    <row r="861">
      <c r="D861" s="106"/>
      <c r="H861" s="107"/>
    </row>
    <row r="862">
      <c r="D862" s="106"/>
      <c r="H862" s="107"/>
    </row>
    <row r="863">
      <c r="D863" s="106"/>
      <c r="H863" s="107"/>
    </row>
    <row r="864">
      <c r="D864" s="106"/>
      <c r="H864" s="107"/>
    </row>
    <row r="865">
      <c r="D865" s="106"/>
      <c r="H865" s="107"/>
    </row>
    <row r="866">
      <c r="D866" s="106"/>
      <c r="H866" s="107"/>
    </row>
    <row r="867">
      <c r="D867" s="106"/>
      <c r="H867" s="107"/>
    </row>
    <row r="868">
      <c r="D868" s="106"/>
      <c r="H868" s="107"/>
    </row>
    <row r="869">
      <c r="D869" s="106"/>
      <c r="H869" s="107"/>
    </row>
    <row r="870">
      <c r="D870" s="106"/>
      <c r="H870" s="107"/>
    </row>
    <row r="871">
      <c r="D871" s="106"/>
      <c r="H871" s="107"/>
    </row>
    <row r="872">
      <c r="D872" s="106"/>
      <c r="H872" s="107"/>
    </row>
    <row r="873">
      <c r="D873" s="106"/>
      <c r="H873" s="107"/>
    </row>
    <row r="874">
      <c r="D874" s="106"/>
      <c r="H874" s="107"/>
    </row>
    <row r="875">
      <c r="D875" s="106"/>
      <c r="H875" s="107"/>
    </row>
    <row r="876">
      <c r="D876" s="106"/>
      <c r="H876" s="107"/>
    </row>
    <row r="877">
      <c r="D877" s="106"/>
      <c r="H877" s="107"/>
    </row>
    <row r="878">
      <c r="D878" s="106"/>
      <c r="H878" s="107"/>
    </row>
    <row r="879">
      <c r="D879" s="106"/>
      <c r="H879" s="107"/>
    </row>
    <row r="880">
      <c r="D880" s="106"/>
      <c r="H880" s="107"/>
    </row>
    <row r="881">
      <c r="D881" s="106"/>
      <c r="H881" s="107"/>
    </row>
    <row r="882">
      <c r="D882" s="106"/>
      <c r="H882" s="107"/>
    </row>
    <row r="883">
      <c r="D883" s="106"/>
      <c r="H883" s="107"/>
    </row>
    <row r="884">
      <c r="D884" s="106"/>
      <c r="H884" s="107"/>
    </row>
    <row r="885">
      <c r="D885" s="106"/>
      <c r="H885" s="107"/>
    </row>
    <row r="886">
      <c r="D886" s="106"/>
      <c r="H886" s="107"/>
    </row>
    <row r="887">
      <c r="D887" s="106"/>
      <c r="H887" s="107"/>
    </row>
    <row r="888">
      <c r="D888" s="106"/>
      <c r="H888" s="107"/>
    </row>
    <row r="889">
      <c r="D889" s="106"/>
      <c r="H889" s="107"/>
    </row>
    <row r="890">
      <c r="D890" s="106"/>
      <c r="H890" s="107"/>
    </row>
    <row r="891">
      <c r="D891" s="106"/>
      <c r="H891" s="107"/>
    </row>
    <row r="892">
      <c r="D892" s="106"/>
      <c r="H892" s="107"/>
    </row>
    <row r="893">
      <c r="D893" s="106"/>
      <c r="H893" s="107"/>
    </row>
    <row r="894">
      <c r="D894" s="106"/>
      <c r="H894" s="107"/>
    </row>
    <row r="895">
      <c r="D895" s="106"/>
      <c r="H895" s="107"/>
    </row>
    <row r="896">
      <c r="D896" s="106"/>
      <c r="H896" s="107"/>
    </row>
    <row r="897">
      <c r="D897" s="106"/>
      <c r="H897" s="107"/>
    </row>
    <row r="898">
      <c r="D898" s="106"/>
      <c r="H898" s="107"/>
    </row>
    <row r="899">
      <c r="D899" s="106"/>
      <c r="H899" s="107"/>
    </row>
    <row r="900">
      <c r="D900" s="106"/>
      <c r="H900" s="107"/>
    </row>
    <row r="901">
      <c r="D901" s="106"/>
      <c r="H901" s="107"/>
    </row>
    <row r="902">
      <c r="D902" s="106"/>
      <c r="H902" s="107"/>
    </row>
    <row r="903">
      <c r="D903" s="106"/>
      <c r="H903" s="107"/>
    </row>
    <row r="904">
      <c r="D904" s="106"/>
      <c r="H904" s="107"/>
    </row>
    <row r="905">
      <c r="D905" s="106"/>
      <c r="H905" s="107"/>
    </row>
    <row r="906">
      <c r="D906" s="106"/>
      <c r="H906" s="107"/>
    </row>
    <row r="907">
      <c r="D907" s="106"/>
      <c r="H907" s="107"/>
    </row>
    <row r="908">
      <c r="D908" s="106"/>
      <c r="H908" s="107"/>
    </row>
    <row r="909">
      <c r="D909" s="106"/>
      <c r="H909" s="107"/>
    </row>
    <row r="910">
      <c r="D910" s="106"/>
      <c r="H910" s="107"/>
    </row>
    <row r="911">
      <c r="D911" s="106"/>
      <c r="H911" s="107"/>
    </row>
    <row r="912">
      <c r="D912" s="106"/>
      <c r="H912" s="107"/>
    </row>
    <row r="913">
      <c r="D913" s="106"/>
      <c r="H913" s="107"/>
    </row>
    <row r="914">
      <c r="D914" s="106"/>
      <c r="H914" s="107"/>
    </row>
    <row r="915">
      <c r="D915" s="106"/>
      <c r="H915" s="107"/>
    </row>
    <row r="916">
      <c r="D916" s="106"/>
      <c r="H916" s="107"/>
    </row>
    <row r="917">
      <c r="D917" s="106"/>
      <c r="H917" s="107"/>
    </row>
    <row r="918">
      <c r="D918" s="106"/>
      <c r="H918" s="107"/>
    </row>
    <row r="919">
      <c r="D919" s="106"/>
      <c r="H919" s="107"/>
    </row>
    <row r="920">
      <c r="D920" s="106"/>
      <c r="H920" s="107"/>
    </row>
    <row r="921">
      <c r="D921" s="106"/>
      <c r="H921" s="107"/>
    </row>
    <row r="922">
      <c r="D922" s="106"/>
      <c r="H922" s="107"/>
    </row>
    <row r="923">
      <c r="D923" s="106"/>
      <c r="H923" s="107"/>
    </row>
    <row r="924">
      <c r="D924" s="106"/>
      <c r="H924" s="107"/>
    </row>
    <row r="925">
      <c r="D925" s="106"/>
      <c r="H925" s="107"/>
    </row>
    <row r="926">
      <c r="D926" s="106"/>
      <c r="H926" s="107"/>
    </row>
    <row r="927">
      <c r="D927" s="106"/>
      <c r="H927" s="107"/>
    </row>
    <row r="928">
      <c r="D928" s="106"/>
      <c r="H928" s="107"/>
    </row>
    <row r="929">
      <c r="D929" s="106"/>
      <c r="H929" s="107"/>
    </row>
    <row r="930">
      <c r="D930" s="106"/>
      <c r="H930" s="107"/>
    </row>
    <row r="931">
      <c r="D931" s="106"/>
      <c r="H931" s="107"/>
    </row>
    <row r="932">
      <c r="D932" s="106"/>
      <c r="H932" s="107"/>
    </row>
    <row r="933">
      <c r="D933" s="106"/>
      <c r="H933" s="107"/>
    </row>
    <row r="934">
      <c r="D934" s="106"/>
      <c r="H934" s="107"/>
    </row>
    <row r="935">
      <c r="D935" s="106"/>
      <c r="H935" s="107"/>
    </row>
    <row r="936">
      <c r="D936" s="106"/>
      <c r="H936" s="107"/>
    </row>
    <row r="937">
      <c r="D937" s="106"/>
      <c r="H937" s="107"/>
    </row>
    <row r="938">
      <c r="D938" s="106"/>
      <c r="H938" s="107"/>
    </row>
    <row r="939">
      <c r="D939" s="106"/>
      <c r="H939" s="107"/>
    </row>
    <row r="940">
      <c r="D940" s="106"/>
      <c r="H940" s="107"/>
    </row>
    <row r="941">
      <c r="D941" s="106"/>
      <c r="H941" s="107"/>
    </row>
    <row r="942">
      <c r="D942" s="106"/>
      <c r="H942" s="107"/>
    </row>
    <row r="943">
      <c r="D943" s="106"/>
      <c r="H943" s="107"/>
    </row>
    <row r="944">
      <c r="D944" s="106"/>
      <c r="H944" s="107"/>
    </row>
    <row r="945">
      <c r="D945" s="106"/>
      <c r="H945" s="107"/>
    </row>
    <row r="946">
      <c r="D946" s="106"/>
      <c r="H946" s="107"/>
    </row>
    <row r="947">
      <c r="D947" s="106"/>
      <c r="H947" s="107"/>
    </row>
    <row r="948">
      <c r="D948" s="106"/>
      <c r="H948" s="107"/>
    </row>
    <row r="949">
      <c r="D949" s="106"/>
      <c r="H949" s="107"/>
    </row>
    <row r="950">
      <c r="D950" s="106"/>
      <c r="H950" s="107"/>
    </row>
    <row r="951">
      <c r="D951" s="106"/>
      <c r="H951" s="107"/>
    </row>
    <row r="952">
      <c r="D952" s="106"/>
      <c r="H952" s="107"/>
    </row>
    <row r="953">
      <c r="D953" s="106"/>
      <c r="H953" s="107"/>
    </row>
    <row r="954">
      <c r="D954" s="106"/>
      <c r="H954" s="107"/>
    </row>
    <row r="955">
      <c r="D955" s="106"/>
      <c r="H955" s="107"/>
    </row>
    <row r="956">
      <c r="D956" s="106"/>
      <c r="H956" s="107"/>
    </row>
    <row r="957">
      <c r="D957" s="106"/>
      <c r="H957" s="107"/>
    </row>
    <row r="958">
      <c r="D958" s="106"/>
      <c r="H958" s="107"/>
    </row>
    <row r="959">
      <c r="D959" s="106"/>
      <c r="H959" s="107"/>
    </row>
    <row r="960">
      <c r="D960" s="106"/>
      <c r="H960" s="107"/>
    </row>
    <row r="961">
      <c r="D961" s="106"/>
      <c r="H961" s="107"/>
    </row>
    <row r="962">
      <c r="D962" s="106"/>
      <c r="H962" s="107"/>
    </row>
    <row r="963">
      <c r="D963" s="106"/>
      <c r="H963" s="107"/>
    </row>
    <row r="964">
      <c r="D964" s="106"/>
      <c r="H964" s="107"/>
    </row>
    <row r="965">
      <c r="D965" s="106"/>
      <c r="H965" s="107"/>
    </row>
    <row r="966">
      <c r="D966" s="106"/>
      <c r="H966" s="107"/>
    </row>
    <row r="967">
      <c r="D967" s="106"/>
      <c r="H967" s="107"/>
    </row>
    <row r="968">
      <c r="D968" s="106"/>
      <c r="H968" s="107"/>
    </row>
    <row r="969">
      <c r="D969" s="106"/>
      <c r="H969" s="107"/>
    </row>
    <row r="970">
      <c r="D970" s="106"/>
      <c r="H970" s="107"/>
    </row>
    <row r="971">
      <c r="D971" s="106"/>
      <c r="H971" s="107"/>
    </row>
    <row r="972">
      <c r="D972" s="106"/>
      <c r="H972" s="107"/>
    </row>
    <row r="973">
      <c r="D973" s="106"/>
      <c r="H973" s="107"/>
    </row>
    <row r="974">
      <c r="D974" s="106"/>
      <c r="H974" s="107"/>
    </row>
    <row r="975">
      <c r="D975" s="106"/>
      <c r="H975" s="107"/>
    </row>
    <row r="976">
      <c r="D976" s="106"/>
      <c r="H976" s="107"/>
    </row>
    <row r="977">
      <c r="D977" s="106"/>
      <c r="H977" s="107"/>
    </row>
    <row r="978">
      <c r="D978" s="106"/>
      <c r="H978" s="107"/>
    </row>
    <row r="979">
      <c r="D979" s="106"/>
      <c r="H979" s="107"/>
    </row>
    <row r="980">
      <c r="D980" s="106"/>
      <c r="H980" s="107"/>
    </row>
    <row r="981">
      <c r="D981" s="106"/>
      <c r="H981" s="107"/>
    </row>
    <row r="982">
      <c r="D982" s="106"/>
      <c r="H982" s="107"/>
    </row>
    <row r="983">
      <c r="D983" s="106"/>
      <c r="H983" s="107"/>
    </row>
    <row r="984">
      <c r="D984" s="106"/>
      <c r="H984" s="107"/>
    </row>
    <row r="985">
      <c r="D985" s="106"/>
      <c r="H985" s="107"/>
    </row>
    <row r="986">
      <c r="D986" s="106"/>
      <c r="H986" s="107"/>
    </row>
    <row r="987">
      <c r="D987" s="106"/>
      <c r="H987" s="107"/>
    </row>
    <row r="988">
      <c r="D988" s="106"/>
      <c r="H988" s="107"/>
    </row>
    <row r="989">
      <c r="D989" s="106"/>
      <c r="H989" s="107"/>
    </row>
    <row r="990">
      <c r="D990" s="106"/>
      <c r="H990" s="107"/>
    </row>
    <row r="991">
      <c r="D991" s="106"/>
      <c r="H991" s="107"/>
    </row>
    <row r="992">
      <c r="D992" s="106"/>
      <c r="H992" s="107"/>
    </row>
    <row r="993">
      <c r="D993" s="106"/>
      <c r="H993" s="107"/>
    </row>
    <row r="994">
      <c r="D994" s="106"/>
      <c r="H994" s="107"/>
    </row>
    <row r="995">
      <c r="D995" s="106"/>
      <c r="H995" s="107"/>
    </row>
    <row r="996">
      <c r="D996" s="106"/>
      <c r="H996" s="107"/>
    </row>
    <row r="997">
      <c r="D997" s="106"/>
      <c r="H997" s="107"/>
    </row>
    <row r="998">
      <c r="D998" s="106"/>
      <c r="H998" s="107"/>
    </row>
    <row r="999">
      <c r="D999" s="106"/>
      <c r="H999" s="107"/>
    </row>
    <row r="1000">
      <c r="D1000" s="106"/>
      <c r="H1000" s="107"/>
    </row>
    <row r="1001">
      <c r="D1001" s="106"/>
      <c r="H1001" s="107"/>
    </row>
    <row r="1002">
      <c r="D1002" s="106"/>
      <c r="H1002" s="107"/>
    </row>
    <row r="1003">
      <c r="D1003" s="106"/>
      <c r="H1003" s="107"/>
    </row>
    <row r="1004">
      <c r="D1004" s="106"/>
      <c r="H1004" s="107"/>
    </row>
    <row r="1005">
      <c r="D1005" s="106"/>
      <c r="H1005" s="107"/>
    </row>
    <row r="1006">
      <c r="D1006" s="106"/>
      <c r="H1006" s="107"/>
    </row>
    <row r="1007">
      <c r="D1007" s="106"/>
      <c r="H1007" s="107"/>
    </row>
    <row r="1008">
      <c r="D1008" s="106"/>
      <c r="H1008" s="107"/>
    </row>
    <row r="1009">
      <c r="D1009" s="106"/>
      <c r="H1009" s="107"/>
    </row>
    <row r="1010">
      <c r="D1010" s="106"/>
      <c r="H1010" s="107"/>
    </row>
    <row r="1011">
      <c r="D1011" s="106"/>
      <c r="H1011" s="107"/>
    </row>
    <row r="1012">
      <c r="D1012" s="106"/>
      <c r="H1012" s="107"/>
    </row>
    <row r="1013">
      <c r="D1013" s="106"/>
      <c r="H1013" s="107"/>
    </row>
    <row r="1014">
      <c r="D1014" s="106"/>
      <c r="H1014" s="107"/>
    </row>
    <row r="1015">
      <c r="D1015" s="106"/>
      <c r="H1015" s="107"/>
    </row>
    <row r="1016">
      <c r="D1016" s="106"/>
      <c r="H1016" s="107"/>
    </row>
    <row r="1017">
      <c r="D1017" s="106"/>
      <c r="H1017" s="107"/>
    </row>
    <row r="1018">
      <c r="D1018" s="106"/>
      <c r="H1018" s="107"/>
    </row>
    <row r="1019">
      <c r="D1019" s="106"/>
      <c r="H1019" s="107"/>
    </row>
    <row r="1020">
      <c r="D1020" s="106"/>
      <c r="H1020" s="107"/>
    </row>
    <row r="1021">
      <c r="D1021" s="106"/>
      <c r="H1021" s="107"/>
    </row>
    <row r="1022">
      <c r="D1022" s="106"/>
      <c r="H1022" s="107"/>
    </row>
    <row r="1023">
      <c r="D1023" s="106"/>
      <c r="H1023" s="107"/>
    </row>
    <row r="1024">
      <c r="D1024" s="106"/>
      <c r="H1024" s="107"/>
    </row>
    <row r="1025">
      <c r="D1025" s="106"/>
      <c r="H1025" s="107"/>
    </row>
    <row r="1026">
      <c r="D1026" s="106"/>
      <c r="H1026" s="107"/>
    </row>
    <row r="1027">
      <c r="D1027" s="106"/>
      <c r="H1027" s="107"/>
    </row>
    <row r="1028">
      <c r="D1028" s="106"/>
      <c r="H1028" s="107"/>
    </row>
    <row r="1029">
      <c r="D1029" s="106"/>
      <c r="H1029" s="107"/>
    </row>
    <row r="1030">
      <c r="D1030" s="106"/>
      <c r="H1030" s="107"/>
    </row>
    <row r="1031">
      <c r="D1031" s="106"/>
      <c r="H1031" s="107"/>
    </row>
    <row r="1032">
      <c r="D1032" s="106"/>
      <c r="H1032" s="107"/>
    </row>
    <row r="1033">
      <c r="D1033" s="106"/>
      <c r="H1033" s="107"/>
    </row>
    <row r="1034">
      <c r="D1034" s="106"/>
      <c r="H1034" s="107"/>
    </row>
    <row r="1035">
      <c r="D1035" s="106"/>
      <c r="H1035" s="107"/>
    </row>
    <row r="1036">
      <c r="D1036" s="106"/>
      <c r="H1036" s="107"/>
    </row>
    <row r="1037">
      <c r="D1037" s="106"/>
      <c r="H1037" s="107"/>
    </row>
    <row r="1038">
      <c r="D1038" s="106"/>
      <c r="H1038" s="107"/>
    </row>
    <row r="1039">
      <c r="D1039" s="106"/>
      <c r="H1039" s="107"/>
    </row>
    <row r="1040">
      <c r="D1040" s="106"/>
      <c r="H1040" s="107"/>
    </row>
    <row r="1041">
      <c r="D1041" s="106"/>
      <c r="H1041" s="107"/>
    </row>
    <row r="1042">
      <c r="D1042" s="106"/>
      <c r="H1042" s="107"/>
    </row>
    <row r="1043">
      <c r="D1043" s="106"/>
      <c r="H1043" s="107"/>
    </row>
    <row r="1044">
      <c r="D1044" s="106"/>
      <c r="H1044" s="107"/>
    </row>
    <row r="1045">
      <c r="D1045" s="106"/>
      <c r="H1045" s="107"/>
    </row>
    <row r="1046">
      <c r="D1046" s="106"/>
      <c r="H1046" s="107"/>
    </row>
    <row r="1047">
      <c r="D1047" s="106"/>
      <c r="H1047" s="107"/>
    </row>
    <row r="1048">
      <c r="D1048" s="106"/>
      <c r="H1048" s="107"/>
    </row>
    <row r="1049">
      <c r="D1049" s="106"/>
      <c r="H1049" s="107"/>
    </row>
    <row r="1050">
      <c r="D1050" s="106"/>
      <c r="H1050" s="107"/>
    </row>
    <row r="1051">
      <c r="D1051" s="106"/>
      <c r="H1051" s="107"/>
    </row>
    <row r="1052">
      <c r="D1052" s="106"/>
      <c r="H1052" s="107"/>
    </row>
    <row r="1053">
      <c r="D1053" s="106"/>
      <c r="H1053" s="107"/>
    </row>
    <row r="1054">
      <c r="D1054" s="106"/>
      <c r="H1054" s="107"/>
    </row>
    <row r="1055">
      <c r="D1055" s="106"/>
      <c r="H1055" s="107"/>
    </row>
    <row r="1056">
      <c r="D1056" s="106"/>
      <c r="H1056" s="107"/>
    </row>
    <row r="1057">
      <c r="D1057" s="106"/>
      <c r="H1057" s="107"/>
    </row>
    <row r="1058">
      <c r="D1058" s="106"/>
      <c r="H1058" s="107"/>
    </row>
    <row r="1059">
      <c r="D1059" s="106"/>
      <c r="H1059" s="107"/>
    </row>
    <row r="1060">
      <c r="D1060" s="106"/>
      <c r="H1060" s="107"/>
    </row>
    <row r="1061">
      <c r="D1061" s="106"/>
      <c r="H1061" s="107"/>
    </row>
    <row r="1062">
      <c r="D1062" s="106"/>
      <c r="H1062" s="107"/>
    </row>
    <row r="1063">
      <c r="D1063" s="106"/>
      <c r="H1063" s="107"/>
    </row>
    <row r="1064">
      <c r="D1064" s="106"/>
      <c r="H1064" s="107"/>
    </row>
    <row r="1065">
      <c r="D1065" s="106"/>
      <c r="H1065" s="107"/>
    </row>
    <row r="1066">
      <c r="D1066" s="106"/>
      <c r="H1066" s="107"/>
    </row>
    <row r="1067">
      <c r="D1067" s="106"/>
      <c r="H1067" s="107"/>
    </row>
    <row r="1068">
      <c r="D1068" s="106"/>
      <c r="H1068" s="107"/>
    </row>
    <row r="1069">
      <c r="D1069" s="106"/>
      <c r="H1069" s="107"/>
    </row>
    <row r="1070">
      <c r="D1070" s="106"/>
      <c r="H1070" s="107"/>
    </row>
    <row r="1071">
      <c r="D1071" s="106"/>
      <c r="H1071" s="107"/>
    </row>
    <row r="1072">
      <c r="D1072" s="106"/>
      <c r="H1072" s="107"/>
    </row>
    <row r="1073">
      <c r="D1073" s="106"/>
      <c r="H1073" s="107"/>
    </row>
    <row r="1074">
      <c r="D1074" s="106"/>
      <c r="H1074" s="107"/>
    </row>
    <row r="1075">
      <c r="D1075" s="106"/>
      <c r="H1075" s="107"/>
    </row>
    <row r="1076">
      <c r="D1076" s="106"/>
      <c r="H1076" s="107"/>
    </row>
    <row r="1077">
      <c r="D1077" s="106"/>
      <c r="H1077" s="107"/>
    </row>
    <row r="1078">
      <c r="D1078" s="106"/>
      <c r="H1078" s="107"/>
    </row>
    <row r="1079">
      <c r="D1079" s="106"/>
      <c r="H1079" s="107"/>
    </row>
    <row r="1080">
      <c r="D1080" s="106"/>
      <c r="H1080" s="107"/>
    </row>
    <row r="1081">
      <c r="D1081" s="106"/>
      <c r="H1081" s="107"/>
    </row>
    <row r="1082">
      <c r="D1082" s="106"/>
      <c r="H1082" s="107"/>
    </row>
    <row r="1083">
      <c r="D1083" s="106"/>
      <c r="H1083" s="107"/>
    </row>
    <row r="1084">
      <c r="D1084" s="106"/>
      <c r="H1084" s="107"/>
    </row>
    <row r="1085">
      <c r="D1085" s="106"/>
      <c r="H1085" s="107"/>
    </row>
    <row r="1086">
      <c r="D1086" s="106"/>
      <c r="H1086" s="107"/>
    </row>
    <row r="1087">
      <c r="D1087" s="106"/>
      <c r="H1087" s="107"/>
    </row>
    <row r="1088">
      <c r="D1088" s="106"/>
      <c r="H1088" s="107"/>
    </row>
    <row r="1089">
      <c r="D1089" s="106"/>
      <c r="H1089" s="107"/>
    </row>
    <row r="1090">
      <c r="D1090" s="106"/>
      <c r="H1090" s="107"/>
    </row>
    <row r="1091">
      <c r="D1091" s="106"/>
      <c r="H1091" s="107"/>
    </row>
    <row r="1092">
      <c r="D1092" s="106"/>
      <c r="H1092" s="107"/>
    </row>
    <row r="1093">
      <c r="D1093" s="106"/>
      <c r="H1093" s="107"/>
    </row>
    <row r="1094">
      <c r="D1094" s="106"/>
      <c r="H1094" s="107"/>
    </row>
    <row r="1095">
      <c r="D1095" s="106"/>
      <c r="H1095" s="107"/>
    </row>
    <row r="1096">
      <c r="D1096" s="106"/>
      <c r="H1096" s="107"/>
    </row>
    <row r="1097">
      <c r="D1097" s="106"/>
      <c r="H1097" s="107"/>
    </row>
    <row r="1098">
      <c r="D1098" s="106"/>
      <c r="H1098" s="107"/>
    </row>
    <row r="1099">
      <c r="D1099" s="106"/>
      <c r="H1099" s="107"/>
    </row>
    <row r="1100">
      <c r="D1100" s="106"/>
      <c r="H1100" s="107"/>
    </row>
    <row r="1101">
      <c r="D1101" s="106"/>
      <c r="H1101" s="107"/>
    </row>
    <row r="1102">
      <c r="D1102" s="106"/>
      <c r="H1102" s="107"/>
    </row>
    <row r="1103">
      <c r="D1103" s="106"/>
      <c r="H1103" s="107"/>
    </row>
    <row r="1104">
      <c r="D1104" s="106"/>
      <c r="H1104" s="107"/>
    </row>
    <row r="1105">
      <c r="D1105" s="106"/>
      <c r="H1105" s="107"/>
    </row>
    <row r="1106">
      <c r="D1106" s="106"/>
      <c r="H1106" s="107"/>
    </row>
    <row r="1107">
      <c r="D1107" s="106"/>
      <c r="H1107" s="107"/>
    </row>
    <row r="1108">
      <c r="D1108" s="106"/>
      <c r="H1108" s="107"/>
    </row>
    <row r="1109">
      <c r="D1109" s="106"/>
      <c r="H1109" s="107"/>
    </row>
    <row r="1110">
      <c r="D1110" s="106"/>
      <c r="H1110" s="107"/>
    </row>
    <row r="1111">
      <c r="D1111" s="106"/>
      <c r="H1111" s="107"/>
    </row>
    <row r="1112">
      <c r="D1112" s="106"/>
      <c r="H1112" s="107"/>
    </row>
    <row r="1113">
      <c r="D1113" s="106"/>
      <c r="H1113" s="107"/>
    </row>
    <row r="1114">
      <c r="D1114" s="106"/>
      <c r="H1114" s="107"/>
    </row>
    <row r="1115">
      <c r="D1115" s="106"/>
      <c r="H1115" s="107"/>
    </row>
    <row r="1116">
      <c r="D1116" s="106"/>
      <c r="H1116" s="107"/>
    </row>
    <row r="1117">
      <c r="D1117" s="106"/>
      <c r="H1117" s="107"/>
    </row>
    <row r="1118">
      <c r="D1118" s="106"/>
      <c r="H1118" s="107"/>
    </row>
    <row r="1119">
      <c r="D1119" s="106"/>
      <c r="H1119" s="107"/>
    </row>
    <row r="1120">
      <c r="D1120" s="106"/>
      <c r="H1120" s="107"/>
    </row>
    <row r="1121">
      <c r="D1121" s="106"/>
      <c r="H1121" s="107"/>
    </row>
    <row r="1122">
      <c r="D1122" s="106"/>
      <c r="H1122" s="107"/>
    </row>
    <row r="1123">
      <c r="D1123" s="106"/>
      <c r="H1123" s="107"/>
    </row>
    <row r="1124">
      <c r="D1124" s="106"/>
      <c r="H1124" s="107"/>
    </row>
    <row r="1125">
      <c r="D1125" s="106"/>
      <c r="H1125" s="107"/>
    </row>
    <row r="1126">
      <c r="D1126" s="106"/>
      <c r="H1126" s="107"/>
    </row>
    <row r="1127">
      <c r="D1127" s="106"/>
      <c r="H1127" s="107"/>
    </row>
    <row r="1128">
      <c r="D1128" s="106"/>
      <c r="H1128" s="107"/>
    </row>
    <row r="1129">
      <c r="D1129" s="106"/>
      <c r="H1129" s="107"/>
    </row>
    <row r="1130">
      <c r="D1130" s="106"/>
      <c r="H1130" s="107"/>
    </row>
    <row r="1131">
      <c r="D1131" s="106"/>
      <c r="H1131" s="107"/>
    </row>
    <row r="1132">
      <c r="D1132" s="106"/>
      <c r="H1132" s="107"/>
    </row>
    <row r="1133">
      <c r="D1133" s="106"/>
      <c r="H1133" s="107"/>
    </row>
    <row r="1134">
      <c r="D1134" s="106"/>
      <c r="H1134" s="107"/>
    </row>
    <row r="1135">
      <c r="D1135" s="106"/>
      <c r="H1135" s="107"/>
    </row>
    <row r="1136">
      <c r="D1136" s="106"/>
      <c r="H1136" s="107"/>
    </row>
    <row r="1137">
      <c r="D1137" s="106"/>
      <c r="H1137" s="107"/>
    </row>
    <row r="1138">
      <c r="D1138" s="106"/>
      <c r="H1138" s="107"/>
    </row>
    <row r="1139">
      <c r="D1139" s="106"/>
      <c r="H1139" s="107"/>
    </row>
    <row r="1140">
      <c r="D1140" s="106"/>
      <c r="H1140" s="107"/>
    </row>
    <row r="1141">
      <c r="D1141" s="106"/>
      <c r="H1141" s="107"/>
    </row>
    <row r="1142">
      <c r="D1142" s="106"/>
      <c r="H1142" s="107"/>
    </row>
    <row r="1143">
      <c r="D1143" s="106"/>
      <c r="H1143" s="107"/>
    </row>
    <row r="1144">
      <c r="D1144" s="106"/>
      <c r="H1144" s="107"/>
    </row>
    <row r="1145">
      <c r="D1145" s="106"/>
      <c r="H1145" s="107"/>
    </row>
    <row r="1146">
      <c r="D1146" s="106"/>
      <c r="H1146" s="107"/>
    </row>
    <row r="1147">
      <c r="D1147" s="106"/>
      <c r="H1147" s="107"/>
    </row>
    <row r="1148">
      <c r="D1148" s="106"/>
      <c r="H1148" s="107"/>
    </row>
    <row r="1149">
      <c r="D1149" s="106"/>
      <c r="H1149" s="107"/>
    </row>
    <row r="1150">
      <c r="D1150" s="106"/>
      <c r="H1150" s="107"/>
    </row>
    <row r="1151">
      <c r="D1151" s="106"/>
      <c r="H1151" s="107"/>
    </row>
    <row r="1152">
      <c r="D1152" s="106"/>
      <c r="H1152" s="107"/>
    </row>
    <row r="1153">
      <c r="D1153" s="106"/>
      <c r="H1153" s="107"/>
    </row>
    <row r="1154">
      <c r="D1154" s="106"/>
      <c r="H1154" s="107"/>
    </row>
    <row r="1155">
      <c r="D1155" s="106"/>
      <c r="H1155" s="107"/>
    </row>
    <row r="1156">
      <c r="D1156" s="106"/>
      <c r="H1156" s="107"/>
    </row>
    <row r="1157">
      <c r="D1157" s="106"/>
      <c r="H1157" s="107"/>
    </row>
    <row r="1158">
      <c r="D1158" s="106"/>
      <c r="H1158" s="107"/>
    </row>
    <row r="1159">
      <c r="D1159" s="106"/>
      <c r="H1159" s="107"/>
    </row>
    <row r="1160">
      <c r="D1160" s="106"/>
      <c r="H1160" s="107"/>
    </row>
    <row r="1161">
      <c r="D1161" s="106"/>
      <c r="H1161" s="107"/>
    </row>
    <row r="1162">
      <c r="D1162" s="106"/>
      <c r="H1162" s="107"/>
    </row>
    <row r="1163">
      <c r="D1163" s="106"/>
      <c r="H1163" s="107"/>
    </row>
    <row r="1164">
      <c r="D1164" s="106"/>
      <c r="H1164" s="107"/>
    </row>
    <row r="1165">
      <c r="D1165" s="106"/>
      <c r="H1165" s="107"/>
    </row>
    <row r="1166">
      <c r="D1166" s="106"/>
      <c r="H1166" s="107"/>
    </row>
    <row r="1167">
      <c r="D1167" s="106"/>
      <c r="H1167" s="107"/>
    </row>
    <row r="1168">
      <c r="D1168" s="106"/>
      <c r="H1168" s="107"/>
    </row>
    <row r="1169">
      <c r="D1169" s="106"/>
      <c r="H1169" s="107"/>
    </row>
    <row r="1170">
      <c r="D1170" s="106"/>
      <c r="H1170" s="107"/>
    </row>
    <row r="1171">
      <c r="D1171" s="106"/>
      <c r="H1171" s="107"/>
    </row>
    <row r="1172">
      <c r="D1172" s="106"/>
      <c r="H1172" s="107"/>
    </row>
    <row r="1173">
      <c r="D1173" s="106"/>
      <c r="H1173" s="107"/>
    </row>
    <row r="1174">
      <c r="D1174" s="106"/>
      <c r="H1174" s="107"/>
    </row>
    <row r="1175">
      <c r="D1175" s="106"/>
      <c r="H1175" s="107"/>
    </row>
    <row r="1176">
      <c r="D1176" s="106"/>
      <c r="H1176" s="107"/>
    </row>
    <row r="1177">
      <c r="D1177" s="106"/>
      <c r="H1177" s="107"/>
    </row>
    <row r="1178">
      <c r="D1178" s="106"/>
      <c r="H1178" s="107"/>
    </row>
    <row r="1179">
      <c r="D1179" s="106"/>
      <c r="H1179" s="107"/>
    </row>
    <row r="1180">
      <c r="D1180" s="106"/>
      <c r="H1180" s="107"/>
    </row>
    <row r="1181">
      <c r="D1181" s="106"/>
      <c r="H1181" s="107"/>
    </row>
    <row r="1182">
      <c r="D1182" s="106"/>
      <c r="H1182" s="107"/>
    </row>
    <row r="1183">
      <c r="D1183" s="106"/>
      <c r="H1183" s="107"/>
    </row>
    <row r="1184">
      <c r="D1184" s="106"/>
      <c r="H1184" s="107"/>
    </row>
    <row r="1185">
      <c r="D1185" s="106"/>
      <c r="H1185" s="107"/>
    </row>
    <row r="1186">
      <c r="D1186" s="106"/>
      <c r="H1186" s="107"/>
    </row>
    <row r="1187">
      <c r="D1187" s="106"/>
      <c r="H1187" s="107"/>
    </row>
    <row r="1188">
      <c r="D1188" s="106"/>
      <c r="H1188" s="107"/>
    </row>
    <row r="1189">
      <c r="D1189" s="106"/>
      <c r="H1189" s="107"/>
    </row>
    <row r="1190">
      <c r="D1190" s="106"/>
      <c r="H1190" s="107"/>
    </row>
    <row r="1191">
      <c r="D1191" s="106"/>
      <c r="H1191" s="107"/>
    </row>
    <row r="1192">
      <c r="D1192" s="106"/>
      <c r="H1192" s="107"/>
    </row>
    <row r="1193">
      <c r="D1193" s="106"/>
      <c r="H1193" s="107"/>
    </row>
    <row r="1194">
      <c r="D1194" s="106"/>
      <c r="H1194" s="107"/>
    </row>
    <row r="1195">
      <c r="D1195" s="106"/>
      <c r="H1195" s="107"/>
    </row>
    <row r="1196">
      <c r="D1196" s="106"/>
      <c r="H1196" s="107"/>
    </row>
    <row r="1197">
      <c r="D1197" s="106"/>
      <c r="H1197" s="107"/>
    </row>
    <row r="1198">
      <c r="D1198" s="106"/>
      <c r="H1198" s="107"/>
    </row>
    <row r="1199">
      <c r="D1199" s="106"/>
      <c r="H1199" s="107"/>
    </row>
    <row r="1200">
      <c r="D1200" s="106"/>
      <c r="H1200" s="107"/>
    </row>
    <row r="1201">
      <c r="D1201" s="106"/>
      <c r="H1201" s="107"/>
    </row>
    <row r="1202">
      <c r="D1202" s="106"/>
      <c r="H1202" s="107"/>
    </row>
    <row r="1203">
      <c r="D1203" s="106"/>
      <c r="H1203" s="107"/>
    </row>
    <row r="1204">
      <c r="D1204" s="106"/>
      <c r="H1204" s="107"/>
    </row>
    <row r="1205">
      <c r="D1205" s="106"/>
      <c r="H1205" s="107"/>
    </row>
    <row r="1206">
      <c r="D1206" s="106"/>
      <c r="H1206" s="107"/>
    </row>
    <row r="1207">
      <c r="D1207" s="106"/>
      <c r="H1207" s="107"/>
    </row>
    <row r="1208">
      <c r="D1208" s="106"/>
      <c r="H1208" s="107"/>
    </row>
    <row r="1209">
      <c r="D1209" s="106"/>
      <c r="H1209" s="107"/>
    </row>
    <row r="1210">
      <c r="D1210" s="106"/>
      <c r="H1210" s="107"/>
    </row>
    <row r="1211">
      <c r="D1211" s="106"/>
      <c r="H1211" s="107"/>
    </row>
    <row r="1212">
      <c r="D1212" s="106"/>
      <c r="H1212" s="107"/>
    </row>
    <row r="1213">
      <c r="D1213" s="106"/>
      <c r="H1213" s="107"/>
    </row>
    <row r="1214">
      <c r="D1214" s="106"/>
      <c r="H1214" s="107"/>
    </row>
    <row r="1215">
      <c r="D1215" s="106"/>
      <c r="H1215" s="107"/>
    </row>
    <row r="1216">
      <c r="D1216" s="106"/>
      <c r="H1216" s="107"/>
    </row>
    <row r="1217">
      <c r="D1217" s="106"/>
      <c r="H1217" s="107"/>
    </row>
    <row r="1218">
      <c r="D1218" s="106"/>
      <c r="H1218" s="107"/>
    </row>
    <row r="1219">
      <c r="D1219" s="106"/>
      <c r="H1219" s="107"/>
    </row>
    <row r="1220">
      <c r="D1220" s="106"/>
      <c r="H1220" s="107"/>
    </row>
    <row r="1221">
      <c r="D1221" s="106"/>
      <c r="H1221" s="107"/>
    </row>
    <row r="1222">
      <c r="D1222" s="106"/>
      <c r="H1222" s="107"/>
    </row>
    <row r="1223">
      <c r="D1223" s="106"/>
      <c r="H1223" s="107"/>
    </row>
    <row r="1224">
      <c r="D1224" s="106"/>
      <c r="H1224" s="107"/>
    </row>
    <row r="1225">
      <c r="D1225" s="106"/>
      <c r="H1225" s="107"/>
    </row>
    <row r="1226">
      <c r="D1226" s="106"/>
      <c r="H1226" s="107"/>
    </row>
    <row r="1227">
      <c r="D1227" s="106"/>
      <c r="H1227" s="107"/>
    </row>
    <row r="1228">
      <c r="D1228" s="106"/>
      <c r="H1228" s="107"/>
    </row>
    <row r="1229">
      <c r="D1229" s="106"/>
      <c r="H1229" s="107"/>
    </row>
    <row r="1230">
      <c r="D1230" s="106"/>
      <c r="H1230" s="107"/>
    </row>
    <row r="1231">
      <c r="D1231" s="106"/>
      <c r="H1231" s="107"/>
    </row>
    <row r="1232">
      <c r="D1232" s="106"/>
      <c r="H1232" s="107"/>
    </row>
    <row r="1233">
      <c r="D1233" s="106"/>
      <c r="H1233" s="107"/>
    </row>
    <row r="1234">
      <c r="D1234" s="106"/>
      <c r="H1234" s="107"/>
    </row>
    <row r="1235">
      <c r="D1235" s="106"/>
      <c r="H1235" s="107"/>
    </row>
    <row r="1236">
      <c r="D1236" s="106"/>
      <c r="H1236" s="107"/>
    </row>
    <row r="1237">
      <c r="D1237" s="106"/>
      <c r="H1237" s="107"/>
    </row>
    <row r="1238">
      <c r="D1238" s="106"/>
      <c r="H1238" s="107"/>
    </row>
    <row r="1239">
      <c r="D1239" s="106"/>
      <c r="H1239" s="107"/>
    </row>
    <row r="1240">
      <c r="D1240" s="106"/>
      <c r="H1240" s="107"/>
    </row>
    <row r="1241">
      <c r="D1241" s="106"/>
      <c r="H1241" s="107"/>
    </row>
    <row r="1242">
      <c r="D1242" s="106"/>
      <c r="H1242" s="107"/>
    </row>
    <row r="1243">
      <c r="D1243" s="106"/>
      <c r="H1243" s="107"/>
    </row>
    <row r="1244">
      <c r="D1244" s="106"/>
      <c r="H1244" s="107"/>
    </row>
    <row r="1245">
      <c r="D1245" s="106"/>
      <c r="H1245" s="107"/>
    </row>
    <row r="1246">
      <c r="D1246" s="106"/>
      <c r="H1246" s="107"/>
    </row>
    <row r="1247">
      <c r="D1247" s="106"/>
      <c r="H1247" s="107"/>
    </row>
    <row r="1248">
      <c r="D1248" s="106"/>
      <c r="H1248" s="107"/>
    </row>
    <row r="1249">
      <c r="D1249" s="106"/>
      <c r="H1249" s="107"/>
    </row>
    <row r="1250">
      <c r="D1250" s="106"/>
      <c r="H1250" s="107"/>
    </row>
    <row r="1251">
      <c r="D1251" s="106"/>
      <c r="H1251" s="107"/>
    </row>
    <row r="1252">
      <c r="D1252" s="106"/>
      <c r="H1252" s="107"/>
    </row>
    <row r="1253">
      <c r="D1253" s="106"/>
      <c r="H1253" s="107"/>
    </row>
    <row r="1254">
      <c r="D1254" s="106"/>
      <c r="H1254" s="107"/>
    </row>
    <row r="1255">
      <c r="D1255" s="106"/>
      <c r="H1255" s="107"/>
    </row>
    <row r="1256">
      <c r="D1256" s="106"/>
      <c r="H1256" s="107"/>
    </row>
    <row r="1257">
      <c r="D1257" s="106"/>
      <c r="H1257" s="107"/>
    </row>
    <row r="1258">
      <c r="D1258" s="106"/>
      <c r="H1258" s="107"/>
    </row>
    <row r="1259">
      <c r="D1259" s="106"/>
      <c r="H1259" s="107"/>
    </row>
    <row r="1260">
      <c r="D1260" s="106"/>
      <c r="H1260" s="107"/>
    </row>
    <row r="1261">
      <c r="D1261" s="106"/>
      <c r="H1261" s="107"/>
    </row>
    <row r="1262">
      <c r="D1262" s="106"/>
      <c r="H1262" s="107"/>
    </row>
    <row r="1263">
      <c r="D1263" s="106"/>
      <c r="H1263" s="107"/>
    </row>
    <row r="1264">
      <c r="D1264" s="106"/>
      <c r="H1264" s="107"/>
    </row>
    <row r="1265">
      <c r="D1265" s="106"/>
      <c r="H1265" s="107"/>
    </row>
    <row r="1266">
      <c r="D1266" s="106"/>
      <c r="H1266" s="107"/>
    </row>
    <row r="1267">
      <c r="D1267" s="106"/>
      <c r="H1267" s="107"/>
    </row>
    <row r="1268">
      <c r="D1268" s="106"/>
      <c r="H1268" s="107"/>
    </row>
    <row r="1269">
      <c r="D1269" s="106"/>
      <c r="H1269" s="107"/>
    </row>
    <row r="1270">
      <c r="D1270" s="106"/>
      <c r="H1270" s="107"/>
    </row>
    <row r="1271">
      <c r="D1271" s="106"/>
      <c r="H1271" s="107"/>
    </row>
    <row r="1272">
      <c r="D1272" s="106"/>
      <c r="H1272" s="107"/>
    </row>
    <row r="1273">
      <c r="D1273" s="106"/>
      <c r="H1273" s="107"/>
    </row>
    <row r="1274">
      <c r="D1274" s="106"/>
      <c r="H1274" s="107"/>
    </row>
    <row r="1275">
      <c r="D1275" s="106"/>
      <c r="H1275" s="107"/>
    </row>
    <row r="1276">
      <c r="D1276" s="106"/>
      <c r="H1276" s="107"/>
    </row>
    <row r="1277">
      <c r="D1277" s="106"/>
      <c r="H1277" s="107"/>
    </row>
    <row r="1278">
      <c r="D1278" s="106"/>
      <c r="H1278" s="107"/>
    </row>
    <row r="1279">
      <c r="D1279" s="106"/>
      <c r="H1279" s="107"/>
    </row>
    <row r="1280">
      <c r="D1280" s="106"/>
      <c r="H1280" s="107"/>
    </row>
    <row r="1281">
      <c r="D1281" s="106"/>
      <c r="H1281" s="107"/>
    </row>
    <row r="1282">
      <c r="D1282" s="106"/>
      <c r="H1282" s="107"/>
    </row>
    <row r="1283">
      <c r="D1283" s="106"/>
      <c r="H1283" s="107"/>
    </row>
    <row r="1284">
      <c r="D1284" s="106"/>
      <c r="H1284" s="107"/>
    </row>
    <row r="1285">
      <c r="D1285" s="106"/>
      <c r="H1285" s="107"/>
    </row>
    <row r="1286">
      <c r="D1286" s="106"/>
      <c r="H1286" s="107"/>
    </row>
    <row r="1287">
      <c r="D1287" s="106"/>
      <c r="H1287" s="107"/>
    </row>
    <row r="1288">
      <c r="D1288" s="106"/>
      <c r="H1288" s="107"/>
    </row>
    <row r="1289">
      <c r="D1289" s="106"/>
      <c r="H1289" s="107"/>
    </row>
    <row r="1290">
      <c r="D1290" s="106"/>
      <c r="H1290" s="107"/>
    </row>
    <row r="1291">
      <c r="D1291" s="106"/>
      <c r="H1291" s="107"/>
    </row>
    <row r="1292">
      <c r="D1292" s="106"/>
      <c r="H1292" s="107"/>
    </row>
    <row r="1293">
      <c r="D1293" s="106"/>
      <c r="H1293" s="107"/>
    </row>
    <row r="1294">
      <c r="D1294" s="106"/>
      <c r="H1294" s="107"/>
    </row>
    <row r="1295">
      <c r="D1295" s="106"/>
      <c r="H1295" s="107"/>
    </row>
    <row r="1296">
      <c r="D1296" s="106"/>
      <c r="H1296" s="107"/>
    </row>
    <row r="1297">
      <c r="D1297" s="106"/>
      <c r="H1297" s="107"/>
    </row>
    <row r="1298">
      <c r="D1298" s="106"/>
      <c r="H1298" s="107"/>
    </row>
    <row r="1299">
      <c r="D1299" s="106"/>
      <c r="H1299" s="107"/>
    </row>
    <row r="1300">
      <c r="D1300" s="106"/>
      <c r="H1300" s="107"/>
    </row>
    <row r="1301">
      <c r="D1301" s="106"/>
      <c r="H1301" s="107"/>
    </row>
    <row r="1302">
      <c r="D1302" s="106"/>
      <c r="H1302" s="107"/>
    </row>
    <row r="1303">
      <c r="D1303" s="106"/>
      <c r="H1303" s="107"/>
    </row>
    <row r="1304">
      <c r="D1304" s="106"/>
      <c r="H1304" s="107"/>
    </row>
    <row r="1305">
      <c r="D1305" s="106"/>
      <c r="H1305" s="107"/>
    </row>
    <row r="1306">
      <c r="D1306" s="106"/>
      <c r="H1306" s="107"/>
    </row>
    <row r="1307">
      <c r="D1307" s="106"/>
      <c r="H1307" s="107"/>
    </row>
    <row r="1308">
      <c r="D1308" s="106"/>
      <c r="H1308" s="107"/>
    </row>
    <row r="1309">
      <c r="D1309" s="106"/>
      <c r="H1309" s="107"/>
    </row>
    <row r="1310">
      <c r="D1310" s="106"/>
      <c r="H1310" s="107"/>
    </row>
    <row r="1311">
      <c r="D1311" s="106"/>
      <c r="H1311" s="107"/>
    </row>
    <row r="1312">
      <c r="D1312" s="106"/>
      <c r="H1312" s="107"/>
    </row>
    <row r="1313">
      <c r="D1313" s="106"/>
      <c r="H1313" s="107"/>
    </row>
    <row r="1314">
      <c r="D1314" s="106"/>
      <c r="H1314" s="107"/>
    </row>
    <row r="1315">
      <c r="D1315" s="106"/>
      <c r="H1315" s="107"/>
    </row>
    <row r="1316">
      <c r="D1316" s="106"/>
      <c r="H1316" s="107"/>
    </row>
    <row r="1317">
      <c r="D1317" s="106"/>
      <c r="H1317" s="107"/>
    </row>
    <row r="1318">
      <c r="D1318" s="106"/>
      <c r="H1318" s="107"/>
    </row>
    <row r="1319">
      <c r="D1319" s="106"/>
      <c r="H1319" s="107"/>
    </row>
    <row r="1320">
      <c r="D1320" s="106"/>
      <c r="H1320" s="107"/>
    </row>
    <row r="1321">
      <c r="D1321" s="106"/>
      <c r="H1321" s="107"/>
    </row>
    <row r="1322">
      <c r="D1322" s="106"/>
      <c r="H1322" s="107"/>
    </row>
    <row r="1323">
      <c r="D1323" s="106"/>
      <c r="H1323" s="107"/>
    </row>
    <row r="1324">
      <c r="D1324" s="106"/>
      <c r="H1324" s="107"/>
    </row>
    <row r="1325">
      <c r="D1325" s="106"/>
      <c r="H1325" s="107"/>
    </row>
    <row r="1326">
      <c r="D1326" s="106"/>
      <c r="H1326" s="107"/>
    </row>
    <row r="1327">
      <c r="D1327" s="106"/>
      <c r="H1327" s="107"/>
    </row>
    <row r="1328">
      <c r="D1328" s="106"/>
      <c r="H1328" s="107"/>
    </row>
    <row r="1329">
      <c r="D1329" s="106"/>
      <c r="H1329" s="107"/>
    </row>
    <row r="1330">
      <c r="D1330" s="106"/>
      <c r="H1330" s="107"/>
    </row>
    <row r="1331">
      <c r="D1331" s="106"/>
      <c r="H1331" s="107"/>
    </row>
    <row r="1332">
      <c r="D1332" s="106"/>
      <c r="H1332" s="107"/>
    </row>
    <row r="1333">
      <c r="D1333" s="106"/>
      <c r="H1333" s="107"/>
    </row>
    <row r="1334">
      <c r="D1334" s="106"/>
      <c r="H1334" s="107"/>
    </row>
    <row r="1335">
      <c r="D1335" s="106"/>
      <c r="H1335" s="107"/>
    </row>
    <row r="1336">
      <c r="D1336" s="106"/>
      <c r="H1336" s="107"/>
    </row>
    <row r="1337">
      <c r="D1337" s="106"/>
      <c r="H1337" s="107"/>
    </row>
    <row r="1338">
      <c r="D1338" s="106"/>
      <c r="H1338" s="107"/>
    </row>
    <row r="1339">
      <c r="D1339" s="106"/>
      <c r="H1339" s="107"/>
    </row>
    <row r="1340">
      <c r="D1340" s="106"/>
      <c r="H1340" s="107"/>
    </row>
    <row r="1341">
      <c r="D1341" s="106"/>
      <c r="H1341" s="107"/>
    </row>
    <row r="1342">
      <c r="D1342" s="106"/>
      <c r="H1342" s="107"/>
    </row>
    <row r="1343">
      <c r="D1343" s="106"/>
      <c r="H1343" s="107"/>
    </row>
    <row r="1344">
      <c r="D1344" s="106"/>
      <c r="H1344" s="107"/>
    </row>
    <row r="1345">
      <c r="D1345" s="106"/>
      <c r="H1345" s="107"/>
    </row>
    <row r="1346">
      <c r="D1346" s="106"/>
      <c r="H1346" s="107"/>
    </row>
    <row r="1347">
      <c r="D1347" s="106"/>
      <c r="H1347" s="107"/>
    </row>
    <row r="1348">
      <c r="D1348" s="106"/>
      <c r="H1348" s="107"/>
    </row>
    <row r="1349">
      <c r="D1349" s="106"/>
      <c r="H1349" s="107"/>
    </row>
    <row r="1350">
      <c r="D1350" s="106"/>
      <c r="H1350" s="107"/>
    </row>
    <row r="1351">
      <c r="D1351" s="106"/>
      <c r="H1351" s="107"/>
    </row>
    <row r="1352">
      <c r="D1352" s="106"/>
      <c r="H1352" s="107"/>
    </row>
    <row r="1353">
      <c r="D1353" s="106"/>
      <c r="H1353" s="107"/>
    </row>
    <row r="1354">
      <c r="D1354" s="106"/>
      <c r="H1354" s="107"/>
    </row>
    <row r="1355">
      <c r="D1355" s="106"/>
      <c r="H1355" s="107"/>
    </row>
    <row r="1356">
      <c r="D1356" s="106"/>
      <c r="H1356" s="107"/>
    </row>
    <row r="1357">
      <c r="D1357" s="106"/>
      <c r="H1357" s="107"/>
    </row>
    <row r="1358">
      <c r="D1358" s="106"/>
      <c r="H1358" s="107"/>
    </row>
    <row r="1359">
      <c r="D1359" s="106"/>
      <c r="H1359" s="107"/>
    </row>
    <row r="1360">
      <c r="D1360" s="106"/>
      <c r="H1360" s="107"/>
    </row>
    <row r="1361">
      <c r="D1361" s="106"/>
      <c r="H1361" s="107"/>
    </row>
    <row r="1362">
      <c r="D1362" s="106"/>
      <c r="H1362" s="107"/>
    </row>
    <row r="1363">
      <c r="D1363" s="106"/>
      <c r="H1363" s="107"/>
    </row>
    <row r="1364">
      <c r="D1364" s="106"/>
      <c r="H1364" s="107"/>
    </row>
    <row r="1365">
      <c r="D1365" s="106"/>
      <c r="H1365" s="107"/>
    </row>
    <row r="1366">
      <c r="D1366" s="106"/>
      <c r="H1366" s="107"/>
    </row>
    <row r="1367">
      <c r="D1367" s="106"/>
      <c r="H1367" s="107"/>
    </row>
    <row r="1368">
      <c r="D1368" s="106"/>
      <c r="H1368" s="107"/>
    </row>
    <row r="1369">
      <c r="D1369" s="106"/>
      <c r="H1369" s="107"/>
    </row>
    <row r="1370">
      <c r="D1370" s="106"/>
      <c r="H1370" s="107"/>
    </row>
    <row r="1371">
      <c r="D1371" s="106"/>
      <c r="H1371" s="107"/>
    </row>
    <row r="1372">
      <c r="D1372" s="106"/>
      <c r="H1372" s="107"/>
    </row>
    <row r="1373">
      <c r="D1373" s="106"/>
      <c r="H1373" s="107"/>
    </row>
    <row r="1374">
      <c r="D1374" s="106"/>
      <c r="H1374" s="107"/>
    </row>
    <row r="1375">
      <c r="D1375" s="106"/>
      <c r="H1375" s="107"/>
    </row>
    <row r="1376">
      <c r="D1376" s="106"/>
      <c r="H1376" s="107"/>
    </row>
    <row r="1377">
      <c r="D1377" s="106"/>
      <c r="H1377" s="107"/>
    </row>
    <row r="1378">
      <c r="D1378" s="106"/>
      <c r="H1378" s="107"/>
    </row>
    <row r="1379">
      <c r="D1379" s="106"/>
      <c r="H1379" s="107"/>
    </row>
    <row r="1380">
      <c r="D1380" s="106"/>
      <c r="H1380" s="107"/>
    </row>
    <row r="1381">
      <c r="D1381" s="106"/>
      <c r="H1381" s="107"/>
    </row>
    <row r="1382">
      <c r="D1382" s="106"/>
      <c r="H1382" s="107"/>
    </row>
    <row r="1383">
      <c r="D1383" s="106"/>
      <c r="H1383" s="107"/>
    </row>
    <row r="1384">
      <c r="D1384" s="106"/>
      <c r="H1384" s="107"/>
    </row>
    <row r="1385">
      <c r="D1385" s="106"/>
      <c r="H1385" s="107"/>
    </row>
    <row r="1386">
      <c r="D1386" s="106"/>
      <c r="H1386" s="107"/>
    </row>
    <row r="1387">
      <c r="D1387" s="106"/>
      <c r="H1387" s="107"/>
    </row>
    <row r="1388">
      <c r="D1388" s="106"/>
      <c r="H1388" s="107"/>
    </row>
    <row r="1389">
      <c r="D1389" s="106"/>
      <c r="H1389" s="107"/>
    </row>
    <row r="1390">
      <c r="D1390" s="106"/>
      <c r="H1390" s="107"/>
    </row>
    <row r="1391">
      <c r="D1391" s="106"/>
      <c r="H1391" s="107"/>
    </row>
    <row r="1392">
      <c r="D1392" s="106"/>
      <c r="H1392" s="107"/>
    </row>
    <row r="1393">
      <c r="D1393" s="106"/>
      <c r="H1393" s="107"/>
    </row>
    <row r="1394">
      <c r="D1394" s="106"/>
      <c r="H1394" s="107"/>
    </row>
    <row r="1395">
      <c r="D1395" s="106"/>
      <c r="H1395" s="107"/>
    </row>
    <row r="1396">
      <c r="D1396" s="106"/>
      <c r="H1396" s="107"/>
    </row>
    <row r="1397">
      <c r="D1397" s="106"/>
      <c r="H1397" s="107"/>
    </row>
    <row r="1398">
      <c r="D1398" s="106"/>
      <c r="H1398" s="107"/>
    </row>
    <row r="1399">
      <c r="D1399" s="106"/>
      <c r="H1399" s="107"/>
    </row>
    <row r="1400">
      <c r="D1400" s="106"/>
      <c r="H1400" s="107"/>
    </row>
    <row r="1401">
      <c r="D1401" s="106"/>
      <c r="H1401" s="107"/>
    </row>
    <row r="1402">
      <c r="D1402" s="106"/>
      <c r="H1402" s="107"/>
    </row>
    <row r="1403">
      <c r="D1403" s="106"/>
      <c r="H1403" s="107"/>
    </row>
    <row r="1404">
      <c r="D1404" s="106"/>
      <c r="H1404" s="107"/>
    </row>
    <row r="1405">
      <c r="D1405" s="106"/>
      <c r="H1405" s="107"/>
    </row>
    <row r="1406">
      <c r="D1406" s="106"/>
      <c r="H1406" s="107"/>
    </row>
    <row r="1407">
      <c r="D1407" s="106"/>
      <c r="H1407" s="107"/>
    </row>
    <row r="1408">
      <c r="D1408" s="106"/>
      <c r="H1408" s="107"/>
    </row>
    <row r="1409">
      <c r="D1409" s="106"/>
      <c r="H1409" s="107"/>
    </row>
    <row r="1410">
      <c r="D1410" s="106"/>
      <c r="H1410" s="107"/>
    </row>
    <row r="1411">
      <c r="D1411" s="106"/>
      <c r="H1411" s="107"/>
    </row>
    <row r="1412">
      <c r="D1412" s="106"/>
      <c r="H1412" s="107"/>
    </row>
    <row r="1413">
      <c r="D1413" s="106"/>
      <c r="H1413" s="107"/>
    </row>
    <row r="1414">
      <c r="D1414" s="106"/>
      <c r="H1414" s="107"/>
    </row>
    <row r="1415">
      <c r="D1415" s="106"/>
      <c r="H1415" s="107"/>
    </row>
    <row r="1416">
      <c r="D1416" s="106"/>
      <c r="H1416" s="107"/>
    </row>
    <row r="1417">
      <c r="D1417" s="106"/>
      <c r="H1417" s="107"/>
    </row>
    <row r="1418">
      <c r="D1418" s="106"/>
      <c r="H1418" s="107"/>
    </row>
    <row r="1419">
      <c r="D1419" s="106"/>
      <c r="H1419" s="107"/>
    </row>
    <row r="1420">
      <c r="D1420" s="106"/>
      <c r="H1420" s="107"/>
    </row>
    <row r="1421">
      <c r="D1421" s="106"/>
      <c r="H1421" s="107"/>
    </row>
    <row r="1422">
      <c r="D1422" s="106"/>
      <c r="H1422" s="107"/>
    </row>
    <row r="1423">
      <c r="D1423" s="106"/>
      <c r="H1423" s="107"/>
    </row>
    <row r="1424">
      <c r="D1424" s="106"/>
      <c r="H1424" s="107"/>
    </row>
    <row r="1425">
      <c r="D1425" s="106"/>
      <c r="H1425" s="107"/>
    </row>
    <row r="1426">
      <c r="D1426" s="106"/>
      <c r="H1426" s="107"/>
    </row>
    <row r="1427">
      <c r="D1427" s="106"/>
      <c r="H1427" s="107"/>
    </row>
    <row r="1428">
      <c r="D1428" s="106"/>
      <c r="H1428" s="107"/>
    </row>
    <row r="1429">
      <c r="D1429" s="106"/>
      <c r="H1429" s="107"/>
    </row>
    <row r="1430">
      <c r="D1430" s="106"/>
      <c r="H1430" s="107"/>
    </row>
    <row r="1431">
      <c r="D1431" s="106"/>
      <c r="H1431" s="107"/>
    </row>
    <row r="1432">
      <c r="D1432" s="106"/>
      <c r="H1432" s="107"/>
    </row>
    <row r="1433">
      <c r="D1433" s="106"/>
      <c r="H1433" s="107"/>
    </row>
    <row r="1434">
      <c r="D1434" s="106"/>
      <c r="H1434" s="107"/>
    </row>
    <row r="1435">
      <c r="D1435" s="106"/>
      <c r="H1435" s="107"/>
    </row>
    <row r="1436">
      <c r="D1436" s="106"/>
      <c r="H1436" s="107"/>
    </row>
    <row r="1437">
      <c r="D1437" s="106"/>
      <c r="H1437" s="107"/>
    </row>
    <row r="1438">
      <c r="D1438" s="106"/>
      <c r="H1438" s="107"/>
    </row>
    <row r="1439">
      <c r="D1439" s="106"/>
      <c r="H1439" s="107"/>
    </row>
    <row r="1440">
      <c r="D1440" s="106"/>
      <c r="H1440" s="107"/>
    </row>
    <row r="1441">
      <c r="D1441" s="106"/>
      <c r="H1441" s="107"/>
    </row>
    <row r="1442">
      <c r="D1442" s="106"/>
      <c r="H1442" s="107"/>
    </row>
    <row r="1443">
      <c r="D1443" s="106"/>
      <c r="H1443" s="107"/>
    </row>
    <row r="1444">
      <c r="D1444" s="106"/>
      <c r="H1444" s="107"/>
    </row>
    <row r="1445">
      <c r="D1445" s="106"/>
      <c r="H1445" s="107"/>
    </row>
    <row r="1446">
      <c r="D1446" s="106"/>
      <c r="H1446" s="107"/>
    </row>
    <row r="1447">
      <c r="D1447" s="106"/>
      <c r="H1447" s="107"/>
    </row>
    <row r="1448">
      <c r="D1448" s="106"/>
      <c r="H1448" s="107"/>
    </row>
    <row r="1449">
      <c r="D1449" s="106"/>
      <c r="H1449" s="107"/>
    </row>
    <row r="1450">
      <c r="D1450" s="106"/>
      <c r="H1450" s="107"/>
    </row>
    <row r="1451">
      <c r="D1451" s="106"/>
      <c r="H1451" s="107"/>
    </row>
    <row r="1452">
      <c r="D1452" s="106"/>
      <c r="H1452" s="107"/>
    </row>
    <row r="1453">
      <c r="D1453" s="106"/>
      <c r="H1453" s="107"/>
    </row>
    <row r="1454">
      <c r="D1454" s="106"/>
      <c r="H1454" s="107"/>
    </row>
    <row r="1455">
      <c r="D1455" s="106"/>
      <c r="H1455" s="107"/>
    </row>
    <row r="1456">
      <c r="D1456" s="106"/>
      <c r="H1456" s="107"/>
    </row>
    <row r="1457">
      <c r="D1457" s="106"/>
      <c r="H1457" s="107"/>
    </row>
    <row r="1458">
      <c r="D1458" s="106"/>
      <c r="H1458" s="107"/>
    </row>
    <row r="1459">
      <c r="D1459" s="106"/>
      <c r="H1459" s="107"/>
    </row>
    <row r="1460">
      <c r="D1460" s="106"/>
      <c r="H1460" s="107"/>
    </row>
    <row r="1461">
      <c r="D1461" s="106"/>
      <c r="H1461" s="107"/>
    </row>
    <row r="1462">
      <c r="D1462" s="106"/>
      <c r="H1462" s="107"/>
    </row>
    <row r="1463">
      <c r="D1463" s="106"/>
      <c r="H1463" s="107"/>
    </row>
    <row r="1464">
      <c r="D1464" s="106"/>
      <c r="H1464" s="107"/>
    </row>
    <row r="1465">
      <c r="D1465" s="106"/>
      <c r="H1465" s="107"/>
    </row>
    <row r="1466">
      <c r="D1466" s="106"/>
      <c r="H1466" s="107"/>
    </row>
    <row r="1467">
      <c r="D1467" s="106"/>
      <c r="H1467" s="107"/>
    </row>
    <row r="1468">
      <c r="D1468" s="106"/>
      <c r="H1468" s="107"/>
    </row>
    <row r="1469">
      <c r="D1469" s="106"/>
      <c r="H1469" s="107"/>
    </row>
    <row r="1470">
      <c r="D1470" s="106"/>
      <c r="H1470" s="107"/>
    </row>
    <row r="1471">
      <c r="D1471" s="106"/>
      <c r="H1471" s="107"/>
    </row>
    <row r="1472">
      <c r="D1472" s="106"/>
      <c r="H1472" s="107"/>
    </row>
    <row r="1473">
      <c r="D1473" s="106"/>
      <c r="H1473" s="107"/>
    </row>
    <row r="1474">
      <c r="D1474" s="106"/>
      <c r="H1474" s="107"/>
    </row>
    <row r="1475">
      <c r="D1475" s="106"/>
      <c r="H1475" s="107"/>
    </row>
    <row r="1476">
      <c r="D1476" s="106"/>
      <c r="H1476" s="107"/>
    </row>
    <row r="1477">
      <c r="D1477" s="106"/>
      <c r="H1477" s="107"/>
    </row>
    <row r="1478">
      <c r="D1478" s="106"/>
      <c r="H1478" s="107"/>
    </row>
    <row r="1479">
      <c r="D1479" s="106"/>
      <c r="H1479" s="107"/>
    </row>
    <row r="1480">
      <c r="D1480" s="106"/>
      <c r="H1480" s="107"/>
    </row>
    <row r="1481">
      <c r="D1481" s="106"/>
      <c r="H1481" s="107"/>
    </row>
    <row r="1482">
      <c r="D1482" s="106"/>
      <c r="H1482" s="107"/>
    </row>
    <row r="1483">
      <c r="D1483" s="106"/>
      <c r="H1483" s="107"/>
    </row>
    <row r="1484">
      <c r="D1484" s="106"/>
      <c r="H1484" s="107"/>
    </row>
    <row r="1485">
      <c r="D1485" s="106"/>
      <c r="H1485" s="107"/>
    </row>
    <row r="1486">
      <c r="D1486" s="106"/>
      <c r="H1486" s="107"/>
    </row>
    <row r="1487">
      <c r="D1487" s="106"/>
      <c r="H1487" s="107"/>
    </row>
    <row r="1488">
      <c r="D1488" s="106"/>
      <c r="H1488" s="107"/>
    </row>
    <row r="1489">
      <c r="D1489" s="106"/>
      <c r="H1489" s="107"/>
    </row>
    <row r="1490">
      <c r="D1490" s="106"/>
      <c r="H1490" s="107"/>
    </row>
    <row r="1491">
      <c r="D1491" s="106"/>
      <c r="H1491" s="107"/>
    </row>
    <row r="1492">
      <c r="D1492" s="106"/>
      <c r="H1492" s="107"/>
    </row>
    <row r="1493">
      <c r="D1493" s="106"/>
      <c r="H1493" s="107"/>
    </row>
    <row r="1494">
      <c r="D1494" s="106"/>
      <c r="H1494" s="107"/>
    </row>
    <row r="1495">
      <c r="D1495" s="106"/>
      <c r="H1495" s="107"/>
    </row>
    <row r="1496">
      <c r="D1496" s="106"/>
      <c r="H1496" s="107"/>
    </row>
    <row r="1497">
      <c r="D1497" s="106"/>
      <c r="H1497" s="107"/>
    </row>
    <row r="1498">
      <c r="D1498" s="106"/>
      <c r="H1498" s="107"/>
    </row>
    <row r="1499">
      <c r="D1499" s="106"/>
      <c r="H1499" s="107"/>
    </row>
    <row r="1500">
      <c r="D1500" s="106"/>
      <c r="H1500" s="107"/>
    </row>
    <row r="1501">
      <c r="D1501" s="106"/>
      <c r="H1501" s="10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9.88"/>
  </cols>
  <sheetData>
    <row r="1">
      <c r="A1" s="109" t="s">
        <v>132</v>
      </c>
      <c r="B1" s="106" t="str">
        <f>COUNTA('📊 Product Search'!B11:B1000)&amp;"/"&amp;'ข้อมูล Inventory Dashboard'!D1+COUNTIF('📦 ชื่อสินค้า'!G2:G1000,"InActive")</f>
        <v>21/14</v>
      </c>
    </row>
    <row r="2">
      <c r="A2" s="109" t="s">
        <v>101</v>
      </c>
      <c r="B2" s="108">
        <f>SUM('📊 Product Search'!G11:G1000)</f>
        <v>454272.0442</v>
      </c>
    </row>
    <row r="3">
      <c r="A3" s="109" t="s">
        <v>133</v>
      </c>
      <c r="B3" s="108">
        <f>SUM('📊 Product Search'!N11:N1000)</f>
        <v>0</v>
      </c>
    </row>
    <row r="4">
      <c r="A4" s="109" t="s">
        <v>134</v>
      </c>
      <c r="B4" s="113" t="str">
        <f>B2/B3</f>
        <v>#DIV/0!</v>
      </c>
    </row>
    <row r="5">
      <c r="A5" s="106"/>
      <c r="B5" s="106"/>
    </row>
    <row r="6">
      <c r="A6" s="106"/>
      <c r="B6" s="106"/>
    </row>
    <row r="7">
      <c r="A7" s="106"/>
      <c r="B7" s="106"/>
    </row>
    <row r="8">
      <c r="A8" s="106"/>
      <c r="B8" s="106"/>
    </row>
    <row r="9">
      <c r="A9" s="106"/>
      <c r="B9" s="106"/>
    </row>
    <row r="10">
      <c r="A10" s="106"/>
      <c r="B10" s="106"/>
    </row>
    <row r="11">
      <c r="A11" s="106"/>
      <c r="B11" s="106"/>
    </row>
    <row r="12">
      <c r="A12" s="106"/>
      <c r="B12" s="106"/>
    </row>
    <row r="13">
      <c r="A13" s="106"/>
      <c r="B13" s="106"/>
    </row>
    <row r="14">
      <c r="A14" s="106"/>
      <c r="B14" s="106"/>
    </row>
    <row r="15">
      <c r="A15" s="106"/>
      <c r="B15" s="106"/>
    </row>
    <row r="16">
      <c r="A16" s="106"/>
      <c r="B16" s="106"/>
    </row>
    <row r="17">
      <c r="A17" s="106"/>
      <c r="B17" s="106"/>
    </row>
    <row r="18">
      <c r="A18" s="106"/>
      <c r="B18" s="106"/>
    </row>
    <row r="19">
      <c r="A19" s="106"/>
      <c r="B19" s="106"/>
    </row>
    <row r="20">
      <c r="A20" s="106"/>
      <c r="B20" s="106"/>
    </row>
    <row r="21">
      <c r="A21" s="106"/>
      <c r="B21" s="106"/>
    </row>
    <row r="22">
      <c r="A22" s="106"/>
      <c r="B22" s="106"/>
    </row>
    <row r="23">
      <c r="A23" s="106"/>
      <c r="B23" s="106"/>
    </row>
    <row r="24">
      <c r="A24" s="106"/>
      <c r="B24" s="106"/>
    </row>
    <row r="25">
      <c r="A25" s="106"/>
      <c r="B25" s="106"/>
    </row>
    <row r="26">
      <c r="A26" s="106"/>
      <c r="B26" s="106"/>
    </row>
    <row r="27">
      <c r="A27" s="106"/>
      <c r="B27" s="106"/>
    </row>
    <row r="28">
      <c r="A28" s="106"/>
      <c r="B28" s="106"/>
    </row>
    <row r="29">
      <c r="A29" s="106"/>
      <c r="B29" s="106"/>
    </row>
    <row r="30">
      <c r="A30" s="106"/>
      <c r="B30" s="106"/>
    </row>
    <row r="31">
      <c r="A31" s="106"/>
      <c r="B31" s="106"/>
    </row>
    <row r="32">
      <c r="A32" s="106"/>
      <c r="B32" s="106"/>
    </row>
    <row r="33">
      <c r="A33" s="106"/>
      <c r="B33" s="106"/>
    </row>
    <row r="34">
      <c r="A34" s="106"/>
      <c r="B34" s="106"/>
    </row>
    <row r="35">
      <c r="A35" s="106"/>
      <c r="B35" s="106"/>
    </row>
    <row r="36">
      <c r="A36" s="106"/>
      <c r="B36" s="106"/>
    </row>
    <row r="37">
      <c r="A37" s="106"/>
      <c r="B37" s="106"/>
    </row>
    <row r="38">
      <c r="A38" s="106"/>
      <c r="B38" s="106"/>
    </row>
    <row r="39">
      <c r="A39" s="106"/>
      <c r="B39" s="106"/>
    </row>
    <row r="40">
      <c r="A40" s="106"/>
      <c r="B40" s="106"/>
    </row>
    <row r="41">
      <c r="A41" s="106"/>
      <c r="B41" s="106"/>
    </row>
    <row r="42">
      <c r="A42" s="106"/>
      <c r="B42" s="106"/>
    </row>
    <row r="43">
      <c r="A43" s="106"/>
      <c r="B43" s="106"/>
    </row>
    <row r="44">
      <c r="A44" s="106"/>
      <c r="B44" s="106"/>
    </row>
    <row r="45">
      <c r="A45" s="106"/>
      <c r="B45" s="106"/>
    </row>
    <row r="46">
      <c r="A46" s="106"/>
      <c r="B46" s="106"/>
    </row>
    <row r="47">
      <c r="A47" s="106"/>
      <c r="B47" s="106"/>
    </row>
    <row r="48">
      <c r="A48" s="106"/>
      <c r="B48" s="106"/>
    </row>
    <row r="49">
      <c r="A49" s="106"/>
      <c r="B49" s="106"/>
    </row>
    <row r="50">
      <c r="A50" s="106"/>
      <c r="B50" s="106"/>
    </row>
    <row r="51">
      <c r="A51" s="106"/>
      <c r="B51" s="106"/>
    </row>
    <row r="52">
      <c r="A52" s="106"/>
      <c r="B52" s="106"/>
    </row>
    <row r="53">
      <c r="A53" s="106"/>
      <c r="B53" s="106"/>
    </row>
    <row r="54">
      <c r="A54" s="106"/>
      <c r="B54" s="106"/>
    </row>
    <row r="55">
      <c r="A55" s="106"/>
      <c r="B55" s="106"/>
    </row>
    <row r="56">
      <c r="A56" s="106"/>
      <c r="B56" s="106"/>
    </row>
    <row r="57">
      <c r="A57" s="106"/>
      <c r="B57" s="106"/>
    </row>
    <row r="58">
      <c r="A58" s="106"/>
      <c r="B58" s="106"/>
    </row>
    <row r="59">
      <c r="A59" s="106"/>
      <c r="B59" s="106"/>
    </row>
    <row r="60">
      <c r="A60" s="106"/>
      <c r="B60" s="106"/>
    </row>
    <row r="61">
      <c r="A61" s="106"/>
      <c r="B61" s="106"/>
    </row>
    <row r="62">
      <c r="A62" s="106"/>
      <c r="B62" s="106"/>
    </row>
    <row r="63">
      <c r="A63" s="106"/>
      <c r="B63" s="106"/>
    </row>
    <row r="64">
      <c r="A64" s="106"/>
      <c r="B64" s="106"/>
    </row>
    <row r="65">
      <c r="A65" s="106"/>
      <c r="B65" s="106"/>
    </row>
    <row r="66">
      <c r="A66" s="106"/>
      <c r="B66" s="106"/>
    </row>
    <row r="67">
      <c r="A67" s="106"/>
      <c r="B67" s="106"/>
    </row>
    <row r="68">
      <c r="A68" s="106"/>
      <c r="B68" s="106"/>
    </row>
    <row r="69">
      <c r="A69" s="106"/>
      <c r="B69" s="106"/>
    </row>
    <row r="70">
      <c r="A70" s="106"/>
      <c r="B70" s="106"/>
    </row>
    <row r="71">
      <c r="A71" s="106"/>
      <c r="B71" s="106"/>
    </row>
    <row r="72">
      <c r="A72" s="106"/>
      <c r="B72" s="106"/>
    </row>
    <row r="73">
      <c r="A73" s="106"/>
      <c r="B73" s="106"/>
    </row>
    <row r="74">
      <c r="A74" s="106"/>
      <c r="B74" s="106"/>
    </row>
    <row r="75">
      <c r="A75" s="106"/>
      <c r="B75" s="106"/>
    </row>
    <row r="76">
      <c r="A76" s="106"/>
      <c r="B76" s="106"/>
    </row>
    <row r="77">
      <c r="A77" s="106"/>
      <c r="B77" s="106"/>
    </row>
    <row r="78">
      <c r="A78" s="106"/>
      <c r="B78" s="106"/>
    </row>
    <row r="79">
      <c r="A79" s="106"/>
      <c r="B79" s="106"/>
    </row>
    <row r="80">
      <c r="A80" s="106"/>
      <c r="B80" s="106"/>
    </row>
    <row r="81">
      <c r="A81" s="106"/>
      <c r="B81" s="106"/>
    </row>
    <row r="82">
      <c r="A82" s="106"/>
      <c r="B82" s="106"/>
    </row>
    <row r="83">
      <c r="A83" s="106"/>
      <c r="B83" s="106"/>
    </row>
    <row r="84">
      <c r="A84" s="106"/>
      <c r="B84" s="106"/>
    </row>
    <row r="85">
      <c r="A85" s="106"/>
      <c r="B85" s="106"/>
    </row>
    <row r="86">
      <c r="A86" s="106"/>
      <c r="B86" s="106"/>
    </row>
    <row r="87">
      <c r="A87" s="106"/>
      <c r="B87" s="106"/>
    </row>
    <row r="88">
      <c r="A88" s="106"/>
      <c r="B88" s="106"/>
    </row>
    <row r="89">
      <c r="A89" s="106"/>
      <c r="B89" s="106"/>
    </row>
    <row r="90">
      <c r="A90" s="106"/>
      <c r="B90" s="106"/>
    </row>
    <row r="91">
      <c r="A91" s="106"/>
      <c r="B91" s="106"/>
    </row>
    <row r="92">
      <c r="A92" s="106"/>
      <c r="B92" s="106"/>
    </row>
    <row r="93">
      <c r="A93" s="106"/>
      <c r="B93" s="106"/>
    </row>
    <row r="94">
      <c r="A94" s="106"/>
      <c r="B94" s="106"/>
    </row>
    <row r="95">
      <c r="A95" s="106"/>
      <c r="B95" s="106"/>
    </row>
    <row r="96">
      <c r="A96" s="106"/>
      <c r="B96" s="106"/>
    </row>
    <row r="97">
      <c r="A97" s="106"/>
      <c r="B97" s="106"/>
    </row>
    <row r="98">
      <c r="A98" s="106"/>
      <c r="B98" s="106"/>
    </row>
    <row r="99">
      <c r="A99" s="106"/>
      <c r="B99" s="106"/>
    </row>
    <row r="100">
      <c r="A100" s="106"/>
      <c r="B100" s="106"/>
    </row>
    <row r="101">
      <c r="A101" s="106"/>
      <c r="B101" s="106"/>
    </row>
    <row r="102">
      <c r="A102" s="106"/>
      <c r="B102" s="106"/>
    </row>
    <row r="103">
      <c r="A103" s="106"/>
      <c r="B103" s="106"/>
    </row>
    <row r="104">
      <c r="A104" s="106"/>
      <c r="B104" s="106"/>
    </row>
    <row r="105">
      <c r="A105" s="106"/>
      <c r="B105" s="106"/>
    </row>
    <row r="106">
      <c r="A106" s="106"/>
      <c r="B106" s="106"/>
    </row>
    <row r="107">
      <c r="A107" s="106"/>
      <c r="B107" s="106"/>
    </row>
    <row r="108">
      <c r="A108" s="106"/>
      <c r="B108" s="106"/>
    </row>
    <row r="109">
      <c r="A109" s="106"/>
      <c r="B109" s="106"/>
    </row>
    <row r="110">
      <c r="A110" s="106"/>
      <c r="B110" s="106"/>
    </row>
    <row r="111">
      <c r="A111" s="106"/>
      <c r="B111" s="106"/>
    </row>
    <row r="112">
      <c r="A112" s="106"/>
      <c r="B112" s="106"/>
    </row>
    <row r="113">
      <c r="A113" s="106"/>
      <c r="B113" s="106"/>
    </row>
    <row r="114">
      <c r="A114" s="106"/>
      <c r="B114" s="106"/>
    </row>
    <row r="115">
      <c r="A115" s="106"/>
      <c r="B115" s="106"/>
    </row>
    <row r="116">
      <c r="A116" s="106"/>
      <c r="B116" s="106"/>
    </row>
    <row r="117">
      <c r="A117" s="106"/>
      <c r="B117" s="106"/>
    </row>
    <row r="118">
      <c r="A118" s="106"/>
      <c r="B118" s="106"/>
    </row>
    <row r="119">
      <c r="A119" s="106"/>
      <c r="B119" s="106"/>
    </row>
    <row r="120">
      <c r="A120" s="106"/>
      <c r="B120" s="106"/>
    </row>
    <row r="121">
      <c r="A121" s="106"/>
      <c r="B121" s="106"/>
    </row>
    <row r="122">
      <c r="A122" s="106"/>
      <c r="B122" s="106"/>
    </row>
    <row r="123">
      <c r="A123" s="106"/>
      <c r="B123" s="106"/>
    </row>
    <row r="124">
      <c r="A124" s="106"/>
      <c r="B124" s="106"/>
    </row>
    <row r="125">
      <c r="A125" s="106"/>
      <c r="B125" s="106"/>
    </row>
    <row r="126">
      <c r="A126" s="106"/>
      <c r="B126" s="106"/>
    </row>
    <row r="127">
      <c r="A127" s="106"/>
      <c r="B127" s="106"/>
    </row>
    <row r="128">
      <c r="A128" s="106"/>
      <c r="B128" s="106"/>
    </row>
    <row r="129">
      <c r="A129" s="106"/>
      <c r="B129" s="106"/>
    </row>
    <row r="130">
      <c r="A130" s="106"/>
      <c r="B130" s="106"/>
    </row>
    <row r="131">
      <c r="A131" s="106"/>
      <c r="B131" s="106"/>
    </row>
    <row r="132">
      <c r="A132" s="106"/>
      <c r="B132" s="106"/>
    </row>
    <row r="133">
      <c r="A133" s="106"/>
      <c r="B133" s="106"/>
    </row>
    <row r="134">
      <c r="A134" s="106"/>
      <c r="B134" s="106"/>
    </row>
    <row r="135">
      <c r="A135" s="106"/>
      <c r="B135" s="106"/>
    </row>
    <row r="136">
      <c r="A136" s="106"/>
      <c r="B136" s="106"/>
    </row>
    <row r="137">
      <c r="A137" s="106"/>
      <c r="B137" s="106"/>
    </row>
    <row r="138">
      <c r="A138" s="106"/>
      <c r="B138" s="106"/>
    </row>
    <row r="139">
      <c r="A139" s="106"/>
      <c r="B139" s="106"/>
    </row>
    <row r="140">
      <c r="A140" s="106"/>
      <c r="B140" s="106"/>
    </row>
    <row r="141">
      <c r="A141" s="106"/>
      <c r="B141" s="106"/>
    </row>
    <row r="142">
      <c r="A142" s="106"/>
      <c r="B142" s="106"/>
    </row>
    <row r="143">
      <c r="A143" s="106"/>
      <c r="B143" s="106"/>
    </row>
    <row r="144">
      <c r="A144" s="106"/>
      <c r="B144" s="106"/>
    </row>
    <row r="145">
      <c r="A145" s="106"/>
      <c r="B145" s="106"/>
    </row>
    <row r="146">
      <c r="A146" s="106"/>
      <c r="B146" s="106"/>
    </row>
    <row r="147">
      <c r="A147" s="106"/>
      <c r="B147" s="106"/>
    </row>
    <row r="148">
      <c r="A148" s="106"/>
      <c r="B148" s="106"/>
    </row>
    <row r="149">
      <c r="A149" s="106"/>
      <c r="B149" s="106"/>
    </row>
    <row r="150">
      <c r="A150" s="106"/>
      <c r="B150" s="106"/>
    </row>
    <row r="151">
      <c r="A151" s="106"/>
      <c r="B151" s="106"/>
    </row>
    <row r="152">
      <c r="A152" s="106"/>
      <c r="B152" s="106"/>
    </row>
    <row r="153">
      <c r="A153" s="106"/>
      <c r="B153" s="106"/>
    </row>
    <row r="154">
      <c r="A154" s="106"/>
      <c r="B154" s="106"/>
    </row>
    <row r="155">
      <c r="A155" s="106"/>
      <c r="B155" s="106"/>
    </row>
    <row r="156">
      <c r="A156" s="106"/>
      <c r="B156" s="106"/>
    </row>
    <row r="157">
      <c r="A157" s="106"/>
      <c r="B157" s="106"/>
    </row>
    <row r="158">
      <c r="A158" s="106"/>
      <c r="B158" s="106"/>
    </row>
    <row r="159">
      <c r="A159" s="106"/>
      <c r="B159" s="106"/>
    </row>
    <row r="160">
      <c r="A160" s="106"/>
      <c r="B160" s="106"/>
    </row>
    <row r="161">
      <c r="A161" s="106"/>
      <c r="B161" s="106"/>
    </row>
    <row r="162">
      <c r="A162" s="106"/>
      <c r="B162" s="106"/>
    </row>
    <row r="163">
      <c r="A163" s="106"/>
      <c r="B163" s="106"/>
    </row>
    <row r="164">
      <c r="A164" s="106"/>
      <c r="B164" s="106"/>
    </row>
    <row r="165">
      <c r="A165" s="106"/>
      <c r="B165" s="106"/>
    </row>
    <row r="166">
      <c r="A166" s="106"/>
      <c r="B166" s="106"/>
    </row>
    <row r="167">
      <c r="A167" s="106"/>
      <c r="B167" s="106"/>
    </row>
    <row r="168">
      <c r="A168" s="106"/>
      <c r="B168" s="106"/>
    </row>
    <row r="169">
      <c r="A169" s="106"/>
      <c r="B169" s="106"/>
    </row>
    <row r="170">
      <c r="A170" s="106"/>
      <c r="B170" s="106"/>
    </row>
    <row r="171">
      <c r="A171" s="106"/>
      <c r="B171" s="106"/>
    </row>
    <row r="172">
      <c r="A172" s="106"/>
      <c r="B172" s="106"/>
    </row>
    <row r="173">
      <c r="A173" s="106"/>
      <c r="B173" s="106"/>
    </row>
    <row r="174">
      <c r="A174" s="106"/>
      <c r="B174" s="106"/>
    </row>
    <row r="175">
      <c r="A175" s="106"/>
      <c r="B175" s="106"/>
    </row>
    <row r="176">
      <c r="A176" s="106"/>
      <c r="B176" s="106"/>
    </row>
    <row r="177">
      <c r="A177" s="106"/>
      <c r="B177" s="106"/>
    </row>
    <row r="178">
      <c r="A178" s="106"/>
      <c r="B178" s="106"/>
    </row>
    <row r="179">
      <c r="A179" s="106"/>
      <c r="B179" s="106"/>
    </row>
    <row r="180">
      <c r="A180" s="106"/>
      <c r="B180" s="106"/>
    </row>
    <row r="181">
      <c r="A181" s="106"/>
      <c r="B181" s="106"/>
    </row>
    <row r="182">
      <c r="A182" s="106"/>
      <c r="B182" s="106"/>
    </row>
    <row r="183">
      <c r="A183" s="106"/>
      <c r="B183" s="106"/>
    </row>
    <row r="184">
      <c r="A184" s="106"/>
      <c r="B184" s="106"/>
    </row>
    <row r="185">
      <c r="A185" s="106"/>
      <c r="B185" s="106"/>
    </row>
    <row r="186">
      <c r="A186" s="106"/>
      <c r="B186" s="106"/>
    </row>
    <row r="187">
      <c r="A187" s="106"/>
      <c r="B187" s="106"/>
    </row>
    <row r="188">
      <c r="A188" s="106"/>
      <c r="B188" s="106"/>
    </row>
    <row r="189">
      <c r="A189" s="106"/>
      <c r="B189" s="106"/>
    </row>
    <row r="190">
      <c r="A190" s="106"/>
      <c r="B190" s="106"/>
    </row>
    <row r="191">
      <c r="A191" s="106"/>
      <c r="B191" s="106"/>
    </row>
    <row r="192">
      <c r="A192" s="106"/>
      <c r="B192" s="106"/>
    </row>
    <row r="193">
      <c r="A193" s="106"/>
      <c r="B193" s="106"/>
    </row>
    <row r="194">
      <c r="A194" s="106"/>
      <c r="B194" s="106"/>
    </row>
    <row r="195">
      <c r="A195" s="106"/>
      <c r="B195" s="106"/>
    </row>
    <row r="196">
      <c r="A196" s="106"/>
      <c r="B196" s="106"/>
    </row>
    <row r="197">
      <c r="A197" s="106"/>
      <c r="B197" s="106"/>
    </row>
    <row r="198">
      <c r="A198" s="106"/>
      <c r="B198" s="106"/>
    </row>
    <row r="199">
      <c r="A199" s="106"/>
      <c r="B199" s="106"/>
    </row>
    <row r="200">
      <c r="A200" s="106"/>
      <c r="B200" s="106"/>
    </row>
    <row r="201">
      <c r="A201" s="106"/>
      <c r="B201" s="106"/>
    </row>
    <row r="202">
      <c r="A202" s="106"/>
      <c r="B202" s="106"/>
    </row>
    <row r="203">
      <c r="A203" s="106"/>
      <c r="B203" s="106"/>
    </row>
    <row r="204">
      <c r="A204" s="106"/>
      <c r="B204" s="106"/>
    </row>
    <row r="205">
      <c r="A205" s="106"/>
      <c r="B205" s="106"/>
    </row>
    <row r="206">
      <c r="A206" s="106"/>
      <c r="B206" s="106"/>
    </row>
    <row r="207">
      <c r="A207" s="106"/>
      <c r="B207" s="106"/>
    </row>
    <row r="208">
      <c r="A208" s="106"/>
      <c r="B208" s="106"/>
    </row>
    <row r="209">
      <c r="A209" s="106"/>
      <c r="B209" s="106"/>
    </row>
    <row r="210">
      <c r="A210" s="106"/>
      <c r="B210" s="106"/>
    </row>
    <row r="211">
      <c r="A211" s="106"/>
      <c r="B211" s="106"/>
    </row>
    <row r="212">
      <c r="A212" s="106"/>
      <c r="B212" s="106"/>
    </row>
    <row r="213">
      <c r="A213" s="106"/>
      <c r="B213" s="106"/>
    </row>
    <row r="214">
      <c r="A214" s="106"/>
      <c r="B214" s="106"/>
    </row>
    <row r="215">
      <c r="A215" s="106"/>
      <c r="B215" s="106"/>
    </row>
    <row r="216">
      <c r="A216" s="106"/>
      <c r="B216" s="106"/>
    </row>
    <row r="217">
      <c r="A217" s="106"/>
      <c r="B217" s="106"/>
    </row>
    <row r="218">
      <c r="A218" s="106"/>
      <c r="B218" s="106"/>
    </row>
    <row r="219">
      <c r="A219" s="106"/>
      <c r="B219" s="106"/>
    </row>
    <row r="220">
      <c r="A220" s="106"/>
      <c r="B220" s="106"/>
    </row>
    <row r="221">
      <c r="A221" s="106"/>
      <c r="B221" s="106"/>
    </row>
    <row r="222">
      <c r="A222" s="106"/>
      <c r="B222" s="106"/>
    </row>
    <row r="223">
      <c r="A223" s="106"/>
      <c r="B223" s="106"/>
    </row>
    <row r="224">
      <c r="A224" s="106"/>
      <c r="B224" s="106"/>
    </row>
    <row r="225">
      <c r="A225" s="106"/>
      <c r="B225" s="106"/>
    </row>
    <row r="226">
      <c r="A226" s="106"/>
      <c r="B226" s="106"/>
    </row>
    <row r="227">
      <c r="A227" s="106"/>
      <c r="B227" s="106"/>
    </row>
    <row r="228">
      <c r="A228" s="106"/>
      <c r="B228" s="106"/>
    </row>
    <row r="229">
      <c r="A229" s="106"/>
      <c r="B229" s="106"/>
    </row>
    <row r="230">
      <c r="A230" s="106"/>
      <c r="B230" s="106"/>
    </row>
    <row r="231">
      <c r="A231" s="106"/>
      <c r="B231" s="106"/>
    </row>
    <row r="232">
      <c r="A232" s="106"/>
      <c r="B232" s="106"/>
    </row>
    <row r="233">
      <c r="A233" s="106"/>
      <c r="B233" s="106"/>
    </row>
    <row r="234">
      <c r="A234" s="106"/>
      <c r="B234" s="106"/>
    </row>
    <row r="235">
      <c r="A235" s="106"/>
      <c r="B235" s="106"/>
    </row>
    <row r="236">
      <c r="A236" s="106"/>
      <c r="B236" s="106"/>
    </row>
    <row r="237">
      <c r="A237" s="106"/>
      <c r="B237" s="106"/>
    </row>
    <row r="238">
      <c r="A238" s="106"/>
      <c r="B238" s="106"/>
    </row>
    <row r="239">
      <c r="A239" s="106"/>
      <c r="B239" s="106"/>
    </row>
    <row r="240">
      <c r="A240" s="106"/>
      <c r="B240" s="106"/>
    </row>
    <row r="241">
      <c r="A241" s="106"/>
      <c r="B241" s="106"/>
    </row>
    <row r="242">
      <c r="A242" s="106"/>
      <c r="B242" s="106"/>
    </row>
    <row r="243">
      <c r="A243" s="106"/>
      <c r="B243" s="106"/>
    </row>
    <row r="244">
      <c r="A244" s="106"/>
      <c r="B244" s="106"/>
    </row>
    <row r="245">
      <c r="A245" s="106"/>
      <c r="B245" s="106"/>
    </row>
    <row r="246">
      <c r="A246" s="106"/>
      <c r="B246" s="106"/>
    </row>
    <row r="247">
      <c r="A247" s="106"/>
      <c r="B247" s="106"/>
    </row>
    <row r="248">
      <c r="A248" s="106"/>
      <c r="B248" s="106"/>
    </row>
    <row r="249">
      <c r="A249" s="106"/>
      <c r="B249" s="106"/>
    </row>
    <row r="250">
      <c r="A250" s="106"/>
      <c r="B250" s="106"/>
    </row>
    <row r="251">
      <c r="A251" s="106"/>
      <c r="B251" s="106"/>
    </row>
    <row r="252">
      <c r="A252" s="106"/>
      <c r="B252" s="106"/>
    </row>
    <row r="253">
      <c r="A253" s="106"/>
      <c r="B253" s="106"/>
    </row>
    <row r="254">
      <c r="A254" s="106"/>
      <c r="B254" s="106"/>
    </row>
    <row r="255">
      <c r="A255" s="106"/>
      <c r="B255" s="106"/>
    </row>
    <row r="256">
      <c r="A256" s="106"/>
      <c r="B256" s="106"/>
    </row>
    <row r="257">
      <c r="A257" s="106"/>
      <c r="B257" s="106"/>
    </row>
    <row r="258">
      <c r="A258" s="106"/>
      <c r="B258" s="106"/>
    </row>
    <row r="259">
      <c r="A259" s="106"/>
      <c r="B259" s="106"/>
    </row>
    <row r="260">
      <c r="A260" s="106"/>
      <c r="B260" s="106"/>
    </row>
    <row r="261">
      <c r="A261" s="106"/>
      <c r="B261" s="106"/>
    </row>
    <row r="262">
      <c r="A262" s="106"/>
      <c r="B262" s="106"/>
    </row>
    <row r="263">
      <c r="A263" s="106"/>
      <c r="B263" s="106"/>
    </row>
    <row r="264">
      <c r="A264" s="106"/>
      <c r="B264" s="106"/>
    </row>
    <row r="265">
      <c r="A265" s="106"/>
      <c r="B265" s="106"/>
    </row>
    <row r="266">
      <c r="A266" s="106"/>
      <c r="B266" s="106"/>
    </row>
    <row r="267">
      <c r="A267" s="106"/>
      <c r="B267" s="106"/>
    </row>
    <row r="268">
      <c r="A268" s="106"/>
      <c r="B268" s="106"/>
    </row>
    <row r="269">
      <c r="A269" s="106"/>
      <c r="B269" s="106"/>
    </row>
    <row r="270">
      <c r="A270" s="106"/>
      <c r="B270" s="106"/>
    </row>
    <row r="271">
      <c r="A271" s="106"/>
      <c r="B271" s="106"/>
    </row>
    <row r="272">
      <c r="A272" s="106"/>
      <c r="B272" s="106"/>
    </row>
    <row r="273">
      <c r="A273" s="106"/>
      <c r="B273" s="106"/>
    </row>
    <row r="274">
      <c r="A274" s="106"/>
      <c r="B274" s="106"/>
    </row>
    <row r="275">
      <c r="A275" s="106"/>
      <c r="B275" s="106"/>
    </row>
    <row r="276">
      <c r="A276" s="106"/>
      <c r="B276" s="106"/>
    </row>
    <row r="277">
      <c r="A277" s="106"/>
      <c r="B277" s="106"/>
    </row>
    <row r="278">
      <c r="A278" s="106"/>
      <c r="B278" s="106"/>
    </row>
    <row r="279">
      <c r="A279" s="106"/>
      <c r="B279" s="106"/>
    </row>
    <row r="280">
      <c r="A280" s="106"/>
      <c r="B280" s="106"/>
    </row>
    <row r="281">
      <c r="A281" s="106"/>
      <c r="B281" s="106"/>
    </row>
    <row r="282">
      <c r="A282" s="106"/>
      <c r="B282" s="106"/>
    </row>
    <row r="283">
      <c r="A283" s="106"/>
      <c r="B283" s="106"/>
    </row>
    <row r="284">
      <c r="A284" s="106"/>
      <c r="B284" s="106"/>
    </row>
    <row r="285">
      <c r="A285" s="106"/>
      <c r="B285" s="106"/>
    </row>
    <row r="286">
      <c r="A286" s="106"/>
      <c r="B286" s="106"/>
    </row>
    <row r="287">
      <c r="A287" s="106"/>
      <c r="B287" s="106"/>
    </row>
    <row r="288">
      <c r="A288" s="106"/>
      <c r="B288" s="106"/>
    </row>
    <row r="289">
      <c r="A289" s="106"/>
      <c r="B289" s="106"/>
    </row>
    <row r="290">
      <c r="A290" s="106"/>
      <c r="B290" s="106"/>
    </row>
    <row r="291">
      <c r="A291" s="106"/>
      <c r="B291" s="106"/>
    </row>
    <row r="292">
      <c r="A292" s="106"/>
      <c r="B292" s="106"/>
    </row>
    <row r="293">
      <c r="A293" s="106"/>
      <c r="B293" s="106"/>
    </row>
    <row r="294">
      <c r="A294" s="106"/>
      <c r="B294" s="106"/>
    </row>
    <row r="295">
      <c r="A295" s="106"/>
      <c r="B295" s="106"/>
    </row>
    <row r="296">
      <c r="A296" s="106"/>
      <c r="B296" s="106"/>
    </row>
    <row r="297">
      <c r="A297" s="106"/>
      <c r="B297" s="106"/>
    </row>
    <row r="298">
      <c r="A298" s="106"/>
      <c r="B298" s="106"/>
    </row>
    <row r="299">
      <c r="A299" s="106"/>
      <c r="B299" s="106"/>
    </row>
    <row r="300">
      <c r="A300" s="106"/>
      <c r="B300" s="106"/>
    </row>
    <row r="301">
      <c r="A301" s="106"/>
      <c r="B301" s="106"/>
    </row>
    <row r="302">
      <c r="A302" s="106"/>
      <c r="B302" s="106"/>
    </row>
    <row r="303">
      <c r="A303" s="106"/>
      <c r="B303" s="106"/>
    </row>
    <row r="304">
      <c r="A304" s="106"/>
      <c r="B304" s="106"/>
    </row>
    <row r="305">
      <c r="A305" s="106"/>
      <c r="B305" s="106"/>
    </row>
    <row r="306">
      <c r="A306" s="106"/>
      <c r="B306" s="106"/>
    </row>
    <row r="307">
      <c r="A307" s="106"/>
      <c r="B307" s="106"/>
    </row>
    <row r="308">
      <c r="A308" s="106"/>
      <c r="B308" s="106"/>
    </row>
    <row r="309">
      <c r="A309" s="106"/>
      <c r="B309" s="106"/>
    </row>
    <row r="310">
      <c r="A310" s="106"/>
      <c r="B310" s="106"/>
    </row>
    <row r="311">
      <c r="A311" s="106"/>
      <c r="B311" s="106"/>
    </row>
    <row r="312">
      <c r="A312" s="106"/>
      <c r="B312" s="106"/>
    </row>
    <row r="313">
      <c r="A313" s="106"/>
      <c r="B313" s="106"/>
    </row>
    <row r="314">
      <c r="A314" s="106"/>
      <c r="B314" s="106"/>
    </row>
    <row r="315">
      <c r="A315" s="106"/>
      <c r="B315" s="106"/>
    </row>
    <row r="316">
      <c r="A316" s="106"/>
      <c r="B316" s="106"/>
    </row>
    <row r="317">
      <c r="A317" s="106"/>
      <c r="B317" s="106"/>
    </row>
    <row r="318">
      <c r="A318" s="106"/>
      <c r="B318" s="106"/>
    </row>
    <row r="319">
      <c r="A319" s="106"/>
      <c r="B319" s="106"/>
    </row>
    <row r="320">
      <c r="A320" s="106"/>
      <c r="B320" s="106"/>
    </row>
    <row r="321">
      <c r="A321" s="106"/>
      <c r="B321" s="106"/>
    </row>
    <row r="322">
      <c r="A322" s="106"/>
      <c r="B322" s="106"/>
    </row>
    <row r="323">
      <c r="A323" s="106"/>
      <c r="B323" s="106"/>
    </row>
    <row r="324">
      <c r="A324" s="106"/>
      <c r="B324" s="106"/>
    </row>
    <row r="325">
      <c r="A325" s="106"/>
      <c r="B325" s="106"/>
    </row>
    <row r="326">
      <c r="A326" s="106"/>
      <c r="B326" s="106"/>
    </row>
    <row r="327">
      <c r="A327" s="106"/>
      <c r="B327" s="106"/>
    </row>
    <row r="328">
      <c r="A328" s="106"/>
      <c r="B328" s="106"/>
    </row>
    <row r="329">
      <c r="A329" s="106"/>
      <c r="B329" s="106"/>
    </row>
    <row r="330">
      <c r="A330" s="106"/>
      <c r="B330" s="106"/>
    </row>
    <row r="331">
      <c r="A331" s="106"/>
      <c r="B331" s="106"/>
    </row>
    <row r="332">
      <c r="A332" s="106"/>
      <c r="B332" s="106"/>
    </row>
    <row r="333">
      <c r="A333" s="106"/>
      <c r="B333" s="106"/>
    </row>
    <row r="334">
      <c r="A334" s="106"/>
      <c r="B334" s="106"/>
    </row>
    <row r="335">
      <c r="A335" s="106"/>
      <c r="B335" s="106"/>
    </row>
    <row r="336">
      <c r="A336" s="106"/>
      <c r="B336" s="106"/>
    </row>
    <row r="337">
      <c r="A337" s="106"/>
      <c r="B337" s="106"/>
    </row>
    <row r="338">
      <c r="A338" s="106"/>
      <c r="B338" s="106"/>
    </row>
    <row r="339">
      <c r="A339" s="106"/>
      <c r="B339" s="106"/>
    </row>
    <row r="340">
      <c r="A340" s="106"/>
      <c r="B340" s="106"/>
    </row>
    <row r="341">
      <c r="A341" s="106"/>
      <c r="B341" s="106"/>
    </row>
    <row r="342">
      <c r="A342" s="106"/>
      <c r="B342" s="106"/>
    </row>
    <row r="343">
      <c r="A343" s="106"/>
      <c r="B343" s="106"/>
    </row>
    <row r="344">
      <c r="A344" s="106"/>
      <c r="B344" s="106"/>
    </row>
    <row r="345">
      <c r="A345" s="106"/>
      <c r="B345" s="106"/>
    </row>
    <row r="346">
      <c r="A346" s="106"/>
      <c r="B346" s="106"/>
    </row>
    <row r="347">
      <c r="A347" s="106"/>
      <c r="B347" s="106"/>
    </row>
    <row r="348">
      <c r="A348" s="106"/>
      <c r="B348" s="106"/>
    </row>
    <row r="349">
      <c r="A349" s="106"/>
      <c r="B349" s="106"/>
    </row>
    <row r="350">
      <c r="A350" s="106"/>
      <c r="B350" s="106"/>
    </row>
    <row r="351">
      <c r="A351" s="106"/>
      <c r="B351" s="106"/>
    </row>
    <row r="352">
      <c r="A352" s="106"/>
      <c r="B352" s="106"/>
    </row>
    <row r="353">
      <c r="A353" s="106"/>
      <c r="B353" s="106"/>
    </row>
    <row r="354">
      <c r="A354" s="106"/>
      <c r="B354" s="106"/>
    </row>
    <row r="355">
      <c r="A355" s="106"/>
      <c r="B355" s="106"/>
    </row>
    <row r="356">
      <c r="A356" s="106"/>
      <c r="B356" s="106"/>
    </row>
    <row r="357">
      <c r="A357" s="106"/>
      <c r="B357" s="106"/>
    </row>
    <row r="358">
      <c r="A358" s="106"/>
      <c r="B358" s="106"/>
    </row>
    <row r="359">
      <c r="A359" s="106"/>
      <c r="B359" s="106"/>
    </row>
    <row r="360">
      <c r="A360" s="106"/>
      <c r="B360" s="106"/>
    </row>
    <row r="361">
      <c r="A361" s="106"/>
      <c r="B361" s="106"/>
    </row>
    <row r="362">
      <c r="A362" s="106"/>
      <c r="B362" s="106"/>
    </row>
    <row r="363">
      <c r="A363" s="106"/>
      <c r="B363" s="106"/>
    </row>
    <row r="364">
      <c r="A364" s="106"/>
      <c r="B364" s="106"/>
    </row>
    <row r="365">
      <c r="A365" s="106"/>
      <c r="B365" s="106"/>
    </row>
    <row r="366">
      <c r="A366" s="106"/>
      <c r="B366" s="106"/>
    </row>
    <row r="367">
      <c r="A367" s="106"/>
      <c r="B367" s="106"/>
    </row>
    <row r="368">
      <c r="A368" s="106"/>
      <c r="B368" s="106"/>
    </row>
    <row r="369">
      <c r="A369" s="106"/>
      <c r="B369" s="106"/>
    </row>
    <row r="370">
      <c r="A370" s="106"/>
      <c r="B370" s="106"/>
    </row>
    <row r="371">
      <c r="A371" s="106"/>
      <c r="B371" s="106"/>
    </row>
    <row r="372">
      <c r="A372" s="106"/>
      <c r="B372" s="106"/>
    </row>
    <row r="373">
      <c r="A373" s="106"/>
      <c r="B373" s="106"/>
    </row>
    <row r="374">
      <c r="A374" s="106"/>
      <c r="B374" s="106"/>
    </row>
    <row r="375">
      <c r="A375" s="106"/>
      <c r="B375" s="106"/>
    </row>
    <row r="376">
      <c r="A376" s="106"/>
      <c r="B376" s="106"/>
    </row>
    <row r="377">
      <c r="A377" s="106"/>
      <c r="B377" s="106"/>
    </row>
    <row r="378">
      <c r="A378" s="106"/>
      <c r="B378" s="106"/>
    </row>
    <row r="379">
      <c r="A379" s="106"/>
      <c r="B379" s="106"/>
    </row>
    <row r="380">
      <c r="A380" s="106"/>
      <c r="B380" s="106"/>
    </row>
    <row r="381">
      <c r="A381" s="106"/>
      <c r="B381" s="106"/>
    </row>
    <row r="382">
      <c r="A382" s="106"/>
      <c r="B382" s="106"/>
    </row>
    <row r="383">
      <c r="A383" s="106"/>
      <c r="B383" s="106"/>
    </row>
    <row r="384">
      <c r="A384" s="106"/>
      <c r="B384" s="106"/>
    </row>
    <row r="385">
      <c r="A385" s="106"/>
      <c r="B385" s="106"/>
    </row>
    <row r="386">
      <c r="A386" s="106"/>
      <c r="B386" s="106"/>
    </row>
    <row r="387">
      <c r="A387" s="106"/>
      <c r="B387" s="106"/>
    </row>
    <row r="388">
      <c r="A388" s="106"/>
      <c r="B388" s="106"/>
    </row>
    <row r="389">
      <c r="A389" s="106"/>
      <c r="B389" s="106"/>
    </row>
    <row r="390">
      <c r="A390" s="106"/>
      <c r="B390" s="106"/>
    </row>
    <row r="391">
      <c r="A391" s="106"/>
      <c r="B391" s="106"/>
    </row>
    <row r="392">
      <c r="A392" s="106"/>
      <c r="B392" s="106"/>
    </row>
    <row r="393">
      <c r="A393" s="106"/>
      <c r="B393" s="106"/>
    </row>
    <row r="394">
      <c r="A394" s="106"/>
      <c r="B394" s="106"/>
    </row>
    <row r="395">
      <c r="A395" s="106"/>
      <c r="B395" s="106"/>
    </row>
    <row r="396">
      <c r="A396" s="106"/>
      <c r="B396" s="106"/>
    </row>
    <row r="397">
      <c r="A397" s="106"/>
      <c r="B397" s="106"/>
    </row>
    <row r="398">
      <c r="A398" s="106"/>
      <c r="B398" s="106"/>
    </row>
    <row r="399">
      <c r="A399" s="106"/>
      <c r="B399" s="106"/>
    </row>
    <row r="400">
      <c r="A400" s="106"/>
      <c r="B400" s="106"/>
    </row>
    <row r="401">
      <c r="A401" s="106"/>
      <c r="B401" s="106"/>
    </row>
    <row r="402">
      <c r="A402" s="106"/>
      <c r="B402" s="106"/>
    </row>
    <row r="403">
      <c r="A403" s="106"/>
      <c r="B403" s="106"/>
    </row>
    <row r="404">
      <c r="A404" s="106"/>
      <c r="B404" s="106"/>
    </row>
    <row r="405">
      <c r="A405" s="106"/>
      <c r="B405" s="106"/>
    </row>
    <row r="406">
      <c r="A406" s="106"/>
      <c r="B406" s="106"/>
    </row>
    <row r="407">
      <c r="A407" s="106"/>
      <c r="B407" s="106"/>
    </row>
    <row r="408">
      <c r="A408" s="106"/>
      <c r="B408" s="106"/>
    </row>
    <row r="409">
      <c r="A409" s="106"/>
      <c r="B409" s="106"/>
    </row>
    <row r="410">
      <c r="A410" s="106"/>
      <c r="B410" s="106"/>
    </row>
    <row r="411">
      <c r="A411" s="106"/>
      <c r="B411" s="106"/>
    </row>
    <row r="412">
      <c r="A412" s="106"/>
      <c r="B412" s="106"/>
    </row>
    <row r="413">
      <c r="A413" s="106"/>
      <c r="B413" s="106"/>
    </row>
    <row r="414">
      <c r="A414" s="106"/>
      <c r="B414" s="106"/>
    </row>
    <row r="415">
      <c r="A415" s="106"/>
      <c r="B415" s="106"/>
    </row>
    <row r="416">
      <c r="A416" s="106"/>
      <c r="B416" s="106"/>
    </row>
    <row r="417">
      <c r="A417" s="106"/>
      <c r="B417" s="106"/>
    </row>
    <row r="418">
      <c r="A418" s="106"/>
      <c r="B418" s="106"/>
    </row>
    <row r="419">
      <c r="A419" s="106"/>
      <c r="B419" s="106"/>
    </row>
    <row r="420">
      <c r="A420" s="106"/>
      <c r="B420" s="106"/>
    </row>
    <row r="421">
      <c r="A421" s="106"/>
      <c r="B421" s="106"/>
    </row>
    <row r="422">
      <c r="A422" s="106"/>
      <c r="B422" s="106"/>
    </row>
    <row r="423">
      <c r="A423" s="106"/>
      <c r="B423" s="106"/>
    </row>
    <row r="424">
      <c r="A424" s="106"/>
      <c r="B424" s="106"/>
    </row>
    <row r="425">
      <c r="A425" s="106"/>
      <c r="B425" s="106"/>
    </row>
    <row r="426">
      <c r="A426" s="106"/>
      <c r="B426" s="106"/>
    </row>
    <row r="427">
      <c r="A427" s="106"/>
      <c r="B427" s="106"/>
    </row>
    <row r="428">
      <c r="A428" s="106"/>
      <c r="B428" s="106"/>
    </row>
    <row r="429">
      <c r="A429" s="106"/>
      <c r="B429" s="106"/>
    </row>
    <row r="430">
      <c r="A430" s="106"/>
      <c r="B430" s="106"/>
    </row>
    <row r="431">
      <c r="A431" s="106"/>
      <c r="B431" s="106"/>
    </row>
    <row r="432">
      <c r="A432" s="106"/>
      <c r="B432" s="106"/>
    </row>
    <row r="433">
      <c r="A433" s="106"/>
      <c r="B433" s="106"/>
    </row>
    <row r="434">
      <c r="A434" s="106"/>
      <c r="B434" s="106"/>
    </row>
    <row r="435">
      <c r="A435" s="106"/>
      <c r="B435" s="106"/>
    </row>
    <row r="436">
      <c r="A436" s="106"/>
      <c r="B436" s="106"/>
    </row>
    <row r="437">
      <c r="A437" s="106"/>
      <c r="B437" s="106"/>
    </row>
    <row r="438">
      <c r="A438" s="106"/>
      <c r="B438" s="106"/>
    </row>
    <row r="439">
      <c r="A439" s="106"/>
      <c r="B439" s="106"/>
    </row>
    <row r="440">
      <c r="A440" s="106"/>
      <c r="B440" s="106"/>
    </row>
    <row r="441">
      <c r="A441" s="106"/>
      <c r="B441" s="106"/>
    </row>
    <row r="442">
      <c r="A442" s="106"/>
      <c r="B442" s="106"/>
    </row>
    <row r="443">
      <c r="A443" s="106"/>
      <c r="B443" s="106"/>
    </row>
    <row r="444">
      <c r="A444" s="106"/>
      <c r="B444" s="106"/>
    </row>
    <row r="445">
      <c r="A445" s="106"/>
      <c r="B445" s="106"/>
    </row>
    <row r="446">
      <c r="A446" s="106"/>
      <c r="B446" s="106"/>
    </row>
    <row r="447">
      <c r="A447" s="106"/>
      <c r="B447" s="106"/>
    </row>
    <row r="448">
      <c r="A448" s="106"/>
      <c r="B448" s="106"/>
    </row>
    <row r="449">
      <c r="A449" s="106"/>
      <c r="B449" s="106"/>
    </row>
    <row r="450">
      <c r="A450" s="106"/>
      <c r="B450" s="106"/>
    </row>
    <row r="451">
      <c r="A451" s="106"/>
      <c r="B451" s="106"/>
    </row>
    <row r="452">
      <c r="A452" s="106"/>
      <c r="B452" s="106"/>
    </row>
    <row r="453">
      <c r="A453" s="106"/>
      <c r="B453" s="106"/>
    </row>
    <row r="454">
      <c r="A454" s="106"/>
      <c r="B454" s="106"/>
    </row>
    <row r="455">
      <c r="A455" s="106"/>
      <c r="B455" s="106"/>
    </row>
    <row r="456">
      <c r="A456" s="106"/>
      <c r="B456" s="106"/>
    </row>
    <row r="457">
      <c r="A457" s="106"/>
      <c r="B457" s="106"/>
    </row>
    <row r="458">
      <c r="A458" s="106"/>
      <c r="B458" s="106"/>
    </row>
    <row r="459">
      <c r="A459" s="106"/>
      <c r="B459" s="106"/>
    </row>
    <row r="460">
      <c r="A460" s="106"/>
      <c r="B460" s="106"/>
    </row>
    <row r="461">
      <c r="A461" s="106"/>
      <c r="B461" s="106"/>
    </row>
    <row r="462">
      <c r="A462" s="106"/>
      <c r="B462" s="106"/>
    </row>
    <row r="463">
      <c r="A463" s="106"/>
      <c r="B463" s="106"/>
    </row>
    <row r="464">
      <c r="A464" s="106"/>
      <c r="B464" s="106"/>
    </row>
    <row r="465">
      <c r="A465" s="106"/>
      <c r="B465" s="106"/>
    </row>
    <row r="466">
      <c r="A466" s="106"/>
      <c r="B466" s="106"/>
    </row>
    <row r="467">
      <c r="A467" s="106"/>
      <c r="B467" s="106"/>
    </row>
    <row r="468">
      <c r="A468" s="106"/>
      <c r="B468" s="106"/>
    </row>
    <row r="469">
      <c r="A469" s="106"/>
      <c r="B469" s="106"/>
    </row>
    <row r="470">
      <c r="A470" s="106"/>
      <c r="B470" s="106"/>
    </row>
    <row r="471">
      <c r="A471" s="106"/>
      <c r="B471" s="106"/>
    </row>
    <row r="472">
      <c r="A472" s="106"/>
      <c r="B472" s="106"/>
    </row>
    <row r="473">
      <c r="A473" s="106"/>
      <c r="B473" s="106"/>
    </row>
    <row r="474">
      <c r="A474" s="106"/>
      <c r="B474" s="106"/>
    </row>
    <row r="475">
      <c r="A475" s="106"/>
      <c r="B475" s="106"/>
    </row>
    <row r="476">
      <c r="A476" s="106"/>
      <c r="B476" s="106"/>
    </row>
    <row r="477">
      <c r="A477" s="106"/>
      <c r="B477" s="106"/>
    </row>
    <row r="478">
      <c r="A478" s="106"/>
      <c r="B478" s="106"/>
    </row>
    <row r="479">
      <c r="A479" s="106"/>
      <c r="B479" s="106"/>
    </row>
    <row r="480">
      <c r="A480" s="106"/>
      <c r="B480" s="106"/>
    </row>
    <row r="481">
      <c r="A481" s="106"/>
      <c r="B481" s="106"/>
    </row>
    <row r="482">
      <c r="A482" s="106"/>
      <c r="B482" s="106"/>
    </row>
    <row r="483">
      <c r="A483" s="106"/>
      <c r="B483" s="106"/>
    </row>
    <row r="484">
      <c r="A484" s="106"/>
      <c r="B484" s="106"/>
    </row>
    <row r="485">
      <c r="A485" s="106"/>
      <c r="B485" s="106"/>
    </row>
    <row r="486">
      <c r="A486" s="106"/>
      <c r="B486" s="106"/>
    </row>
    <row r="487">
      <c r="A487" s="106"/>
      <c r="B487" s="106"/>
    </row>
    <row r="488">
      <c r="A488" s="106"/>
      <c r="B488" s="106"/>
    </row>
    <row r="489">
      <c r="A489" s="106"/>
      <c r="B489" s="106"/>
    </row>
    <row r="490">
      <c r="A490" s="106"/>
      <c r="B490" s="106"/>
    </row>
    <row r="491">
      <c r="A491" s="106"/>
      <c r="B491" s="106"/>
    </row>
    <row r="492">
      <c r="A492" s="106"/>
      <c r="B492" s="106"/>
    </row>
    <row r="493">
      <c r="A493" s="106"/>
      <c r="B493" s="106"/>
    </row>
    <row r="494">
      <c r="A494" s="106"/>
      <c r="B494" s="106"/>
    </row>
    <row r="495">
      <c r="A495" s="106"/>
      <c r="B495" s="106"/>
    </row>
    <row r="496">
      <c r="A496" s="106"/>
      <c r="B496" s="106"/>
    </row>
    <row r="497">
      <c r="A497" s="106"/>
      <c r="B497" s="106"/>
    </row>
    <row r="498">
      <c r="A498" s="106"/>
      <c r="B498" s="106"/>
    </row>
    <row r="499">
      <c r="A499" s="106"/>
      <c r="B499" s="106"/>
    </row>
    <row r="500">
      <c r="A500" s="106"/>
      <c r="B500" s="106"/>
    </row>
    <row r="501">
      <c r="A501" s="106"/>
      <c r="B501" s="106"/>
    </row>
    <row r="502">
      <c r="A502" s="106"/>
      <c r="B502" s="106"/>
    </row>
    <row r="503">
      <c r="A503" s="106"/>
      <c r="B503" s="106"/>
    </row>
    <row r="504">
      <c r="A504" s="106"/>
      <c r="B504" s="106"/>
    </row>
    <row r="505">
      <c r="A505" s="106"/>
      <c r="B505" s="106"/>
    </row>
    <row r="506">
      <c r="A506" s="106"/>
      <c r="B506" s="106"/>
    </row>
    <row r="507">
      <c r="A507" s="106"/>
      <c r="B507" s="106"/>
    </row>
    <row r="508">
      <c r="A508" s="106"/>
      <c r="B508" s="106"/>
    </row>
    <row r="509">
      <c r="A509" s="106"/>
      <c r="B509" s="106"/>
    </row>
    <row r="510">
      <c r="A510" s="106"/>
      <c r="B510" s="106"/>
    </row>
    <row r="511">
      <c r="A511" s="106"/>
      <c r="B511" s="106"/>
    </row>
    <row r="512">
      <c r="A512" s="106"/>
      <c r="B512" s="106"/>
    </row>
    <row r="513">
      <c r="A513" s="106"/>
      <c r="B513" s="106"/>
    </row>
    <row r="514">
      <c r="A514" s="106"/>
      <c r="B514" s="106"/>
    </row>
    <row r="515">
      <c r="A515" s="106"/>
      <c r="B515" s="106"/>
    </row>
    <row r="516">
      <c r="A516" s="106"/>
      <c r="B516" s="106"/>
    </row>
    <row r="517">
      <c r="A517" s="106"/>
      <c r="B517" s="106"/>
    </row>
    <row r="518">
      <c r="A518" s="106"/>
      <c r="B518" s="106"/>
    </row>
    <row r="519">
      <c r="A519" s="106"/>
      <c r="B519" s="106"/>
    </row>
    <row r="520">
      <c r="A520" s="106"/>
      <c r="B520" s="106"/>
    </row>
    <row r="521">
      <c r="A521" s="106"/>
      <c r="B521" s="106"/>
    </row>
    <row r="522">
      <c r="A522" s="106"/>
      <c r="B522" s="106"/>
    </row>
    <row r="523">
      <c r="A523" s="106"/>
      <c r="B523" s="106"/>
    </row>
    <row r="524">
      <c r="A524" s="106"/>
      <c r="B524" s="106"/>
    </row>
    <row r="525">
      <c r="A525" s="106"/>
      <c r="B525" s="106"/>
    </row>
    <row r="526">
      <c r="A526" s="106"/>
      <c r="B526" s="106"/>
    </row>
    <row r="527">
      <c r="A527" s="106"/>
      <c r="B527" s="106"/>
    </row>
    <row r="528">
      <c r="A528" s="106"/>
      <c r="B528" s="106"/>
    </row>
    <row r="529">
      <c r="A529" s="106"/>
      <c r="B529" s="106"/>
    </row>
    <row r="530">
      <c r="A530" s="106"/>
      <c r="B530" s="106"/>
    </row>
    <row r="531">
      <c r="A531" s="106"/>
      <c r="B531" s="106"/>
    </row>
    <row r="532">
      <c r="A532" s="106"/>
      <c r="B532" s="106"/>
    </row>
    <row r="533">
      <c r="A533" s="106"/>
      <c r="B533" s="106"/>
    </row>
    <row r="534">
      <c r="A534" s="106"/>
      <c r="B534" s="106"/>
    </row>
    <row r="535">
      <c r="A535" s="106"/>
      <c r="B535" s="106"/>
    </row>
    <row r="536">
      <c r="A536" s="106"/>
      <c r="B536" s="106"/>
    </row>
    <row r="537">
      <c r="A537" s="106"/>
      <c r="B537" s="106"/>
    </row>
    <row r="538">
      <c r="A538" s="106"/>
      <c r="B538" s="106"/>
    </row>
    <row r="539">
      <c r="A539" s="106"/>
      <c r="B539" s="106"/>
    </row>
    <row r="540">
      <c r="A540" s="106"/>
      <c r="B540" s="106"/>
    </row>
    <row r="541">
      <c r="A541" s="106"/>
      <c r="B541" s="106"/>
    </row>
    <row r="542">
      <c r="A542" s="106"/>
      <c r="B542" s="106"/>
    </row>
    <row r="543">
      <c r="A543" s="106"/>
      <c r="B543" s="106"/>
    </row>
    <row r="544">
      <c r="A544" s="106"/>
      <c r="B544" s="106"/>
    </row>
    <row r="545">
      <c r="A545" s="106"/>
      <c r="B545" s="106"/>
    </row>
    <row r="546">
      <c r="A546" s="106"/>
      <c r="B546" s="106"/>
    </row>
    <row r="547">
      <c r="A547" s="106"/>
      <c r="B547" s="106"/>
    </row>
    <row r="548">
      <c r="A548" s="106"/>
      <c r="B548" s="106"/>
    </row>
    <row r="549">
      <c r="A549" s="106"/>
      <c r="B549" s="106"/>
    </row>
    <row r="550">
      <c r="A550" s="106"/>
      <c r="B550" s="106"/>
    </row>
    <row r="551">
      <c r="A551" s="106"/>
      <c r="B551" s="106"/>
    </row>
    <row r="552">
      <c r="A552" s="106"/>
      <c r="B552" s="106"/>
    </row>
    <row r="553">
      <c r="A553" s="106"/>
      <c r="B553" s="106"/>
    </row>
    <row r="554">
      <c r="A554" s="106"/>
      <c r="B554" s="106"/>
    </row>
    <row r="555">
      <c r="A555" s="106"/>
      <c r="B555" s="106"/>
    </row>
    <row r="556">
      <c r="A556" s="106"/>
      <c r="B556" s="106"/>
    </row>
    <row r="557">
      <c r="A557" s="106"/>
      <c r="B557" s="106"/>
    </row>
    <row r="558">
      <c r="A558" s="106"/>
      <c r="B558" s="106"/>
    </row>
    <row r="559">
      <c r="A559" s="106"/>
      <c r="B559" s="106"/>
    </row>
    <row r="560">
      <c r="A560" s="106"/>
      <c r="B560" s="106"/>
    </row>
    <row r="561">
      <c r="A561" s="106"/>
      <c r="B561" s="106"/>
    </row>
    <row r="562">
      <c r="A562" s="106"/>
      <c r="B562" s="106"/>
    </row>
    <row r="563">
      <c r="A563" s="106"/>
      <c r="B563" s="106"/>
    </row>
    <row r="564">
      <c r="A564" s="106"/>
      <c r="B564" s="106"/>
    </row>
    <row r="565">
      <c r="A565" s="106"/>
      <c r="B565" s="106"/>
    </row>
    <row r="566">
      <c r="A566" s="106"/>
      <c r="B566" s="106"/>
    </row>
    <row r="567">
      <c r="A567" s="106"/>
      <c r="B567" s="106"/>
    </row>
    <row r="568">
      <c r="A568" s="106"/>
      <c r="B568" s="106"/>
    </row>
    <row r="569">
      <c r="A569" s="106"/>
      <c r="B569" s="106"/>
    </row>
    <row r="570">
      <c r="A570" s="106"/>
      <c r="B570" s="106"/>
    </row>
    <row r="571">
      <c r="A571" s="106"/>
      <c r="B571" s="106"/>
    </row>
    <row r="572">
      <c r="A572" s="106"/>
      <c r="B572" s="106"/>
    </row>
    <row r="573">
      <c r="A573" s="106"/>
      <c r="B573" s="106"/>
    </row>
    <row r="574">
      <c r="A574" s="106"/>
      <c r="B574" s="106"/>
    </row>
    <row r="575">
      <c r="A575" s="106"/>
      <c r="B575" s="106"/>
    </row>
    <row r="576">
      <c r="A576" s="106"/>
      <c r="B576" s="106"/>
    </row>
    <row r="577">
      <c r="A577" s="106"/>
      <c r="B577" s="106"/>
    </row>
    <row r="578">
      <c r="A578" s="106"/>
      <c r="B578" s="106"/>
    </row>
    <row r="579">
      <c r="A579" s="106"/>
      <c r="B579" s="106"/>
    </row>
    <row r="580">
      <c r="A580" s="106"/>
      <c r="B580" s="106"/>
    </row>
    <row r="581">
      <c r="A581" s="106"/>
      <c r="B581" s="106"/>
    </row>
    <row r="582">
      <c r="A582" s="106"/>
      <c r="B582" s="106"/>
    </row>
    <row r="583">
      <c r="A583" s="106"/>
      <c r="B583" s="106"/>
    </row>
    <row r="584">
      <c r="A584" s="106"/>
      <c r="B584" s="106"/>
    </row>
    <row r="585">
      <c r="A585" s="106"/>
      <c r="B585" s="106"/>
    </row>
    <row r="586">
      <c r="A586" s="106"/>
      <c r="B586" s="106"/>
    </row>
    <row r="587">
      <c r="A587" s="106"/>
      <c r="B587" s="106"/>
    </row>
    <row r="588">
      <c r="A588" s="106"/>
      <c r="B588" s="106"/>
    </row>
    <row r="589">
      <c r="A589" s="106"/>
      <c r="B589" s="106"/>
    </row>
    <row r="590">
      <c r="A590" s="106"/>
      <c r="B590" s="106"/>
    </row>
    <row r="591">
      <c r="A591" s="106"/>
      <c r="B591" s="106"/>
    </row>
    <row r="592">
      <c r="A592" s="106"/>
      <c r="B592" s="106"/>
    </row>
    <row r="593">
      <c r="A593" s="106"/>
      <c r="B593" s="106"/>
    </row>
    <row r="594">
      <c r="A594" s="106"/>
      <c r="B594" s="106"/>
    </row>
    <row r="595">
      <c r="A595" s="106"/>
      <c r="B595" s="106"/>
    </row>
    <row r="596">
      <c r="A596" s="106"/>
      <c r="B596" s="106"/>
    </row>
    <row r="597">
      <c r="A597" s="106"/>
      <c r="B597" s="106"/>
    </row>
    <row r="598">
      <c r="A598" s="106"/>
      <c r="B598" s="106"/>
    </row>
    <row r="599">
      <c r="A599" s="106"/>
      <c r="B599" s="106"/>
    </row>
    <row r="600">
      <c r="A600" s="106"/>
      <c r="B600" s="106"/>
    </row>
    <row r="601">
      <c r="A601" s="106"/>
      <c r="B601" s="106"/>
    </row>
    <row r="602">
      <c r="A602" s="106"/>
      <c r="B602" s="106"/>
    </row>
    <row r="603">
      <c r="A603" s="106"/>
      <c r="B603" s="106"/>
    </row>
    <row r="604">
      <c r="A604" s="106"/>
      <c r="B604" s="106"/>
    </row>
    <row r="605">
      <c r="A605" s="106"/>
      <c r="B605" s="106"/>
    </row>
    <row r="606">
      <c r="A606" s="106"/>
      <c r="B606" s="106"/>
    </row>
    <row r="607">
      <c r="A607" s="106"/>
      <c r="B607" s="106"/>
    </row>
    <row r="608">
      <c r="A608" s="106"/>
      <c r="B608" s="106"/>
    </row>
    <row r="609">
      <c r="A609" s="106"/>
      <c r="B609" s="106"/>
    </row>
    <row r="610">
      <c r="A610" s="106"/>
      <c r="B610" s="106"/>
    </row>
    <row r="611">
      <c r="A611" s="106"/>
      <c r="B611" s="106"/>
    </row>
    <row r="612">
      <c r="A612" s="106"/>
      <c r="B612" s="106"/>
    </row>
    <row r="613">
      <c r="A613" s="106"/>
      <c r="B613" s="106"/>
    </row>
    <row r="614">
      <c r="A614" s="106"/>
      <c r="B614" s="106"/>
    </row>
    <row r="615">
      <c r="A615" s="106"/>
      <c r="B615" s="106"/>
    </row>
    <row r="616">
      <c r="A616" s="106"/>
      <c r="B616" s="106"/>
    </row>
    <row r="617">
      <c r="A617" s="106"/>
      <c r="B617" s="106"/>
    </row>
    <row r="618">
      <c r="A618" s="106"/>
      <c r="B618" s="106"/>
    </row>
    <row r="619">
      <c r="A619" s="106"/>
      <c r="B619" s="106"/>
    </row>
    <row r="620">
      <c r="A620" s="106"/>
      <c r="B620" s="106"/>
    </row>
    <row r="621">
      <c r="A621" s="106"/>
      <c r="B621" s="106"/>
    </row>
    <row r="622">
      <c r="A622" s="106"/>
      <c r="B622" s="106"/>
    </row>
    <row r="623">
      <c r="A623" s="106"/>
      <c r="B623" s="106"/>
    </row>
    <row r="624">
      <c r="A624" s="106"/>
      <c r="B624" s="106"/>
    </row>
    <row r="625">
      <c r="A625" s="106"/>
      <c r="B625" s="106"/>
    </row>
    <row r="626">
      <c r="A626" s="106"/>
      <c r="B626" s="106"/>
    </row>
    <row r="627">
      <c r="A627" s="106"/>
      <c r="B627" s="106"/>
    </row>
    <row r="628">
      <c r="A628" s="106"/>
      <c r="B628" s="106"/>
    </row>
    <row r="629">
      <c r="A629" s="106"/>
      <c r="B629" s="106"/>
    </row>
    <row r="630">
      <c r="A630" s="106"/>
      <c r="B630" s="106"/>
    </row>
    <row r="631">
      <c r="A631" s="106"/>
      <c r="B631" s="106"/>
    </row>
    <row r="632">
      <c r="A632" s="106"/>
      <c r="B632" s="106"/>
    </row>
    <row r="633">
      <c r="A633" s="106"/>
      <c r="B633" s="106"/>
    </row>
    <row r="634">
      <c r="A634" s="106"/>
      <c r="B634" s="106"/>
    </row>
    <row r="635">
      <c r="A635" s="106"/>
      <c r="B635" s="106"/>
    </row>
    <row r="636">
      <c r="A636" s="106"/>
      <c r="B636" s="106"/>
    </row>
    <row r="637">
      <c r="A637" s="106"/>
      <c r="B637" s="106"/>
    </row>
    <row r="638">
      <c r="A638" s="106"/>
      <c r="B638" s="106"/>
    </row>
    <row r="639">
      <c r="A639" s="106"/>
      <c r="B639" s="106"/>
    </row>
    <row r="640">
      <c r="A640" s="106"/>
      <c r="B640" s="106"/>
    </row>
    <row r="641">
      <c r="A641" s="106"/>
      <c r="B641" s="106"/>
    </row>
    <row r="642">
      <c r="A642" s="106"/>
      <c r="B642" s="106"/>
    </row>
    <row r="643">
      <c r="A643" s="106"/>
      <c r="B643" s="106"/>
    </row>
    <row r="644">
      <c r="A644" s="106"/>
      <c r="B644" s="106"/>
    </row>
    <row r="645">
      <c r="A645" s="106"/>
      <c r="B645" s="106"/>
    </row>
    <row r="646">
      <c r="A646" s="106"/>
      <c r="B646" s="106"/>
    </row>
    <row r="647">
      <c r="A647" s="106"/>
      <c r="B647" s="106"/>
    </row>
    <row r="648">
      <c r="A648" s="106"/>
      <c r="B648" s="106"/>
    </row>
    <row r="649">
      <c r="A649" s="106"/>
      <c r="B649" s="106"/>
    </row>
    <row r="650">
      <c r="A650" s="106"/>
      <c r="B650" s="106"/>
    </row>
    <row r="651">
      <c r="A651" s="106"/>
      <c r="B651" s="106"/>
    </row>
    <row r="652">
      <c r="A652" s="106"/>
      <c r="B652" s="106"/>
    </row>
    <row r="653">
      <c r="A653" s="106"/>
      <c r="B653" s="106"/>
    </row>
    <row r="654">
      <c r="A654" s="106"/>
      <c r="B654" s="106"/>
    </row>
    <row r="655">
      <c r="A655" s="106"/>
      <c r="B655" s="106"/>
    </row>
    <row r="656">
      <c r="A656" s="106"/>
      <c r="B656" s="106"/>
    </row>
    <row r="657">
      <c r="A657" s="106"/>
      <c r="B657" s="106"/>
    </row>
    <row r="658">
      <c r="A658" s="106"/>
      <c r="B658" s="106"/>
    </row>
    <row r="659">
      <c r="A659" s="106"/>
      <c r="B659" s="106"/>
    </row>
    <row r="660">
      <c r="A660" s="106"/>
      <c r="B660" s="106"/>
    </row>
    <row r="661">
      <c r="A661" s="106"/>
      <c r="B661" s="106"/>
    </row>
    <row r="662">
      <c r="A662" s="106"/>
      <c r="B662" s="106"/>
    </row>
    <row r="663">
      <c r="A663" s="106"/>
      <c r="B663" s="106"/>
    </row>
    <row r="664">
      <c r="A664" s="106"/>
      <c r="B664" s="106"/>
    </row>
    <row r="665">
      <c r="A665" s="106"/>
      <c r="B665" s="106"/>
    </row>
    <row r="666">
      <c r="A666" s="106"/>
      <c r="B666" s="106"/>
    </row>
    <row r="667">
      <c r="A667" s="106"/>
      <c r="B667" s="106"/>
    </row>
    <row r="668">
      <c r="A668" s="106"/>
      <c r="B668" s="106"/>
    </row>
    <row r="669">
      <c r="A669" s="106"/>
      <c r="B669" s="106"/>
    </row>
    <row r="670">
      <c r="A670" s="106"/>
      <c r="B670" s="106"/>
    </row>
    <row r="671">
      <c r="A671" s="106"/>
      <c r="B671" s="106"/>
    </row>
    <row r="672">
      <c r="A672" s="106"/>
      <c r="B672" s="106"/>
    </row>
    <row r="673">
      <c r="A673" s="106"/>
      <c r="B673" s="106"/>
    </row>
    <row r="674">
      <c r="A674" s="106"/>
      <c r="B674" s="106"/>
    </row>
    <row r="675">
      <c r="A675" s="106"/>
      <c r="B675" s="106"/>
    </row>
    <row r="676">
      <c r="A676" s="106"/>
      <c r="B676" s="106"/>
    </row>
    <row r="677">
      <c r="A677" s="106"/>
      <c r="B677" s="106"/>
    </row>
    <row r="678">
      <c r="A678" s="106"/>
      <c r="B678" s="106"/>
    </row>
    <row r="679">
      <c r="A679" s="106"/>
      <c r="B679" s="106"/>
    </row>
    <row r="680">
      <c r="A680" s="106"/>
      <c r="B680" s="106"/>
    </row>
    <row r="681">
      <c r="A681" s="106"/>
      <c r="B681" s="106"/>
    </row>
    <row r="682">
      <c r="A682" s="106"/>
      <c r="B682" s="106"/>
    </row>
    <row r="683">
      <c r="A683" s="106"/>
      <c r="B683" s="106"/>
    </row>
    <row r="684">
      <c r="A684" s="106"/>
      <c r="B684" s="106"/>
    </row>
    <row r="685">
      <c r="A685" s="106"/>
      <c r="B685" s="106"/>
    </row>
    <row r="686">
      <c r="A686" s="106"/>
      <c r="B686" s="106"/>
    </row>
    <row r="687">
      <c r="A687" s="106"/>
      <c r="B687" s="106"/>
    </row>
    <row r="688">
      <c r="A688" s="106"/>
      <c r="B688" s="106"/>
    </row>
    <row r="689">
      <c r="A689" s="106"/>
      <c r="B689" s="106"/>
    </row>
    <row r="690">
      <c r="A690" s="106"/>
      <c r="B690" s="106"/>
    </row>
    <row r="691">
      <c r="A691" s="106"/>
      <c r="B691" s="106"/>
    </row>
    <row r="692">
      <c r="A692" s="106"/>
      <c r="B692" s="106"/>
    </row>
    <row r="693">
      <c r="A693" s="106"/>
      <c r="B693" s="106"/>
    </row>
    <row r="694">
      <c r="A694" s="106"/>
      <c r="B694" s="106"/>
    </row>
    <row r="695">
      <c r="A695" s="106"/>
      <c r="B695" s="106"/>
    </row>
    <row r="696">
      <c r="A696" s="106"/>
      <c r="B696" s="106"/>
    </row>
    <row r="697">
      <c r="A697" s="106"/>
      <c r="B697" s="106"/>
    </row>
    <row r="698">
      <c r="A698" s="106"/>
      <c r="B698" s="106"/>
    </row>
    <row r="699">
      <c r="A699" s="106"/>
      <c r="B699" s="106"/>
    </row>
    <row r="700">
      <c r="A700" s="106"/>
      <c r="B700" s="106"/>
    </row>
    <row r="701">
      <c r="A701" s="106"/>
      <c r="B701" s="106"/>
    </row>
    <row r="702">
      <c r="A702" s="106"/>
      <c r="B702" s="106"/>
    </row>
    <row r="703">
      <c r="A703" s="106"/>
      <c r="B703" s="106"/>
    </row>
    <row r="704">
      <c r="A704" s="106"/>
      <c r="B704" s="106"/>
    </row>
    <row r="705">
      <c r="A705" s="106"/>
      <c r="B705" s="106"/>
    </row>
    <row r="706">
      <c r="A706" s="106"/>
      <c r="B706" s="106"/>
    </row>
    <row r="707">
      <c r="A707" s="106"/>
      <c r="B707" s="106"/>
    </row>
    <row r="708">
      <c r="A708" s="106"/>
      <c r="B708" s="106"/>
    </row>
    <row r="709">
      <c r="A709" s="106"/>
      <c r="B709" s="106"/>
    </row>
    <row r="710">
      <c r="A710" s="106"/>
      <c r="B710" s="106"/>
    </row>
    <row r="711">
      <c r="A711" s="106"/>
      <c r="B711" s="106"/>
    </row>
    <row r="712">
      <c r="A712" s="106"/>
      <c r="B712" s="106"/>
    </row>
    <row r="713">
      <c r="A713" s="106"/>
      <c r="B713" s="106"/>
    </row>
    <row r="714">
      <c r="A714" s="106"/>
      <c r="B714" s="106"/>
    </row>
    <row r="715">
      <c r="A715" s="106"/>
      <c r="B715" s="106"/>
    </row>
    <row r="716">
      <c r="A716" s="106"/>
      <c r="B716" s="106"/>
    </row>
    <row r="717">
      <c r="A717" s="106"/>
      <c r="B717" s="106"/>
    </row>
    <row r="718">
      <c r="A718" s="106"/>
      <c r="B718" s="106"/>
    </row>
    <row r="719">
      <c r="A719" s="106"/>
      <c r="B719" s="106"/>
    </row>
    <row r="720">
      <c r="A720" s="106"/>
      <c r="B720" s="106"/>
    </row>
    <row r="721">
      <c r="A721" s="106"/>
      <c r="B721" s="106"/>
    </row>
    <row r="722">
      <c r="A722" s="106"/>
      <c r="B722" s="106"/>
    </row>
    <row r="723">
      <c r="A723" s="106"/>
      <c r="B723" s="106"/>
    </row>
    <row r="724">
      <c r="A724" s="106"/>
      <c r="B724" s="106"/>
    </row>
    <row r="725">
      <c r="A725" s="106"/>
      <c r="B725" s="106"/>
    </row>
    <row r="726">
      <c r="A726" s="106"/>
      <c r="B726" s="106"/>
    </row>
    <row r="727">
      <c r="A727" s="106"/>
      <c r="B727" s="106"/>
    </row>
    <row r="728">
      <c r="A728" s="106"/>
      <c r="B728" s="106"/>
    </row>
    <row r="729">
      <c r="A729" s="106"/>
      <c r="B729" s="106"/>
    </row>
    <row r="730">
      <c r="A730" s="106"/>
      <c r="B730" s="106"/>
    </row>
    <row r="731">
      <c r="A731" s="106"/>
      <c r="B731" s="106"/>
    </row>
    <row r="732">
      <c r="A732" s="106"/>
      <c r="B732" s="106"/>
    </row>
    <row r="733">
      <c r="A733" s="106"/>
      <c r="B733" s="106"/>
    </row>
    <row r="734">
      <c r="A734" s="106"/>
      <c r="B734" s="106"/>
    </row>
    <row r="735">
      <c r="A735" s="106"/>
      <c r="B735" s="106"/>
    </row>
    <row r="736">
      <c r="A736" s="106"/>
      <c r="B736" s="106"/>
    </row>
    <row r="737">
      <c r="A737" s="106"/>
      <c r="B737" s="106"/>
    </row>
    <row r="738">
      <c r="A738" s="106"/>
      <c r="B738" s="106"/>
    </row>
    <row r="739">
      <c r="A739" s="106"/>
      <c r="B739" s="106"/>
    </row>
    <row r="740">
      <c r="A740" s="106"/>
      <c r="B740" s="106"/>
    </row>
    <row r="741">
      <c r="A741" s="106"/>
      <c r="B741" s="106"/>
    </row>
    <row r="742">
      <c r="A742" s="106"/>
      <c r="B742" s="106"/>
    </row>
    <row r="743">
      <c r="A743" s="106"/>
      <c r="B743" s="106"/>
    </row>
    <row r="744">
      <c r="A744" s="106"/>
      <c r="B744" s="106"/>
    </row>
    <row r="745">
      <c r="A745" s="106"/>
      <c r="B745" s="106"/>
    </row>
    <row r="746">
      <c r="A746" s="106"/>
      <c r="B746" s="106"/>
    </row>
    <row r="747">
      <c r="A747" s="106"/>
      <c r="B747" s="106"/>
    </row>
    <row r="748">
      <c r="A748" s="106"/>
      <c r="B748" s="106"/>
    </row>
    <row r="749">
      <c r="A749" s="106"/>
      <c r="B749" s="106"/>
    </row>
    <row r="750">
      <c r="A750" s="106"/>
      <c r="B750" s="106"/>
    </row>
    <row r="751">
      <c r="A751" s="106"/>
      <c r="B751" s="106"/>
    </row>
    <row r="752">
      <c r="A752" s="106"/>
      <c r="B752" s="106"/>
    </row>
    <row r="753">
      <c r="A753" s="106"/>
      <c r="B753" s="106"/>
    </row>
    <row r="754">
      <c r="A754" s="106"/>
      <c r="B754" s="106"/>
    </row>
    <row r="755">
      <c r="A755" s="106"/>
      <c r="B755" s="106"/>
    </row>
    <row r="756">
      <c r="A756" s="106"/>
      <c r="B756" s="106"/>
    </row>
    <row r="757">
      <c r="A757" s="106"/>
      <c r="B757" s="106"/>
    </row>
    <row r="758">
      <c r="A758" s="106"/>
      <c r="B758" s="106"/>
    </row>
    <row r="759">
      <c r="A759" s="106"/>
      <c r="B759" s="106"/>
    </row>
    <row r="760">
      <c r="A760" s="106"/>
      <c r="B760" s="106"/>
    </row>
    <row r="761">
      <c r="A761" s="106"/>
      <c r="B761" s="106"/>
    </row>
    <row r="762">
      <c r="A762" s="106"/>
      <c r="B762" s="106"/>
    </row>
    <row r="763">
      <c r="A763" s="106"/>
      <c r="B763" s="106"/>
    </row>
    <row r="764">
      <c r="A764" s="106"/>
      <c r="B764" s="106"/>
    </row>
    <row r="765">
      <c r="A765" s="106"/>
      <c r="B765" s="106"/>
    </row>
    <row r="766">
      <c r="A766" s="106"/>
      <c r="B766" s="106"/>
    </row>
    <row r="767">
      <c r="A767" s="106"/>
      <c r="B767" s="106"/>
    </row>
    <row r="768">
      <c r="A768" s="106"/>
      <c r="B768" s="106"/>
    </row>
    <row r="769">
      <c r="A769" s="106"/>
      <c r="B769" s="106"/>
    </row>
    <row r="770">
      <c r="A770" s="106"/>
      <c r="B770" s="106"/>
    </row>
    <row r="771">
      <c r="A771" s="106"/>
      <c r="B771" s="106"/>
    </row>
    <row r="772">
      <c r="A772" s="106"/>
      <c r="B772" s="106"/>
    </row>
    <row r="773">
      <c r="A773" s="106"/>
      <c r="B773" s="106"/>
    </row>
    <row r="774">
      <c r="A774" s="106"/>
      <c r="B774" s="106"/>
    </row>
    <row r="775">
      <c r="A775" s="106"/>
      <c r="B775" s="106"/>
    </row>
    <row r="776">
      <c r="A776" s="106"/>
      <c r="B776" s="106"/>
    </row>
    <row r="777">
      <c r="A777" s="106"/>
      <c r="B777" s="106"/>
    </row>
    <row r="778">
      <c r="A778" s="106"/>
      <c r="B778" s="106"/>
    </row>
    <row r="779">
      <c r="A779" s="106"/>
      <c r="B779" s="106"/>
    </row>
    <row r="780">
      <c r="A780" s="106"/>
      <c r="B780" s="106"/>
    </row>
    <row r="781">
      <c r="A781" s="106"/>
      <c r="B781" s="106"/>
    </row>
    <row r="782">
      <c r="A782" s="106"/>
      <c r="B782" s="106"/>
    </row>
    <row r="783">
      <c r="A783" s="106"/>
      <c r="B783" s="106"/>
    </row>
    <row r="784">
      <c r="A784" s="106"/>
      <c r="B784" s="106"/>
    </row>
    <row r="785">
      <c r="A785" s="106"/>
      <c r="B785" s="106"/>
    </row>
    <row r="786">
      <c r="A786" s="106"/>
      <c r="B786" s="106"/>
    </row>
    <row r="787">
      <c r="A787" s="106"/>
      <c r="B787" s="106"/>
    </row>
    <row r="788">
      <c r="A788" s="106"/>
      <c r="B788" s="106"/>
    </row>
    <row r="789">
      <c r="A789" s="106"/>
      <c r="B789" s="106"/>
    </row>
    <row r="790">
      <c r="A790" s="106"/>
      <c r="B790" s="106"/>
    </row>
    <row r="791">
      <c r="A791" s="106"/>
      <c r="B791" s="106"/>
    </row>
    <row r="792">
      <c r="A792" s="106"/>
      <c r="B792" s="106"/>
    </row>
    <row r="793">
      <c r="A793" s="106"/>
      <c r="B793" s="106"/>
    </row>
    <row r="794">
      <c r="A794" s="106"/>
      <c r="B794" s="106"/>
    </row>
    <row r="795">
      <c r="A795" s="106"/>
      <c r="B795" s="106"/>
    </row>
    <row r="796">
      <c r="A796" s="106"/>
      <c r="B796" s="106"/>
    </row>
    <row r="797">
      <c r="A797" s="106"/>
      <c r="B797" s="106"/>
    </row>
    <row r="798">
      <c r="A798" s="106"/>
      <c r="B798" s="106"/>
    </row>
    <row r="799">
      <c r="A799" s="106"/>
      <c r="B799" s="106"/>
    </row>
    <row r="800">
      <c r="A800" s="106"/>
      <c r="B800" s="106"/>
    </row>
    <row r="801">
      <c r="A801" s="106"/>
      <c r="B801" s="106"/>
    </row>
    <row r="802">
      <c r="A802" s="106"/>
      <c r="B802" s="106"/>
    </row>
    <row r="803">
      <c r="A803" s="106"/>
      <c r="B803" s="106"/>
    </row>
    <row r="804">
      <c r="A804" s="106"/>
      <c r="B804" s="106"/>
    </row>
    <row r="805">
      <c r="A805" s="106"/>
      <c r="B805" s="106"/>
    </row>
    <row r="806">
      <c r="A806" s="106"/>
      <c r="B806" s="106"/>
    </row>
    <row r="807">
      <c r="A807" s="106"/>
      <c r="B807" s="106"/>
    </row>
    <row r="808">
      <c r="A808" s="106"/>
      <c r="B808" s="106"/>
    </row>
    <row r="809">
      <c r="A809" s="106"/>
      <c r="B809" s="106"/>
    </row>
    <row r="810">
      <c r="A810" s="106"/>
      <c r="B810" s="106"/>
    </row>
    <row r="811">
      <c r="A811" s="106"/>
      <c r="B811" s="106"/>
    </row>
    <row r="812">
      <c r="A812" s="106"/>
      <c r="B812" s="106"/>
    </row>
    <row r="813">
      <c r="A813" s="106"/>
      <c r="B813" s="106"/>
    </row>
    <row r="814">
      <c r="A814" s="106"/>
      <c r="B814" s="106"/>
    </row>
    <row r="815">
      <c r="A815" s="106"/>
      <c r="B815" s="106"/>
    </row>
    <row r="816">
      <c r="A816" s="106"/>
      <c r="B816" s="106"/>
    </row>
    <row r="817">
      <c r="A817" s="106"/>
      <c r="B817" s="106"/>
    </row>
    <row r="818">
      <c r="A818" s="106"/>
      <c r="B818" s="106"/>
    </row>
    <row r="819">
      <c r="A819" s="106"/>
      <c r="B819" s="106"/>
    </row>
    <row r="820">
      <c r="A820" s="106"/>
      <c r="B820" s="106"/>
    </row>
    <row r="821">
      <c r="A821" s="106"/>
      <c r="B821" s="106"/>
    </row>
    <row r="822">
      <c r="A822" s="106"/>
      <c r="B822" s="106"/>
    </row>
    <row r="823">
      <c r="A823" s="106"/>
      <c r="B823" s="106"/>
    </row>
    <row r="824">
      <c r="A824" s="106"/>
      <c r="B824" s="106"/>
    </row>
    <row r="825">
      <c r="A825" s="106"/>
      <c r="B825" s="106"/>
    </row>
    <row r="826">
      <c r="A826" s="106"/>
      <c r="B826" s="106"/>
    </row>
    <row r="827">
      <c r="A827" s="106"/>
      <c r="B827" s="106"/>
    </row>
    <row r="828">
      <c r="A828" s="106"/>
      <c r="B828" s="106"/>
    </row>
    <row r="829">
      <c r="A829" s="106"/>
      <c r="B829" s="106"/>
    </row>
    <row r="830">
      <c r="A830" s="106"/>
      <c r="B830" s="106"/>
    </row>
    <row r="831">
      <c r="A831" s="106"/>
      <c r="B831" s="106"/>
    </row>
    <row r="832">
      <c r="A832" s="106"/>
      <c r="B832" s="106"/>
    </row>
    <row r="833">
      <c r="A833" s="106"/>
      <c r="B833" s="106"/>
    </row>
    <row r="834">
      <c r="A834" s="106"/>
      <c r="B834" s="106"/>
    </row>
    <row r="835">
      <c r="A835" s="106"/>
      <c r="B835" s="106"/>
    </row>
    <row r="836">
      <c r="A836" s="106"/>
      <c r="B836" s="106"/>
    </row>
    <row r="837">
      <c r="A837" s="106"/>
      <c r="B837" s="106"/>
    </row>
    <row r="838">
      <c r="A838" s="106"/>
      <c r="B838" s="106"/>
    </row>
    <row r="839">
      <c r="A839" s="106"/>
      <c r="B839" s="106"/>
    </row>
    <row r="840">
      <c r="A840" s="106"/>
      <c r="B840" s="106"/>
    </row>
    <row r="841">
      <c r="A841" s="106"/>
      <c r="B841" s="106"/>
    </row>
    <row r="842">
      <c r="A842" s="106"/>
      <c r="B842" s="106"/>
    </row>
    <row r="843">
      <c r="A843" s="106"/>
      <c r="B843" s="106"/>
    </row>
    <row r="844">
      <c r="A844" s="106"/>
      <c r="B844" s="106"/>
    </row>
    <row r="845">
      <c r="A845" s="106"/>
      <c r="B845" s="106"/>
    </row>
    <row r="846">
      <c r="A846" s="106"/>
      <c r="B846" s="106"/>
    </row>
    <row r="847">
      <c r="A847" s="106"/>
      <c r="B847" s="106"/>
    </row>
    <row r="848">
      <c r="A848" s="106"/>
      <c r="B848" s="106"/>
    </row>
    <row r="849">
      <c r="A849" s="106"/>
      <c r="B849" s="106"/>
    </row>
    <row r="850">
      <c r="A850" s="106"/>
      <c r="B850" s="106"/>
    </row>
    <row r="851">
      <c r="A851" s="106"/>
      <c r="B851" s="106"/>
    </row>
    <row r="852">
      <c r="A852" s="106"/>
      <c r="B852" s="106"/>
    </row>
    <row r="853">
      <c r="A853" s="106"/>
      <c r="B853" s="106"/>
    </row>
    <row r="854">
      <c r="A854" s="106"/>
      <c r="B854" s="106"/>
    </row>
    <row r="855">
      <c r="A855" s="106"/>
      <c r="B855" s="106"/>
    </row>
    <row r="856">
      <c r="A856" s="106"/>
      <c r="B856" s="106"/>
    </row>
    <row r="857">
      <c r="A857" s="106"/>
      <c r="B857" s="106"/>
    </row>
    <row r="858">
      <c r="A858" s="106"/>
      <c r="B858" s="106"/>
    </row>
    <row r="859">
      <c r="A859" s="106"/>
      <c r="B859" s="106"/>
    </row>
    <row r="860">
      <c r="A860" s="106"/>
      <c r="B860" s="106"/>
    </row>
    <row r="861">
      <c r="A861" s="106"/>
      <c r="B861" s="106"/>
    </row>
    <row r="862">
      <c r="A862" s="106"/>
      <c r="B862" s="106"/>
    </row>
    <row r="863">
      <c r="A863" s="106"/>
      <c r="B863" s="106"/>
    </row>
    <row r="864">
      <c r="A864" s="106"/>
      <c r="B864" s="106"/>
    </row>
    <row r="865">
      <c r="A865" s="106"/>
      <c r="B865" s="106"/>
    </row>
    <row r="866">
      <c r="A866" s="106"/>
      <c r="B866" s="106"/>
    </row>
    <row r="867">
      <c r="A867" s="106"/>
      <c r="B867" s="106"/>
    </row>
    <row r="868">
      <c r="A868" s="106"/>
      <c r="B868" s="106"/>
    </row>
    <row r="869">
      <c r="A869" s="106"/>
      <c r="B869" s="106"/>
    </row>
    <row r="870">
      <c r="A870" s="106"/>
      <c r="B870" s="106"/>
    </row>
    <row r="871">
      <c r="A871" s="106"/>
      <c r="B871" s="106"/>
    </row>
    <row r="872">
      <c r="A872" s="106"/>
      <c r="B872" s="106"/>
    </row>
    <row r="873">
      <c r="A873" s="106"/>
      <c r="B873" s="106"/>
    </row>
    <row r="874">
      <c r="A874" s="106"/>
      <c r="B874" s="106"/>
    </row>
    <row r="875">
      <c r="A875" s="106"/>
      <c r="B875" s="106"/>
    </row>
    <row r="876">
      <c r="A876" s="106"/>
      <c r="B876" s="106"/>
    </row>
    <row r="877">
      <c r="A877" s="106"/>
      <c r="B877" s="106"/>
    </row>
    <row r="878">
      <c r="A878" s="106"/>
      <c r="B878" s="106"/>
    </row>
    <row r="879">
      <c r="A879" s="106"/>
      <c r="B879" s="106"/>
    </row>
    <row r="880">
      <c r="A880" s="106"/>
      <c r="B880" s="106"/>
    </row>
    <row r="881">
      <c r="A881" s="106"/>
      <c r="B881" s="106"/>
    </row>
    <row r="882">
      <c r="A882" s="106"/>
      <c r="B882" s="106"/>
    </row>
    <row r="883">
      <c r="A883" s="106"/>
      <c r="B883" s="106"/>
    </row>
    <row r="884">
      <c r="A884" s="106"/>
      <c r="B884" s="106"/>
    </row>
    <row r="885">
      <c r="A885" s="106"/>
      <c r="B885" s="106"/>
    </row>
    <row r="886">
      <c r="A886" s="106"/>
      <c r="B886" s="106"/>
    </row>
    <row r="887">
      <c r="A887" s="106"/>
      <c r="B887" s="106"/>
    </row>
    <row r="888">
      <c r="A888" s="106"/>
      <c r="B888" s="106"/>
    </row>
    <row r="889">
      <c r="A889" s="106"/>
      <c r="B889" s="106"/>
    </row>
    <row r="890">
      <c r="A890" s="106"/>
      <c r="B890" s="106"/>
    </row>
    <row r="891">
      <c r="A891" s="106"/>
      <c r="B891" s="106"/>
    </row>
    <row r="892">
      <c r="A892" s="106"/>
      <c r="B892" s="106"/>
    </row>
    <row r="893">
      <c r="A893" s="106"/>
      <c r="B893" s="106"/>
    </row>
    <row r="894">
      <c r="A894" s="106"/>
      <c r="B894" s="106"/>
    </row>
    <row r="895">
      <c r="A895" s="106"/>
      <c r="B895" s="106"/>
    </row>
    <row r="896">
      <c r="A896" s="106"/>
      <c r="B896" s="106"/>
    </row>
    <row r="897">
      <c r="A897" s="106"/>
      <c r="B897" s="106"/>
    </row>
    <row r="898">
      <c r="A898" s="106"/>
      <c r="B898" s="106"/>
    </row>
    <row r="899">
      <c r="A899" s="106"/>
      <c r="B899" s="106"/>
    </row>
    <row r="900">
      <c r="A900" s="106"/>
      <c r="B900" s="106"/>
    </row>
    <row r="901">
      <c r="A901" s="106"/>
      <c r="B901" s="106"/>
    </row>
    <row r="902">
      <c r="A902" s="106"/>
      <c r="B902" s="106"/>
    </row>
    <row r="903">
      <c r="A903" s="106"/>
      <c r="B903" s="106"/>
    </row>
    <row r="904">
      <c r="A904" s="106"/>
      <c r="B904" s="106"/>
    </row>
    <row r="905">
      <c r="A905" s="106"/>
      <c r="B905" s="106"/>
    </row>
    <row r="906">
      <c r="A906" s="106"/>
      <c r="B906" s="106"/>
    </row>
    <row r="907">
      <c r="A907" s="106"/>
      <c r="B907" s="106"/>
    </row>
    <row r="908">
      <c r="A908" s="106"/>
      <c r="B908" s="106"/>
    </row>
    <row r="909">
      <c r="A909" s="106"/>
      <c r="B909" s="106"/>
    </row>
    <row r="910">
      <c r="A910" s="106"/>
      <c r="B910" s="106"/>
    </row>
    <row r="911">
      <c r="A911" s="106"/>
      <c r="B911" s="106"/>
    </row>
    <row r="912">
      <c r="A912" s="106"/>
      <c r="B912" s="106"/>
    </row>
    <row r="913">
      <c r="A913" s="106"/>
      <c r="B913" s="106"/>
    </row>
    <row r="914">
      <c r="A914" s="106"/>
      <c r="B914" s="106"/>
    </row>
    <row r="915">
      <c r="A915" s="106"/>
      <c r="B915" s="106"/>
    </row>
    <row r="916">
      <c r="A916" s="106"/>
      <c r="B916" s="106"/>
    </row>
    <row r="917">
      <c r="A917" s="106"/>
      <c r="B917" s="106"/>
    </row>
    <row r="918">
      <c r="A918" s="106"/>
      <c r="B918" s="106"/>
    </row>
    <row r="919">
      <c r="A919" s="106"/>
      <c r="B919" s="106"/>
    </row>
    <row r="920">
      <c r="A920" s="106"/>
      <c r="B920" s="106"/>
    </row>
    <row r="921">
      <c r="A921" s="106"/>
      <c r="B921" s="106"/>
    </row>
    <row r="922">
      <c r="A922" s="106"/>
      <c r="B922" s="106"/>
    </row>
    <row r="923">
      <c r="A923" s="106"/>
      <c r="B923" s="106"/>
    </row>
    <row r="924">
      <c r="A924" s="106"/>
      <c r="B924" s="106"/>
    </row>
    <row r="925">
      <c r="A925" s="106"/>
      <c r="B925" s="106"/>
    </row>
    <row r="926">
      <c r="A926" s="106"/>
      <c r="B926" s="106"/>
    </row>
    <row r="927">
      <c r="A927" s="106"/>
      <c r="B927" s="106"/>
    </row>
    <row r="928">
      <c r="A928" s="106"/>
      <c r="B928" s="106"/>
    </row>
    <row r="929">
      <c r="A929" s="106"/>
      <c r="B929" s="106"/>
    </row>
    <row r="930">
      <c r="A930" s="106"/>
      <c r="B930" s="106"/>
    </row>
    <row r="931">
      <c r="A931" s="106"/>
      <c r="B931" s="106"/>
    </row>
    <row r="932">
      <c r="A932" s="106"/>
      <c r="B932" s="106"/>
    </row>
    <row r="933">
      <c r="A933" s="106"/>
      <c r="B933" s="106"/>
    </row>
    <row r="934">
      <c r="A934" s="106"/>
      <c r="B934" s="106"/>
    </row>
    <row r="935">
      <c r="A935" s="106"/>
      <c r="B935" s="106"/>
    </row>
    <row r="936">
      <c r="A936" s="106"/>
      <c r="B936" s="106"/>
    </row>
    <row r="937">
      <c r="A937" s="106"/>
      <c r="B937" s="106"/>
    </row>
    <row r="938">
      <c r="A938" s="106"/>
      <c r="B938" s="106"/>
    </row>
    <row r="939">
      <c r="A939" s="106"/>
      <c r="B939" s="106"/>
    </row>
    <row r="940">
      <c r="A940" s="106"/>
      <c r="B940" s="106"/>
    </row>
    <row r="941">
      <c r="A941" s="106"/>
      <c r="B941" s="106"/>
    </row>
    <row r="942">
      <c r="A942" s="106"/>
      <c r="B942" s="106"/>
    </row>
    <row r="943">
      <c r="A943" s="106"/>
      <c r="B943" s="106"/>
    </row>
    <row r="944">
      <c r="A944" s="106"/>
      <c r="B944" s="106"/>
    </row>
    <row r="945">
      <c r="A945" s="106"/>
      <c r="B945" s="106"/>
    </row>
    <row r="946">
      <c r="A946" s="106"/>
      <c r="B946" s="106"/>
    </row>
    <row r="947">
      <c r="A947" s="106"/>
      <c r="B947" s="106"/>
    </row>
    <row r="948">
      <c r="A948" s="106"/>
      <c r="B948" s="106"/>
    </row>
    <row r="949">
      <c r="A949" s="106"/>
      <c r="B949" s="106"/>
    </row>
    <row r="950">
      <c r="A950" s="106"/>
      <c r="B950" s="106"/>
    </row>
    <row r="951">
      <c r="A951" s="106"/>
      <c r="B951" s="106"/>
    </row>
    <row r="952">
      <c r="A952" s="106"/>
      <c r="B952" s="106"/>
    </row>
    <row r="953">
      <c r="A953" s="106"/>
      <c r="B953" s="106"/>
    </row>
    <row r="954">
      <c r="A954" s="106"/>
      <c r="B954" s="106"/>
    </row>
    <row r="955">
      <c r="A955" s="106"/>
      <c r="B955" s="106"/>
    </row>
    <row r="956">
      <c r="A956" s="106"/>
      <c r="B956" s="106"/>
    </row>
    <row r="957">
      <c r="A957" s="106"/>
      <c r="B957" s="106"/>
    </row>
    <row r="958">
      <c r="A958" s="106"/>
      <c r="B958" s="106"/>
    </row>
    <row r="959">
      <c r="A959" s="106"/>
      <c r="B959" s="106"/>
    </row>
    <row r="960">
      <c r="A960" s="106"/>
      <c r="B960" s="106"/>
    </row>
    <row r="961">
      <c r="A961" s="106"/>
      <c r="B961" s="106"/>
    </row>
    <row r="962">
      <c r="A962" s="106"/>
      <c r="B962" s="106"/>
    </row>
    <row r="963">
      <c r="A963" s="106"/>
      <c r="B963" s="106"/>
    </row>
    <row r="964">
      <c r="A964" s="106"/>
      <c r="B964" s="106"/>
    </row>
    <row r="965">
      <c r="A965" s="106"/>
      <c r="B965" s="106"/>
    </row>
    <row r="966">
      <c r="A966" s="106"/>
      <c r="B966" s="106"/>
    </row>
    <row r="967">
      <c r="A967" s="106"/>
      <c r="B967" s="106"/>
    </row>
    <row r="968">
      <c r="A968" s="106"/>
      <c r="B968" s="106"/>
    </row>
    <row r="969">
      <c r="A969" s="106"/>
      <c r="B969" s="106"/>
    </row>
    <row r="970">
      <c r="A970" s="106"/>
      <c r="B970" s="106"/>
    </row>
    <row r="971">
      <c r="A971" s="106"/>
      <c r="B971" s="106"/>
    </row>
    <row r="972">
      <c r="A972" s="106"/>
      <c r="B972" s="106"/>
    </row>
    <row r="973">
      <c r="A973" s="106"/>
      <c r="B973" s="106"/>
    </row>
    <row r="974">
      <c r="A974" s="106"/>
      <c r="B974" s="106"/>
    </row>
    <row r="975">
      <c r="A975" s="106"/>
      <c r="B975" s="106"/>
    </row>
    <row r="976">
      <c r="A976" s="106"/>
      <c r="B976" s="106"/>
    </row>
    <row r="977">
      <c r="A977" s="106"/>
      <c r="B977" s="106"/>
    </row>
    <row r="978">
      <c r="A978" s="106"/>
      <c r="B978" s="106"/>
    </row>
    <row r="979">
      <c r="A979" s="106"/>
      <c r="B979" s="106"/>
    </row>
    <row r="980">
      <c r="A980" s="106"/>
      <c r="B980" s="106"/>
    </row>
    <row r="981">
      <c r="A981" s="106"/>
      <c r="B981" s="106"/>
    </row>
    <row r="982">
      <c r="A982" s="106"/>
      <c r="B982" s="106"/>
    </row>
    <row r="983">
      <c r="A983" s="106"/>
      <c r="B983" s="106"/>
    </row>
    <row r="984">
      <c r="A984" s="106"/>
      <c r="B984" s="106"/>
    </row>
    <row r="985">
      <c r="A985" s="106"/>
      <c r="B985" s="106"/>
    </row>
    <row r="986">
      <c r="A986" s="106"/>
      <c r="B986" s="106"/>
    </row>
    <row r="987">
      <c r="A987" s="106"/>
      <c r="B987" s="106"/>
    </row>
    <row r="988">
      <c r="A988" s="106"/>
      <c r="B988" s="106"/>
    </row>
    <row r="989">
      <c r="A989" s="106"/>
      <c r="B989" s="106"/>
    </row>
    <row r="990">
      <c r="A990" s="106"/>
      <c r="B990" s="106"/>
    </row>
    <row r="991">
      <c r="A991" s="106"/>
      <c r="B991" s="106"/>
    </row>
    <row r="992">
      <c r="A992" s="106"/>
      <c r="B992" s="106"/>
    </row>
    <row r="993">
      <c r="A993" s="106"/>
      <c r="B993" s="106"/>
    </row>
    <row r="994">
      <c r="A994" s="106"/>
      <c r="B994" s="106"/>
    </row>
    <row r="995">
      <c r="A995" s="106"/>
      <c r="B995" s="106"/>
    </row>
    <row r="996">
      <c r="A996" s="106"/>
      <c r="B996" s="106"/>
    </row>
    <row r="997">
      <c r="A997" s="106"/>
      <c r="B997" s="106"/>
    </row>
    <row r="998">
      <c r="A998" s="106"/>
      <c r="B998" s="106"/>
    </row>
    <row r="999">
      <c r="A999" s="106"/>
      <c r="B999" s="106"/>
    </row>
    <row r="1000">
      <c r="A1000" s="106"/>
      <c r="B1000" s="10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9.88"/>
    <col customWidth="1" min="3" max="3" width="3.25"/>
    <col customWidth="1" min="4" max="4" width="17.38"/>
    <col customWidth="1" min="6" max="6" width="3.25"/>
    <col customWidth="1" min="7" max="7" width="6.88"/>
    <col customWidth="1" min="9" max="9" width="3.25"/>
    <col customWidth="1" min="12" max="12" width="3.25"/>
    <col customWidth="1" min="14" max="14" width="14.38"/>
    <col customWidth="1" min="16" max="16" width="3.25"/>
    <col customWidth="1" min="17" max="17" width="9.13"/>
    <col customWidth="1" min="18" max="18" width="14.38"/>
    <col customWidth="1" min="19" max="19" width="10.88"/>
    <col customWidth="1" min="20" max="20" width="10.75"/>
    <col customWidth="1" min="21" max="21" width="3.25"/>
  </cols>
  <sheetData>
    <row r="1">
      <c r="A1" s="66" t="s">
        <v>135</v>
      </c>
      <c r="B1" s="16" t="str">
        <f>'📊 Dashboard รายเดือน'!C4&amp;"-"&amp;'📊 Dashboard รายเดือน'!C3</f>
        <v>2024-5</v>
      </c>
      <c r="C1" s="118"/>
      <c r="D1" s="119" t="s">
        <v>136</v>
      </c>
      <c r="E1" s="88">
        <f>SUMIF('💰 Transaction ขาย'!J:J,B1,'💰 Transaction ขาย'!F:F)</f>
        <v>24450</v>
      </c>
      <c r="F1" s="118"/>
      <c r="G1" s="120"/>
      <c r="H1" s="120" t="s">
        <v>137</v>
      </c>
      <c r="I1" s="118"/>
      <c r="J1" s="46"/>
      <c r="K1" s="6" t="s">
        <v>138</v>
      </c>
      <c r="L1" s="118"/>
      <c r="M1" s="46" t="str">
        <f>IFERROR(__xludf.DUMMYFUNCTION("QUERY('📊 รายงานสินค้าคงเหลือ'!A:G,""select A,B,G order by G desc Limit 10"",1)"),"ชื่อสินค้า")</f>
        <v>ชื่อสินค้า</v>
      </c>
      <c r="N1" s="46" t="str">
        <f>IFERROR(__xludf.DUMMYFUNCTION("""COMPUTED_VALUE"""),"จำนวนสินค้าคงเหลือ")</f>
        <v>จำนวนสินค้าคงเหลือ</v>
      </c>
      <c r="O1" s="46" t="str">
        <f>IFERROR(__xludf.DUMMYFUNCTION("""COMPUTED_VALUE"""),"ต้นทุนรวมปัจจุบัน")</f>
        <v>ต้นทุนรวมปัจจุบัน</v>
      </c>
      <c r="P1" s="118"/>
      <c r="Q1" s="46" t="str">
        <f>IFERROR(__xludf.DUMMYFUNCTION("QUERY('📊 รายงานสินค้าคงเหลือ'!A:G,""select A,B,C,E where E &lt;&gt; 'OK' "",1)"),"ชื่อสินค้า")</f>
        <v>ชื่อสินค้า</v>
      </c>
      <c r="R1" s="46" t="str">
        <f>IFERROR(__xludf.DUMMYFUNCTION("""COMPUTED_VALUE"""),"จำนวนสินค้าคงเหลือ")</f>
        <v>จำนวนสินค้าคงเหลือ</v>
      </c>
      <c r="S1" s="46" t="str">
        <f>IFERROR(__xludf.DUMMYFUNCTION("""COMPUTED_VALUE"""),"จำนวนขั้นต่ำ")</f>
        <v>จำนวนขั้นต่ำ</v>
      </c>
      <c r="T1" s="46" t="str">
        <f>IFERROR(__xludf.DUMMYFUNCTION("""COMPUTED_VALUE"""),"สถานะการเติมสินค้า")</f>
        <v>สถานะการเติมสินค้า</v>
      </c>
      <c r="U1" s="118"/>
      <c r="V1" s="66" t="s">
        <v>10</v>
      </c>
      <c r="W1" s="121" t="s">
        <v>5</v>
      </c>
      <c r="X1" s="46"/>
      <c r="Y1" s="46"/>
      <c r="Z1" s="46"/>
    </row>
    <row r="2">
      <c r="A2" s="46"/>
      <c r="B2" s="16"/>
      <c r="C2" s="118"/>
      <c r="D2" s="119" t="s">
        <v>74</v>
      </c>
      <c r="E2" s="88" t="str">
        <f>-1*SUMIF('💰 Transaction ขาย'!J:J,B1,'💰 Transaction ขาย'!G:G)</f>
        <v>#VALUE!</v>
      </c>
      <c r="F2" s="118"/>
      <c r="G2" s="120" t="s">
        <v>71</v>
      </c>
      <c r="H2" s="122">
        <f>vlookup(B1,'เป้าหมายยอดขาย'!A:B,2,false)</f>
        <v>50000</v>
      </c>
      <c r="I2" s="118"/>
      <c r="J2" s="46" t="str">
        <f>IFERROR(__xludf.DUMMYFUNCTION("UNIQUE(FILTER('💰 Transaction ขาย'!K:K,'💰 Transaction ขาย'!J:J=B1))"),"รุ่นสีอ่อน")</f>
        <v>รุ่นสีอ่อน</v>
      </c>
      <c r="K2" s="16">
        <f>IF(J2&lt;&gt;"",SUMIFS('💰 Transaction ขาย'!$F:$F,'💰 Transaction ขาย'!$K:$K,$J2,'💰 Transaction ขาย'!$J:$J,$B$1),"")</f>
        <v>24450</v>
      </c>
      <c r="L2" s="118"/>
      <c r="M2" s="46" t="str">
        <f>IFERROR(__xludf.DUMMYFUNCTION("""COMPUTED_VALUE"""),"111 เงินเงา")</f>
        <v>111 เงินเงา</v>
      </c>
      <c r="N2" s="46">
        <f>IFERROR(__xludf.DUMMYFUNCTION("""COMPUTED_VALUE"""),335.0)</f>
        <v>335</v>
      </c>
      <c r="O2" s="88">
        <f>IFERROR(__xludf.DUMMYFUNCTION("""COMPUTED_VALUE"""),83750.0)</f>
        <v>83750</v>
      </c>
      <c r="P2" s="118"/>
      <c r="Q2" s="46" t="str">
        <f>IFERROR(__xludf.DUMMYFUNCTION("""COMPUTED_VALUE"""),"863 ฟ้าพาสเทลเข้ม")</f>
        <v>863 ฟ้าพาสเทลเข้ม</v>
      </c>
      <c r="R2" s="46">
        <f>IFERROR(__xludf.DUMMYFUNCTION("""COMPUTED_VALUE"""),68.0)</f>
        <v>68</v>
      </c>
      <c r="S2" s="46">
        <f>IFERROR(__xludf.DUMMYFUNCTION("""COMPUTED_VALUE"""),81.0)</f>
        <v>81</v>
      </c>
      <c r="T2" s="46" t="str">
        <f>IFERROR(__xludf.DUMMYFUNCTION("""COMPUTED_VALUE"""),"ควรเติมทันที")</f>
        <v>ควรเติมทันที</v>
      </c>
      <c r="U2" s="118"/>
      <c r="V2" s="46" t="str">
        <f t="array" ref="V2:V5">UNIQUE('📦 ชื่อสินค้า'!F2:F1500)</f>
        <v>รุ่นสีอ่อน</v>
      </c>
      <c r="W2" s="88">
        <f>IF(V2&lt;&gt;"",SUMIFS('📊 รายงานสินค้าคงเหลือ'!G:G,'📊 รายงานสินค้าคงเหลือ'!D:D,V2),"")</f>
        <v>286772.0442</v>
      </c>
      <c r="X2" s="46"/>
      <c r="Y2" s="46"/>
      <c r="Z2" s="46"/>
    </row>
    <row r="3">
      <c r="A3" s="46"/>
      <c r="B3" s="16"/>
      <c r="C3" s="118"/>
      <c r="D3" s="119" t="s">
        <v>7</v>
      </c>
      <c r="E3" s="88" t="str">
        <f>E1+E2</f>
        <v>#VALUE!</v>
      </c>
      <c r="F3" s="118"/>
      <c r="G3" s="120" t="s">
        <v>72</v>
      </c>
      <c r="H3" s="123">
        <f>E1</f>
        <v>24450</v>
      </c>
      <c r="I3" s="118"/>
      <c r="J3" s="46"/>
      <c r="K3" s="16" t="str">
        <f>IF(J3&lt;&gt;"",SUMIFS('💰 Transaction ขาย'!$F:$F,'💰 Transaction ขาย'!$K:$K,$J3,'💰 Transaction ขาย'!$J:$J,$B$1),"")</f>
        <v/>
      </c>
      <c r="L3" s="118"/>
      <c r="M3" s="46" t="str">
        <f>IFERROR(__xludf.DUMMYFUNCTION("""COMPUTED_VALUE"""),"112 เงินด้าน")</f>
        <v>112 เงินด้าน</v>
      </c>
      <c r="N3" s="46">
        <f>IFERROR(__xludf.DUMMYFUNCTION("""COMPUTED_VALUE"""),335.0)</f>
        <v>335</v>
      </c>
      <c r="O3" s="88">
        <f>IFERROR(__xludf.DUMMYFUNCTION("""COMPUTED_VALUE"""),83750.0)</f>
        <v>83750</v>
      </c>
      <c r="P3" s="118"/>
      <c r="Q3" s="46" t="str">
        <f>IFERROR(__xludf.DUMMYFUNCTION("""COMPUTED_VALUE"""),"881 เปลือกไม้ รุ่นหยัก")</f>
        <v>881 เปลือกไม้ รุ่นหยัก</v>
      </c>
      <c r="R3" s="46">
        <f>IFERROR(__xludf.DUMMYFUNCTION("""COMPUTED_VALUE"""),-1.0)</f>
        <v>-1</v>
      </c>
      <c r="S3" s="46">
        <f>IFERROR(__xludf.DUMMYFUNCTION("""COMPUTED_VALUE"""),5.0)</f>
        <v>5</v>
      </c>
      <c r="T3" s="46" t="str">
        <f>IFERROR(__xludf.DUMMYFUNCTION("""COMPUTED_VALUE"""),"สินค้าหมด")</f>
        <v>สินค้าหมด</v>
      </c>
      <c r="U3" s="118"/>
      <c r="V3" s="46" t="s">
        <v>42</v>
      </c>
      <c r="W3" s="88">
        <f>IF(V3&lt;&gt;"",SUMIFS('📊 รายงานสินค้าคงเหลือ'!G:G,'📊 รายงานสินค้าคงเหลือ'!D:D,V3),"")</f>
        <v>167500</v>
      </c>
      <c r="X3" s="46"/>
      <c r="Y3" s="46"/>
      <c r="Z3" s="46"/>
    </row>
    <row r="4">
      <c r="A4" s="46"/>
      <c r="B4" s="16"/>
      <c r="C4" s="118"/>
      <c r="D4" s="119" t="s">
        <v>139</v>
      </c>
      <c r="E4" s="124" t="str">
        <f>E3/E1</f>
        <v>#VALUE!</v>
      </c>
      <c r="F4" s="118"/>
      <c r="G4" s="120" t="s">
        <v>73</v>
      </c>
      <c r="H4" s="125">
        <f>H3/H2</f>
        <v>0.489</v>
      </c>
      <c r="I4" s="118"/>
      <c r="J4" s="46"/>
      <c r="K4" s="16" t="str">
        <f>IF(J4&lt;&gt;"",SUMIFS('💰 Transaction ขาย'!$F:$F,'💰 Transaction ขาย'!$K:$K,$J4,'💰 Transaction ขาย'!$J:$J,$B$1),"")</f>
        <v/>
      </c>
      <c r="L4" s="118"/>
      <c r="M4" s="46" t="str">
        <f>IFERROR(__xludf.DUMMYFUNCTION("""COMPUTED_VALUE"""),"510 ขาวธรรมชาติ")</f>
        <v>510 ขาวธรรมชาติ</v>
      </c>
      <c r="N4" s="46">
        <f>IFERROR(__xludf.DUMMYFUNCTION("""COMPUTED_VALUE"""),885.0)</f>
        <v>885</v>
      </c>
      <c r="O4" s="88">
        <f>IFERROR(__xludf.DUMMYFUNCTION("""COMPUTED_VALUE"""),74692.04419889503)</f>
        <v>74692.0442</v>
      </c>
      <c r="P4" s="118"/>
      <c r="Q4" s="46" t="str">
        <f>IFERROR(__xludf.DUMMYFUNCTION("""COMPUTED_VALUE"""),"853 ชมพูพาสเทล")</f>
        <v>853 ชมพูพาสเทล</v>
      </c>
      <c r="R4" s="46">
        <f>IFERROR(__xludf.DUMMYFUNCTION("""COMPUTED_VALUE"""),-11.0)</f>
        <v>-11</v>
      </c>
      <c r="S4" s="46">
        <f>IFERROR(__xludf.DUMMYFUNCTION("""COMPUTED_VALUE"""),5.0)</f>
        <v>5</v>
      </c>
      <c r="T4" s="46" t="str">
        <f>IFERROR(__xludf.DUMMYFUNCTION("""COMPUTED_VALUE"""),"สินค้าหมด")</f>
        <v>สินค้าหมด</v>
      </c>
      <c r="U4" s="118"/>
      <c r="V4" s="46" t="s">
        <v>43</v>
      </c>
      <c r="W4" s="88">
        <f>IF(V4&lt;&gt;"",SUMIFS('📊 รายงานสินค้าคงเหลือ'!G:G,'📊 รายงานสินค้าคงเหลือ'!D:D,V4),"")</f>
        <v>0</v>
      </c>
      <c r="X4" s="46"/>
      <c r="Y4" s="46"/>
      <c r="Z4" s="46"/>
    </row>
    <row r="5">
      <c r="A5" s="46"/>
      <c r="B5" s="16"/>
      <c r="C5" s="118"/>
      <c r="D5" s="126"/>
      <c r="E5" s="88"/>
      <c r="F5" s="118"/>
      <c r="G5" s="46"/>
      <c r="H5" s="46"/>
      <c r="I5" s="118"/>
      <c r="J5" s="46"/>
      <c r="K5" s="16" t="str">
        <f>IF(J5&lt;&gt;"",SUMIFS('💰 Transaction ขาย'!$F:$F,'💰 Transaction ขาย'!$K:$K,$J5,'💰 Transaction ขาย'!$J:$J,$B$1),"")</f>
        <v/>
      </c>
      <c r="L5" s="118"/>
      <c r="M5" s="46" t="str">
        <f>IFERROR(__xludf.DUMMYFUNCTION("""COMPUTED_VALUE"""),"521 ครีม")</f>
        <v>521 ครีม</v>
      </c>
      <c r="N5" s="46">
        <f>IFERROR(__xludf.DUMMYFUNCTION("""COMPUTED_VALUE"""),927.0)</f>
        <v>927</v>
      </c>
      <c r="O5" s="88">
        <f>IFERROR(__xludf.DUMMYFUNCTION("""COMPUTED_VALUE"""),74160.0)</f>
        <v>74160</v>
      </c>
      <c r="P5" s="118"/>
      <c r="Q5" s="46" t="str">
        <f>IFERROR(__xludf.DUMMYFUNCTION("""COMPUTED_VALUE"""),"862 ฟ้า PT อ่อน")</f>
        <v>862 ฟ้า PT อ่อน</v>
      </c>
      <c r="R5" s="46">
        <f>IFERROR(__xludf.DUMMYFUNCTION("""COMPUTED_VALUE"""),-14.0)</f>
        <v>-14</v>
      </c>
      <c r="S5" s="46">
        <f>IFERROR(__xludf.DUMMYFUNCTION("""COMPUTED_VALUE"""),5.0)</f>
        <v>5</v>
      </c>
      <c r="T5" s="46" t="str">
        <f>IFERROR(__xludf.DUMMYFUNCTION("""COMPUTED_VALUE"""),"สินค้าหมด")</f>
        <v>สินค้าหมด</v>
      </c>
      <c r="U5" s="118"/>
      <c r="V5" s="46"/>
      <c r="W5" s="88" t="str">
        <f>IF(V5&lt;&gt;"",SUMIFS('📊 รายงานสินค้าคงเหลือ'!G:G,'📊 รายงานสินค้าคงเหลือ'!D:D,V5),"")</f>
        <v/>
      </c>
      <c r="X5" s="46"/>
      <c r="Y5" s="46"/>
      <c r="Z5" s="46"/>
    </row>
    <row r="6">
      <c r="A6" s="46"/>
      <c r="B6" s="16"/>
      <c r="C6" s="118"/>
      <c r="D6" s="126"/>
      <c r="E6" s="88"/>
      <c r="F6" s="118"/>
      <c r="G6" s="46"/>
      <c r="H6" s="46"/>
      <c r="I6" s="118"/>
      <c r="J6" s="46"/>
      <c r="K6" s="16" t="str">
        <f>IF(J6&lt;&gt;"",SUMIFS('💰 Transaction ขาย'!$F:$F,'💰 Transaction ขาย'!$K:$K,$J6,'💰 Transaction ขาย'!$J:$J,$B$1),"")</f>
        <v/>
      </c>
      <c r="L6" s="118"/>
      <c r="M6" s="46" t="str">
        <f>IFERROR(__xludf.DUMMYFUNCTION("""COMPUTED_VALUE"""),"551 ชมพูอ่อน")</f>
        <v>551 ชมพูอ่อน</v>
      </c>
      <c r="N6" s="46">
        <f>IFERROR(__xludf.DUMMYFUNCTION("""COMPUTED_VALUE"""),473.0)</f>
        <v>473</v>
      </c>
      <c r="O6" s="88">
        <f>IFERROR(__xludf.DUMMYFUNCTION("""COMPUTED_VALUE"""),37840.0)</f>
        <v>37840</v>
      </c>
      <c r="P6" s="118"/>
      <c r="Q6" s="46" t="str">
        <f>IFERROR(__xludf.DUMMYFUNCTION("""COMPUTED_VALUE"""),"863 ฟ้า PT เข้ม")</f>
        <v>863 ฟ้า PT เข้ม</v>
      </c>
      <c r="R6" s="46">
        <f>IFERROR(__xludf.DUMMYFUNCTION("""COMPUTED_VALUE"""),0.0)</f>
        <v>0</v>
      </c>
      <c r="S6" s="46">
        <f>IFERROR(__xludf.DUMMYFUNCTION("""COMPUTED_VALUE"""),5.0)</f>
        <v>5</v>
      </c>
      <c r="T6" s="46" t="str">
        <f>IFERROR(__xludf.DUMMYFUNCTION("""COMPUTED_VALUE"""),"สินค้าหมด")</f>
        <v>สินค้าหมด</v>
      </c>
      <c r="U6" s="118"/>
      <c r="V6" s="46"/>
      <c r="W6" s="88" t="str">
        <f>IF(V6&lt;&gt;"",SUMIFS('📊 รายงานสินค้าคงเหลือ'!G:G,'📊 รายงานสินค้าคงเหลือ'!D:D,V6),"")</f>
        <v/>
      </c>
      <c r="X6" s="46"/>
      <c r="Y6" s="46"/>
      <c r="Z6" s="46"/>
    </row>
    <row r="7">
      <c r="A7" s="46"/>
      <c r="B7" s="16"/>
      <c r="C7" s="118"/>
      <c r="D7" s="126"/>
      <c r="E7" s="88"/>
      <c r="F7" s="118"/>
      <c r="G7" s="46"/>
      <c r="H7" s="46"/>
      <c r="I7" s="118"/>
      <c r="J7" s="46"/>
      <c r="K7" s="16" t="str">
        <f>IF(J7&lt;&gt;"",SUMIFS('💰 Transaction ขาย'!$F:$F,'💰 Transaction ขาย'!$K:$K,$J7,'💰 Transaction ขาย'!$J:$J,$B$1),"")</f>
        <v/>
      </c>
      <c r="L7" s="118"/>
      <c r="M7" s="46" t="str">
        <f>IFERROR(__xludf.DUMMYFUNCTION("""COMPUTED_VALUE"""),"881 เปลือกไม้")</f>
        <v>881 เปลือกไม้</v>
      </c>
      <c r="N7" s="46">
        <f>IFERROR(__xludf.DUMMYFUNCTION("""COMPUTED_VALUE"""),414.0)</f>
        <v>414</v>
      </c>
      <c r="O7" s="88">
        <f>IFERROR(__xludf.DUMMYFUNCTION("""COMPUTED_VALUE"""),33120.0)</f>
        <v>33120</v>
      </c>
      <c r="P7" s="118"/>
      <c r="Q7" s="46" t="str">
        <f>IFERROR(__xludf.DUMMYFUNCTION("""COMPUTED_VALUE"""),"522 เหลืองอ่อน")</f>
        <v>522 เหลืองอ่อน</v>
      </c>
      <c r="R7" s="46">
        <f>IFERROR(__xludf.DUMMYFUNCTION("""COMPUTED_VALUE"""),-10.0)</f>
        <v>-10</v>
      </c>
      <c r="S7" s="46">
        <f>IFERROR(__xludf.DUMMYFUNCTION("""COMPUTED_VALUE"""),5.0)</f>
        <v>5</v>
      </c>
      <c r="T7" s="46" t="str">
        <f>IFERROR(__xludf.DUMMYFUNCTION("""COMPUTED_VALUE"""),"สินค้าหมด")</f>
        <v>สินค้าหมด</v>
      </c>
      <c r="U7" s="118"/>
      <c r="V7" s="46"/>
      <c r="W7" s="88" t="str">
        <f>IF(V7&lt;&gt;"",SUMIFS('📊 รายงานสินค้าคงเหลือ'!G:G,'📊 รายงานสินค้าคงเหลือ'!D:D,V7),"")</f>
        <v/>
      </c>
      <c r="X7" s="46"/>
      <c r="Y7" s="46"/>
      <c r="Z7" s="46"/>
    </row>
    <row r="8">
      <c r="A8" s="46"/>
      <c r="B8" s="16"/>
      <c r="C8" s="118"/>
      <c r="D8" s="126"/>
      <c r="E8" s="88"/>
      <c r="F8" s="118"/>
      <c r="G8" s="46"/>
      <c r="H8" s="46"/>
      <c r="I8" s="118"/>
      <c r="J8" s="46"/>
      <c r="K8" s="16" t="str">
        <f>IF(J8&lt;&gt;"",SUMIFS('💰 Transaction ขาย'!$F:$F,'💰 Transaction ขาย'!$K:$K,$J8,'💰 Transaction ขาย'!$J:$J,$B$1),"")</f>
        <v/>
      </c>
      <c r="L8" s="118"/>
      <c r="M8" s="46" t="str">
        <f>IFERROR(__xludf.DUMMYFUNCTION("""COMPUTED_VALUE"""),"860 ม่วงอ่อน")</f>
        <v>860 ม่วงอ่อน</v>
      </c>
      <c r="N8" s="46">
        <f>IFERROR(__xludf.DUMMYFUNCTION("""COMPUTED_VALUE"""),188.0)</f>
        <v>188</v>
      </c>
      <c r="O8" s="88">
        <f>IFERROR(__xludf.DUMMYFUNCTION("""COMPUTED_VALUE"""),15040.0)</f>
        <v>15040</v>
      </c>
      <c r="P8" s="118"/>
      <c r="Q8" s="46" t="str">
        <f>IFERROR(__xludf.DUMMYFUNCTION("""COMPUTED_VALUE"""),"571 เขียวหยก")</f>
        <v>571 เขียวหยก</v>
      </c>
      <c r="R8" s="46">
        <f>IFERROR(__xludf.DUMMYFUNCTION("""COMPUTED_VALUE"""),-10.0)</f>
        <v>-10</v>
      </c>
      <c r="S8" s="46">
        <f>IFERROR(__xludf.DUMMYFUNCTION("""COMPUTED_VALUE"""),5.0)</f>
        <v>5</v>
      </c>
      <c r="T8" s="46" t="str">
        <f>IFERROR(__xludf.DUMMYFUNCTION("""COMPUTED_VALUE"""),"สินค้าหมด")</f>
        <v>สินค้าหมด</v>
      </c>
      <c r="U8" s="118"/>
      <c r="V8" s="46"/>
      <c r="W8" s="88" t="str">
        <f>IF(V8&lt;&gt;"",SUMIFS('📊 รายงานสินค้าคงเหลือ'!G:G,'📊 รายงานสินค้าคงเหลือ'!D:D,V8),"")</f>
        <v/>
      </c>
      <c r="X8" s="46"/>
      <c r="Y8" s="46"/>
      <c r="Z8" s="46"/>
    </row>
    <row r="9">
      <c r="A9" s="46"/>
      <c r="B9" s="16"/>
      <c r="C9" s="118"/>
      <c r="D9" s="126"/>
      <c r="E9" s="88"/>
      <c r="F9" s="118"/>
      <c r="G9" s="46"/>
      <c r="H9" s="46"/>
      <c r="I9" s="118"/>
      <c r="J9" s="46"/>
      <c r="K9" s="16" t="str">
        <f>IF(J9&lt;&gt;"",SUMIFS('💰 Transaction ขาย'!$F:$F,'💰 Transaction ขาย'!$K:$K,$J9,'💰 Transaction ขาย'!$J:$J,$B$1),"")</f>
        <v/>
      </c>
      <c r="L9" s="118"/>
      <c r="M9" s="46" t="str">
        <f>IFERROR(__xludf.DUMMYFUNCTION("""COMPUTED_VALUE"""),"552 ชมพูเข้ม")</f>
        <v>552 ชมพูเข้ม</v>
      </c>
      <c r="N9" s="46">
        <f>IFERROR(__xludf.DUMMYFUNCTION("""COMPUTED_VALUE"""),150.0)</f>
        <v>150</v>
      </c>
      <c r="O9" s="88">
        <f>IFERROR(__xludf.DUMMYFUNCTION("""COMPUTED_VALUE"""),12000.0)</f>
        <v>12000</v>
      </c>
      <c r="P9" s="118"/>
      <c r="Q9" s="46" t="str">
        <f>IFERROR(__xludf.DUMMYFUNCTION("""COMPUTED_VALUE"""),"882 กาแฟ")</f>
        <v>882 กาแฟ</v>
      </c>
      <c r="R9" s="46">
        <f>IFERROR(__xludf.DUMMYFUNCTION("""COMPUTED_VALUE"""),-10.0)</f>
        <v>-10</v>
      </c>
      <c r="S9" s="46">
        <f>IFERROR(__xludf.DUMMYFUNCTION("""COMPUTED_VALUE"""),5.0)</f>
        <v>5</v>
      </c>
      <c r="T9" s="46" t="str">
        <f>IFERROR(__xludf.DUMMYFUNCTION("""COMPUTED_VALUE"""),"สินค้าหมด")</f>
        <v>สินค้าหมด</v>
      </c>
      <c r="U9" s="118"/>
      <c r="V9" s="46"/>
      <c r="W9" s="88" t="str">
        <f>IF(V9&lt;&gt;"",SUMIFS('📊 รายงานสินค้าคงเหลือ'!G:G,'📊 รายงานสินค้าคงเหลือ'!D:D,V9),"")</f>
        <v/>
      </c>
      <c r="X9" s="46"/>
      <c r="Y9" s="46"/>
      <c r="Z9" s="46"/>
    </row>
    <row r="10">
      <c r="A10" s="46"/>
      <c r="B10" s="16"/>
      <c r="C10" s="118"/>
      <c r="D10" s="126"/>
      <c r="E10" s="88"/>
      <c r="F10" s="118"/>
      <c r="G10" s="46"/>
      <c r="H10" s="46"/>
      <c r="I10" s="118"/>
      <c r="J10" s="46"/>
      <c r="K10" s="16" t="str">
        <f>IF(J10&lt;&gt;"",SUMIFS('💰 Transaction ขาย'!$F:$F,'💰 Transaction ขาย'!$K:$K,$J10,'💰 Transaction ขาย'!$J:$J,$B$1),"")</f>
        <v/>
      </c>
      <c r="L10" s="118"/>
      <c r="M10" s="46" t="str">
        <f>IFERROR(__xludf.DUMMYFUNCTION("""COMPUTED_VALUE"""),"861 ฟ้าอ่อน")</f>
        <v>861 ฟ้าอ่อน</v>
      </c>
      <c r="N10" s="46">
        <f>IFERROR(__xludf.DUMMYFUNCTION("""COMPUTED_VALUE"""),114.0)</f>
        <v>114</v>
      </c>
      <c r="O10" s="88">
        <f>IFERROR(__xludf.DUMMYFUNCTION("""COMPUTED_VALUE"""),10260.0)</f>
        <v>10260</v>
      </c>
      <c r="P10" s="118"/>
      <c r="Q10" s="46" t="str">
        <f>IFERROR(__xludf.DUMMYFUNCTION("""COMPUTED_VALUE"""),"511 กรีนรีด")</f>
        <v>511 กรีนรีด</v>
      </c>
      <c r="R10" s="46">
        <f>IFERROR(__xludf.DUMMYFUNCTION("""COMPUTED_VALUE"""),0.0)</f>
        <v>0</v>
      </c>
      <c r="S10" s="46">
        <f>IFERROR(__xludf.DUMMYFUNCTION("""COMPUTED_VALUE"""),5.0)</f>
        <v>5</v>
      </c>
      <c r="T10" s="46" t="str">
        <f>IFERROR(__xludf.DUMMYFUNCTION("""COMPUTED_VALUE"""),"สินค้าหมด")</f>
        <v>สินค้าหมด</v>
      </c>
      <c r="U10" s="118"/>
      <c r="V10" s="46"/>
      <c r="W10" s="88" t="str">
        <f>IF(V10&lt;&gt;"",SUMIFS('📊 รายงานสินค้าคงเหลือ'!G:G,'📊 รายงานสินค้าคงเหลือ'!D:D,V10),"")</f>
        <v/>
      </c>
      <c r="X10" s="46"/>
      <c r="Y10" s="46"/>
      <c r="Z10" s="46"/>
    </row>
    <row r="11">
      <c r="A11" s="46"/>
      <c r="B11" s="16"/>
      <c r="C11" s="118"/>
      <c r="D11" s="126"/>
      <c r="E11" s="88"/>
      <c r="F11" s="118"/>
      <c r="G11" s="46"/>
      <c r="H11" s="46"/>
      <c r="I11" s="118"/>
      <c r="J11" s="46"/>
      <c r="K11" s="16" t="str">
        <f>IF(J11&lt;&gt;"",SUMIFS('💰 Transaction ขาย'!$F:$F,'💰 Transaction ขาย'!$K:$K,$J11,'💰 Transaction ขาย'!$J:$J,$B$1),"")</f>
        <v/>
      </c>
      <c r="L11" s="118"/>
      <c r="M11" s="46" t="str">
        <f>IFERROR(__xludf.DUMMYFUNCTION("""COMPUTED_VALUE"""),"591 เทาอ่อน")</f>
        <v>591 เทาอ่อน</v>
      </c>
      <c r="N11" s="46">
        <f>IFERROR(__xludf.DUMMYFUNCTION("""COMPUTED_VALUE"""),130.0)</f>
        <v>130</v>
      </c>
      <c r="O11" s="88">
        <f>IFERROR(__xludf.DUMMYFUNCTION("""COMPUTED_VALUE"""),9100.0)</f>
        <v>9100</v>
      </c>
      <c r="P11" s="118"/>
      <c r="Q11" s="46"/>
      <c r="R11" s="46"/>
      <c r="S11" s="46"/>
      <c r="T11" s="46"/>
      <c r="U11" s="118"/>
      <c r="V11" s="46"/>
      <c r="W11" s="88" t="str">
        <f>IF(V11&lt;&gt;"",SUMIFS('📊 รายงานสินค้าคงเหลือ'!G:G,'📊 รายงานสินค้าคงเหลือ'!D:D,V11),"")</f>
        <v/>
      </c>
      <c r="X11" s="46"/>
      <c r="Y11" s="46"/>
      <c r="Z11" s="46"/>
    </row>
    <row r="12">
      <c r="A12" s="46"/>
      <c r="B12" s="16"/>
      <c r="C12" s="118"/>
      <c r="D12" s="126"/>
      <c r="E12" s="88"/>
      <c r="F12" s="118"/>
      <c r="G12" s="46"/>
      <c r="H12" s="46"/>
      <c r="I12" s="118"/>
      <c r="J12" s="46"/>
      <c r="K12" s="16" t="str">
        <f>IF(J12&lt;&gt;"",SUMIFS('💰 Transaction ขาย'!$F:$F,'💰 Transaction ขาย'!$K:$K,$J12,'💰 Transaction ขาย'!$J:$J,$B$1),"")</f>
        <v/>
      </c>
      <c r="L12" s="118"/>
      <c r="M12" s="46"/>
      <c r="N12" s="46"/>
      <c r="O12" s="46"/>
      <c r="P12" s="118"/>
      <c r="Q12" s="46"/>
      <c r="R12" s="46"/>
      <c r="S12" s="46"/>
      <c r="T12" s="46"/>
      <c r="U12" s="118"/>
      <c r="V12" s="46"/>
      <c r="W12" s="88" t="str">
        <f>IF(V12&lt;&gt;"",SUMIFS('📊 รายงานสินค้าคงเหลือ'!G:G,'📊 รายงานสินค้าคงเหลือ'!D:D,V12),"")</f>
        <v/>
      </c>
      <c r="X12" s="46"/>
      <c r="Y12" s="46"/>
      <c r="Z12" s="46"/>
    </row>
    <row r="13">
      <c r="A13" s="46"/>
      <c r="B13" s="16"/>
      <c r="C13" s="118"/>
      <c r="D13" s="126"/>
      <c r="E13" s="88"/>
      <c r="F13" s="118"/>
      <c r="G13" s="46"/>
      <c r="H13" s="46"/>
      <c r="I13" s="118"/>
      <c r="J13" s="46"/>
      <c r="K13" s="16" t="str">
        <f>IF(J13&lt;&gt;"",SUMIFS('💰 Transaction ขาย'!$F:$F,'💰 Transaction ขาย'!$K:$K,$J13,'💰 Transaction ขาย'!$J:$J,$B$1),"")</f>
        <v/>
      </c>
      <c r="L13" s="118"/>
      <c r="M13" s="46"/>
      <c r="N13" s="46"/>
      <c r="O13" s="46"/>
      <c r="P13" s="118"/>
      <c r="Q13" s="46"/>
      <c r="R13" s="46"/>
      <c r="S13" s="46"/>
      <c r="T13" s="46"/>
      <c r="U13" s="118"/>
      <c r="V13" s="46"/>
      <c r="W13" s="88" t="str">
        <f>IF(V13&lt;&gt;"",SUMIFS('📊 รายงานสินค้าคงเหลือ'!G:G,'📊 รายงานสินค้าคงเหลือ'!D:D,V13),"")</f>
        <v/>
      </c>
      <c r="X13" s="46"/>
      <c r="Y13" s="46"/>
      <c r="Z13" s="46"/>
    </row>
    <row r="14">
      <c r="A14" s="46"/>
      <c r="B14" s="16"/>
      <c r="C14" s="118"/>
      <c r="D14" s="126"/>
      <c r="E14" s="88"/>
      <c r="F14" s="118"/>
      <c r="G14" s="46"/>
      <c r="H14" s="46"/>
      <c r="I14" s="118"/>
      <c r="J14" s="46"/>
      <c r="K14" s="16" t="str">
        <f>IF(J14&lt;&gt;"",SUMIFS('💰 Transaction ขาย'!$F:$F,'💰 Transaction ขาย'!$K:$K,$J14,'💰 Transaction ขาย'!$J:$J,$B$1),"")</f>
        <v/>
      </c>
      <c r="L14" s="118"/>
      <c r="M14" s="46"/>
      <c r="N14" s="46"/>
      <c r="O14" s="46"/>
      <c r="P14" s="118"/>
      <c r="Q14" s="46"/>
      <c r="R14" s="46"/>
      <c r="S14" s="46"/>
      <c r="T14" s="46"/>
      <c r="U14" s="118"/>
      <c r="V14" s="46"/>
      <c r="W14" s="88" t="str">
        <f>IF(V14&lt;&gt;"",SUMIFS('📊 รายงานสินค้าคงเหลือ'!G:G,'📊 รายงานสินค้าคงเหลือ'!D:D,V14),"")</f>
        <v/>
      </c>
      <c r="X14" s="46"/>
      <c r="Y14" s="46"/>
      <c r="Z14" s="46"/>
    </row>
    <row r="15">
      <c r="A15" s="46"/>
      <c r="B15" s="16"/>
      <c r="C15" s="118"/>
      <c r="D15" s="126"/>
      <c r="E15" s="88"/>
      <c r="F15" s="118"/>
      <c r="G15" s="46"/>
      <c r="H15" s="46"/>
      <c r="I15" s="118"/>
      <c r="J15" s="46"/>
      <c r="K15" s="16" t="str">
        <f>IF(J15&lt;&gt;"",SUMIFS('💰 Transaction ขาย'!$F:$F,'💰 Transaction ขาย'!$K:$K,$J15,'💰 Transaction ขาย'!$J:$J,$B$1),"")</f>
        <v/>
      </c>
      <c r="L15" s="118"/>
      <c r="M15" s="46"/>
      <c r="N15" s="46"/>
      <c r="O15" s="46"/>
      <c r="P15" s="118"/>
      <c r="Q15" s="46"/>
      <c r="R15" s="46"/>
      <c r="S15" s="46"/>
      <c r="T15" s="46"/>
      <c r="U15" s="118"/>
      <c r="V15" s="46"/>
      <c r="W15" s="88" t="str">
        <f>IF(V15&lt;&gt;"",SUMIFS('📊 รายงานสินค้าคงเหลือ'!G:G,'📊 รายงานสินค้าคงเหลือ'!D:D,V15),"")</f>
        <v/>
      </c>
      <c r="X15" s="46"/>
      <c r="Y15" s="46"/>
      <c r="Z15" s="46"/>
    </row>
    <row r="16">
      <c r="A16" s="46"/>
      <c r="B16" s="16"/>
      <c r="C16" s="118"/>
      <c r="D16" s="126"/>
      <c r="E16" s="88"/>
      <c r="F16" s="118"/>
      <c r="G16" s="46"/>
      <c r="H16" s="46"/>
      <c r="I16" s="118"/>
      <c r="J16" s="46"/>
      <c r="K16" s="16" t="str">
        <f>IF(J16&lt;&gt;"",SUMIFS('💰 Transaction ขาย'!$F:$F,'💰 Transaction ขาย'!$K:$K,$J16,'💰 Transaction ขาย'!$J:$J,$B$1),"")</f>
        <v/>
      </c>
      <c r="L16" s="118"/>
      <c r="M16" s="46"/>
      <c r="N16" s="46"/>
      <c r="O16" s="46"/>
      <c r="P16" s="118"/>
      <c r="Q16" s="46"/>
      <c r="R16" s="46"/>
      <c r="S16" s="46"/>
      <c r="T16" s="46"/>
      <c r="U16" s="118"/>
      <c r="V16" s="46"/>
      <c r="W16" s="88" t="str">
        <f>IF(V16&lt;&gt;"",SUMIFS('📊 รายงานสินค้าคงเหลือ'!G:G,'📊 รายงานสินค้าคงเหลือ'!D:D,V16),"")</f>
        <v/>
      </c>
      <c r="X16" s="46"/>
      <c r="Y16" s="46"/>
      <c r="Z16" s="46"/>
    </row>
    <row r="17">
      <c r="A17" s="46"/>
      <c r="B17" s="16"/>
      <c r="C17" s="118"/>
      <c r="D17" s="126"/>
      <c r="E17" s="88"/>
      <c r="F17" s="118"/>
      <c r="G17" s="46"/>
      <c r="H17" s="46"/>
      <c r="I17" s="118"/>
      <c r="J17" s="46"/>
      <c r="K17" s="16" t="str">
        <f>IF(J17&lt;&gt;"",SUMIFS('💰 Transaction ขาย'!$F:$F,'💰 Transaction ขาย'!$K:$K,$J17,'💰 Transaction ขาย'!$J:$J,$B$1),"")</f>
        <v/>
      </c>
      <c r="L17" s="118"/>
      <c r="M17" s="46"/>
      <c r="N17" s="46"/>
      <c r="O17" s="46"/>
      <c r="P17" s="118"/>
      <c r="Q17" s="46"/>
      <c r="R17" s="46"/>
      <c r="S17" s="46"/>
      <c r="T17" s="46"/>
      <c r="U17" s="118"/>
      <c r="V17" s="46"/>
      <c r="W17" s="88" t="str">
        <f>IF(V17&lt;&gt;"",SUMIFS('📊 รายงานสินค้าคงเหลือ'!G:G,'📊 รายงานสินค้าคงเหลือ'!D:D,V17),"")</f>
        <v/>
      </c>
      <c r="X17" s="46"/>
      <c r="Y17" s="46"/>
      <c r="Z17" s="46"/>
    </row>
    <row r="18">
      <c r="A18" s="46"/>
      <c r="B18" s="16"/>
      <c r="C18" s="118"/>
      <c r="D18" s="126"/>
      <c r="E18" s="88"/>
      <c r="F18" s="118"/>
      <c r="G18" s="46"/>
      <c r="H18" s="46"/>
      <c r="I18" s="118"/>
      <c r="J18" s="46"/>
      <c r="K18" s="16" t="str">
        <f>IF(J18&lt;&gt;"",SUMIFS('💰 Transaction ขาย'!$F:$F,'💰 Transaction ขาย'!$K:$K,$J18,'💰 Transaction ขาย'!$J:$J,$B$1),"")</f>
        <v/>
      </c>
      <c r="L18" s="118"/>
      <c r="M18" s="46"/>
      <c r="N18" s="46"/>
      <c r="O18" s="46"/>
      <c r="P18" s="118"/>
      <c r="Q18" s="46"/>
      <c r="R18" s="46"/>
      <c r="S18" s="46"/>
      <c r="T18" s="46"/>
      <c r="U18" s="118"/>
      <c r="V18" s="46"/>
      <c r="W18" s="88" t="str">
        <f>IF(V18&lt;&gt;"",SUMIFS('📊 รายงานสินค้าคงเหลือ'!G:G,'📊 รายงานสินค้าคงเหลือ'!D:D,V18),"")</f>
        <v/>
      </c>
      <c r="X18" s="46"/>
      <c r="Y18" s="46"/>
      <c r="Z18" s="46"/>
    </row>
    <row r="19">
      <c r="A19" s="46"/>
      <c r="B19" s="16"/>
      <c r="C19" s="118"/>
      <c r="D19" s="126"/>
      <c r="E19" s="88"/>
      <c r="F19" s="118"/>
      <c r="G19" s="46"/>
      <c r="H19" s="46"/>
      <c r="I19" s="118"/>
      <c r="J19" s="46"/>
      <c r="K19" s="16" t="str">
        <f>IF(J19&lt;&gt;"",SUMIFS('💰 Transaction ขาย'!$F:$F,'💰 Transaction ขาย'!$K:$K,$J19,'💰 Transaction ขาย'!$J:$J,$B$1),"")</f>
        <v/>
      </c>
      <c r="L19" s="118"/>
      <c r="M19" s="46"/>
      <c r="N19" s="46"/>
      <c r="O19" s="46"/>
      <c r="P19" s="118"/>
      <c r="Q19" s="46"/>
      <c r="R19" s="46"/>
      <c r="S19" s="46"/>
      <c r="T19" s="46"/>
      <c r="U19" s="118"/>
      <c r="V19" s="46"/>
      <c r="W19" s="88" t="str">
        <f>IF(V19&lt;&gt;"",SUMIFS('📊 รายงานสินค้าคงเหลือ'!G:G,'📊 รายงานสินค้าคงเหลือ'!D:D,V19),"")</f>
        <v/>
      </c>
      <c r="X19" s="46"/>
      <c r="Y19" s="46"/>
      <c r="Z19" s="46"/>
    </row>
    <row r="20">
      <c r="A20" s="46"/>
      <c r="B20" s="16"/>
      <c r="C20" s="118"/>
      <c r="D20" s="126"/>
      <c r="E20" s="88"/>
      <c r="F20" s="118"/>
      <c r="G20" s="46"/>
      <c r="H20" s="46"/>
      <c r="I20" s="118"/>
      <c r="J20" s="46"/>
      <c r="K20" s="16" t="str">
        <f>IF(J20&lt;&gt;"",SUMIFS('💰 Transaction ขาย'!$F:$F,'💰 Transaction ขาย'!$K:$K,$J20,'💰 Transaction ขาย'!$J:$J,$B$1),"")</f>
        <v/>
      </c>
      <c r="L20" s="118"/>
      <c r="M20" s="46"/>
      <c r="N20" s="46"/>
      <c r="O20" s="46"/>
      <c r="P20" s="118"/>
      <c r="Q20" s="46"/>
      <c r="R20" s="46"/>
      <c r="S20" s="46"/>
      <c r="T20" s="46"/>
      <c r="U20" s="118"/>
      <c r="V20" s="46"/>
      <c r="W20" s="88" t="str">
        <f>IF(V20&lt;&gt;"",SUMIFS('📊 รายงานสินค้าคงเหลือ'!G:G,'📊 รายงานสินค้าคงเหลือ'!D:D,V20),"")</f>
        <v/>
      </c>
      <c r="X20" s="46"/>
      <c r="Y20" s="46"/>
      <c r="Z20" s="46"/>
    </row>
    <row r="21">
      <c r="A21" s="46"/>
      <c r="B21" s="16"/>
      <c r="C21" s="118"/>
      <c r="D21" s="126"/>
      <c r="E21" s="88"/>
      <c r="F21" s="118"/>
      <c r="G21" s="46"/>
      <c r="H21" s="46"/>
      <c r="I21" s="118"/>
      <c r="J21" s="46"/>
      <c r="K21" s="16" t="str">
        <f>IF(J21&lt;&gt;"",SUMIFS('💰 Transaction ขาย'!$F:$F,'💰 Transaction ขาย'!$K:$K,$J21,'💰 Transaction ขาย'!$J:$J,$B$1),"")</f>
        <v/>
      </c>
      <c r="L21" s="118"/>
      <c r="M21" s="46"/>
      <c r="N21" s="46"/>
      <c r="O21" s="46"/>
      <c r="P21" s="118"/>
      <c r="Q21" s="46"/>
      <c r="R21" s="46"/>
      <c r="S21" s="46"/>
      <c r="T21" s="46"/>
      <c r="U21" s="118"/>
      <c r="V21" s="46"/>
      <c r="W21" s="88" t="str">
        <f>IF(V21&lt;&gt;"",SUMIFS('📊 รายงานสินค้าคงเหลือ'!G:G,'📊 รายงานสินค้าคงเหลือ'!D:D,V21),"")</f>
        <v/>
      </c>
      <c r="X21" s="46"/>
      <c r="Y21" s="46"/>
      <c r="Z21" s="46"/>
    </row>
    <row r="22">
      <c r="A22" s="46"/>
      <c r="B22" s="16"/>
      <c r="C22" s="118"/>
      <c r="D22" s="126"/>
      <c r="E22" s="88"/>
      <c r="F22" s="118"/>
      <c r="G22" s="46"/>
      <c r="H22" s="46"/>
      <c r="I22" s="118"/>
      <c r="J22" s="46"/>
      <c r="K22" s="16" t="str">
        <f>IF(J22&lt;&gt;"",SUMIFS('💰 Transaction ขาย'!$F:$F,'💰 Transaction ขาย'!$K:$K,$J22,'💰 Transaction ขาย'!$J:$J,$B$1),"")</f>
        <v/>
      </c>
      <c r="L22" s="118"/>
      <c r="M22" s="46"/>
      <c r="N22" s="46"/>
      <c r="O22" s="46"/>
      <c r="P22" s="118"/>
      <c r="Q22" s="46"/>
      <c r="R22" s="46"/>
      <c r="S22" s="46"/>
      <c r="T22" s="46"/>
      <c r="U22" s="118"/>
      <c r="V22" s="46"/>
      <c r="W22" s="88" t="str">
        <f>IF(V22&lt;&gt;"",SUMIFS('📊 รายงานสินค้าคงเหลือ'!G:G,'📊 รายงานสินค้าคงเหลือ'!D:D,V22),"")</f>
        <v/>
      </c>
      <c r="X22" s="46"/>
      <c r="Y22" s="46"/>
      <c r="Z22" s="46"/>
    </row>
    <row r="23">
      <c r="A23" s="46"/>
      <c r="B23" s="16"/>
      <c r="C23" s="118"/>
      <c r="D23" s="126"/>
      <c r="E23" s="88"/>
      <c r="F23" s="118"/>
      <c r="G23" s="46"/>
      <c r="H23" s="46"/>
      <c r="I23" s="118"/>
      <c r="J23" s="46"/>
      <c r="K23" s="16" t="str">
        <f>IF(J23&lt;&gt;"",SUMIFS('💰 Transaction ขาย'!$F:$F,'💰 Transaction ขาย'!$K:$K,$J23,'💰 Transaction ขาย'!$J:$J,$B$1),"")</f>
        <v/>
      </c>
      <c r="L23" s="118"/>
      <c r="M23" s="46"/>
      <c r="N23" s="46"/>
      <c r="O23" s="46"/>
      <c r="P23" s="118"/>
      <c r="Q23" s="46"/>
      <c r="R23" s="46"/>
      <c r="S23" s="46"/>
      <c r="T23" s="46"/>
      <c r="U23" s="118"/>
      <c r="V23" s="46"/>
      <c r="W23" s="88" t="str">
        <f>IF(V23&lt;&gt;"",SUMIFS('📊 รายงานสินค้าคงเหลือ'!G:G,'📊 รายงานสินค้าคงเหลือ'!D:D,V23),"")</f>
        <v/>
      </c>
      <c r="X23" s="46"/>
      <c r="Y23" s="46"/>
      <c r="Z23" s="46"/>
    </row>
    <row r="24">
      <c r="A24" s="46"/>
      <c r="B24" s="16"/>
      <c r="C24" s="118"/>
      <c r="D24" s="126"/>
      <c r="E24" s="88"/>
      <c r="F24" s="118"/>
      <c r="G24" s="46"/>
      <c r="H24" s="46"/>
      <c r="I24" s="118"/>
      <c r="J24" s="46"/>
      <c r="K24" s="16" t="str">
        <f>IF(J24&lt;&gt;"",SUMIFS('💰 Transaction ขาย'!$F:$F,'💰 Transaction ขาย'!$K:$K,$J24,'💰 Transaction ขาย'!$J:$J,$B$1),"")</f>
        <v/>
      </c>
      <c r="L24" s="118"/>
      <c r="M24" s="46"/>
      <c r="N24" s="46"/>
      <c r="O24" s="46"/>
      <c r="P24" s="118"/>
      <c r="Q24" s="46"/>
      <c r="R24" s="46"/>
      <c r="S24" s="46"/>
      <c r="T24" s="46"/>
      <c r="U24" s="118"/>
      <c r="V24" s="46"/>
      <c r="W24" s="88" t="str">
        <f>IF(V24&lt;&gt;"",SUMIFS('📊 รายงานสินค้าคงเหลือ'!G:G,'📊 รายงานสินค้าคงเหลือ'!D:D,V24),"")</f>
        <v/>
      </c>
      <c r="X24" s="46"/>
      <c r="Y24" s="46"/>
      <c r="Z24" s="46"/>
    </row>
    <row r="25">
      <c r="A25" s="46"/>
      <c r="B25" s="16"/>
      <c r="C25" s="118"/>
      <c r="D25" s="126"/>
      <c r="E25" s="88"/>
      <c r="F25" s="118"/>
      <c r="G25" s="46"/>
      <c r="H25" s="46"/>
      <c r="I25" s="118"/>
      <c r="J25" s="46"/>
      <c r="K25" s="16" t="str">
        <f>IF(J25&lt;&gt;"",SUMIFS('💰 Transaction ขาย'!$F:$F,'💰 Transaction ขาย'!$K:$K,$J25,'💰 Transaction ขาย'!$J:$J,$B$1),"")</f>
        <v/>
      </c>
      <c r="L25" s="118"/>
      <c r="M25" s="46"/>
      <c r="N25" s="46"/>
      <c r="O25" s="46"/>
      <c r="P25" s="118"/>
      <c r="Q25" s="46"/>
      <c r="R25" s="46"/>
      <c r="S25" s="46"/>
      <c r="T25" s="46"/>
      <c r="U25" s="118"/>
      <c r="V25" s="46"/>
      <c r="W25" s="88" t="str">
        <f>IF(V25&lt;&gt;"",SUMIFS('📊 รายงานสินค้าคงเหลือ'!G:G,'📊 รายงานสินค้าคงเหลือ'!D:D,V25),"")</f>
        <v/>
      </c>
      <c r="X25" s="46"/>
      <c r="Y25" s="46"/>
      <c r="Z25" s="46"/>
    </row>
    <row r="26">
      <c r="A26" s="46"/>
      <c r="B26" s="16"/>
      <c r="C26" s="118"/>
      <c r="D26" s="126"/>
      <c r="E26" s="88"/>
      <c r="F26" s="118"/>
      <c r="G26" s="46"/>
      <c r="H26" s="46"/>
      <c r="I26" s="118"/>
      <c r="J26" s="46"/>
      <c r="K26" s="16" t="str">
        <f>IF(J26&lt;&gt;"",SUMIFS('💰 Transaction ขาย'!$F:$F,'💰 Transaction ขาย'!$K:$K,$J26,'💰 Transaction ขาย'!$J:$J,$B$1),"")</f>
        <v/>
      </c>
      <c r="L26" s="118"/>
      <c r="M26" s="46"/>
      <c r="N26" s="46"/>
      <c r="O26" s="46"/>
      <c r="P26" s="118"/>
      <c r="Q26" s="46"/>
      <c r="R26" s="46"/>
      <c r="S26" s="46"/>
      <c r="T26" s="46"/>
      <c r="U26" s="118"/>
      <c r="V26" s="46"/>
      <c r="W26" s="88" t="str">
        <f>IF(V26&lt;&gt;"",SUMIFS('📊 รายงานสินค้าคงเหลือ'!G:G,'📊 รายงานสินค้าคงเหลือ'!D:D,V26),"")</f>
        <v/>
      </c>
      <c r="X26" s="46"/>
      <c r="Y26" s="46"/>
      <c r="Z26" s="46"/>
    </row>
    <row r="27">
      <c r="A27" s="46"/>
      <c r="B27" s="16"/>
      <c r="C27" s="118"/>
      <c r="D27" s="126"/>
      <c r="E27" s="88"/>
      <c r="F27" s="118"/>
      <c r="G27" s="46"/>
      <c r="H27" s="46"/>
      <c r="I27" s="118"/>
      <c r="J27" s="46"/>
      <c r="K27" s="16" t="str">
        <f>IF(J27&lt;&gt;"",SUMIFS('💰 Transaction ขาย'!$F:$F,'💰 Transaction ขาย'!$K:$K,$J27,'💰 Transaction ขาย'!$J:$J,$B$1),"")</f>
        <v/>
      </c>
      <c r="L27" s="118"/>
      <c r="M27" s="46"/>
      <c r="N27" s="46"/>
      <c r="O27" s="46"/>
      <c r="P27" s="118"/>
      <c r="Q27" s="46"/>
      <c r="R27" s="46"/>
      <c r="S27" s="46"/>
      <c r="T27" s="46"/>
      <c r="U27" s="118"/>
      <c r="V27" s="46"/>
      <c r="W27" s="88" t="str">
        <f>IF(V27&lt;&gt;"",SUMIFS('📊 รายงานสินค้าคงเหลือ'!G:G,'📊 รายงานสินค้าคงเหลือ'!D:D,V27),"")</f>
        <v/>
      </c>
      <c r="X27" s="46"/>
      <c r="Y27" s="46"/>
      <c r="Z27" s="46"/>
    </row>
    <row r="28">
      <c r="A28" s="46"/>
      <c r="B28" s="16"/>
      <c r="C28" s="118"/>
      <c r="D28" s="126"/>
      <c r="E28" s="88"/>
      <c r="F28" s="118"/>
      <c r="G28" s="46"/>
      <c r="H28" s="46"/>
      <c r="I28" s="118"/>
      <c r="J28" s="46"/>
      <c r="K28" s="16" t="str">
        <f>IF(J28&lt;&gt;"",SUMIFS('💰 Transaction ขาย'!$F:$F,'💰 Transaction ขาย'!$K:$K,$J28,'💰 Transaction ขาย'!$J:$J,$B$1),"")</f>
        <v/>
      </c>
      <c r="L28" s="118"/>
      <c r="M28" s="46"/>
      <c r="N28" s="46"/>
      <c r="O28" s="46"/>
      <c r="P28" s="118"/>
      <c r="Q28" s="46"/>
      <c r="R28" s="46"/>
      <c r="S28" s="46"/>
      <c r="T28" s="46"/>
      <c r="U28" s="118"/>
      <c r="V28" s="46"/>
      <c r="W28" s="88" t="str">
        <f>IF(V28&lt;&gt;"",SUMIFS('📊 รายงานสินค้าคงเหลือ'!G:G,'📊 รายงานสินค้าคงเหลือ'!D:D,V28),"")</f>
        <v/>
      </c>
      <c r="X28" s="46"/>
      <c r="Y28" s="46"/>
      <c r="Z28" s="46"/>
    </row>
    <row r="29">
      <c r="A29" s="46"/>
      <c r="B29" s="16"/>
      <c r="C29" s="118"/>
      <c r="D29" s="126"/>
      <c r="E29" s="88"/>
      <c r="F29" s="118"/>
      <c r="G29" s="46"/>
      <c r="H29" s="46"/>
      <c r="I29" s="118"/>
      <c r="J29" s="46"/>
      <c r="K29" s="16" t="str">
        <f>IF(J29&lt;&gt;"",SUMIFS('💰 Transaction ขาย'!$F:$F,'💰 Transaction ขาย'!$K:$K,$J29,'💰 Transaction ขาย'!$J:$J,$B$1),"")</f>
        <v/>
      </c>
      <c r="L29" s="118"/>
      <c r="M29" s="46"/>
      <c r="N29" s="46"/>
      <c r="O29" s="46"/>
      <c r="P29" s="118"/>
      <c r="Q29" s="46"/>
      <c r="R29" s="46"/>
      <c r="S29" s="46"/>
      <c r="T29" s="46"/>
      <c r="U29" s="118"/>
      <c r="V29" s="46"/>
      <c r="W29" s="88" t="str">
        <f>IF(V29&lt;&gt;"",SUMIFS('📊 รายงานสินค้าคงเหลือ'!G:G,'📊 รายงานสินค้าคงเหลือ'!D:D,V29),"")</f>
        <v/>
      </c>
      <c r="X29" s="46"/>
      <c r="Y29" s="46"/>
      <c r="Z29" s="46"/>
    </row>
    <row r="30">
      <c r="A30" s="46"/>
      <c r="B30" s="16"/>
      <c r="C30" s="118"/>
      <c r="D30" s="126"/>
      <c r="E30" s="88"/>
      <c r="F30" s="118"/>
      <c r="G30" s="46"/>
      <c r="H30" s="46"/>
      <c r="I30" s="118"/>
      <c r="J30" s="46"/>
      <c r="K30" s="16" t="str">
        <f>IF(J30&lt;&gt;"",SUMIFS('💰 Transaction ขาย'!$F:$F,'💰 Transaction ขาย'!$K:$K,$J30,'💰 Transaction ขาย'!$J:$J,$B$1),"")</f>
        <v/>
      </c>
      <c r="L30" s="118"/>
      <c r="M30" s="46"/>
      <c r="N30" s="46"/>
      <c r="O30" s="46"/>
      <c r="P30" s="118"/>
      <c r="Q30" s="46"/>
      <c r="R30" s="46"/>
      <c r="S30" s="46"/>
      <c r="T30" s="46"/>
      <c r="U30" s="118"/>
      <c r="V30" s="46"/>
      <c r="W30" s="88" t="str">
        <f>IF(V30&lt;&gt;"",SUMIFS('📊 รายงานสินค้าคงเหลือ'!G:G,'📊 รายงานสินค้าคงเหลือ'!D:D,V30),"")</f>
        <v/>
      </c>
      <c r="X30" s="46"/>
      <c r="Y30" s="46"/>
      <c r="Z30" s="46"/>
    </row>
    <row r="31">
      <c r="A31" s="46"/>
      <c r="B31" s="16"/>
      <c r="C31" s="118"/>
      <c r="D31" s="126"/>
      <c r="E31" s="88"/>
      <c r="F31" s="118"/>
      <c r="G31" s="46"/>
      <c r="H31" s="46"/>
      <c r="I31" s="118"/>
      <c r="J31" s="46"/>
      <c r="K31" s="16" t="str">
        <f>IF(J31&lt;&gt;"",SUMIFS('💰 Transaction ขาย'!$F:$F,'💰 Transaction ขาย'!$K:$K,$J31,'💰 Transaction ขาย'!$J:$J,$B$1),"")</f>
        <v/>
      </c>
      <c r="L31" s="118"/>
      <c r="M31" s="46"/>
      <c r="N31" s="46"/>
      <c r="O31" s="46"/>
      <c r="P31" s="118"/>
      <c r="Q31" s="46"/>
      <c r="R31" s="46"/>
      <c r="S31" s="46"/>
      <c r="T31" s="46"/>
      <c r="U31" s="118"/>
      <c r="V31" s="46"/>
      <c r="W31" s="88" t="str">
        <f>IF(V31&lt;&gt;"",SUMIFS('📊 รายงานสินค้าคงเหลือ'!G:G,'📊 รายงานสินค้าคงเหลือ'!D:D,V31),"")</f>
        <v/>
      </c>
      <c r="X31" s="46"/>
      <c r="Y31" s="46"/>
      <c r="Z31" s="46"/>
    </row>
    <row r="32">
      <c r="A32" s="46"/>
      <c r="B32" s="16"/>
      <c r="C32" s="118"/>
      <c r="D32" s="126"/>
      <c r="E32" s="88"/>
      <c r="F32" s="118"/>
      <c r="G32" s="46"/>
      <c r="H32" s="46"/>
      <c r="I32" s="118"/>
      <c r="J32" s="46"/>
      <c r="K32" s="16" t="str">
        <f>IF(J32&lt;&gt;"",SUMIFS('💰 Transaction ขาย'!$F:$F,'💰 Transaction ขาย'!$K:$K,$J32,'💰 Transaction ขาย'!$J:$J,$B$1),"")</f>
        <v/>
      </c>
      <c r="L32" s="118"/>
      <c r="M32" s="46"/>
      <c r="N32" s="46"/>
      <c r="O32" s="46"/>
      <c r="P32" s="118"/>
      <c r="Q32" s="46"/>
      <c r="R32" s="46"/>
      <c r="S32" s="46"/>
      <c r="T32" s="46"/>
      <c r="U32" s="118"/>
      <c r="V32" s="46"/>
      <c r="W32" s="88" t="str">
        <f>IF(V32&lt;&gt;"",SUMIFS('📊 รายงานสินค้าคงเหลือ'!G:G,'📊 รายงานสินค้าคงเหลือ'!D:D,V32),"")</f>
        <v/>
      </c>
      <c r="X32" s="46"/>
      <c r="Y32" s="46"/>
      <c r="Z32" s="46"/>
    </row>
    <row r="33">
      <c r="A33" s="46"/>
      <c r="B33" s="16"/>
      <c r="C33" s="118"/>
      <c r="D33" s="126"/>
      <c r="E33" s="88"/>
      <c r="F33" s="118"/>
      <c r="G33" s="46"/>
      <c r="H33" s="46"/>
      <c r="I33" s="118"/>
      <c r="J33" s="46"/>
      <c r="K33" s="16" t="str">
        <f>IF(J33&lt;&gt;"",SUMIFS('💰 Transaction ขาย'!$F:$F,'💰 Transaction ขาย'!$K:$K,$J33,'💰 Transaction ขาย'!$J:$J,$B$1),"")</f>
        <v/>
      </c>
      <c r="L33" s="118"/>
      <c r="M33" s="46"/>
      <c r="N33" s="46"/>
      <c r="O33" s="46"/>
      <c r="P33" s="118"/>
      <c r="Q33" s="46"/>
      <c r="R33" s="46"/>
      <c r="S33" s="46"/>
      <c r="T33" s="46"/>
      <c r="U33" s="118"/>
      <c r="V33" s="46"/>
      <c r="W33" s="88" t="str">
        <f>IF(V33&lt;&gt;"",SUMIFS('📊 รายงานสินค้าคงเหลือ'!G:G,'📊 รายงานสินค้าคงเหลือ'!D:D,V33),"")</f>
        <v/>
      </c>
      <c r="X33" s="46"/>
      <c r="Y33" s="46"/>
      <c r="Z33" s="46"/>
    </row>
    <row r="34">
      <c r="A34" s="46"/>
      <c r="B34" s="16"/>
      <c r="C34" s="118"/>
      <c r="D34" s="126"/>
      <c r="E34" s="88"/>
      <c r="F34" s="118"/>
      <c r="G34" s="46"/>
      <c r="H34" s="46"/>
      <c r="I34" s="118"/>
      <c r="J34" s="46"/>
      <c r="K34" s="16" t="str">
        <f>IF(J34&lt;&gt;"",SUMIFS('💰 Transaction ขาย'!$F:$F,'💰 Transaction ขาย'!$K:$K,$J34,'💰 Transaction ขาย'!$J:$J,$B$1),"")</f>
        <v/>
      </c>
      <c r="L34" s="118"/>
      <c r="M34" s="46"/>
      <c r="N34" s="46"/>
      <c r="O34" s="46"/>
      <c r="P34" s="118"/>
      <c r="Q34" s="46"/>
      <c r="R34" s="46"/>
      <c r="S34" s="46"/>
      <c r="T34" s="46"/>
      <c r="U34" s="118"/>
      <c r="V34" s="46"/>
      <c r="W34" s="88" t="str">
        <f>IF(V34&lt;&gt;"",SUMIFS('📊 รายงานสินค้าคงเหลือ'!G:G,'📊 รายงานสินค้าคงเหลือ'!D:D,V34),"")</f>
        <v/>
      </c>
      <c r="X34" s="46"/>
      <c r="Y34" s="46"/>
      <c r="Z34" s="46"/>
    </row>
    <row r="35">
      <c r="A35" s="46"/>
      <c r="B35" s="16"/>
      <c r="C35" s="118"/>
      <c r="D35" s="126"/>
      <c r="E35" s="88"/>
      <c r="F35" s="118"/>
      <c r="G35" s="46"/>
      <c r="H35" s="46"/>
      <c r="I35" s="118"/>
      <c r="J35" s="46"/>
      <c r="K35" s="16" t="str">
        <f>IF(J35&lt;&gt;"",SUMIFS('💰 Transaction ขาย'!$F:$F,'💰 Transaction ขาย'!$K:$K,$J35,'💰 Transaction ขาย'!$J:$J,$B$1),"")</f>
        <v/>
      </c>
      <c r="L35" s="118"/>
      <c r="M35" s="46"/>
      <c r="N35" s="46"/>
      <c r="O35" s="46"/>
      <c r="P35" s="118"/>
      <c r="Q35" s="46"/>
      <c r="R35" s="46"/>
      <c r="S35" s="46"/>
      <c r="T35" s="46"/>
      <c r="U35" s="118"/>
      <c r="V35" s="46"/>
      <c r="W35" s="88" t="str">
        <f>IF(V35&lt;&gt;"",SUMIFS('📊 รายงานสินค้าคงเหลือ'!G:G,'📊 รายงานสินค้าคงเหลือ'!D:D,V35),"")</f>
        <v/>
      </c>
      <c r="X35" s="46"/>
      <c r="Y35" s="46"/>
      <c r="Z35" s="46"/>
    </row>
    <row r="36">
      <c r="A36" s="46"/>
      <c r="B36" s="16"/>
      <c r="C36" s="118"/>
      <c r="D36" s="126"/>
      <c r="E36" s="88"/>
      <c r="F36" s="118"/>
      <c r="G36" s="46"/>
      <c r="H36" s="46"/>
      <c r="I36" s="118"/>
      <c r="J36" s="46"/>
      <c r="K36" s="16" t="str">
        <f>IF(J36&lt;&gt;"",SUMIFS('💰 Transaction ขาย'!$F:$F,'💰 Transaction ขาย'!$K:$K,$J36,'💰 Transaction ขาย'!$J:$J,$B$1),"")</f>
        <v/>
      </c>
      <c r="L36" s="118"/>
      <c r="M36" s="46"/>
      <c r="N36" s="46"/>
      <c r="O36" s="46"/>
      <c r="P36" s="118"/>
      <c r="Q36" s="46"/>
      <c r="R36" s="46"/>
      <c r="S36" s="46"/>
      <c r="T36" s="46"/>
      <c r="U36" s="118"/>
      <c r="V36" s="46"/>
      <c r="W36" s="88" t="str">
        <f>IF(V36&lt;&gt;"",SUMIFS('📊 รายงานสินค้าคงเหลือ'!G:G,'📊 รายงานสินค้าคงเหลือ'!D:D,V36),"")</f>
        <v/>
      </c>
      <c r="X36" s="46"/>
      <c r="Y36" s="46"/>
      <c r="Z36" s="46"/>
    </row>
    <row r="37">
      <c r="A37" s="46"/>
      <c r="B37" s="16"/>
      <c r="C37" s="118"/>
      <c r="D37" s="126"/>
      <c r="E37" s="88"/>
      <c r="F37" s="118"/>
      <c r="G37" s="46"/>
      <c r="H37" s="46"/>
      <c r="I37" s="118"/>
      <c r="J37" s="46"/>
      <c r="K37" s="16" t="str">
        <f>IF(J37&lt;&gt;"",SUMIFS('💰 Transaction ขาย'!$F:$F,'💰 Transaction ขาย'!$K:$K,$J37,'💰 Transaction ขาย'!$J:$J,$B$1),"")</f>
        <v/>
      </c>
      <c r="L37" s="118"/>
      <c r="M37" s="46"/>
      <c r="N37" s="46"/>
      <c r="O37" s="46"/>
      <c r="P37" s="118"/>
      <c r="Q37" s="46"/>
      <c r="R37" s="46"/>
      <c r="S37" s="46"/>
      <c r="T37" s="46"/>
      <c r="U37" s="118"/>
      <c r="V37" s="46"/>
      <c r="W37" s="88" t="str">
        <f>IF(V37&lt;&gt;"",SUMIFS('📊 รายงานสินค้าคงเหลือ'!G:G,'📊 รายงานสินค้าคงเหลือ'!D:D,V37),"")</f>
        <v/>
      </c>
      <c r="X37" s="46"/>
      <c r="Y37" s="46"/>
      <c r="Z37" s="46"/>
    </row>
    <row r="38">
      <c r="A38" s="46"/>
      <c r="B38" s="16"/>
      <c r="C38" s="118"/>
      <c r="D38" s="126"/>
      <c r="E38" s="88"/>
      <c r="F38" s="118"/>
      <c r="G38" s="46"/>
      <c r="H38" s="46"/>
      <c r="I38" s="118"/>
      <c r="J38" s="46"/>
      <c r="K38" s="16" t="str">
        <f>IF(J38&lt;&gt;"",SUMIFS('💰 Transaction ขาย'!$F:$F,'💰 Transaction ขาย'!$K:$K,$J38,'💰 Transaction ขาย'!$J:$J,$B$1),"")</f>
        <v/>
      </c>
      <c r="L38" s="118"/>
      <c r="M38" s="46"/>
      <c r="N38" s="46"/>
      <c r="O38" s="46"/>
      <c r="P38" s="118"/>
      <c r="Q38" s="46"/>
      <c r="R38" s="46"/>
      <c r="S38" s="46"/>
      <c r="T38" s="46"/>
      <c r="U38" s="118"/>
      <c r="V38" s="46"/>
      <c r="W38" s="88" t="str">
        <f>IF(V38&lt;&gt;"",SUMIFS('📊 รายงานสินค้าคงเหลือ'!G:G,'📊 รายงานสินค้าคงเหลือ'!D:D,V38),"")</f>
        <v/>
      </c>
      <c r="X38" s="46"/>
      <c r="Y38" s="46"/>
      <c r="Z38" s="46"/>
    </row>
    <row r="39">
      <c r="A39" s="46"/>
      <c r="B39" s="16"/>
      <c r="C39" s="118"/>
      <c r="D39" s="126"/>
      <c r="E39" s="88"/>
      <c r="F39" s="118"/>
      <c r="G39" s="46"/>
      <c r="H39" s="46"/>
      <c r="I39" s="118"/>
      <c r="J39" s="46"/>
      <c r="K39" s="16" t="str">
        <f>IF(J39&lt;&gt;"",SUMIFS('💰 Transaction ขาย'!$F:$F,'💰 Transaction ขาย'!$K:$K,$J39,'💰 Transaction ขาย'!$J:$J,$B$1),"")</f>
        <v/>
      </c>
      <c r="L39" s="118"/>
      <c r="M39" s="46"/>
      <c r="N39" s="46"/>
      <c r="O39" s="46"/>
      <c r="P39" s="118"/>
      <c r="Q39" s="46"/>
      <c r="R39" s="46"/>
      <c r="S39" s="46"/>
      <c r="T39" s="46"/>
      <c r="U39" s="118"/>
      <c r="V39" s="46"/>
      <c r="W39" s="88" t="str">
        <f>IF(V39&lt;&gt;"",SUMIFS('📊 รายงานสินค้าคงเหลือ'!G:G,'📊 รายงานสินค้าคงเหลือ'!D:D,V39),"")</f>
        <v/>
      </c>
      <c r="X39" s="46"/>
      <c r="Y39" s="46"/>
      <c r="Z39" s="46"/>
    </row>
    <row r="40">
      <c r="A40" s="46"/>
      <c r="B40" s="16"/>
      <c r="C40" s="118"/>
      <c r="D40" s="126"/>
      <c r="E40" s="88"/>
      <c r="F40" s="118"/>
      <c r="G40" s="46"/>
      <c r="H40" s="46"/>
      <c r="I40" s="118"/>
      <c r="J40" s="46"/>
      <c r="K40" s="16" t="str">
        <f>IF(J40&lt;&gt;"",SUMIFS('💰 Transaction ขาย'!$F:$F,'💰 Transaction ขาย'!$K:$K,$J40,'💰 Transaction ขาย'!$J:$J,$B$1),"")</f>
        <v/>
      </c>
      <c r="L40" s="118"/>
      <c r="M40" s="46"/>
      <c r="N40" s="46"/>
      <c r="O40" s="46"/>
      <c r="P40" s="118"/>
      <c r="Q40" s="46"/>
      <c r="R40" s="46"/>
      <c r="S40" s="46"/>
      <c r="T40" s="46"/>
      <c r="U40" s="118"/>
      <c r="V40" s="46"/>
      <c r="W40" s="88" t="str">
        <f>IF(V40&lt;&gt;"",SUMIFS('📊 รายงานสินค้าคงเหลือ'!G:G,'📊 รายงานสินค้าคงเหลือ'!D:D,V40),"")</f>
        <v/>
      </c>
      <c r="X40" s="46"/>
      <c r="Y40" s="46"/>
      <c r="Z40" s="46"/>
    </row>
    <row r="41">
      <c r="A41" s="46"/>
      <c r="B41" s="16"/>
      <c r="C41" s="118"/>
      <c r="D41" s="126"/>
      <c r="E41" s="88"/>
      <c r="F41" s="118"/>
      <c r="G41" s="46"/>
      <c r="H41" s="46"/>
      <c r="I41" s="118"/>
      <c r="J41" s="46"/>
      <c r="K41" s="16" t="str">
        <f>IF(J41&lt;&gt;"",SUMIFS('💰 Transaction ขาย'!$F:$F,'💰 Transaction ขาย'!$K:$K,$J41,'💰 Transaction ขาย'!$J:$J,$B$1),"")</f>
        <v/>
      </c>
      <c r="L41" s="118"/>
      <c r="M41" s="46"/>
      <c r="N41" s="46"/>
      <c r="O41" s="46"/>
      <c r="P41" s="118"/>
      <c r="Q41" s="46"/>
      <c r="R41" s="46"/>
      <c r="S41" s="46"/>
      <c r="T41" s="46"/>
      <c r="U41" s="118"/>
      <c r="V41" s="46"/>
      <c r="W41" s="88" t="str">
        <f>IF(V41&lt;&gt;"",SUMIFS('📊 รายงานสินค้าคงเหลือ'!G:G,'📊 รายงานสินค้าคงเหลือ'!D:D,V41),"")</f>
        <v/>
      </c>
      <c r="X41" s="46"/>
      <c r="Y41" s="46"/>
      <c r="Z41" s="46"/>
    </row>
    <row r="42">
      <c r="A42" s="46"/>
      <c r="B42" s="16"/>
      <c r="C42" s="118"/>
      <c r="D42" s="126"/>
      <c r="E42" s="88"/>
      <c r="F42" s="118"/>
      <c r="G42" s="46"/>
      <c r="H42" s="46"/>
      <c r="I42" s="118"/>
      <c r="J42" s="46"/>
      <c r="K42" s="16" t="str">
        <f>IF(J42&lt;&gt;"",SUMIFS('💰 Transaction ขาย'!$F:$F,'💰 Transaction ขาย'!$K:$K,$J42,'💰 Transaction ขาย'!$J:$J,$B$1),"")</f>
        <v/>
      </c>
      <c r="L42" s="118"/>
      <c r="M42" s="46"/>
      <c r="N42" s="46"/>
      <c r="O42" s="46"/>
      <c r="P42" s="118"/>
      <c r="Q42" s="46"/>
      <c r="R42" s="46"/>
      <c r="S42" s="46"/>
      <c r="T42" s="46"/>
      <c r="U42" s="118"/>
      <c r="V42" s="46"/>
      <c r="W42" s="88" t="str">
        <f>IF(V42&lt;&gt;"",SUMIFS('📊 รายงานสินค้าคงเหลือ'!G:G,'📊 รายงานสินค้าคงเหลือ'!D:D,V42),"")</f>
        <v/>
      </c>
      <c r="X42" s="46"/>
      <c r="Y42" s="46"/>
      <c r="Z42" s="46"/>
    </row>
    <row r="43">
      <c r="A43" s="46"/>
      <c r="B43" s="16"/>
      <c r="C43" s="118"/>
      <c r="D43" s="126"/>
      <c r="E43" s="88"/>
      <c r="F43" s="118"/>
      <c r="G43" s="46"/>
      <c r="H43" s="46"/>
      <c r="I43" s="118"/>
      <c r="J43" s="46"/>
      <c r="K43" s="16" t="str">
        <f>IF(J43&lt;&gt;"",SUMIFS('💰 Transaction ขาย'!$F:$F,'💰 Transaction ขาย'!$K:$K,$J43,'💰 Transaction ขาย'!$J:$J,$B$1),"")</f>
        <v/>
      </c>
      <c r="L43" s="118"/>
      <c r="M43" s="46"/>
      <c r="N43" s="46"/>
      <c r="O43" s="46"/>
      <c r="P43" s="118"/>
      <c r="Q43" s="46"/>
      <c r="R43" s="46"/>
      <c r="S43" s="46"/>
      <c r="T43" s="46"/>
      <c r="U43" s="118"/>
      <c r="V43" s="46"/>
      <c r="W43" s="88" t="str">
        <f>IF(V43&lt;&gt;"",SUMIFS('📊 รายงานสินค้าคงเหลือ'!G:G,'📊 รายงานสินค้าคงเหลือ'!D:D,V43),"")</f>
        <v/>
      </c>
      <c r="X43" s="46"/>
      <c r="Y43" s="46"/>
      <c r="Z43" s="46"/>
    </row>
    <row r="44">
      <c r="A44" s="46"/>
      <c r="B44" s="16"/>
      <c r="C44" s="118"/>
      <c r="D44" s="126"/>
      <c r="E44" s="88"/>
      <c r="F44" s="118"/>
      <c r="G44" s="46"/>
      <c r="H44" s="46"/>
      <c r="I44" s="118"/>
      <c r="J44" s="46"/>
      <c r="K44" s="16" t="str">
        <f>IF(J44&lt;&gt;"",SUMIFS('💰 Transaction ขาย'!$F:$F,'💰 Transaction ขาย'!$K:$K,$J44,'💰 Transaction ขาย'!$J:$J,$B$1),"")</f>
        <v/>
      </c>
      <c r="L44" s="118"/>
      <c r="M44" s="46"/>
      <c r="N44" s="46"/>
      <c r="O44" s="46"/>
      <c r="P44" s="118"/>
      <c r="Q44" s="46"/>
      <c r="R44" s="46"/>
      <c r="S44" s="46"/>
      <c r="T44" s="46"/>
      <c r="U44" s="118"/>
      <c r="V44" s="46"/>
      <c r="W44" s="88" t="str">
        <f>IF(V44&lt;&gt;"",SUMIFS('📊 รายงานสินค้าคงเหลือ'!G:G,'📊 รายงานสินค้าคงเหลือ'!D:D,V44),"")</f>
        <v/>
      </c>
      <c r="X44" s="46"/>
      <c r="Y44" s="46"/>
      <c r="Z44" s="46"/>
    </row>
    <row r="45">
      <c r="A45" s="46"/>
      <c r="B45" s="16"/>
      <c r="C45" s="118"/>
      <c r="D45" s="126"/>
      <c r="E45" s="88"/>
      <c r="F45" s="118"/>
      <c r="G45" s="46"/>
      <c r="H45" s="46"/>
      <c r="I45" s="118"/>
      <c r="J45" s="46"/>
      <c r="K45" s="16" t="str">
        <f>IF(J45&lt;&gt;"",SUMIFS('💰 Transaction ขาย'!$F:$F,'💰 Transaction ขาย'!$K:$K,$J45,'💰 Transaction ขาย'!$J:$J,$B$1),"")</f>
        <v/>
      </c>
      <c r="L45" s="118"/>
      <c r="M45" s="46"/>
      <c r="N45" s="46"/>
      <c r="O45" s="46"/>
      <c r="P45" s="118"/>
      <c r="Q45" s="46"/>
      <c r="R45" s="46"/>
      <c r="S45" s="46"/>
      <c r="T45" s="46"/>
      <c r="U45" s="118"/>
      <c r="V45" s="46"/>
      <c r="W45" s="88" t="str">
        <f>IF(V45&lt;&gt;"",SUMIFS('📊 รายงานสินค้าคงเหลือ'!G:G,'📊 รายงานสินค้าคงเหลือ'!D:D,V45),"")</f>
        <v/>
      </c>
      <c r="X45" s="46"/>
      <c r="Y45" s="46"/>
      <c r="Z45" s="46"/>
    </row>
    <row r="46">
      <c r="A46" s="46"/>
      <c r="B46" s="16"/>
      <c r="C46" s="118"/>
      <c r="D46" s="126"/>
      <c r="E46" s="88"/>
      <c r="F46" s="118"/>
      <c r="G46" s="46"/>
      <c r="H46" s="46"/>
      <c r="I46" s="118"/>
      <c r="J46" s="46"/>
      <c r="K46" s="16" t="str">
        <f>IF(J46&lt;&gt;"",SUMIFS('💰 Transaction ขาย'!$F:$F,'💰 Transaction ขาย'!$K:$K,$J46,'💰 Transaction ขาย'!$J:$J,$B$1),"")</f>
        <v/>
      </c>
      <c r="L46" s="118"/>
      <c r="M46" s="46"/>
      <c r="N46" s="46"/>
      <c r="O46" s="46"/>
      <c r="P46" s="118"/>
      <c r="Q46" s="46"/>
      <c r="R46" s="46"/>
      <c r="S46" s="46"/>
      <c r="T46" s="46"/>
      <c r="U46" s="118"/>
      <c r="V46" s="46"/>
      <c r="W46" s="88" t="str">
        <f>IF(V46&lt;&gt;"",SUMIFS('📊 รายงานสินค้าคงเหลือ'!G:G,'📊 รายงานสินค้าคงเหลือ'!D:D,V46),"")</f>
        <v/>
      </c>
      <c r="X46" s="46"/>
      <c r="Y46" s="46"/>
      <c r="Z46" s="46"/>
    </row>
    <row r="47">
      <c r="A47" s="46"/>
      <c r="B47" s="16"/>
      <c r="C47" s="118"/>
      <c r="D47" s="126"/>
      <c r="E47" s="88"/>
      <c r="F47" s="118"/>
      <c r="G47" s="46"/>
      <c r="H47" s="46"/>
      <c r="I47" s="118"/>
      <c r="J47" s="46"/>
      <c r="K47" s="16" t="str">
        <f>IF(J47&lt;&gt;"",SUMIFS('💰 Transaction ขาย'!$F:$F,'💰 Transaction ขาย'!$K:$K,$J47,'💰 Transaction ขาย'!$J:$J,$B$1),"")</f>
        <v/>
      </c>
      <c r="L47" s="118"/>
      <c r="M47" s="46"/>
      <c r="N47" s="46"/>
      <c r="O47" s="46"/>
      <c r="P47" s="118"/>
      <c r="Q47" s="46"/>
      <c r="R47" s="46"/>
      <c r="S47" s="46"/>
      <c r="T47" s="46"/>
      <c r="U47" s="118"/>
      <c r="V47" s="46"/>
      <c r="W47" s="88" t="str">
        <f>IF(V47&lt;&gt;"",SUMIFS('📊 รายงานสินค้าคงเหลือ'!G:G,'📊 รายงานสินค้าคงเหลือ'!D:D,V47),"")</f>
        <v/>
      </c>
      <c r="X47" s="46"/>
      <c r="Y47" s="46"/>
      <c r="Z47" s="46"/>
    </row>
    <row r="48">
      <c r="A48" s="46"/>
      <c r="B48" s="16"/>
      <c r="C48" s="118"/>
      <c r="D48" s="126"/>
      <c r="E48" s="88"/>
      <c r="F48" s="118"/>
      <c r="G48" s="46"/>
      <c r="H48" s="46"/>
      <c r="I48" s="118"/>
      <c r="J48" s="46"/>
      <c r="K48" s="16" t="str">
        <f>IF(J48&lt;&gt;"",SUMIFS('💰 Transaction ขาย'!$F:$F,'💰 Transaction ขาย'!$K:$K,$J48,'💰 Transaction ขาย'!$J:$J,$B$1),"")</f>
        <v/>
      </c>
      <c r="L48" s="118"/>
      <c r="M48" s="46"/>
      <c r="N48" s="46"/>
      <c r="O48" s="46"/>
      <c r="P48" s="118"/>
      <c r="Q48" s="46"/>
      <c r="R48" s="46"/>
      <c r="S48" s="46"/>
      <c r="T48" s="46"/>
      <c r="U48" s="118"/>
      <c r="V48" s="46"/>
      <c r="W48" s="88" t="str">
        <f>IF(V48&lt;&gt;"",SUMIFS('📊 รายงานสินค้าคงเหลือ'!G:G,'📊 รายงานสินค้าคงเหลือ'!D:D,V48),"")</f>
        <v/>
      </c>
      <c r="X48" s="46"/>
      <c r="Y48" s="46"/>
      <c r="Z48" s="46"/>
    </row>
    <row r="49">
      <c r="A49" s="46"/>
      <c r="B49" s="16"/>
      <c r="C49" s="118"/>
      <c r="D49" s="126"/>
      <c r="E49" s="88"/>
      <c r="F49" s="118"/>
      <c r="G49" s="46"/>
      <c r="H49" s="46"/>
      <c r="I49" s="118"/>
      <c r="J49" s="46"/>
      <c r="K49" s="16" t="str">
        <f>IF(J49&lt;&gt;"",SUMIFS('💰 Transaction ขาย'!$F:$F,'💰 Transaction ขาย'!$K:$K,$J49,'💰 Transaction ขาย'!$J:$J,$B$1),"")</f>
        <v/>
      </c>
      <c r="L49" s="118"/>
      <c r="M49" s="46"/>
      <c r="N49" s="46"/>
      <c r="O49" s="46"/>
      <c r="P49" s="118"/>
      <c r="Q49" s="46"/>
      <c r="R49" s="46"/>
      <c r="S49" s="46"/>
      <c r="T49" s="46"/>
      <c r="U49" s="118"/>
      <c r="V49" s="46"/>
      <c r="W49" s="88" t="str">
        <f>IF(V49&lt;&gt;"",SUMIFS('📊 รายงานสินค้าคงเหลือ'!G:G,'📊 รายงานสินค้าคงเหลือ'!D:D,V49),"")</f>
        <v/>
      </c>
      <c r="X49" s="46"/>
      <c r="Y49" s="46"/>
      <c r="Z49" s="46"/>
    </row>
    <row r="50">
      <c r="A50" s="46"/>
      <c r="B50" s="16"/>
      <c r="C50" s="118"/>
      <c r="D50" s="126"/>
      <c r="E50" s="88"/>
      <c r="F50" s="118"/>
      <c r="G50" s="46"/>
      <c r="H50" s="46"/>
      <c r="I50" s="118"/>
      <c r="J50" s="46"/>
      <c r="K50" s="16" t="str">
        <f>IF(J50&lt;&gt;"",SUMIFS('💰 Transaction ขาย'!$F:$F,'💰 Transaction ขาย'!$K:$K,$J50,'💰 Transaction ขาย'!$J:$J,$B$1),"")</f>
        <v/>
      </c>
      <c r="L50" s="118"/>
      <c r="M50" s="46"/>
      <c r="N50" s="46"/>
      <c r="O50" s="46"/>
      <c r="P50" s="118"/>
      <c r="Q50" s="46"/>
      <c r="R50" s="46"/>
      <c r="S50" s="46"/>
      <c r="T50" s="46"/>
      <c r="U50" s="118"/>
      <c r="V50" s="46"/>
      <c r="W50" s="88" t="str">
        <f>IF(V50&lt;&gt;"",SUMIFS('📊 รายงานสินค้าคงเหลือ'!G:G,'📊 รายงานสินค้าคงเหลือ'!D:D,V50),"")</f>
        <v/>
      </c>
      <c r="X50" s="46"/>
      <c r="Y50" s="46"/>
      <c r="Z50" s="46"/>
    </row>
    <row r="51">
      <c r="A51" s="46"/>
      <c r="B51" s="16"/>
      <c r="C51" s="118"/>
      <c r="D51" s="126"/>
      <c r="E51" s="88"/>
      <c r="F51" s="118"/>
      <c r="G51" s="46"/>
      <c r="H51" s="46"/>
      <c r="I51" s="118"/>
      <c r="J51" s="46"/>
      <c r="K51" s="16" t="str">
        <f>IF(J51&lt;&gt;"",SUMIFS('💰 Transaction ขาย'!$F:$F,'💰 Transaction ขาย'!$K:$K,$J51,'💰 Transaction ขาย'!$J:$J,$B$1),"")</f>
        <v/>
      </c>
      <c r="L51" s="118"/>
      <c r="M51" s="46"/>
      <c r="N51" s="46"/>
      <c r="O51" s="46"/>
      <c r="P51" s="118"/>
      <c r="Q51" s="46"/>
      <c r="R51" s="46"/>
      <c r="S51" s="46"/>
      <c r="T51" s="46"/>
      <c r="U51" s="118"/>
      <c r="V51" s="46"/>
      <c r="W51" s="88" t="str">
        <f>IF(V51&lt;&gt;"",SUMIFS('📊 รายงานสินค้าคงเหลือ'!G:G,'📊 รายงานสินค้าคงเหลือ'!D:D,V51),"")</f>
        <v/>
      </c>
      <c r="X51" s="46"/>
      <c r="Y51" s="46"/>
      <c r="Z51" s="46"/>
    </row>
    <row r="52">
      <c r="A52" s="46"/>
      <c r="B52" s="16"/>
      <c r="C52" s="118"/>
      <c r="D52" s="126"/>
      <c r="E52" s="88"/>
      <c r="F52" s="118"/>
      <c r="G52" s="46"/>
      <c r="H52" s="46"/>
      <c r="I52" s="118"/>
      <c r="J52" s="46"/>
      <c r="K52" s="16" t="str">
        <f>IF(J52&lt;&gt;"",SUMIFS('💰 Transaction ขาย'!$F:$F,'💰 Transaction ขาย'!$K:$K,$J52,'💰 Transaction ขาย'!$J:$J,$B$1),"")</f>
        <v/>
      </c>
      <c r="L52" s="118"/>
      <c r="M52" s="46"/>
      <c r="N52" s="46"/>
      <c r="O52" s="46"/>
      <c r="P52" s="118"/>
      <c r="Q52" s="46"/>
      <c r="R52" s="46"/>
      <c r="S52" s="46"/>
      <c r="T52" s="46"/>
      <c r="U52" s="118"/>
      <c r="V52" s="46"/>
      <c r="W52" s="88" t="str">
        <f>IF(V52&lt;&gt;"",SUMIFS('📊 รายงานสินค้าคงเหลือ'!G:G,'📊 รายงานสินค้าคงเหลือ'!D:D,V52),"")</f>
        <v/>
      </c>
      <c r="X52" s="46"/>
      <c r="Y52" s="46"/>
      <c r="Z52" s="46"/>
    </row>
    <row r="53">
      <c r="A53" s="46"/>
      <c r="B53" s="16"/>
      <c r="C53" s="118"/>
      <c r="D53" s="126"/>
      <c r="E53" s="88"/>
      <c r="F53" s="118"/>
      <c r="G53" s="46"/>
      <c r="H53" s="46"/>
      <c r="I53" s="118"/>
      <c r="J53" s="46"/>
      <c r="K53" s="16" t="str">
        <f>IF(J53&lt;&gt;"",SUMIFS('💰 Transaction ขาย'!$F:$F,'💰 Transaction ขาย'!$K:$K,$J53,'💰 Transaction ขาย'!$J:$J,$B$1),"")</f>
        <v/>
      </c>
      <c r="L53" s="118"/>
      <c r="M53" s="46"/>
      <c r="N53" s="46"/>
      <c r="O53" s="46"/>
      <c r="P53" s="118"/>
      <c r="Q53" s="46"/>
      <c r="R53" s="46"/>
      <c r="S53" s="46"/>
      <c r="T53" s="46"/>
      <c r="U53" s="118"/>
      <c r="V53" s="46"/>
      <c r="W53" s="88" t="str">
        <f>IF(V53&lt;&gt;"",SUMIFS('📊 รายงานสินค้าคงเหลือ'!G:G,'📊 รายงานสินค้าคงเหลือ'!D:D,V53),"")</f>
        <v/>
      </c>
      <c r="X53" s="46"/>
      <c r="Y53" s="46"/>
      <c r="Z53" s="46"/>
    </row>
    <row r="54">
      <c r="A54" s="46"/>
      <c r="B54" s="16"/>
      <c r="C54" s="118"/>
      <c r="D54" s="126"/>
      <c r="E54" s="88"/>
      <c r="F54" s="118"/>
      <c r="G54" s="46"/>
      <c r="H54" s="46"/>
      <c r="I54" s="118"/>
      <c r="J54" s="46"/>
      <c r="K54" s="16" t="str">
        <f>IF(J54&lt;&gt;"",SUMIFS('💰 Transaction ขาย'!$F:$F,'💰 Transaction ขาย'!$K:$K,$J54,'💰 Transaction ขาย'!$J:$J,$B$1),"")</f>
        <v/>
      </c>
      <c r="L54" s="118"/>
      <c r="M54" s="46"/>
      <c r="N54" s="46"/>
      <c r="O54" s="46"/>
      <c r="P54" s="118"/>
      <c r="Q54" s="46"/>
      <c r="R54" s="46"/>
      <c r="S54" s="46"/>
      <c r="T54" s="46"/>
      <c r="U54" s="118"/>
      <c r="V54" s="46"/>
      <c r="W54" s="88" t="str">
        <f>IF(V54&lt;&gt;"",SUMIFS('📊 รายงานสินค้าคงเหลือ'!G:G,'📊 รายงานสินค้าคงเหลือ'!D:D,V54),"")</f>
        <v/>
      </c>
      <c r="X54" s="46"/>
      <c r="Y54" s="46"/>
      <c r="Z54" s="46"/>
    </row>
    <row r="55">
      <c r="A55" s="46"/>
      <c r="B55" s="16"/>
      <c r="C55" s="118"/>
      <c r="D55" s="126"/>
      <c r="E55" s="88"/>
      <c r="F55" s="118"/>
      <c r="G55" s="46"/>
      <c r="H55" s="46"/>
      <c r="I55" s="118"/>
      <c r="J55" s="46"/>
      <c r="K55" s="16" t="str">
        <f>IF(J55&lt;&gt;"",SUMIFS('💰 Transaction ขาย'!$F:$F,'💰 Transaction ขาย'!$K:$K,$J55,'💰 Transaction ขาย'!$J:$J,$B$1),"")</f>
        <v/>
      </c>
      <c r="L55" s="118"/>
      <c r="M55" s="46"/>
      <c r="N55" s="46"/>
      <c r="O55" s="46"/>
      <c r="P55" s="118"/>
      <c r="Q55" s="46"/>
      <c r="R55" s="46"/>
      <c r="S55" s="46"/>
      <c r="T55" s="46"/>
      <c r="U55" s="118"/>
      <c r="V55" s="46"/>
      <c r="W55" s="88" t="str">
        <f>IF(V55&lt;&gt;"",SUMIFS('📊 รายงานสินค้าคงเหลือ'!G:G,'📊 รายงานสินค้าคงเหลือ'!D:D,V55),"")</f>
        <v/>
      </c>
      <c r="X55" s="46"/>
      <c r="Y55" s="46"/>
      <c r="Z55" s="46"/>
    </row>
    <row r="56">
      <c r="A56" s="46"/>
      <c r="B56" s="16"/>
      <c r="C56" s="118"/>
      <c r="D56" s="126"/>
      <c r="E56" s="88"/>
      <c r="F56" s="118"/>
      <c r="G56" s="46"/>
      <c r="H56" s="46"/>
      <c r="I56" s="118"/>
      <c r="J56" s="46"/>
      <c r="K56" s="16" t="str">
        <f>IF(J56&lt;&gt;"",SUMIFS('💰 Transaction ขาย'!$F:$F,'💰 Transaction ขาย'!$K:$K,$J56,'💰 Transaction ขาย'!$J:$J,$B$1),"")</f>
        <v/>
      </c>
      <c r="L56" s="118"/>
      <c r="M56" s="46"/>
      <c r="N56" s="46"/>
      <c r="O56" s="46"/>
      <c r="P56" s="118"/>
      <c r="Q56" s="46"/>
      <c r="R56" s="46"/>
      <c r="S56" s="46"/>
      <c r="T56" s="46"/>
      <c r="U56" s="118"/>
      <c r="V56" s="46"/>
      <c r="W56" s="88" t="str">
        <f>IF(V56&lt;&gt;"",SUMIFS('📊 รายงานสินค้าคงเหลือ'!G:G,'📊 รายงานสินค้าคงเหลือ'!D:D,V56),"")</f>
        <v/>
      </c>
      <c r="X56" s="46"/>
      <c r="Y56" s="46"/>
      <c r="Z56" s="46"/>
    </row>
    <row r="57">
      <c r="A57" s="46"/>
      <c r="B57" s="16"/>
      <c r="C57" s="118"/>
      <c r="D57" s="126"/>
      <c r="E57" s="88"/>
      <c r="F57" s="118"/>
      <c r="G57" s="46"/>
      <c r="H57" s="46"/>
      <c r="I57" s="118"/>
      <c r="J57" s="46"/>
      <c r="K57" s="16" t="str">
        <f>IF(J57&lt;&gt;"",SUMIFS('💰 Transaction ขาย'!$F:$F,'💰 Transaction ขาย'!$K:$K,$J57,'💰 Transaction ขาย'!$J:$J,$B$1),"")</f>
        <v/>
      </c>
      <c r="L57" s="118"/>
      <c r="M57" s="46"/>
      <c r="N57" s="46"/>
      <c r="O57" s="46"/>
      <c r="P57" s="118"/>
      <c r="Q57" s="46"/>
      <c r="R57" s="46"/>
      <c r="S57" s="46"/>
      <c r="T57" s="46"/>
      <c r="U57" s="118"/>
      <c r="V57" s="46"/>
      <c r="W57" s="88" t="str">
        <f>IF(V57&lt;&gt;"",SUMIFS('📊 รายงานสินค้าคงเหลือ'!G:G,'📊 รายงานสินค้าคงเหลือ'!D:D,V57),"")</f>
        <v/>
      </c>
      <c r="X57" s="46"/>
      <c r="Y57" s="46"/>
      <c r="Z57" s="46"/>
    </row>
    <row r="58">
      <c r="A58" s="46"/>
      <c r="B58" s="16"/>
      <c r="C58" s="118"/>
      <c r="D58" s="126"/>
      <c r="E58" s="88"/>
      <c r="F58" s="118"/>
      <c r="G58" s="46"/>
      <c r="H58" s="46"/>
      <c r="I58" s="118"/>
      <c r="J58" s="46"/>
      <c r="K58" s="16" t="str">
        <f>IF(J58&lt;&gt;"",SUMIFS('💰 Transaction ขาย'!$F:$F,'💰 Transaction ขาย'!$K:$K,$J58,'💰 Transaction ขาย'!$J:$J,$B$1),"")</f>
        <v/>
      </c>
      <c r="L58" s="118"/>
      <c r="M58" s="46"/>
      <c r="N58" s="46"/>
      <c r="O58" s="46"/>
      <c r="P58" s="118"/>
      <c r="Q58" s="46"/>
      <c r="R58" s="46"/>
      <c r="S58" s="46"/>
      <c r="T58" s="46"/>
      <c r="U58" s="118"/>
      <c r="V58" s="46"/>
      <c r="W58" s="88" t="str">
        <f>IF(V58&lt;&gt;"",SUMIFS('📊 รายงานสินค้าคงเหลือ'!G:G,'📊 รายงานสินค้าคงเหลือ'!D:D,V58),"")</f>
        <v/>
      </c>
      <c r="X58" s="46"/>
      <c r="Y58" s="46"/>
      <c r="Z58" s="46"/>
    </row>
    <row r="59">
      <c r="A59" s="46"/>
      <c r="B59" s="16"/>
      <c r="C59" s="118"/>
      <c r="D59" s="126"/>
      <c r="E59" s="88"/>
      <c r="F59" s="118"/>
      <c r="G59" s="46"/>
      <c r="H59" s="46"/>
      <c r="I59" s="118"/>
      <c r="J59" s="46"/>
      <c r="K59" s="16" t="str">
        <f>IF(J59&lt;&gt;"",SUMIFS('💰 Transaction ขาย'!$F:$F,'💰 Transaction ขาย'!$K:$K,$J59,'💰 Transaction ขาย'!$J:$J,$B$1),"")</f>
        <v/>
      </c>
      <c r="L59" s="118"/>
      <c r="M59" s="46"/>
      <c r="N59" s="46"/>
      <c r="O59" s="46"/>
      <c r="P59" s="118"/>
      <c r="Q59" s="46"/>
      <c r="R59" s="46"/>
      <c r="S59" s="46"/>
      <c r="T59" s="46"/>
      <c r="U59" s="118"/>
      <c r="V59" s="46"/>
      <c r="W59" s="88" t="str">
        <f>IF(V59&lt;&gt;"",SUMIFS('📊 รายงานสินค้าคงเหลือ'!G:G,'📊 รายงานสินค้าคงเหลือ'!D:D,V59),"")</f>
        <v/>
      </c>
      <c r="X59" s="46"/>
      <c r="Y59" s="46"/>
      <c r="Z59" s="46"/>
    </row>
    <row r="60">
      <c r="A60" s="46"/>
      <c r="B60" s="16"/>
      <c r="C60" s="118"/>
      <c r="D60" s="126"/>
      <c r="E60" s="88"/>
      <c r="F60" s="118"/>
      <c r="G60" s="46"/>
      <c r="H60" s="46"/>
      <c r="I60" s="118"/>
      <c r="J60" s="46"/>
      <c r="K60" s="16" t="str">
        <f>IF(J60&lt;&gt;"",SUMIFS('💰 Transaction ขาย'!$F:$F,'💰 Transaction ขาย'!$K:$K,$J60,'💰 Transaction ขาย'!$J:$J,$B$1),"")</f>
        <v/>
      </c>
      <c r="L60" s="118"/>
      <c r="M60" s="46"/>
      <c r="N60" s="46"/>
      <c r="O60" s="46"/>
      <c r="P60" s="118"/>
      <c r="Q60" s="46"/>
      <c r="R60" s="46"/>
      <c r="S60" s="46"/>
      <c r="T60" s="46"/>
      <c r="U60" s="118"/>
      <c r="V60" s="46"/>
      <c r="W60" s="88" t="str">
        <f>IF(V60&lt;&gt;"",SUMIFS('📊 รายงานสินค้าคงเหลือ'!G:G,'📊 รายงานสินค้าคงเหลือ'!D:D,V60),"")</f>
        <v/>
      </c>
      <c r="X60" s="46"/>
      <c r="Y60" s="46"/>
      <c r="Z60" s="46"/>
    </row>
    <row r="61">
      <c r="A61" s="46"/>
      <c r="B61" s="16"/>
      <c r="C61" s="118"/>
      <c r="D61" s="126"/>
      <c r="E61" s="88"/>
      <c r="F61" s="118"/>
      <c r="G61" s="46"/>
      <c r="H61" s="46"/>
      <c r="I61" s="118"/>
      <c r="J61" s="46"/>
      <c r="K61" s="16" t="str">
        <f>IF(J61&lt;&gt;"",SUMIFS('💰 Transaction ขาย'!$F:$F,'💰 Transaction ขาย'!$K:$K,$J61,'💰 Transaction ขาย'!$J:$J,$B$1),"")</f>
        <v/>
      </c>
      <c r="L61" s="118"/>
      <c r="M61" s="46"/>
      <c r="N61" s="46"/>
      <c r="O61" s="46"/>
      <c r="P61" s="118"/>
      <c r="Q61" s="46"/>
      <c r="R61" s="46"/>
      <c r="S61" s="46"/>
      <c r="T61" s="46"/>
      <c r="U61" s="118"/>
      <c r="V61" s="46"/>
      <c r="W61" s="88" t="str">
        <f>IF(V61&lt;&gt;"",SUMIFS('📊 รายงานสินค้าคงเหลือ'!G:G,'📊 รายงานสินค้าคงเหลือ'!D:D,V61),"")</f>
        <v/>
      </c>
      <c r="X61" s="46"/>
      <c r="Y61" s="46"/>
      <c r="Z61" s="46"/>
    </row>
    <row r="62">
      <c r="A62" s="46"/>
      <c r="B62" s="16"/>
      <c r="C62" s="118"/>
      <c r="D62" s="126"/>
      <c r="E62" s="88"/>
      <c r="F62" s="118"/>
      <c r="G62" s="46"/>
      <c r="H62" s="46"/>
      <c r="I62" s="118"/>
      <c r="J62" s="46"/>
      <c r="K62" s="16" t="str">
        <f>IF(J62&lt;&gt;"",SUMIFS('💰 Transaction ขาย'!$F:$F,'💰 Transaction ขาย'!$K:$K,$J62,'💰 Transaction ขาย'!$J:$J,$B$1),"")</f>
        <v/>
      </c>
      <c r="L62" s="118"/>
      <c r="M62" s="46"/>
      <c r="N62" s="46"/>
      <c r="O62" s="46"/>
      <c r="P62" s="118"/>
      <c r="Q62" s="46"/>
      <c r="R62" s="46"/>
      <c r="S62" s="46"/>
      <c r="T62" s="46"/>
      <c r="U62" s="118"/>
      <c r="V62" s="46"/>
      <c r="W62" s="88" t="str">
        <f>IF(V62&lt;&gt;"",SUMIFS('📊 รายงานสินค้าคงเหลือ'!G:G,'📊 รายงานสินค้าคงเหลือ'!D:D,V62),"")</f>
        <v/>
      </c>
      <c r="X62" s="46"/>
      <c r="Y62" s="46"/>
      <c r="Z62" s="46"/>
    </row>
    <row r="63">
      <c r="A63" s="46"/>
      <c r="B63" s="16"/>
      <c r="C63" s="118"/>
      <c r="D63" s="126"/>
      <c r="E63" s="88"/>
      <c r="F63" s="118"/>
      <c r="G63" s="46"/>
      <c r="H63" s="46"/>
      <c r="I63" s="118"/>
      <c r="J63" s="46"/>
      <c r="K63" s="16" t="str">
        <f>IF(J63&lt;&gt;"",SUMIFS('💰 Transaction ขาย'!$F:$F,'💰 Transaction ขาย'!$K:$K,$J63,'💰 Transaction ขาย'!$J:$J,$B$1),"")</f>
        <v/>
      </c>
      <c r="L63" s="118"/>
      <c r="M63" s="46"/>
      <c r="N63" s="46"/>
      <c r="O63" s="46"/>
      <c r="P63" s="118"/>
      <c r="Q63" s="46"/>
      <c r="R63" s="46"/>
      <c r="S63" s="46"/>
      <c r="T63" s="46"/>
      <c r="U63" s="118"/>
      <c r="V63" s="46"/>
      <c r="W63" s="88" t="str">
        <f>IF(V63&lt;&gt;"",SUMIFS('📊 รายงานสินค้าคงเหลือ'!G:G,'📊 รายงานสินค้าคงเหลือ'!D:D,V63),"")</f>
        <v/>
      </c>
      <c r="X63" s="46"/>
      <c r="Y63" s="46"/>
      <c r="Z63" s="46"/>
    </row>
    <row r="64">
      <c r="A64" s="46"/>
      <c r="B64" s="16"/>
      <c r="C64" s="118"/>
      <c r="D64" s="126"/>
      <c r="E64" s="88"/>
      <c r="F64" s="118"/>
      <c r="G64" s="46"/>
      <c r="H64" s="46"/>
      <c r="I64" s="118"/>
      <c r="J64" s="46"/>
      <c r="K64" s="16" t="str">
        <f>IF(J64&lt;&gt;"",SUMIFS('💰 Transaction ขาย'!$F:$F,'💰 Transaction ขาย'!$K:$K,$J64,'💰 Transaction ขาย'!$J:$J,$B$1),"")</f>
        <v/>
      </c>
      <c r="L64" s="118"/>
      <c r="M64" s="46"/>
      <c r="N64" s="46"/>
      <c r="O64" s="46"/>
      <c r="P64" s="118"/>
      <c r="Q64" s="46"/>
      <c r="R64" s="46"/>
      <c r="S64" s="46"/>
      <c r="T64" s="46"/>
      <c r="U64" s="118"/>
      <c r="V64" s="46"/>
      <c r="W64" s="88" t="str">
        <f>IF(V64&lt;&gt;"",SUMIFS('📊 รายงานสินค้าคงเหลือ'!G:G,'📊 รายงานสินค้าคงเหลือ'!D:D,V64),"")</f>
        <v/>
      </c>
      <c r="X64" s="46"/>
      <c r="Y64" s="46"/>
      <c r="Z64" s="46"/>
    </row>
    <row r="65">
      <c r="A65" s="46"/>
      <c r="B65" s="16"/>
      <c r="C65" s="118"/>
      <c r="D65" s="126"/>
      <c r="E65" s="88"/>
      <c r="F65" s="118"/>
      <c r="G65" s="46"/>
      <c r="H65" s="46"/>
      <c r="I65" s="118"/>
      <c r="J65" s="46"/>
      <c r="K65" s="16" t="str">
        <f>IF(J65&lt;&gt;"",SUMIFS('💰 Transaction ขาย'!$F:$F,'💰 Transaction ขาย'!$K:$K,$J65,'💰 Transaction ขาย'!$J:$J,$B$1),"")</f>
        <v/>
      </c>
      <c r="L65" s="118"/>
      <c r="M65" s="46"/>
      <c r="N65" s="46"/>
      <c r="O65" s="46"/>
      <c r="P65" s="118"/>
      <c r="Q65" s="46"/>
      <c r="R65" s="46"/>
      <c r="S65" s="46"/>
      <c r="T65" s="46"/>
      <c r="U65" s="118"/>
      <c r="V65" s="46"/>
      <c r="W65" s="88" t="str">
        <f>IF(V65&lt;&gt;"",SUMIFS('📊 รายงานสินค้าคงเหลือ'!G:G,'📊 รายงานสินค้าคงเหลือ'!D:D,V65),"")</f>
        <v/>
      </c>
      <c r="X65" s="46"/>
      <c r="Y65" s="46"/>
      <c r="Z65" s="46"/>
    </row>
    <row r="66">
      <c r="A66" s="46"/>
      <c r="B66" s="16"/>
      <c r="C66" s="118"/>
      <c r="D66" s="126"/>
      <c r="E66" s="88"/>
      <c r="F66" s="118"/>
      <c r="G66" s="46"/>
      <c r="H66" s="46"/>
      <c r="I66" s="118"/>
      <c r="J66" s="46"/>
      <c r="K66" s="16" t="str">
        <f>IF(J66&lt;&gt;"",SUMIFS('💰 Transaction ขาย'!$F:$F,'💰 Transaction ขาย'!$K:$K,$J66,'💰 Transaction ขาย'!$J:$J,$B$1),"")</f>
        <v/>
      </c>
      <c r="L66" s="118"/>
      <c r="M66" s="46"/>
      <c r="N66" s="46"/>
      <c r="O66" s="46"/>
      <c r="P66" s="118"/>
      <c r="Q66" s="46"/>
      <c r="R66" s="46"/>
      <c r="S66" s="46"/>
      <c r="T66" s="46"/>
      <c r="U66" s="118"/>
      <c r="V66" s="46"/>
      <c r="W66" s="88" t="str">
        <f>IF(V66&lt;&gt;"",SUMIFS('📊 รายงานสินค้าคงเหลือ'!G:G,'📊 รายงานสินค้าคงเหลือ'!D:D,V66),"")</f>
        <v/>
      </c>
      <c r="X66" s="46"/>
      <c r="Y66" s="46"/>
      <c r="Z66" s="46"/>
    </row>
    <row r="67">
      <c r="A67" s="46"/>
      <c r="B67" s="16"/>
      <c r="C67" s="118"/>
      <c r="D67" s="126"/>
      <c r="E67" s="88"/>
      <c r="F67" s="118"/>
      <c r="G67" s="46"/>
      <c r="H67" s="46"/>
      <c r="I67" s="118"/>
      <c r="J67" s="46"/>
      <c r="K67" s="16" t="str">
        <f>IF(J67&lt;&gt;"",SUMIFS('💰 Transaction ขาย'!$F:$F,'💰 Transaction ขาย'!$K:$K,$J67,'💰 Transaction ขาย'!$J:$J,$B$1),"")</f>
        <v/>
      </c>
      <c r="L67" s="118"/>
      <c r="M67" s="46"/>
      <c r="N67" s="46"/>
      <c r="O67" s="46"/>
      <c r="P67" s="118"/>
      <c r="Q67" s="46"/>
      <c r="R67" s="46"/>
      <c r="S67" s="46"/>
      <c r="T67" s="46"/>
      <c r="U67" s="118"/>
      <c r="V67" s="46"/>
      <c r="W67" s="88" t="str">
        <f>IF(V67&lt;&gt;"",SUMIFS('📊 รายงานสินค้าคงเหลือ'!G:G,'📊 รายงานสินค้าคงเหลือ'!D:D,V67),"")</f>
        <v/>
      </c>
      <c r="X67" s="46"/>
      <c r="Y67" s="46"/>
      <c r="Z67" s="46"/>
    </row>
    <row r="68">
      <c r="A68" s="46"/>
      <c r="B68" s="16"/>
      <c r="C68" s="118"/>
      <c r="D68" s="126"/>
      <c r="E68" s="88"/>
      <c r="F68" s="118"/>
      <c r="G68" s="46"/>
      <c r="H68" s="46"/>
      <c r="I68" s="118"/>
      <c r="J68" s="46"/>
      <c r="K68" s="16" t="str">
        <f>IF(J68&lt;&gt;"",SUMIFS('💰 Transaction ขาย'!$F:$F,'💰 Transaction ขาย'!$K:$K,$J68,'💰 Transaction ขาย'!$J:$J,$B$1),"")</f>
        <v/>
      </c>
      <c r="L68" s="118"/>
      <c r="M68" s="46"/>
      <c r="N68" s="46"/>
      <c r="O68" s="46"/>
      <c r="P68" s="118"/>
      <c r="Q68" s="46"/>
      <c r="R68" s="46"/>
      <c r="S68" s="46"/>
      <c r="T68" s="46"/>
      <c r="U68" s="118"/>
      <c r="V68" s="46"/>
      <c r="W68" s="88" t="str">
        <f>IF(V68&lt;&gt;"",SUMIFS('📊 รายงานสินค้าคงเหลือ'!G:G,'📊 รายงานสินค้าคงเหลือ'!D:D,V68),"")</f>
        <v/>
      </c>
      <c r="X68" s="46"/>
      <c r="Y68" s="46"/>
      <c r="Z68" s="46"/>
    </row>
    <row r="69">
      <c r="A69" s="46"/>
      <c r="B69" s="16"/>
      <c r="C69" s="118"/>
      <c r="D69" s="126"/>
      <c r="E69" s="88"/>
      <c r="F69" s="118"/>
      <c r="G69" s="46"/>
      <c r="H69" s="46"/>
      <c r="I69" s="118"/>
      <c r="J69" s="46"/>
      <c r="K69" s="16" t="str">
        <f>IF(J69&lt;&gt;"",SUMIFS('💰 Transaction ขาย'!$F:$F,'💰 Transaction ขาย'!$K:$K,$J69,'💰 Transaction ขาย'!$J:$J,$B$1),"")</f>
        <v/>
      </c>
      <c r="L69" s="118"/>
      <c r="M69" s="46"/>
      <c r="N69" s="46"/>
      <c r="O69" s="46"/>
      <c r="P69" s="118"/>
      <c r="Q69" s="46"/>
      <c r="R69" s="46"/>
      <c r="S69" s="46"/>
      <c r="T69" s="46"/>
      <c r="U69" s="118"/>
      <c r="V69" s="46"/>
      <c r="W69" s="88" t="str">
        <f>IF(V69&lt;&gt;"",SUMIFS('📊 รายงานสินค้าคงเหลือ'!G:G,'📊 รายงานสินค้าคงเหลือ'!D:D,V69),"")</f>
        <v/>
      </c>
      <c r="X69" s="46"/>
      <c r="Y69" s="46"/>
      <c r="Z69" s="46"/>
    </row>
    <row r="70">
      <c r="A70" s="46"/>
      <c r="B70" s="16"/>
      <c r="C70" s="118"/>
      <c r="D70" s="126"/>
      <c r="E70" s="88"/>
      <c r="F70" s="118"/>
      <c r="G70" s="46"/>
      <c r="H70" s="46"/>
      <c r="I70" s="118"/>
      <c r="J70" s="46"/>
      <c r="K70" s="16" t="str">
        <f>IF(J70&lt;&gt;"",SUMIFS('💰 Transaction ขาย'!$F:$F,'💰 Transaction ขาย'!$K:$K,$J70,'💰 Transaction ขาย'!$J:$J,$B$1),"")</f>
        <v/>
      </c>
      <c r="L70" s="118"/>
      <c r="M70" s="46"/>
      <c r="N70" s="46"/>
      <c r="O70" s="46"/>
      <c r="P70" s="118"/>
      <c r="Q70" s="46"/>
      <c r="R70" s="46"/>
      <c r="S70" s="46"/>
      <c r="T70" s="46"/>
      <c r="U70" s="118"/>
      <c r="V70" s="46"/>
      <c r="W70" s="88" t="str">
        <f>IF(V70&lt;&gt;"",SUMIFS('📊 รายงานสินค้าคงเหลือ'!G:G,'📊 รายงานสินค้าคงเหลือ'!D:D,V70),"")</f>
        <v/>
      </c>
      <c r="X70" s="46"/>
      <c r="Y70" s="46"/>
      <c r="Z70" s="46"/>
    </row>
    <row r="71">
      <c r="A71" s="46"/>
      <c r="B71" s="16"/>
      <c r="C71" s="118"/>
      <c r="D71" s="126"/>
      <c r="E71" s="88"/>
      <c r="F71" s="118"/>
      <c r="G71" s="46"/>
      <c r="H71" s="46"/>
      <c r="I71" s="118"/>
      <c r="J71" s="46"/>
      <c r="K71" s="16" t="str">
        <f>IF(J71&lt;&gt;"",SUMIFS('💰 Transaction ขาย'!$F:$F,'💰 Transaction ขาย'!$K:$K,$J71,'💰 Transaction ขาย'!$J:$J,$B$1),"")</f>
        <v/>
      </c>
      <c r="L71" s="118"/>
      <c r="M71" s="46"/>
      <c r="N71" s="46"/>
      <c r="O71" s="46"/>
      <c r="P71" s="118"/>
      <c r="Q71" s="46"/>
      <c r="R71" s="46"/>
      <c r="S71" s="46"/>
      <c r="T71" s="46"/>
      <c r="U71" s="118"/>
      <c r="V71" s="46"/>
      <c r="W71" s="88" t="str">
        <f>IF(V71&lt;&gt;"",SUMIFS('📊 รายงานสินค้าคงเหลือ'!G:G,'📊 รายงานสินค้าคงเหลือ'!D:D,V71),"")</f>
        <v/>
      </c>
      <c r="X71" s="46"/>
      <c r="Y71" s="46"/>
      <c r="Z71" s="46"/>
    </row>
    <row r="72">
      <c r="A72" s="46"/>
      <c r="B72" s="16"/>
      <c r="C72" s="118"/>
      <c r="D72" s="126"/>
      <c r="E72" s="88"/>
      <c r="F72" s="118"/>
      <c r="G72" s="46"/>
      <c r="H72" s="46"/>
      <c r="I72" s="118"/>
      <c r="J72" s="46"/>
      <c r="K72" s="16" t="str">
        <f>IF(J72&lt;&gt;"",SUMIFS('💰 Transaction ขาย'!$F:$F,'💰 Transaction ขาย'!$K:$K,$J72,'💰 Transaction ขาย'!$J:$J,$B$1),"")</f>
        <v/>
      </c>
      <c r="L72" s="118"/>
      <c r="M72" s="46"/>
      <c r="N72" s="46"/>
      <c r="O72" s="46"/>
      <c r="P72" s="118"/>
      <c r="Q72" s="46"/>
      <c r="R72" s="46"/>
      <c r="S72" s="46"/>
      <c r="T72" s="46"/>
      <c r="U72" s="118"/>
      <c r="V72" s="46"/>
      <c r="W72" s="88" t="str">
        <f>IF(V72&lt;&gt;"",SUMIFS('📊 รายงานสินค้าคงเหลือ'!G:G,'📊 รายงานสินค้าคงเหลือ'!D:D,V72),"")</f>
        <v/>
      </c>
      <c r="X72" s="46"/>
      <c r="Y72" s="46"/>
      <c r="Z72" s="46"/>
    </row>
    <row r="73">
      <c r="A73" s="46"/>
      <c r="B73" s="16"/>
      <c r="C73" s="118"/>
      <c r="D73" s="126"/>
      <c r="E73" s="88"/>
      <c r="F73" s="118"/>
      <c r="G73" s="46"/>
      <c r="H73" s="46"/>
      <c r="I73" s="118"/>
      <c r="J73" s="46"/>
      <c r="K73" s="16" t="str">
        <f>IF(J73&lt;&gt;"",SUMIFS('💰 Transaction ขาย'!$F:$F,'💰 Transaction ขาย'!$K:$K,$J73,'💰 Transaction ขาย'!$J:$J,$B$1),"")</f>
        <v/>
      </c>
      <c r="L73" s="118"/>
      <c r="M73" s="46"/>
      <c r="N73" s="46"/>
      <c r="O73" s="46"/>
      <c r="P73" s="118"/>
      <c r="Q73" s="46"/>
      <c r="R73" s="46"/>
      <c r="S73" s="46"/>
      <c r="T73" s="46"/>
      <c r="U73" s="118"/>
      <c r="V73" s="46"/>
      <c r="W73" s="88" t="str">
        <f>IF(V73&lt;&gt;"",SUMIFS('📊 รายงานสินค้าคงเหลือ'!G:G,'📊 รายงานสินค้าคงเหลือ'!D:D,V73),"")</f>
        <v/>
      </c>
      <c r="X73" s="46"/>
      <c r="Y73" s="46"/>
      <c r="Z73" s="46"/>
    </row>
    <row r="74">
      <c r="A74" s="46"/>
      <c r="B74" s="16"/>
      <c r="C74" s="118"/>
      <c r="D74" s="126"/>
      <c r="E74" s="88"/>
      <c r="F74" s="118"/>
      <c r="G74" s="46"/>
      <c r="H74" s="46"/>
      <c r="I74" s="118"/>
      <c r="J74" s="46"/>
      <c r="K74" s="16" t="str">
        <f>IF(J74&lt;&gt;"",SUMIFS('💰 Transaction ขาย'!$F:$F,'💰 Transaction ขาย'!$K:$K,$J74,'💰 Transaction ขาย'!$J:$J,$B$1),"")</f>
        <v/>
      </c>
      <c r="L74" s="118"/>
      <c r="M74" s="46"/>
      <c r="N74" s="46"/>
      <c r="O74" s="46"/>
      <c r="P74" s="118"/>
      <c r="Q74" s="46"/>
      <c r="R74" s="46"/>
      <c r="S74" s="46"/>
      <c r="T74" s="46"/>
      <c r="U74" s="118"/>
      <c r="V74" s="46"/>
      <c r="W74" s="88" t="str">
        <f>IF(V74&lt;&gt;"",SUMIFS('📊 รายงานสินค้าคงเหลือ'!G:G,'📊 รายงานสินค้าคงเหลือ'!D:D,V74),"")</f>
        <v/>
      </c>
      <c r="X74" s="46"/>
      <c r="Y74" s="46"/>
      <c r="Z74" s="46"/>
    </row>
    <row r="75">
      <c r="A75" s="46"/>
      <c r="B75" s="16"/>
      <c r="C75" s="118"/>
      <c r="D75" s="126"/>
      <c r="E75" s="88"/>
      <c r="F75" s="118"/>
      <c r="G75" s="46"/>
      <c r="H75" s="46"/>
      <c r="I75" s="118"/>
      <c r="J75" s="46"/>
      <c r="K75" s="16" t="str">
        <f>IF(J75&lt;&gt;"",SUMIFS('💰 Transaction ขาย'!$F:$F,'💰 Transaction ขาย'!$K:$K,$J75,'💰 Transaction ขาย'!$J:$J,$B$1),"")</f>
        <v/>
      </c>
      <c r="L75" s="118"/>
      <c r="M75" s="46"/>
      <c r="N75" s="46"/>
      <c r="O75" s="46"/>
      <c r="P75" s="118"/>
      <c r="Q75" s="46"/>
      <c r="R75" s="46"/>
      <c r="S75" s="46"/>
      <c r="T75" s="46"/>
      <c r="U75" s="118"/>
      <c r="V75" s="46"/>
      <c r="W75" s="88" t="str">
        <f>IF(V75&lt;&gt;"",SUMIFS('📊 รายงานสินค้าคงเหลือ'!G:G,'📊 รายงานสินค้าคงเหลือ'!D:D,V75),"")</f>
        <v/>
      </c>
      <c r="X75" s="46"/>
      <c r="Y75" s="46"/>
      <c r="Z75" s="46"/>
    </row>
    <row r="76">
      <c r="A76" s="46"/>
      <c r="B76" s="16"/>
      <c r="C76" s="118"/>
      <c r="D76" s="126"/>
      <c r="E76" s="88"/>
      <c r="F76" s="118"/>
      <c r="G76" s="46"/>
      <c r="H76" s="46"/>
      <c r="I76" s="118"/>
      <c r="J76" s="46"/>
      <c r="K76" s="16" t="str">
        <f>IF(J76&lt;&gt;"",SUMIFS('💰 Transaction ขาย'!$F:$F,'💰 Transaction ขาย'!$K:$K,$J76,'💰 Transaction ขาย'!$J:$J,$B$1),"")</f>
        <v/>
      </c>
      <c r="L76" s="118"/>
      <c r="M76" s="46"/>
      <c r="N76" s="46"/>
      <c r="O76" s="46"/>
      <c r="P76" s="118"/>
      <c r="Q76" s="46"/>
      <c r="R76" s="46"/>
      <c r="S76" s="46"/>
      <c r="T76" s="46"/>
      <c r="U76" s="118"/>
      <c r="V76" s="46"/>
      <c r="W76" s="88" t="str">
        <f>IF(V76&lt;&gt;"",SUMIFS('📊 รายงานสินค้าคงเหลือ'!G:G,'📊 รายงานสินค้าคงเหลือ'!D:D,V76),"")</f>
        <v/>
      </c>
      <c r="X76" s="46"/>
      <c r="Y76" s="46"/>
      <c r="Z76" s="46"/>
    </row>
    <row r="77">
      <c r="A77" s="46"/>
      <c r="B77" s="16"/>
      <c r="C77" s="118"/>
      <c r="D77" s="126"/>
      <c r="E77" s="88"/>
      <c r="F77" s="118"/>
      <c r="G77" s="46"/>
      <c r="H77" s="46"/>
      <c r="I77" s="118"/>
      <c r="J77" s="46"/>
      <c r="K77" s="16" t="str">
        <f>IF(J77&lt;&gt;"",SUMIFS('💰 Transaction ขาย'!$F:$F,'💰 Transaction ขาย'!$K:$K,$J77,'💰 Transaction ขาย'!$J:$J,$B$1),"")</f>
        <v/>
      </c>
      <c r="L77" s="118"/>
      <c r="M77" s="46"/>
      <c r="N77" s="46"/>
      <c r="O77" s="46"/>
      <c r="P77" s="118"/>
      <c r="Q77" s="46"/>
      <c r="R77" s="46"/>
      <c r="S77" s="46"/>
      <c r="T77" s="46"/>
      <c r="U77" s="118"/>
      <c r="V77" s="46"/>
      <c r="W77" s="88" t="str">
        <f>IF(V77&lt;&gt;"",SUMIFS('📊 รายงานสินค้าคงเหลือ'!G:G,'📊 รายงานสินค้าคงเหลือ'!D:D,V77),"")</f>
        <v/>
      </c>
      <c r="X77" s="46"/>
      <c r="Y77" s="46"/>
      <c r="Z77" s="46"/>
    </row>
    <row r="78">
      <c r="A78" s="46"/>
      <c r="B78" s="16"/>
      <c r="C78" s="118"/>
      <c r="D78" s="126"/>
      <c r="E78" s="88"/>
      <c r="F78" s="118"/>
      <c r="G78" s="46"/>
      <c r="H78" s="46"/>
      <c r="I78" s="118"/>
      <c r="J78" s="46"/>
      <c r="K78" s="16" t="str">
        <f>IF(J78&lt;&gt;"",SUMIFS('💰 Transaction ขาย'!$F:$F,'💰 Transaction ขาย'!$K:$K,$J78,'💰 Transaction ขาย'!$J:$J,$B$1),"")</f>
        <v/>
      </c>
      <c r="L78" s="118"/>
      <c r="M78" s="46"/>
      <c r="N78" s="46"/>
      <c r="O78" s="46"/>
      <c r="P78" s="118"/>
      <c r="Q78" s="46"/>
      <c r="R78" s="46"/>
      <c r="S78" s="46"/>
      <c r="T78" s="46"/>
      <c r="U78" s="118"/>
      <c r="V78" s="46"/>
      <c r="W78" s="88" t="str">
        <f>IF(V78&lt;&gt;"",SUMIFS('📊 รายงานสินค้าคงเหลือ'!G:G,'📊 รายงานสินค้าคงเหลือ'!D:D,V78),"")</f>
        <v/>
      </c>
      <c r="X78" s="46"/>
      <c r="Y78" s="46"/>
      <c r="Z78" s="46"/>
    </row>
    <row r="79">
      <c r="A79" s="46"/>
      <c r="B79" s="16"/>
      <c r="C79" s="118"/>
      <c r="D79" s="126"/>
      <c r="E79" s="88"/>
      <c r="F79" s="118"/>
      <c r="G79" s="46"/>
      <c r="H79" s="46"/>
      <c r="I79" s="118"/>
      <c r="J79" s="46"/>
      <c r="K79" s="16" t="str">
        <f>IF(J79&lt;&gt;"",SUMIFS('💰 Transaction ขาย'!$F:$F,'💰 Transaction ขาย'!$K:$K,$J79,'💰 Transaction ขาย'!$J:$J,$B$1),"")</f>
        <v/>
      </c>
      <c r="L79" s="118"/>
      <c r="M79" s="46"/>
      <c r="N79" s="46"/>
      <c r="O79" s="46"/>
      <c r="P79" s="118"/>
      <c r="Q79" s="46"/>
      <c r="R79" s="46"/>
      <c r="S79" s="46"/>
      <c r="T79" s="46"/>
      <c r="U79" s="118"/>
      <c r="V79" s="46"/>
      <c r="W79" s="88" t="str">
        <f>IF(V79&lt;&gt;"",SUMIFS('📊 รายงานสินค้าคงเหลือ'!G:G,'📊 รายงานสินค้าคงเหลือ'!D:D,V79),"")</f>
        <v/>
      </c>
      <c r="X79" s="46"/>
      <c r="Y79" s="46"/>
      <c r="Z79" s="46"/>
    </row>
    <row r="80">
      <c r="A80" s="46"/>
      <c r="B80" s="16"/>
      <c r="C80" s="118"/>
      <c r="D80" s="126"/>
      <c r="E80" s="88"/>
      <c r="F80" s="118"/>
      <c r="G80" s="46"/>
      <c r="H80" s="46"/>
      <c r="I80" s="118"/>
      <c r="J80" s="46"/>
      <c r="K80" s="16" t="str">
        <f>IF(J80&lt;&gt;"",SUMIFS('💰 Transaction ขาย'!$F:$F,'💰 Transaction ขาย'!$K:$K,$J80,'💰 Transaction ขาย'!$J:$J,$B$1),"")</f>
        <v/>
      </c>
      <c r="L80" s="118"/>
      <c r="M80" s="46"/>
      <c r="N80" s="46"/>
      <c r="O80" s="46"/>
      <c r="P80" s="118"/>
      <c r="Q80" s="46"/>
      <c r="R80" s="46"/>
      <c r="S80" s="46"/>
      <c r="T80" s="46"/>
      <c r="U80" s="118"/>
      <c r="V80" s="46"/>
      <c r="W80" s="88" t="str">
        <f>IF(V80&lt;&gt;"",SUMIFS('📊 รายงานสินค้าคงเหลือ'!G:G,'📊 รายงานสินค้าคงเหลือ'!D:D,V80),"")</f>
        <v/>
      </c>
      <c r="X80" s="46"/>
      <c r="Y80" s="46"/>
      <c r="Z80" s="46"/>
    </row>
    <row r="81">
      <c r="A81" s="46"/>
      <c r="B81" s="16"/>
      <c r="C81" s="118"/>
      <c r="D81" s="126"/>
      <c r="E81" s="88"/>
      <c r="F81" s="118"/>
      <c r="G81" s="46"/>
      <c r="H81" s="46"/>
      <c r="I81" s="118"/>
      <c r="J81" s="46"/>
      <c r="K81" s="16" t="str">
        <f>IF(J81&lt;&gt;"",SUMIFS('💰 Transaction ขาย'!$F:$F,'💰 Transaction ขาย'!$K:$K,$J81,'💰 Transaction ขาย'!$J:$J,$B$1),"")</f>
        <v/>
      </c>
      <c r="L81" s="118"/>
      <c r="M81" s="46"/>
      <c r="N81" s="46"/>
      <c r="O81" s="46"/>
      <c r="P81" s="118"/>
      <c r="Q81" s="46"/>
      <c r="R81" s="46"/>
      <c r="S81" s="46"/>
      <c r="T81" s="46"/>
      <c r="U81" s="118"/>
      <c r="V81" s="46"/>
      <c r="W81" s="88" t="str">
        <f>IF(V81&lt;&gt;"",SUMIFS('📊 รายงานสินค้าคงเหลือ'!G:G,'📊 รายงานสินค้าคงเหลือ'!D:D,V81),"")</f>
        <v/>
      </c>
      <c r="X81" s="46"/>
      <c r="Y81" s="46"/>
      <c r="Z81" s="46"/>
    </row>
    <row r="82">
      <c r="A82" s="46"/>
      <c r="B82" s="16"/>
      <c r="C82" s="118"/>
      <c r="D82" s="126"/>
      <c r="E82" s="88"/>
      <c r="F82" s="118"/>
      <c r="G82" s="46"/>
      <c r="H82" s="46"/>
      <c r="I82" s="118"/>
      <c r="J82" s="46"/>
      <c r="K82" s="16" t="str">
        <f>IF(J82&lt;&gt;"",SUMIFS('💰 Transaction ขาย'!$F:$F,'💰 Transaction ขาย'!$K:$K,$J82,'💰 Transaction ขาย'!$J:$J,$B$1),"")</f>
        <v/>
      </c>
      <c r="L82" s="118"/>
      <c r="M82" s="46"/>
      <c r="N82" s="46"/>
      <c r="O82" s="46"/>
      <c r="P82" s="118"/>
      <c r="Q82" s="46"/>
      <c r="R82" s="46"/>
      <c r="S82" s="46"/>
      <c r="T82" s="46"/>
      <c r="U82" s="118"/>
      <c r="V82" s="46"/>
      <c r="W82" s="88" t="str">
        <f>IF(V82&lt;&gt;"",SUMIFS('📊 รายงานสินค้าคงเหลือ'!G:G,'📊 รายงานสินค้าคงเหลือ'!D:D,V82),"")</f>
        <v/>
      </c>
      <c r="X82" s="46"/>
      <c r="Y82" s="46"/>
      <c r="Z82" s="46"/>
    </row>
    <row r="83">
      <c r="A83" s="46"/>
      <c r="B83" s="16"/>
      <c r="C83" s="118"/>
      <c r="D83" s="126"/>
      <c r="E83" s="88"/>
      <c r="F83" s="118"/>
      <c r="G83" s="46"/>
      <c r="H83" s="46"/>
      <c r="I83" s="118"/>
      <c r="J83" s="46"/>
      <c r="K83" s="16" t="str">
        <f>IF(J83&lt;&gt;"",SUMIFS('💰 Transaction ขาย'!$F:$F,'💰 Transaction ขาย'!$K:$K,$J83,'💰 Transaction ขาย'!$J:$J,$B$1),"")</f>
        <v/>
      </c>
      <c r="L83" s="118"/>
      <c r="M83" s="46"/>
      <c r="N83" s="46"/>
      <c r="O83" s="46"/>
      <c r="P83" s="118"/>
      <c r="Q83" s="46"/>
      <c r="R83" s="46"/>
      <c r="S83" s="46"/>
      <c r="T83" s="46"/>
      <c r="U83" s="118"/>
      <c r="V83" s="46"/>
      <c r="W83" s="88" t="str">
        <f>IF(V83&lt;&gt;"",SUMIFS('📊 รายงานสินค้าคงเหลือ'!G:G,'📊 รายงานสินค้าคงเหลือ'!D:D,V83),"")</f>
        <v/>
      </c>
      <c r="X83" s="46"/>
      <c r="Y83" s="46"/>
      <c r="Z83" s="46"/>
    </row>
    <row r="84">
      <c r="A84" s="46"/>
      <c r="B84" s="16"/>
      <c r="C84" s="118"/>
      <c r="D84" s="126"/>
      <c r="E84" s="88"/>
      <c r="F84" s="118"/>
      <c r="G84" s="46"/>
      <c r="H84" s="46"/>
      <c r="I84" s="118"/>
      <c r="J84" s="46"/>
      <c r="K84" s="16" t="str">
        <f>IF(J84&lt;&gt;"",SUMIFS('💰 Transaction ขาย'!$F:$F,'💰 Transaction ขาย'!$K:$K,$J84,'💰 Transaction ขาย'!$J:$J,$B$1),"")</f>
        <v/>
      </c>
      <c r="L84" s="118"/>
      <c r="M84" s="46"/>
      <c r="N84" s="46"/>
      <c r="O84" s="46"/>
      <c r="P84" s="118"/>
      <c r="Q84" s="46"/>
      <c r="R84" s="46"/>
      <c r="S84" s="46"/>
      <c r="T84" s="46"/>
      <c r="U84" s="118"/>
      <c r="V84" s="46"/>
      <c r="W84" s="88" t="str">
        <f>IF(V84&lt;&gt;"",SUMIFS('📊 รายงานสินค้าคงเหลือ'!G:G,'📊 รายงานสินค้าคงเหลือ'!D:D,V84),"")</f>
        <v/>
      </c>
      <c r="X84" s="46"/>
      <c r="Y84" s="46"/>
      <c r="Z84" s="46"/>
    </row>
    <row r="85">
      <c r="A85" s="46"/>
      <c r="B85" s="16"/>
      <c r="C85" s="118"/>
      <c r="D85" s="126"/>
      <c r="E85" s="88"/>
      <c r="F85" s="118"/>
      <c r="G85" s="46"/>
      <c r="H85" s="46"/>
      <c r="I85" s="118"/>
      <c r="J85" s="46"/>
      <c r="K85" s="16" t="str">
        <f>IF(J85&lt;&gt;"",SUMIFS('💰 Transaction ขาย'!$F:$F,'💰 Transaction ขาย'!$K:$K,$J85,'💰 Transaction ขาย'!$J:$J,$B$1),"")</f>
        <v/>
      </c>
      <c r="L85" s="118"/>
      <c r="M85" s="46"/>
      <c r="N85" s="46"/>
      <c r="O85" s="46"/>
      <c r="P85" s="118"/>
      <c r="Q85" s="46"/>
      <c r="R85" s="46"/>
      <c r="S85" s="46"/>
      <c r="T85" s="46"/>
      <c r="U85" s="118"/>
      <c r="V85" s="46"/>
      <c r="W85" s="88" t="str">
        <f>IF(V85&lt;&gt;"",SUMIFS('📊 รายงานสินค้าคงเหลือ'!G:G,'📊 รายงานสินค้าคงเหลือ'!D:D,V85),"")</f>
        <v/>
      </c>
      <c r="X85" s="46"/>
      <c r="Y85" s="46"/>
      <c r="Z85" s="46"/>
    </row>
    <row r="86">
      <c r="A86" s="46"/>
      <c r="B86" s="16"/>
      <c r="C86" s="118"/>
      <c r="D86" s="126"/>
      <c r="E86" s="88"/>
      <c r="F86" s="118"/>
      <c r="G86" s="46"/>
      <c r="H86" s="46"/>
      <c r="I86" s="118"/>
      <c r="J86" s="46"/>
      <c r="K86" s="16" t="str">
        <f>IF(J86&lt;&gt;"",SUMIFS('💰 Transaction ขาย'!$F:$F,'💰 Transaction ขาย'!$K:$K,$J86,'💰 Transaction ขาย'!$J:$J,$B$1),"")</f>
        <v/>
      </c>
      <c r="L86" s="118"/>
      <c r="M86" s="46"/>
      <c r="N86" s="46"/>
      <c r="O86" s="46"/>
      <c r="P86" s="118"/>
      <c r="Q86" s="46"/>
      <c r="R86" s="46"/>
      <c r="S86" s="46"/>
      <c r="T86" s="46"/>
      <c r="U86" s="118"/>
      <c r="V86" s="46"/>
      <c r="W86" s="88" t="str">
        <f>IF(V86&lt;&gt;"",SUMIFS('📊 รายงานสินค้าคงเหลือ'!G:G,'📊 รายงานสินค้าคงเหลือ'!D:D,V86),"")</f>
        <v/>
      </c>
      <c r="X86" s="46"/>
      <c r="Y86" s="46"/>
      <c r="Z86" s="46"/>
    </row>
    <row r="87">
      <c r="A87" s="46"/>
      <c r="B87" s="16"/>
      <c r="C87" s="118"/>
      <c r="D87" s="126"/>
      <c r="E87" s="88"/>
      <c r="F87" s="118"/>
      <c r="G87" s="46"/>
      <c r="H87" s="46"/>
      <c r="I87" s="118"/>
      <c r="J87" s="46"/>
      <c r="K87" s="16" t="str">
        <f>IF(J87&lt;&gt;"",SUMIFS('💰 Transaction ขาย'!$F:$F,'💰 Transaction ขาย'!$K:$K,$J87,'💰 Transaction ขาย'!$J:$J,$B$1),"")</f>
        <v/>
      </c>
      <c r="L87" s="118"/>
      <c r="M87" s="46"/>
      <c r="N87" s="46"/>
      <c r="O87" s="46"/>
      <c r="P87" s="118"/>
      <c r="Q87" s="46"/>
      <c r="R87" s="46"/>
      <c r="S87" s="46"/>
      <c r="T87" s="46"/>
      <c r="U87" s="118"/>
      <c r="V87" s="46"/>
      <c r="W87" s="88" t="str">
        <f>IF(V87&lt;&gt;"",SUMIFS('📊 รายงานสินค้าคงเหลือ'!G:G,'📊 รายงานสินค้าคงเหลือ'!D:D,V87),"")</f>
        <v/>
      </c>
      <c r="X87" s="46"/>
      <c r="Y87" s="46"/>
      <c r="Z87" s="46"/>
    </row>
    <row r="88">
      <c r="A88" s="46"/>
      <c r="B88" s="16"/>
      <c r="C88" s="118"/>
      <c r="D88" s="126"/>
      <c r="E88" s="88"/>
      <c r="F88" s="118"/>
      <c r="G88" s="46"/>
      <c r="H88" s="46"/>
      <c r="I88" s="118"/>
      <c r="J88" s="46"/>
      <c r="K88" s="16" t="str">
        <f>IF(J88&lt;&gt;"",SUMIFS('💰 Transaction ขาย'!$F:$F,'💰 Transaction ขาย'!$K:$K,$J88,'💰 Transaction ขาย'!$J:$J,$B$1),"")</f>
        <v/>
      </c>
      <c r="L88" s="118"/>
      <c r="M88" s="46"/>
      <c r="N88" s="46"/>
      <c r="O88" s="46"/>
      <c r="P88" s="118"/>
      <c r="Q88" s="46"/>
      <c r="R88" s="46"/>
      <c r="S88" s="46"/>
      <c r="T88" s="46"/>
      <c r="U88" s="118"/>
      <c r="V88" s="46"/>
      <c r="W88" s="88" t="str">
        <f>IF(V88&lt;&gt;"",SUMIFS('📊 รายงานสินค้าคงเหลือ'!G:G,'📊 รายงานสินค้าคงเหลือ'!D:D,V88),"")</f>
        <v/>
      </c>
      <c r="X88" s="46"/>
      <c r="Y88" s="46"/>
      <c r="Z88" s="46"/>
    </row>
    <row r="89">
      <c r="A89" s="46"/>
      <c r="B89" s="16"/>
      <c r="C89" s="118"/>
      <c r="D89" s="126"/>
      <c r="E89" s="88"/>
      <c r="F89" s="118"/>
      <c r="G89" s="46"/>
      <c r="H89" s="46"/>
      <c r="I89" s="118"/>
      <c r="J89" s="46"/>
      <c r="K89" s="16" t="str">
        <f>IF(J89&lt;&gt;"",SUMIFS('💰 Transaction ขาย'!$F:$F,'💰 Transaction ขาย'!$K:$K,$J89,'💰 Transaction ขาย'!$J:$J,$B$1),"")</f>
        <v/>
      </c>
      <c r="L89" s="118"/>
      <c r="M89" s="46"/>
      <c r="N89" s="46"/>
      <c r="O89" s="46"/>
      <c r="P89" s="118"/>
      <c r="Q89" s="46"/>
      <c r="R89" s="46"/>
      <c r="S89" s="46"/>
      <c r="T89" s="46"/>
      <c r="U89" s="118"/>
      <c r="V89" s="46"/>
      <c r="W89" s="88" t="str">
        <f>IF(V89&lt;&gt;"",SUMIFS('📊 รายงานสินค้าคงเหลือ'!G:G,'📊 รายงานสินค้าคงเหลือ'!D:D,V89),"")</f>
        <v/>
      </c>
      <c r="X89" s="46"/>
      <c r="Y89" s="46"/>
      <c r="Z89" s="46"/>
    </row>
    <row r="90">
      <c r="A90" s="46"/>
      <c r="B90" s="16"/>
      <c r="C90" s="118"/>
      <c r="D90" s="126"/>
      <c r="E90" s="88"/>
      <c r="F90" s="118"/>
      <c r="G90" s="46"/>
      <c r="H90" s="46"/>
      <c r="I90" s="118"/>
      <c r="J90" s="46"/>
      <c r="K90" s="16" t="str">
        <f>IF(J90&lt;&gt;"",SUMIFS('💰 Transaction ขาย'!$F:$F,'💰 Transaction ขาย'!$K:$K,$J90,'💰 Transaction ขาย'!$J:$J,$B$1),"")</f>
        <v/>
      </c>
      <c r="L90" s="118"/>
      <c r="M90" s="46"/>
      <c r="N90" s="46"/>
      <c r="O90" s="46"/>
      <c r="P90" s="118"/>
      <c r="Q90" s="46"/>
      <c r="R90" s="46"/>
      <c r="S90" s="46"/>
      <c r="T90" s="46"/>
      <c r="U90" s="118"/>
      <c r="V90" s="46"/>
      <c r="W90" s="88" t="str">
        <f>IF(V90&lt;&gt;"",SUMIFS('📊 รายงานสินค้าคงเหลือ'!G:G,'📊 รายงานสินค้าคงเหลือ'!D:D,V90),"")</f>
        <v/>
      </c>
      <c r="X90" s="46"/>
      <c r="Y90" s="46"/>
      <c r="Z90" s="46"/>
    </row>
    <row r="91">
      <c r="A91" s="46"/>
      <c r="B91" s="16"/>
      <c r="C91" s="118"/>
      <c r="D91" s="126"/>
      <c r="E91" s="88"/>
      <c r="F91" s="118"/>
      <c r="G91" s="46"/>
      <c r="H91" s="46"/>
      <c r="I91" s="118"/>
      <c r="J91" s="46"/>
      <c r="K91" s="16" t="str">
        <f>IF(J91&lt;&gt;"",SUMIFS('💰 Transaction ขาย'!$F:$F,'💰 Transaction ขาย'!$K:$K,$J91,'💰 Transaction ขาย'!$J:$J,$B$1),"")</f>
        <v/>
      </c>
      <c r="L91" s="118"/>
      <c r="M91" s="46"/>
      <c r="N91" s="46"/>
      <c r="O91" s="46"/>
      <c r="P91" s="118"/>
      <c r="Q91" s="46"/>
      <c r="R91" s="46"/>
      <c r="S91" s="46"/>
      <c r="T91" s="46"/>
      <c r="U91" s="118"/>
      <c r="V91" s="46"/>
      <c r="W91" s="88" t="str">
        <f>IF(V91&lt;&gt;"",SUMIFS('📊 รายงานสินค้าคงเหลือ'!G:G,'📊 รายงานสินค้าคงเหลือ'!D:D,V91),"")</f>
        <v/>
      </c>
      <c r="X91" s="46"/>
      <c r="Y91" s="46"/>
      <c r="Z91" s="46"/>
    </row>
    <row r="92">
      <c r="A92" s="46"/>
      <c r="B92" s="16"/>
      <c r="C92" s="118"/>
      <c r="D92" s="126"/>
      <c r="E92" s="88"/>
      <c r="F92" s="118"/>
      <c r="G92" s="46"/>
      <c r="H92" s="46"/>
      <c r="I92" s="118"/>
      <c r="J92" s="46"/>
      <c r="K92" s="16" t="str">
        <f>IF(J92&lt;&gt;"",SUMIFS('💰 Transaction ขาย'!$F:$F,'💰 Transaction ขาย'!$K:$K,$J92,'💰 Transaction ขาย'!$J:$J,$B$1),"")</f>
        <v/>
      </c>
      <c r="L92" s="118"/>
      <c r="M92" s="46"/>
      <c r="N92" s="46"/>
      <c r="O92" s="46"/>
      <c r="P92" s="118"/>
      <c r="Q92" s="46"/>
      <c r="R92" s="46"/>
      <c r="S92" s="46"/>
      <c r="T92" s="46"/>
      <c r="U92" s="118"/>
      <c r="V92" s="46"/>
      <c r="W92" s="88" t="str">
        <f>IF(V92&lt;&gt;"",SUMIFS('📊 รายงานสินค้าคงเหลือ'!G:G,'📊 รายงานสินค้าคงเหลือ'!D:D,V92),"")</f>
        <v/>
      </c>
      <c r="X92" s="46"/>
      <c r="Y92" s="46"/>
      <c r="Z92" s="46"/>
    </row>
    <row r="93">
      <c r="A93" s="46"/>
      <c r="B93" s="16"/>
      <c r="C93" s="118"/>
      <c r="D93" s="126"/>
      <c r="E93" s="88"/>
      <c r="F93" s="118"/>
      <c r="G93" s="46"/>
      <c r="H93" s="46"/>
      <c r="I93" s="118"/>
      <c r="J93" s="46"/>
      <c r="K93" s="16" t="str">
        <f>IF(J93&lt;&gt;"",SUMIFS('💰 Transaction ขาย'!$F:$F,'💰 Transaction ขาย'!$K:$K,$J93,'💰 Transaction ขาย'!$J:$J,$B$1),"")</f>
        <v/>
      </c>
      <c r="L93" s="118"/>
      <c r="M93" s="46"/>
      <c r="N93" s="46"/>
      <c r="O93" s="46"/>
      <c r="P93" s="118"/>
      <c r="Q93" s="46"/>
      <c r="R93" s="46"/>
      <c r="S93" s="46"/>
      <c r="T93" s="46"/>
      <c r="U93" s="118"/>
      <c r="V93" s="46"/>
      <c r="W93" s="88" t="str">
        <f>IF(V93&lt;&gt;"",SUMIFS('📊 รายงานสินค้าคงเหลือ'!G:G,'📊 รายงานสินค้าคงเหลือ'!D:D,V93),"")</f>
        <v/>
      </c>
      <c r="X93" s="46"/>
      <c r="Y93" s="46"/>
      <c r="Z93" s="46"/>
    </row>
    <row r="94">
      <c r="A94" s="46"/>
      <c r="B94" s="16"/>
      <c r="C94" s="118"/>
      <c r="D94" s="126"/>
      <c r="E94" s="88"/>
      <c r="F94" s="118"/>
      <c r="G94" s="46"/>
      <c r="H94" s="46"/>
      <c r="I94" s="118"/>
      <c r="J94" s="46"/>
      <c r="K94" s="16" t="str">
        <f>IF(J94&lt;&gt;"",SUMIFS('💰 Transaction ขาย'!$F:$F,'💰 Transaction ขาย'!$K:$K,$J94,'💰 Transaction ขาย'!$J:$J,$B$1),"")</f>
        <v/>
      </c>
      <c r="L94" s="118"/>
      <c r="M94" s="46"/>
      <c r="N94" s="46"/>
      <c r="O94" s="46"/>
      <c r="P94" s="118"/>
      <c r="Q94" s="46"/>
      <c r="R94" s="46"/>
      <c r="S94" s="46"/>
      <c r="T94" s="46"/>
      <c r="U94" s="118"/>
      <c r="V94" s="46"/>
      <c r="W94" s="88" t="str">
        <f>IF(V94&lt;&gt;"",SUMIFS('📊 รายงานสินค้าคงเหลือ'!G:G,'📊 รายงานสินค้าคงเหลือ'!D:D,V94),"")</f>
        <v/>
      </c>
      <c r="X94" s="46"/>
      <c r="Y94" s="46"/>
      <c r="Z94" s="46"/>
    </row>
    <row r="95">
      <c r="A95" s="46"/>
      <c r="B95" s="16"/>
      <c r="C95" s="118"/>
      <c r="D95" s="126"/>
      <c r="E95" s="88"/>
      <c r="F95" s="118"/>
      <c r="G95" s="46"/>
      <c r="H95" s="46"/>
      <c r="I95" s="118"/>
      <c r="J95" s="46"/>
      <c r="K95" s="16" t="str">
        <f>IF(J95&lt;&gt;"",SUMIFS('💰 Transaction ขาย'!$F:$F,'💰 Transaction ขาย'!$K:$K,$J95,'💰 Transaction ขาย'!$J:$J,$B$1),"")</f>
        <v/>
      </c>
      <c r="L95" s="118"/>
      <c r="M95" s="46"/>
      <c r="N95" s="46"/>
      <c r="O95" s="46"/>
      <c r="P95" s="118"/>
      <c r="Q95" s="46"/>
      <c r="R95" s="46"/>
      <c r="S95" s="46"/>
      <c r="T95" s="46"/>
      <c r="U95" s="118"/>
      <c r="V95" s="46"/>
      <c r="W95" s="88" t="str">
        <f>IF(V95&lt;&gt;"",SUMIFS('📊 รายงานสินค้าคงเหลือ'!G:G,'📊 รายงานสินค้าคงเหลือ'!D:D,V95),"")</f>
        <v/>
      </c>
      <c r="X95" s="46"/>
      <c r="Y95" s="46"/>
      <c r="Z95" s="46"/>
    </row>
    <row r="96">
      <c r="A96" s="46"/>
      <c r="B96" s="16"/>
      <c r="C96" s="118"/>
      <c r="D96" s="126"/>
      <c r="E96" s="88"/>
      <c r="F96" s="118"/>
      <c r="G96" s="46"/>
      <c r="H96" s="46"/>
      <c r="I96" s="118"/>
      <c r="J96" s="46"/>
      <c r="K96" s="16" t="str">
        <f>IF(J96&lt;&gt;"",SUMIFS('💰 Transaction ขาย'!$F:$F,'💰 Transaction ขาย'!$K:$K,$J96,'💰 Transaction ขาย'!$J:$J,$B$1),"")</f>
        <v/>
      </c>
      <c r="L96" s="118"/>
      <c r="M96" s="46"/>
      <c r="N96" s="46"/>
      <c r="O96" s="46"/>
      <c r="P96" s="118"/>
      <c r="Q96" s="46"/>
      <c r="R96" s="46"/>
      <c r="S96" s="46"/>
      <c r="T96" s="46"/>
      <c r="U96" s="118"/>
      <c r="V96" s="46"/>
      <c r="W96" s="88" t="str">
        <f>IF(V96&lt;&gt;"",SUMIFS('📊 รายงานสินค้าคงเหลือ'!G:G,'📊 รายงานสินค้าคงเหลือ'!D:D,V96),"")</f>
        <v/>
      </c>
      <c r="X96" s="46"/>
      <c r="Y96" s="46"/>
      <c r="Z96" s="46"/>
    </row>
    <row r="97">
      <c r="A97" s="46"/>
      <c r="B97" s="16"/>
      <c r="C97" s="118"/>
      <c r="D97" s="126"/>
      <c r="E97" s="88"/>
      <c r="F97" s="118"/>
      <c r="G97" s="46"/>
      <c r="H97" s="46"/>
      <c r="I97" s="118"/>
      <c r="J97" s="46"/>
      <c r="K97" s="16" t="str">
        <f>IF(J97&lt;&gt;"",SUMIFS('💰 Transaction ขาย'!$F:$F,'💰 Transaction ขาย'!$K:$K,$J97,'💰 Transaction ขาย'!$J:$J,$B$1),"")</f>
        <v/>
      </c>
      <c r="L97" s="118"/>
      <c r="M97" s="46"/>
      <c r="N97" s="46"/>
      <c r="O97" s="46"/>
      <c r="P97" s="118"/>
      <c r="Q97" s="46"/>
      <c r="R97" s="46"/>
      <c r="S97" s="46"/>
      <c r="T97" s="46"/>
      <c r="U97" s="118"/>
      <c r="V97" s="46"/>
      <c r="W97" s="88" t="str">
        <f>IF(V97&lt;&gt;"",SUMIFS('📊 รายงานสินค้าคงเหลือ'!G:G,'📊 รายงานสินค้าคงเหลือ'!D:D,V97),"")</f>
        <v/>
      </c>
      <c r="X97" s="46"/>
      <c r="Y97" s="46"/>
      <c r="Z97" s="46"/>
    </row>
    <row r="98">
      <c r="A98" s="46"/>
      <c r="B98" s="16"/>
      <c r="C98" s="118"/>
      <c r="D98" s="126"/>
      <c r="E98" s="88"/>
      <c r="F98" s="118"/>
      <c r="G98" s="46"/>
      <c r="H98" s="46"/>
      <c r="I98" s="118"/>
      <c r="J98" s="46"/>
      <c r="K98" s="16" t="str">
        <f>IF(J98&lt;&gt;"",SUMIFS('💰 Transaction ขาย'!$F:$F,'💰 Transaction ขาย'!$K:$K,$J98,'💰 Transaction ขาย'!$J:$J,$B$1),"")</f>
        <v/>
      </c>
      <c r="L98" s="118"/>
      <c r="M98" s="46"/>
      <c r="N98" s="46"/>
      <c r="O98" s="46"/>
      <c r="P98" s="118"/>
      <c r="Q98" s="46"/>
      <c r="R98" s="46"/>
      <c r="S98" s="46"/>
      <c r="T98" s="46"/>
      <c r="U98" s="118"/>
      <c r="V98" s="46"/>
      <c r="W98" s="88" t="str">
        <f>IF(V98&lt;&gt;"",SUMIFS('📊 รายงานสินค้าคงเหลือ'!G:G,'📊 รายงานสินค้าคงเหลือ'!D:D,V98),"")</f>
        <v/>
      </c>
      <c r="X98" s="46"/>
      <c r="Y98" s="46"/>
      <c r="Z98" s="46"/>
    </row>
    <row r="99">
      <c r="A99" s="46"/>
      <c r="B99" s="16"/>
      <c r="C99" s="118"/>
      <c r="D99" s="126"/>
      <c r="E99" s="88"/>
      <c r="F99" s="118"/>
      <c r="G99" s="46"/>
      <c r="H99" s="46"/>
      <c r="I99" s="118"/>
      <c r="J99" s="46"/>
      <c r="K99" s="16" t="str">
        <f>IF(J99&lt;&gt;"",SUMIFS('💰 Transaction ขาย'!$F:$F,'💰 Transaction ขาย'!$K:$K,$J99,'💰 Transaction ขาย'!$J:$J,$B$1),"")</f>
        <v/>
      </c>
      <c r="L99" s="118"/>
      <c r="M99" s="46"/>
      <c r="N99" s="46"/>
      <c r="O99" s="46"/>
      <c r="P99" s="118"/>
      <c r="Q99" s="46"/>
      <c r="R99" s="46"/>
      <c r="S99" s="46"/>
      <c r="T99" s="46"/>
      <c r="U99" s="118"/>
      <c r="V99" s="46"/>
      <c r="W99" s="88" t="str">
        <f>IF(V99&lt;&gt;"",SUMIFS('📊 รายงานสินค้าคงเหลือ'!G:G,'📊 รายงานสินค้าคงเหลือ'!D:D,V99),"")</f>
        <v/>
      </c>
      <c r="X99" s="46"/>
      <c r="Y99" s="46"/>
      <c r="Z99" s="46"/>
    </row>
    <row r="100">
      <c r="A100" s="46"/>
      <c r="B100" s="16"/>
      <c r="C100" s="118"/>
      <c r="D100" s="126"/>
      <c r="E100" s="88"/>
      <c r="F100" s="118"/>
      <c r="G100" s="46"/>
      <c r="H100" s="46"/>
      <c r="I100" s="118"/>
      <c r="J100" s="46"/>
      <c r="K100" s="16" t="str">
        <f>IF(J100&lt;&gt;"",SUMIFS('💰 Transaction ขาย'!$F:$F,'💰 Transaction ขาย'!$K:$K,$J100,'💰 Transaction ขาย'!$J:$J,$B$1),"")</f>
        <v/>
      </c>
      <c r="L100" s="118"/>
      <c r="M100" s="46"/>
      <c r="N100" s="46"/>
      <c r="O100" s="46"/>
      <c r="P100" s="118"/>
      <c r="Q100" s="46"/>
      <c r="R100" s="46"/>
      <c r="S100" s="46"/>
      <c r="T100" s="46"/>
      <c r="U100" s="118"/>
      <c r="V100" s="46"/>
      <c r="W100" s="88" t="str">
        <f>IF(V100&lt;&gt;"",SUMIFS('📊 รายงานสินค้าคงเหลือ'!G:G,'📊 รายงานสินค้าคงเหลือ'!D:D,V100),"")</f>
        <v/>
      </c>
      <c r="X100" s="46"/>
      <c r="Y100" s="46"/>
      <c r="Z100" s="46"/>
    </row>
    <row r="101">
      <c r="A101" s="46"/>
      <c r="B101" s="16"/>
      <c r="C101" s="118"/>
      <c r="D101" s="126"/>
      <c r="E101" s="88"/>
      <c r="F101" s="118"/>
      <c r="G101" s="46"/>
      <c r="H101" s="46"/>
      <c r="I101" s="118"/>
      <c r="J101" s="46"/>
      <c r="K101" s="16" t="str">
        <f>IF(J101&lt;&gt;"",SUMIFS('💰 Transaction ขาย'!$F:$F,'💰 Transaction ขาย'!$K:$K,$J101,'💰 Transaction ขาย'!$J:$J,$B$1),"")</f>
        <v/>
      </c>
      <c r="L101" s="118"/>
      <c r="M101" s="46"/>
      <c r="N101" s="46"/>
      <c r="O101" s="46"/>
      <c r="P101" s="118"/>
      <c r="Q101" s="46"/>
      <c r="R101" s="46"/>
      <c r="S101" s="46"/>
      <c r="T101" s="46"/>
      <c r="U101" s="118"/>
      <c r="V101" s="46"/>
      <c r="W101" s="88" t="str">
        <f>IF(V101&lt;&gt;"",SUMIFS('📊 รายงานสินค้าคงเหลือ'!G:G,'📊 รายงานสินค้าคงเหลือ'!D:D,V101),"")</f>
        <v/>
      </c>
      <c r="X101" s="46"/>
      <c r="Y101" s="46"/>
      <c r="Z101" s="46"/>
    </row>
    <row r="102">
      <c r="A102" s="46"/>
      <c r="B102" s="16"/>
      <c r="C102" s="118"/>
      <c r="D102" s="126"/>
      <c r="E102" s="88"/>
      <c r="F102" s="118"/>
      <c r="G102" s="46"/>
      <c r="H102" s="46"/>
      <c r="I102" s="118"/>
      <c r="J102" s="46"/>
      <c r="K102" s="16" t="str">
        <f>IF(J102&lt;&gt;"",SUMIFS('💰 Transaction ขาย'!$F:$F,'💰 Transaction ขาย'!$K:$K,$J102,'💰 Transaction ขาย'!$J:$J,$B$1),"")</f>
        <v/>
      </c>
      <c r="L102" s="118"/>
      <c r="M102" s="46"/>
      <c r="N102" s="46"/>
      <c r="O102" s="46"/>
      <c r="P102" s="118"/>
      <c r="Q102" s="46"/>
      <c r="R102" s="46"/>
      <c r="S102" s="46"/>
      <c r="T102" s="46"/>
      <c r="U102" s="118"/>
      <c r="V102" s="46"/>
      <c r="W102" s="88" t="str">
        <f>IF(V102&lt;&gt;"",SUMIFS('📊 รายงานสินค้าคงเหลือ'!G:G,'📊 รายงานสินค้าคงเหลือ'!D:D,V102),"")</f>
        <v/>
      </c>
      <c r="X102" s="46"/>
      <c r="Y102" s="46"/>
      <c r="Z102" s="46"/>
    </row>
    <row r="103">
      <c r="A103" s="46"/>
      <c r="B103" s="16"/>
      <c r="C103" s="118"/>
      <c r="D103" s="126"/>
      <c r="E103" s="88"/>
      <c r="F103" s="118"/>
      <c r="G103" s="46"/>
      <c r="H103" s="46"/>
      <c r="I103" s="118"/>
      <c r="J103" s="46"/>
      <c r="K103" s="16" t="str">
        <f>IF(J103&lt;&gt;"",SUMIFS('💰 Transaction ขาย'!$F:$F,'💰 Transaction ขาย'!$K:$K,$J103,'💰 Transaction ขาย'!$J:$J,$B$1),"")</f>
        <v/>
      </c>
      <c r="L103" s="118"/>
      <c r="M103" s="46"/>
      <c r="N103" s="46"/>
      <c r="O103" s="46"/>
      <c r="P103" s="118"/>
      <c r="Q103" s="46"/>
      <c r="R103" s="46"/>
      <c r="S103" s="46"/>
      <c r="T103" s="46"/>
      <c r="U103" s="118"/>
      <c r="V103" s="46"/>
      <c r="W103" s="88" t="str">
        <f>IF(V103&lt;&gt;"",SUMIFS('📊 รายงานสินค้าคงเหลือ'!G:G,'📊 รายงานสินค้าคงเหลือ'!D:D,V103),"")</f>
        <v/>
      </c>
      <c r="X103" s="46"/>
      <c r="Y103" s="46"/>
      <c r="Z103" s="46"/>
    </row>
    <row r="104">
      <c r="A104" s="46"/>
      <c r="B104" s="16"/>
      <c r="C104" s="118"/>
      <c r="D104" s="126"/>
      <c r="E104" s="88"/>
      <c r="F104" s="118"/>
      <c r="G104" s="46"/>
      <c r="H104" s="46"/>
      <c r="I104" s="118"/>
      <c r="J104" s="46"/>
      <c r="K104" s="16" t="str">
        <f>IF(J104&lt;&gt;"",SUMIFS('💰 Transaction ขาย'!$F:$F,'💰 Transaction ขาย'!$K:$K,$J104,'💰 Transaction ขาย'!$J:$J,$B$1),"")</f>
        <v/>
      </c>
      <c r="L104" s="118"/>
      <c r="M104" s="46"/>
      <c r="N104" s="46"/>
      <c r="O104" s="46"/>
      <c r="P104" s="118"/>
      <c r="Q104" s="46"/>
      <c r="R104" s="46"/>
      <c r="S104" s="46"/>
      <c r="T104" s="46"/>
      <c r="U104" s="118"/>
      <c r="V104" s="46"/>
      <c r="W104" s="88" t="str">
        <f>IF(V104&lt;&gt;"",SUMIFS('📊 รายงานสินค้าคงเหลือ'!G:G,'📊 รายงานสินค้าคงเหลือ'!D:D,V104),"")</f>
        <v/>
      </c>
      <c r="X104" s="46"/>
      <c r="Y104" s="46"/>
      <c r="Z104" s="46"/>
    </row>
    <row r="105">
      <c r="A105" s="46"/>
      <c r="B105" s="16"/>
      <c r="C105" s="118"/>
      <c r="D105" s="126"/>
      <c r="E105" s="88"/>
      <c r="F105" s="118"/>
      <c r="G105" s="46"/>
      <c r="H105" s="46"/>
      <c r="I105" s="118"/>
      <c r="J105" s="46"/>
      <c r="K105" s="16" t="str">
        <f>IF(J105&lt;&gt;"",SUMIFS('💰 Transaction ขาย'!$F:$F,'💰 Transaction ขาย'!$K:$K,$J105,'💰 Transaction ขาย'!$J:$J,$B$1),"")</f>
        <v/>
      </c>
      <c r="L105" s="118"/>
      <c r="M105" s="46"/>
      <c r="N105" s="46"/>
      <c r="O105" s="46"/>
      <c r="P105" s="118"/>
      <c r="Q105" s="46"/>
      <c r="R105" s="46"/>
      <c r="S105" s="46"/>
      <c r="T105" s="46"/>
      <c r="U105" s="118"/>
      <c r="V105" s="46"/>
      <c r="W105" s="88" t="str">
        <f>IF(V105&lt;&gt;"",SUMIFS('📊 รายงานสินค้าคงเหลือ'!G:G,'📊 รายงานสินค้าคงเหลือ'!D:D,V105),"")</f>
        <v/>
      </c>
      <c r="X105" s="46"/>
      <c r="Y105" s="46"/>
      <c r="Z105" s="46"/>
    </row>
    <row r="106">
      <c r="A106" s="46"/>
      <c r="B106" s="16"/>
      <c r="C106" s="118"/>
      <c r="D106" s="126"/>
      <c r="E106" s="88"/>
      <c r="F106" s="118"/>
      <c r="G106" s="46"/>
      <c r="H106" s="46"/>
      <c r="I106" s="118"/>
      <c r="J106" s="46"/>
      <c r="K106" s="16" t="str">
        <f>IF(J106&lt;&gt;"",SUMIFS('💰 Transaction ขาย'!$F:$F,'💰 Transaction ขาย'!$K:$K,$J106,'💰 Transaction ขาย'!$J:$J,$B$1),"")</f>
        <v/>
      </c>
      <c r="L106" s="118"/>
      <c r="M106" s="46"/>
      <c r="N106" s="46"/>
      <c r="O106" s="46"/>
      <c r="P106" s="118"/>
      <c r="Q106" s="46"/>
      <c r="R106" s="46"/>
      <c r="S106" s="46"/>
      <c r="T106" s="46"/>
      <c r="U106" s="118"/>
      <c r="V106" s="46"/>
      <c r="W106" s="88" t="str">
        <f>IF(V106&lt;&gt;"",SUMIFS('📊 รายงานสินค้าคงเหลือ'!G:G,'📊 รายงานสินค้าคงเหลือ'!D:D,V106),"")</f>
        <v/>
      </c>
      <c r="X106" s="46"/>
      <c r="Y106" s="46"/>
      <c r="Z106" s="46"/>
    </row>
    <row r="107">
      <c r="A107" s="46"/>
      <c r="B107" s="16"/>
      <c r="C107" s="118"/>
      <c r="D107" s="126"/>
      <c r="E107" s="88"/>
      <c r="F107" s="118"/>
      <c r="G107" s="46"/>
      <c r="H107" s="46"/>
      <c r="I107" s="118"/>
      <c r="J107" s="46"/>
      <c r="K107" s="16" t="str">
        <f>IF(J107&lt;&gt;"",SUMIFS('💰 Transaction ขาย'!$F:$F,'💰 Transaction ขาย'!$K:$K,$J107,'💰 Transaction ขาย'!$J:$J,$B$1),"")</f>
        <v/>
      </c>
      <c r="L107" s="118"/>
      <c r="M107" s="46"/>
      <c r="N107" s="46"/>
      <c r="O107" s="46"/>
      <c r="P107" s="118"/>
      <c r="Q107" s="46"/>
      <c r="R107" s="46"/>
      <c r="S107" s="46"/>
      <c r="T107" s="46"/>
      <c r="U107" s="118"/>
      <c r="V107" s="46"/>
      <c r="W107" s="88" t="str">
        <f>IF(V107&lt;&gt;"",SUMIFS('📊 รายงานสินค้าคงเหลือ'!G:G,'📊 รายงานสินค้าคงเหลือ'!D:D,V107),"")</f>
        <v/>
      </c>
      <c r="X107" s="46"/>
      <c r="Y107" s="46"/>
      <c r="Z107" s="46"/>
    </row>
    <row r="108">
      <c r="A108" s="46"/>
      <c r="B108" s="16"/>
      <c r="C108" s="118"/>
      <c r="D108" s="126"/>
      <c r="E108" s="88"/>
      <c r="F108" s="118"/>
      <c r="G108" s="46"/>
      <c r="H108" s="46"/>
      <c r="I108" s="118"/>
      <c r="J108" s="46"/>
      <c r="K108" s="16" t="str">
        <f>IF(J108&lt;&gt;"",SUMIFS('💰 Transaction ขาย'!$F:$F,'💰 Transaction ขาย'!$K:$K,$J108,'💰 Transaction ขาย'!$J:$J,$B$1),"")</f>
        <v/>
      </c>
      <c r="L108" s="118"/>
      <c r="M108" s="46"/>
      <c r="N108" s="46"/>
      <c r="O108" s="46"/>
      <c r="P108" s="118"/>
      <c r="Q108" s="46"/>
      <c r="R108" s="46"/>
      <c r="S108" s="46"/>
      <c r="T108" s="46"/>
      <c r="U108" s="118"/>
      <c r="V108" s="46"/>
      <c r="W108" s="88" t="str">
        <f>IF(V108&lt;&gt;"",SUMIFS('📊 รายงานสินค้าคงเหลือ'!G:G,'📊 รายงานสินค้าคงเหลือ'!D:D,V108),"")</f>
        <v/>
      </c>
      <c r="X108" s="46"/>
      <c r="Y108" s="46"/>
      <c r="Z108" s="46"/>
    </row>
    <row r="109">
      <c r="A109" s="46"/>
      <c r="B109" s="16"/>
      <c r="C109" s="118"/>
      <c r="D109" s="126"/>
      <c r="E109" s="88"/>
      <c r="F109" s="118"/>
      <c r="G109" s="46"/>
      <c r="H109" s="46"/>
      <c r="I109" s="118"/>
      <c r="J109" s="46"/>
      <c r="K109" s="16" t="str">
        <f>IF(J109&lt;&gt;"",SUMIFS('💰 Transaction ขาย'!$F:$F,'💰 Transaction ขาย'!$K:$K,$J109,'💰 Transaction ขาย'!$J:$J,$B$1),"")</f>
        <v/>
      </c>
      <c r="L109" s="118"/>
      <c r="M109" s="46"/>
      <c r="N109" s="46"/>
      <c r="O109" s="46"/>
      <c r="P109" s="118"/>
      <c r="Q109" s="46"/>
      <c r="R109" s="46"/>
      <c r="S109" s="46"/>
      <c r="T109" s="46"/>
      <c r="U109" s="118"/>
      <c r="V109" s="46"/>
      <c r="W109" s="88" t="str">
        <f>IF(V109&lt;&gt;"",SUMIFS('📊 รายงานสินค้าคงเหลือ'!G:G,'📊 รายงานสินค้าคงเหลือ'!D:D,V109),"")</f>
        <v/>
      </c>
      <c r="X109" s="46"/>
      <c r="Y109" s="46"/>
      <c r="Z109" s="46"/>
    </row>
    <row r="110">
      <c r="A110" s="46"/>
      <c r="B110" s="16"/>
      <c r="C110" s="118"/>
      <c r="D110" s="126"/>
      <c r="E110" s="88"/>
      <c r="F110" s="118"/>
      <c r="G110" s="46"/>
      <c r="H110" s="46"/>
      <c r="I110" s="118"/>
      <c r="J110" s="46"/>
      <c r="K110" s="16" t="str">
        <f>IF(J110&lt;&gt;"",SUMIFS('💰 Transaction ขาย'!$F:$F,'💰 Transaction ขาย'!$K:$K,$J110,'💰 Transaction ขาย'!$J:$J,$B$1),"")</f>
        <v/>
      </c>
      <c r="L110" s="118"/>
      <c r="M110" s="46"/>
      <c r="N110" s="46"/>
      <c r="O110" s="46"/>
      <c r="P110" s="118"/>
      <c r="Q110" s="46"/>
      <c r="R110" s="46"/>
      <c r="S110" s="46"/>
      <c r="T110" s="46"/>
      <c r="U110" s="118"/>
      <c r="V110" s="46"/>
      <c r="W110" s="88" t="str">
        <f>IF(V110&lt;&gt;"",SUMIFS('📊 รายงานสินค้าคงเหลือ'!G:G,'📊 รายงานสินค้าคงเหลือ'!D:D,V110),"")</f>
        <v/>
      </c>
      <c r="X110" s="46"/>
      <c r="Y110" s="46"/>
      <c r="Z110" s="46"/>
    </row>
    <row r="111">
      <c r="A111" s="46"/>
      <c r="B111" s="16"/>
      <c r="C111" s="118"/>
      <c r="D111" s="126"/>
      <c r="E111" s="88"/>
      <c r="F111" s="118"/>
      <c r="G111" s="46"/>
      <c r="H111" s="46"/>
      <c r="I111" s="118"/>
      <c r="J111" s="46"/>
      <c r="K111" s="16" t="str">
        <f>IF(J111&lt;&gt;"",SUMIFS('💰 Transaction ขาย'!$F:$F,'💰 Transaction ขาย'!$K:$K,$J111,'💰 Transaction ขาย'!$J:$J,$B$1),"")</f>
        <v/>
      </c>
      <c r="L111" s="118"/>
      <c r="M111" s="46"/>
      <c r="N111" s="46"/>
      <c r="O111" s="46"/>
      <c r="P111" s="118"/>
      <c r="Q111" s="46"/>
      <c r="R111" s="46"/>
      <c r="S111" s="46"/>
      <c r="T111" s="46"/>
      <c r="U111" s="118"/>
      <c r="V111" s="46"/>
      <c r="W111" s="88" t="str">
        <f>IF(V111&lt;&gt;"",SUMIFS('📊 รายงานสินค้าคงเหลือ'!G:G,'📊 รายงานสินค้าคงเหลือ'!D:D,V111),"")</f>
        <v/>
      </c>
      <c r="X111" s="46"/>
      <c r="Y111" s="46"/>
      <c r="Z111" s="46"/>
    </row>
    <row r="112">
      <c r="A112" s="46"/>
      <c r="B112" s="16"/>
      <c r="C112" s="118"/>
      <c r="D112" s="126"/>
      <c r="E112" s="88"/>
      <c r="F112" s="118"/>
      <c r="G112" s="46"/>
      <c r="H112" s="46"/>
      <c r="I112" s="118"/>
      <c r="J112" s="46"/>
      <c r="K112" s="16" t="str">
        <f>IF(J112&lt;&gt;"",SUMIFS('💰 Transaction ขาย'!$F:$F,'💰 Transaction ขาย'!$K:$K,$J112,'💰 Transaction ขาย'!$J:$J,$B$1),"")</f>
        <v/>
      </c>
      <c r="L112" s="118"/>
      <c r="M112" s="46"/>
      <c r="N112" s="46"/>
      <c r="O112" s="46"/>
      <c r="P112" s="118"/>
      <c r="Q112" s="46"/>
      <c r="R112" s="46"/>
      <c r="S112" s="46"/>
      <c r="T112" s="46"/>
      <c r="U112" s="118"/>
      <c r="V112" s="46"/>
      <c r="W112" s="88" t="str">
        <f>IF(V112&lt;&gt;"",SUMIFS('📊 รายงานสินค้าคงเหลือ'!G:G,'📊 รายงานสินค้าคงเหลือ'!D:D,V112),"")</f>
        <v/>
      </c>
      <c r="X112" s="46"/>
      <c r="Y112" s="46"/>
      <c r="Z112" s="46"/>
    </row>
    <row r="113">
      <c r="A113" s="46"/>
      <c r="B113" s="16"/>
      <c r="C113" s="118"/>
      <c r="D113" s="126"/>
      <c r="E113" s="88"/>
      <c r="F113" s="118"/>
      <c r="G113" s="46"/>
      <c r="H113" s="46"/>
      <c r="I113" s="118"/>
      <c r="J113" s="46"/>
      <c r="K113" s="16" t="str">
        <f>IF(J113&lt;&gt;"",SUMIFS('💰 Transaction ขาย'!$F:$F,'💰 Transaction ขาย'!$K:$K,$J113,'💰 Transaction ขาย'!$J:$J,$B$1),"")</f>
        <v/>
      </c>
      <c r="L113" s="118"/>
      <c r="M113" s="46"/>
      <c r="N113" s="46"/>
      <c r="O113" s="46"/>
      <c r="P113" s="118"/>
      <c r="Q113" s="46"/>
      <c r="R113" s="46"/>
      <c r="S113" s="46"/>
      <c r="T113" s="46"/>
      <c r="U113" s="118"/>
      <c r="V113" s="46"/>
      <c r="W113" s="88" t="str">
        <f>IF(V113&lt;&gt;"",SUMIFS('📊 รายงานสินค้าคงเหลือ'!G:G,'📊 รายงานสินค้าคงเหลือ'!D:D,V113),"")</f>
        <v/>
      </c>
      <c r="X113" s="46"/>
      <c r="Y113" s="46"/>
      <c r="Z113" s="46"/>
    </row>
    <row r="114">
      <c r="A114" s="46"/>
      <c r="B114" s="16"/>
      <c r="C114" s="118"/>
      <c r="D114" s="126"/>
      <c r="E114" s="88"/>
      <c r="F114" s="118"/>
      <c r="G114" s="46"/>
      <c r="H114" s="46"/>
      <c r="I114" s="118"/>
      <c r="J114" s="46"/>
      <c r="K114" s="16" t="str">
        <f>IF(J114&lt;&gt;"",SUMIFS('💰 Transaction ขาย'!$F:$F,'💰 Transaction ขาย'!$K:$K,$J114,'💰 Transaction ขาย'!$J:$J,$B$1),"")</f>
        <v/>
      </c>
      <c r="L114" s="118"/>
      <c r="M114" s="46"/>
      <c r="N114" s="46"/>
      <c r="O114" s="46"/>
      <c r="P114" s="118"/>
      <c r="Q114" s="46"/>
      <c r="R114" s="46"/>
      <c r="S114" s="46"/>
      <c r="T114" s="46"/>
      <c r="U114" s="118"/>
      <c r="V114" s="46"/>
      <c r="W114" s="88" t="str">
        <f>IF(V114&lt;&gt;"",SUMIFS('📊 รายงานสินค้าคงเหลือ'!G:G,'📊 รายงานสินค้าคงเหลือ'!D:D,V114),"")</f>
        <v/>
      </c>
      <c r="X114" s="46"/>
      <c r="Y114" s="46"/>
      <c r="Z114" s="46"/>
    </row>
    <row r="115">
      <c r="A115" s="46"/>
      <c r="B115" s="16"/>
      <c r="C115" s="118"/>
      <c r="D115" s="126"/>
      <c r="E115" s="88"/>
      <c r="F115" s="118"/>
      <c r="G115" s="46"/>
      <c r="H115" s="46"/>
      <c r="I115" s="118"/>
      <c r="J115" s="46"/>
      <c r="K115" s="16" t="str">
        <f>IF(J115&lt;&gt;"",SUMIFS('💰 Transaction ขาย'!$F:$F,'💰 Transaction ขาย'!$K:$K,$J115,'💰 Transaction ขาย'!$J:$J,$B$1),"")</f>
        <v/>
      </c>
      <c r="L115" s="118"/>
      <c r="M115" s="46"/>
      <c r="N115" s="46"/>
      <c r="O115" s="46"/>
      <c r="P115" s="118"/>
      <c r="Q115" s="46"/>
      <c r="R115" s="46"/>
      <c r="S115" s="46"/>
      <c r="T115" s="46"/>
      <c r="U115" s="118"/>
      <c r="V115" s="46"/>
      <c r="W115" s="88" t="str">
        <f>IF(V115&lt;&gt;"",SUMIFS('📊 รายงานสินค้าคงเหลือ'!G:G,'📊 รายงานสินค้าคงเหลือ'!D:D,V115),"")</f>
        <v/>
      </c>
      <c r="X115" s="46"/>
      <c r="Y115" s="46"/>
      <c r="Z115" s="46"/>
    </row>
    <row r="116">
      <c r="A116" s="46"/>
      <c r="B116" s="16"/>
      <c r="C116" s="118"/>
      <c r="D116" s="126"/>
      <c r="E116" s="88"/>
      <c r="F116" s="118"/>
      <c r="G116" s="46"/>
      <c r="H116" s="46"/>
      <c r="I116" s="118"/>
      <c r="J116" s="46"/>
      <c r="K116" s="16" t="str">
        <f>IF(J116&lt;&gt;"",SUMIFS('💰 Transaction ขาย'!$F:$F,'💰 Transaction ขาย'!$K:$K,$J116,'💰 Transaction ขาย'!$J:$J,$B$1),"")</f>
        <v/>
      </c>
      <c r="L116" s="118"/>
      <c r="M116" s="46"/>
      <c r="N116" s="46"/>
      <c r="O116" s="46"/>
      <c r="P116" s="118"/>
      <c r="Q116" s="46"/>
      <c r="R116" s="46"/>
      <c r="S116" s="46"/>
      <c r="T116" s="46"/>
      <c r="U116" s="118"/>
      <c r="V116" s="46"/>
      <c r="W116" s="88" t="str">
        <f>IF(V116&lt;&gt;"",SUMIFS('📊 รายงานสินค้าคงเหลือ'!G:G,'📊 รายงานสินค้าคงเหลือ'!D:D,V116),"")</f>
        <v/>
      </c>
      <c r="X116" s="46"/>
      <c r="Y116" s="46"/>
      <c r="Z116" s="46"/>
    </row>
    <row r="117">
      <c r="A117" s="46"/>
      <c r="B117" s="16"/>
      <c r="C117" s="118"/>
      <c r="D117" s="126"/>
      <c r="E117" s="88"/>
      <c r="F117" s="118"/>
      <c r="G117" s="46"/>
      <c r="H117" s="46"/>
      <c r="I117" s="118"/>
      <c r="J117" s="46"/>
      <c r="K117" s="16" t="str">
        <f>IF(J117&lt;&gt;"",SUMIFS('💰 Transaction ขาย'!$F:$F,'💰 Transaction ขาย'!$K:$K,$J117,'💰 Transaction ขาย'!$J:$J,$B$1),"")</f>
        <v/>
      </c>
      <c r="L117" s="118"/>
      <c r="M117" s="46"/>
      <c r="N117" s="46"/>
      <c r="O117" s="46"/>
      <c r="P117" s="118"/>
      <c r="Q117" s="46"/>
      <c r="R117" s="46"/>
      <c r="S117" s="46"/>
      <c r="T117" s="46"/>
      <c r="U117" s="118"/>
      <c r="V117" s="46"/>
      <c r="W117" s="88" t="str">
        <f>IF(V117&lt;&gt;"",SUMIFS('📊 รายงานสินค้าคงเหลือ'!G:G,'📊 รายงานสินค้าคงเหลือ'!D:D,V117),"")</f>
        <v/>
      </c>
      <c r="X117" s="46"/>
      <c r="Y117" s="46"/>
      <c r="Z117" s="46"/>
    </row>
    <row r="118">
      <c r="A118" s="46"/>
      <c r="B118" s="16"/>
      <c r="C118" s="118"/>
      <c r="D118" s="126"/>
      <c r="E118" s="88"/>
      <c r="F118" s="118"/>
      <c r="G118" s="46"/>
      <c r="H118" s="46"/>
      <c r="I118" s="118"/>
      <c r="J118" s="46"/>
      <c r="K118" s="16" t="str">
        <f>IF(J118&lt;&gt;"",SUMIFS('💰 Transaction ขาย'!$F:$F,'💰 Transaction ขาย'!$K:$K,$J118,'💰 Transaction ขาย'!$J:$J,$B$1),"")</f>
        <v/>
      </c>
      <c r="L118" s="118"/>
      <c r="M118" s="46"/>
      <c r="N118" s="46"/>
      <c r="O118" s="46"/>
      <c r="P118" s="118"/>
      <c r="Q118" s="46"/>
      <c r="R118" s="46"/>
      <c r="S118" s="46"/>
      <c r="T118" s="46"/>
      <c r="U118" s="118"/>
      <c r="V118" s="46"/>
      <c r="W118" s="88" t="str">
        <f>IF(V118&lt;&gt;"",SUMIFS('📊 รายงานสินค้าคงเหลือ'!G:G,'📊 รายงานสินค้าคงเหลือ'!D:D,V118),"")</f>
        <v/>
      </c>
      <c r="X118" s="46"/>
      <c r="Y118" s="46"/>
      <c r="Z118" s="46"/>
    </row>
    <row r="119">
      <c r="A119" s="46"/>
      <c r="B119" s="16"/>
      <c r="C119" s="118"/>
      <c r="D119" s="126"/>
      <c r="E119" s="88"/>
      <c r="F119" s="118"/>
      <c r="G119" s="46"/>
      <c r="H119" s="46"/>
      <c r="I119" s="118"/>
      <c r="J119" s="46"/>
      <c r="K119" s="16" t="str">
        <f>IF(J119&lt;&gt;"",SUMIFS('💰 Transaction ขาย'!$F:$F,'💰 Transaction ขาย'!$K:$K,$J119,'💰 Transaction ขาย'!$J:$J,$B$1),"")</f>
        <v/>
      </c>
      <c r="L119" s="118"/>
      <c r="M119" s="46"/>
      <c r="N119" s="46"/>
      <c r="O119" s="46"/>
      <c r="P119" s="118"/>
      <c r="Q119" s="46"/>
      <c r="R119" s="46"/>
      <c r="S119" s="46"/>
      <c r="T119" s="46"/>
      <c r="U119" s="118"/>
      <c r="V119" s="46"/>
      <c r="W119" s="88" t="str">
        <f>IF(V119&lt;&gt;"",SUMIFS('📊 รายงานสินค้าคงเหลือ'!G:G,'📊 รายงานสินค้าคงเหลือ'!D:D,V119),"")</f>
        <v/>
      </c>
      <c r="X119" s="46"/>
      <c r="Y119" s="46"/>
      <c r="Z119" s="46"/>
    </row>
    <row r="120">
      <c r="A120" s="46"/>
      <c r="B120" s="16"/>
      <c r="C120" s="118"/>
      <c r="D120" s="126"/>
      <c r="E120" s="88"/>
      <c r="F120" s="118"/>
      <c r="G120" s="46"/>
      <c r="H120" s="46"/>
      <c r="I120" s="118"/>
      <c r="J120" s="46"/>
      <c r="K120" s="16" t="str">
        <f>IF(J120&lt;&gt;"",SUMIFS('💰 Transaction ขาย'!$F:$F,'💰 Transaction ขาย'!$K:$K,$J120,'💰 Transaction ขาย'!$J:$J,$B$1),"")</f>
        <v/>
      </c>
      <c r="L120" s="118"/>
      <c r="M120" s="46"/>
      <c r="N120" s="46"/>
      <c r="O120" s="46"/>
      <c r="P120" s="118"/>
      <c r="Q120" s="46"/>
      <c r="R120" s="46"/>
      <c r="S120" s="46"/>
      <c r="T120" s="46"/>
      <c r="U120" s="118"/>
      <c r="V120" s="46"/>
      <c r="W120" s="88" t="str">
        <f>IF(V120&lt;&gt;"",SUMIFS('📊 รายงานสินค้าคงเหลือ'!G:G,'📊 รายงานสินค้าคงเหลือ'!D:D,V120),"")</f>
        <v/>
      </c>
      <c r="X120" s="46"/>
      <c r="Y120" s="46"/>
      <c r="Z120" s="46"/>
    </row>
    <row r="121">
      <c r="A121" s="46"/>
      <c r="B121" s="16"/>
      <c r="C121" s="118"/>
      <c r="D121" s="126"/>
      <c r="E121" s="88"/>
      <c r="F121" s="118"/>
      <c r="G121" s="46"/>
      <c r="H121" s="46"/>
      <c r="I121" s="118"/>
      <c r="J121" s="46"/>
      <c r="K121" s="16" t="str">
        <f>IF(J121&lt;&gt;"",SUMIFS('💰 Transaction ขาย'!$F:$F,'💰 Transaction ขาย'!$K:$K,$J121,'💰 Transaction ขาย'!$J:$J,$B$1),"")</f>
        <v/>
      </c>
      <c r="L121" s="118"/>
      <c r="M121" s="46"/>
      <c r="N121" s="46"/>
      <c r="O121" s="46"/>
      <c r="P121" s="118"/>
      <c r="Q121" s="46"/>
      <c r="R121" s="46"/>
      <c r="S121" s="46"/>
      <c r="T121" s="46"/>
      <c r="U121" s="118"/>
      <c r="V121" s="46"/>
      <c r="W121" s="88" t="str">
        <f>IF(V121&lt;&gt;"",SUMIFS('📊 รายงานสินค้าคงเหลือ'!G:G,'📊 รายงานสินค้าคงเหลือ'!D:D,V121),"")</f>
        <v/>
      </c>
      <c r="X121" s="46"/>
      <c r="Y121" s="46"/>
      <c r="Z121" s="46"/>
    </row>
    <row r="122">
      <c r="A122" s="46"/>
      <c r="B122" s="16"/>
      <c r="C122" s="118"/>
      <c r="D122" s="126"/>
      <c r="E122" s="88"/>
      <c r="F122" s="118"/>
      <c r="G122" s="46"/>
      <c r="H122" s="46"/>
      <c r="I122" s="118"/>
      <c r="J122" s="46"/>
      <c r="K122" s="16" t="str">
        <f>IF(J122&lt;&gt;"",SUMIFS('💰 Transaction ขาย'!$F:$F,'💰 Transaction ขาย'!$K:$K,$J122,'💰 Transaction ขาย'!$J:$J,$B$1),"")</f>
        <v/>
      </c>
      <c r="L122" s="118"/>
      <c r="M122" s="46"/>
      <c r="N122" s="46"/>
      <c r="O122" s="46"/>
      <c r="P122" s="118"/>
      <c r="Q122" s="46"/>
      <c r="R122" s="46"/>
      <c r="S122" s="46"/>
      <c r="T122" s="46"/>
      <c r="U122" s="118"/>
      <c r="V122" s="46"/>
      <c r="W122" s="88" t="str">
        <f>IF(V122&lt;&gt;"",SUMIFS('📊 รายงานสินค้าคงเหลือ'!G:G,'📊 รายงานสินค้าคงเหลือ'!D:D,V122),"")</f>
        <v/>
      </c>
      <c r="X122" s="46"/>
      <c r="Y122" s="46"/>
      <c r="Z122" s="46"/>
    </row>
    <row r="123">
      <c r="A123" s="46"/>
      <c r="B123" s="16"/>
      <c r="C123" s="118"/>
      <c r="D123" s="126"/>
      <c r="E123" s="88"/>
      <c r="F123" s="118"/>
      <c r="G123" s="46"/>
      <c r="H123" s="46"/>
      <c r="I123" s="118"/>
      <c r="J123" s="46"/>
      <c r="K123" s="16" t="str">
        <f>IF(J123&lt;&gt;"",SUMIFS('💰 Transaction ขาย'!$F:$F,'💰 Transaction ขาย'!$K:$K,$J123,'💰 Transaction ขาย'!$J:$J,$B$1),"")</f>
        <v/>
      </c>
      <c r="L123" s="118"/>
      <c r="M123" s="46"/>
      <c r="N123" s="46"/>
      <c r="O123" s="46"/>
      <c r="P123" s="118"/>
      <c r="Q123" s="46"/>
      <c r="R123" s="46"/>
      <c r="S123" s="46"/>
      <c r="T123" s="46"/>
      <c r="U123" s="118"/>
      <c r="V123" s="46"/>
      <c r="W123" s="88" t="str">
        <f>IF(V123&lt;&gt;"",SUMIFS('📊 รายงานสินค้าคงเหลือ'!G:G,'📊 รายงานสินค้าคงเหลือ'!D:D,V123),"")</f>
        <v/>
      </c>
      <c r="X123" s="46"/>
      <c r="Y123" s="46"/>
      <c r="Z123" s="46"/>
    </row>
    <row r="124">
      <c r="A124" s="46"/>
      <c r="B124" s="16"/>
      <c r="C124" s="118"/>
      <c r="D124" s="126"/>
      <c r="E124" s="88"/>
      <c r="F124" s="118"/>
      <c r="G124" s="46"/>
      <c r="H124" s="46"/>
      <c r="I124" s="118"/>
      <c r="J124" s="46"/>
      <c r="K124" s="16" t="str">
        <f>IF(J124&lt;&gt;"",SUMIFS('💰 Transaction ขาย'!$F:$F,'💰 Transaction ขาย'!$K:$K,$J124,'💰 Transaction ขาย'!$J:$J,$B$1),"")</f>
        <v/>
      </c>
      <c r="L124" s="118"/>
      <c r="M124" s="46"/>
      <c r="N124" s="46"/>
      <c r="O124" s="46"/>
      <c r="P124" s="118"/>
      <c r="Q124" s="46"/>
      <c r="R124" s="46"/>
      <c r="S124" s="46"/>
      <c r="T124" s="46"/>
      <c r="U124" s="118"/>
      <c r="V124" s="46"/>
      <c r="W124" s="88" t="str">
        <f>IF(V124&lt;&gt;"",SUMIFS('📊 รายงานสินค้าคงเหลือ'!G:G,'📊 รายงานสินค้าคงเหลือ'!D:D,V124),"")</f>
        <v/>
      </c>
      <c r="X124" s="46"/>
      <c r="Y124" s="46"/>
      <c r="Z124" s="46"/>
    </row>
    <row r="125">
      <c r="A125" s="46"/>
      <c r="B125" s="16"/>
      <c r="C125" s="118"/>
      <c r="D125" s="126"/>
      <c r="E125" s="88"/>
      <c r="F125" s="118"/>
      <c r="G125" s="46"/>
      <c r="H125" s="46"/>
      <c r="I125" s="118"/>
      <c r="J125" s="46"/>
      <c r="K125" s="16" t="str">
        <f>IF(J125&lt;&gt;"",SUMIFS('💰 Transaction ขาย'!$F:$F,'💰 Transaction ขาย'!$K:$K,$J125,'💰 Transaction ขาย'!$J:$J,$B$1),"")</f>
        <v/>
      </c>
      <c r="L125" s="118"/>
      <c r="M125" s="46"/>
      <c r="N125" s="46"/>
      <c r="O125" s="46"/>
      <c r="P125" s="118"/>
      <c r="Q125" s="46"/>
      <c r="R125" s="46"/>
      <c r="S125" s="46"/>
      <c r="T125" s="46"/>
      <c r="U125" s="118"/>
      <c r="V125" s="46"/>
      <c r="W125" s="88" t="str">
        <f>IF(V125&lt;&gt;"",SUMIFS('📊 รายงานสินค้าคงเหลือ'!G:G,'📊 รายงานสินค้าคงเหลือ'!D:D,V125),"")</f>
        <v/>
      </c>
      <c r="X125" s="46"/>
      <c r="Y125" s="46"/>
      <c r="Z125" s="46"/>
    </row>
    <row r="126">
      <c r="A126" s="46"/>
      <c r="B126" s="16"/>
      <c r="C126" s="118"/>
      <c r="D126" s="126"/>
      <c r="E126" s="88"/>
      <c r="F126" s="118"/>
      <c r="G126" s="46"/>
      <c r="H126" s="46"/>
      <c r="I126" s="118"/>
      <c r="J126" s="46"/>
      <c r="K126" s="16" t="str">
        <f>IF(J126&lt;&gt;"",SUMIFS('💰 Transaction ขาย'!$F:$F,'💰 Transaction ขาย'!$K:$K,$J126,'💰 Transaction ขาย'!$J:$J,$B$1),"")</f>
        <v/>
      </c>
      <c r="L126" s="118"/>
      <c r="M126" s="46"/>
      <c r="N126" s="46"/>
      <c r="O126" s="46"/>
      <c r="P126" s="118"/>
      <c r="Q126" s="46"/>
      <c r="R126" s="46"/>
      <c r="S126" s="46"/>
      <c r="T126" s="46"/>
      <c r="U126" s="118"/>
      <c r="V126" s="46"/>
      <c r="W126" s="88" t="str">
        <f>IF(V126&lt;&gt;"",SUMIFS('📊 รายงานสินค้าคงเหลือ'!G:G,'📊 รายงานสินค้าคงเหลือ'!D:D,V126),"")</f>
        <v/>
      </c>
      <c r="X126" s="46"/>
      <c r="Y126" s="46"/>
      <c r="Z126" s="46"/>
    </row>
    <row r="127">
      <c r="A127" s="46"/>
      <c r="B127" s="16"/>
      <c r="C127" s="118"/>
      <c r="D127" s="126"/>
      <c r="E127" s="88"/>
      <c r="F127" s="118"/>
      <c r="G127" s="46"/>
      <c r="H127" s="46"/>
      <c r="I127" s="118"/>
      <c r="J127" s="46"/>
      <c r="K127" s="16" t="str">
        <f>IF(J127&lt;&gt;"",SUMIFS('💰 Transaction ขาย'!$F:$F,'💰 Transaction ขาย'!$K:$K,$J127,'💰 Transaction ขาย'!$J:$J,$B$1),"")</f>
        <v/>
      </c>
      <c r="L127" s="118"/>
      <c r="M127" s="46"/>
      <c r="N127" s="46"/>
      <c r="O127" s="46"/>
      <c r="P127" s="118"/>
      <c r="Q127" s="46"/>
      <c r="R127" s="46"/>
      <c r="S127" s="46"/>
      <c r="T127" s="46"/>
      <c r="U127" s="118"/>
      <c r="V127" s="46"/>
      <c r="W127" s="88" t="str">
        <f>IF(V127&lt;&gt;"",SUMIFS('📊 รายงานสินค้าคงเหลือ'!G:G,'📊 รายงานสินค้าคงเหลือ'!D:D,V127),"")</f>
        <v/>
      </c>
      <c r="X127" s="46"/>
      <c r="Y127" s="46"/>
      <c r="Z127" s="46"/>
    </row>
    <row r="128">
      <c r="A128" s="46"/>
      <c r="B128" s="16"/>
      <c r="C128" s="118"/>
      <c r="D128" s="126"/>
      <c r="E128" s="88"/>
      <c r="F128" s="118"/>
      <c r="G128" s="46"/>
      <c r="H128" s="46"/>
      <c r="I128" s="118"/>
      <c r="J128" s="46"/>
      <c r="K128" s="16" t="str">
        <f>IF(J128&lt;&gt;"",SUMIFS('💰 Transaction ขาย'!$F:$F,'💰 Transaction ขาย'!$K:$K,$J128,'💰 Transaction ขาย'!$J:$J,$B$1),"")</f>
        <v/>
      </c>
      <c r="L128" s="118"/>
      <c r="M128" s="46"/>
      <c r="N128" s="46"/>
      <c r="O128" s="46"/>
      <c r="P128" s="118"/>
      <c r="Q128" s="46"/>
      <c r="R128" s="46"/>
      <c r="S128" s="46"/>
      <c r="T128" s="46"/>
      <c r="U128" s="118"/>
      <c r="V128" s="46"/>
      <c r="W128" s="88" t="str">
        <f>IF(V128&lt;&gt;"",SUMIFS('📊 รายงานสินค้าคงเหลือ'!G:G,'📊 รายงานสินค้าคงเหลือ'!D:D,V128),"")</f>
        <v/>
      </c>
      <c r="X128" s="46"/>
      <c r="Y128" s="46"/>
      <c r="Z128" s="46"/>
    </row>
    <row r="129">
      <c r="A129" s="46"/>
      <c r="B129" s="16"/>
      <c r="C129" s="118"/>
      <c r="D129" s="126"/>
      <c r="E129" s="88"/>
      <c r="F129" s="118"/>
      <c r="G129" s="46"/>
      <c r="H129" s="46"/>
      <c r="I129" s="118"/>
      <c r="J129" s="46"/>
      <c r="K129" s="16" t="str">
        <f>IF(J129&lt;&gt;"",SUMIFS('💰 Transaction ขาย'!$F:$F,'💰 Transaction ขาย'!$K:$K,$J129,'💰 Transaction ขาย'!$J:$J,$B$1),"")</f>
        <v/>
      </c>
      <c r="L129" s="118"/>
      <c r="M129" s="46"/>
      <c r="N129" s="46"/>
      <c r="O129" s="46"/>
      <c r="P129" s="118"/>
      <c r="Q129" s="46"/>
      <c r="R129" s="46"/>
      <c r="S129" s="46"/>
      <c r="T129" s="46"/>
      <c r="U129" s="118"/>
      <c r="V129" s="46"/>
      <c r="W129" s="88" t="str">
        <f>IF(V129&lt;&gt;"",SUMIFS('📊 รายงานสินค้าคงเหลือ'!G:G,'📊 รายงานสินค้าคงเหลือ'!D:D,V129),"")</f>
        <v/>
      </c>
      <c r="X129" s="46"/>
      <c r="Y129" s="46"/>
      <c r="Z129" s="46"/>
    </row>
    <row r="130">
      <c r="A130" s="46"/>
      <c r="B130" s="16"/>
      <c r="C130" s="118"/>
      <c r="D130" s="126"/>
      <c r="E130" s="88"/>
      <c r="F130" s="118"/>
      <c r="G130" s="46"/>
      <c r="H130" s="46"/>
      <c r="I130" s="118"/>
      <c r="J130" s="46"/>
      <c r="K130" s="16" t="str">
        <f>IF(J130&lt;&gt;"",SUMIFS('💰 Transaction ขาย'!$F:$F,'💰 Transaction ขาย'!$K:$K,$J130,'💰 Transaction ขาย'!$J:$J,$B$1),"")</f>
        <v/>
      </c>
      <c r="L130" s="118"/>
      <c r="M130" s="46"/>
      <c r="N130" s="46"/>
      <c r="O130" s="46"/>
      <c r="P130" s="118"/>
      <c r="Q130" s="46"/>
      <c r="R130" s="46"/>
      <c r="S130" s="46"/>
      <c r="T130" s="46"/>
      <c r="U130" s="118"/>
      <c r="V130" s="46"/>
      <c r="W130" s="88" t="str">
        <f>IF(V130&lt;&gt;"",SUMIFS('📊 รายงานสินค้าคงเหลือ'!G:G,'📊 รายงานสินค้าคงเหลือ'!D:D,V130),"")</f>
        <v/>
      </c>
      <c r="X130" s="46"/>
      <c r="Y130" s="46"/>
      <c r="Z130" s="46"/>
    </row>
    <row r="131">
      <c r="A131" s="46"/>
      <c r="B131" s="16"/>
      <c r="C131" s="118"/>
      <c r="D131" s="126"/>
      <c r="E131" s="88"/>
      <c r="F131" s="118"/>
      <c r="G131" s="46"/>
      <c r="H131" s="46"/>
      <c r="I131" s="118"/>
      <c r="J131" s="46"/>
      <c r="K131" s="16" t="str">
        <f>IF(J131&lt;&gt;"",SUMIFS('💰 Transaction ขาย'!$F:$F,'💰 Transaction ขาย'!$K:$K,$J131,'💰 Transaction ขาย'!$J:$J,$B$1),"")</f>
        <v/>
      </c>
      <c r="L131" s="118"/>
      <c r="M131" s="46"/>
      <c r="N131" s="46"/>
      <c r="O131" s="46"/>
      <c r="P131" s="118"/>
      <c r="Q131" s="46"/>
      <c r="R131" s="46"/>
      <c r="S131" s="46"/>
      <c r="T131" s="46"/>
      <c r="U131" s="118"/>
      <c r="V131" s="46"/>
      <c r="W131" s="88" t="str">
        <f>IF(V131&lt;&gt;"",SUMIFS('📊 รายงานสินค้าคงเหลือ'!G:G,'📊 รายงานสินค้าคงเหลือ'!D:D,V131),"")</f>
        <v/>
      </c>
      <c r="X131" s="46"/>
      <c r="Y131" s="46"/>
      <c r="Z131" s="46"/>
    </row>
    <row r="132">
      <c r="A132" s="46"/>
      <c r="B132" s="16"/>
      <c r="C132" s="118"/>
      <c r="D132" s="126"/>
      <c r="E132" s="88"/>
      <c r="F132" s="118"/>
      <c r="G132" s="46"/>
      <c r="H132" s="46"/>
      <c r="I132" s="118"/>
      <c r="J132" s="46"/>
      <c r="K132" s="16" t="str">
        <f>IF(J132&lt;&gt;"",SUMIFS('💰 Transaction ขาย'!$F:$F,'💰 Transaction ขาย'!$K:$K,$J132,'💰 Transaction ขาย'!$J:$J,$B$1),"")</f>
        <v/>
      </c>
      <c r="L132" s="118"/>
      <c r="M132" s="46"/>
      <c r="N132" s="46"/>
      <c r="O132" s="46"/>
      <c r="P132" s="118"/>
      <c r="Q132" s="46"/>
      <c r="R132" s="46"/>
      <c r="S132" s="46"/>
      <c r="T132" s="46"/>
      <c r="U132" s="118"/>
      <c r="V132" s="46"/>
      <c r="W132" s="88" t="str">
        <f>IF(V132&lt;&gt;"",SUMIFS('📊 รายงานสินค้าคงเหลือ'!G:G,'📊 รายงานสินค้าคงเหลือ'!D:D,V132),"")</f>
        <v/>
      </c>
      <c r="X132" s="46"/>
      <c r="Y132" s="46"/>
      <c r="Z132" s="46"/>
    </row>
    <row r="133">
      <c r="A133" s="46"/>
      <c r="B133" s="16"/>
      <c r="C133" s="118"/>
      <c r="D133" s="126"/>
      <c r="E133" s="88"/>
      <c r="F133" s="118"/>
      <c r="G133" s="46"/>
      <c r="H133" s="46"/>
      <c r="I133" s="118"/>
      <c r="J133" s="46"/>
      <c r="K133" s="16" t="str">
        <f>IF(J133&lt;&gt;"",SUMIFS('💰 Transaction ขาย'!$F:$F,'💰 Transaction ขาย'!$K:$K,$J133,'💰 Transaction ขาย'!$J:$J,$B$1),"")</f>
        <v/>
      </c>
      <c r="L133" s="118"/>
      <c r="M133" s="46"/>
      <c r="N133" s="46"/>
      <c r="O133" s="46"/>
      <c r="P133" s="118"/>
      <c r="Q133" s="46"/>
      <c r="R133" s="46"/>
      <c r="S133" s="46"/>
      <c r="T133" s="46"/>
      <c r="U133" s="118"/>
      <c r="V133" s="46"/>
      <c r="W133" s="88" t="str">
        <f>IF(V133&lt;&gt;"",SUMIFS('📊 รายงานสินค้าคงเหลือ'!G:G,'📊 รายงานสินค้าคงเหลือ'!D:D,V133),"")</f>
        <v/>
      </c>
      <c r="X133" s="46"/>
      <c r="Y133" s="46"/>
      <c r="Z133" s="46"/>
    </row>
    <row r="134">
      <c r="A134" s="46"/>
      <c r="B134" s="16"/>
      <c r="C134" s="118"/>
      <c r="D134" s="126"/>
      <c r="E134" s="88"/>
      <c r="F134" s="118"/>
      <c r="G134" s="46"/>
      <c r="H134" s="46"/>
      <c r="I134" s="118"/>
      <c r="J134" s="46"/>
      <c r="K134" s="16" t="str">
        <f>IF(J134&lt;&gt;"",SUMIFS('💰 Transaction ขาย'!$F:$F,'💰 Transaction ขาย'!$K:$K,$J134,'💰 Transaction ขาย'!$J:$J,$B$1),"")</f>
        <v/>
      </c>
      <c r="L134" s="118"/>
      <c r="M134" s="46"/>
      <c r="N134" s="46"/>
      <c r="O134" s="46"/>
      <c r="P134" s="118"/>
      <c r="Q134" s="46"/>
      <c r="R134" s="46"/>
      <c r="S134" s="46"/>
      <c r="T134" s="46"/>
      <c r="U134" s="118"/>
      <c r="V134" s="46"/>
      <c r="W134" s="88" t="str">
        <f>IF(V134&lt;&gt;"",SUMIFS('📊 รายงานสินค้าคงเหลือ'!G:G,'📊 รายงานสินค้าคงเหลือ'!D:D,V134),"")</f>
        <v/>
      </c>
      <c r="X134" s="46"/>
      <c r="Y134" s="46"/>
      <c r="Z134" s="46"/>
    </row>
    <row r="135">
      <c r="A135" s="46"/>
      <c r="B135" s="16"/>
      <c r="C135" s="118"/>
      <c r="D135" s="126"/>
      <c r="E135" s="88"/>
      <c r="F135" s="118"/>
      <c r="G135" s="46"/>
      <c r="H135" s="46"/>
      <c r="I135" s="118"/>
      <c r="J135" s="46"/>
      <c r="K135" s="16" t="str">
        <f>IF(J135&lt;&gt;"",SUMIFS('💰 Transaction ขาย'!$F:$F,'💰 Transaction ขาย'!$K:$K,$J135,'💰 Transaction ขาย'!$J:$J,$B$1),"")</f>
        <v/>
      </c>
      <c r="L135" s="118"/>
      <c r="M135" s="46"/>
      <c r="N135" s="46"/>
      <c r="O135" s="46"/>
      <c r="P135" s="118"/>
      <c r="Q135" s="46"/>
      <c r="R135" s="46"/>
      <c r="S135" s="46"/>
      <c r="T135" s="46"/>
      <c r="U135" s="118"/>
      <c r="V135" s="46"/>
      <c r="W135" s="88" t="str">
        <f>IF(V135&lt;&gt;"",SUMIFS('📊 รายงานสินค้าคงเหลือ'!G:G,'📊 รายงานสินค้าคงเหลือ'!D:D,V135),"")</f>
        <v/>
      </c>
      <c r="X135" s="46"/>
      <c r="Y135" s="46"/>
      <c r="Z135" s="46"/>
    </row>
    <row r="136">
      <c r="A136" s="46"/>
      <c r="B136" s="16"/>
      <c r="C136" s="118"/>
      <c r="D136" s="126"/>
      <c r="E136" s="88"/>
      <c r="F136" s="118"/>
      <c r="G136" s="46"/>
      <c r="H136" s="46"/>
      <c r="I136" s="118"/>
      <c r="J136" s="46"/>
      <c r="K136" s="16" t="str">
        <f>IF(J136&lt;&gt;"",SUMIFS('💰 Transaction ขาย'!$F:$F,'💰 Transaction ขาย'!$K:$K,$J136,'💰 Transaction ขาย'!$J:$J,$B$1),"")</f>
        <v/>
      </c>
      <c r="L136" s="118"/>
      <c r="M136" s="46"/>
      <c r="N136" s="46"/>
      <c r="O136" s="46"/>
      <c r="P136" s="118"/>
      <c r="Q136" s="46"/>
      <c r="R136" s="46"/>
      <c r="S136" s="46"/>
      <c r="T136" s="46"/>
      <c r="U136" s="118"/>
      <c r="V136" s="46"/>
      <c r="W136" s="88" t="str">
        <f>IF(V136&lt;&gt;"",SUMIFS('📊 รายงานสินค้าคงเหลือ'!G:G,'📊 รายงานสินค้าคงเหลือ'!D:D,V136),"")</f>
        <v/>
      </c>
      <c r="X136" s="46"/>
      <c r="Y136" s="46"/>
      <c r="Z136" s="46"/>
    </row>
    <row r="137">
      <c r="A137" s="46"/>
      <c r="B137" s="16"/>
      <c r="C137" s="118"/>
      <c r="D137" s="126"/>
      <c r="E137" s="88"/>
      <c r="F137" s="118"/>
      <c r="G137" s="46"/>
      <c r="H137" s="46"/>
      <c r="I137" s="118"/>
      <c r="J137" s="46"/>
      <c r="K137" s="16" t="str">
        <f>IF(J137&lt;&gt;"",SUMIFS('💰 Transaction ขาย'!$F:$F,'💰 Transaction ขาย'!$K:$K,$J137,'💰 Transaction ขาย'!$J:$J,$B$1),"")</f>
        <v/>
      </c>
      <c r="L137" s="118"/>
      <c r="M137" s="46"/>
      <c r="N137" s="46"/>
      <c r="O137" s="46"/>
      <c r="P137" s="118"/>
      <c r="Q137" s="46"/>
      <c r="R137" s="46"/>
      <c r="S137" s="46"/>
      <c r="T137" s="46"/>
      <c r="U137" s="118"/>
      <c r="V137" s="46"/>
      <c r="W137" s="88" t="str">
        <f>IF(V137&lt;&gt;"",SUMIFS('📊 รายงานสินค้าคงเหลือ'!G:G,'📊 รายงานสินค้าคงเหลือ'!D:D,V137),"")</f>
        <v/>
      </c>
      <c r="X137" s="46"/>
      <c r="Y137" s="46"/>
      <c r="Z137" s="46"/>
    </row>
    <row r="138">
      <c r="A138" s="46"/>
      <c r="B138" s="16"/>
      <c r="C138" s="118"/>
      <c r="D138" s="126"/>
      <c r="E138" s="88"/>
      <c r="F138" s="118"/>
      <c r="G138" s="46"/>
      <c r="H138" s="46"/>
      <c r="I138" s="118"/>
      <c r="J138" s="46"/>
      <c r="K138" s="16" t="str">
        <f>IF(J138&lt;&gt;"",SUMIFS('💰 Transaction ขาย'!$F:$F,'💰 Transaction ขาย'!$K:$K,$J138,'💰 Transaction ขาย'!$J:$J,$B$1),"")</f>
        <v/>
      </c>
      <c r="L138" s="118"/>
      <c r="M138" s="46"/>
      <c r="N138" s="46"/>
      <c r="O138" s="46"/>
      <c r="P138" s="118"/>
      <c r="Q138" s="46"/>
      <c r="R138" s="46"/>
      <c r="S138" s="46"/>
      <c r="T138" s="46"/>
      <c r="U138" s="118"/>
      <c r="V138" s="46"/>
      <c r="W138" s="88" t="str">
        <f>IF(V138&lt;&gt;"",SUMIFS('📊 รายงานสินค้าคงเหลือ'!G:G,'📊 รายงานสินค้าคงเหลือ'!D:D,V138),"")</f>
        <v/>
      </c>
      <c r="X138" s="46"/>
      <c r="Y138" s="46"/>
      <c r="Z138" s="46"/>
    </row>
    <row r="139">
      <c r="A139" s="46"/>
      <c r="B139" s="16"/>
      <c r="C139" s="118"/>
      <c r="D139" s="126"/>
      <c r="E139" s="88"/>
      <c r="F139" s="118"/>
      <c r="G139" s="46"/>
      <c r="H139" s="46"/>
      <c r="I139" s="118"/>
      <c r="J139" s="46"/>
      <c r="K139" s="16" t="str">
        <f>IF(J139&lt;&gt;"",SUMIFS('💰 Transaction ขาย'!$F:$F,'💰 Transaction ขาย'!$K:$K,$J139,'💰 Transaction ขาย'!$J:$J,$B$1),"")</f>
        <v/>
      </c>
      <c r="L139" s="118"/>
      <c r="M139" s="46"/>
      <c r="N139" s="46"/>
      <c r="O139" s="46"/>
      <c r="P139" s="118"/>
      <c r="Q139" s="46"/>
      <c r="R139" s="46"/>
      <c r="S139" s="46"/>
      <c r="T139" s="46"/>
      <c r="U139" s="118"/>
      <c r="V139" s="46"/>
      <c r="W139" s="88" t="str">
        <f>IF(V139&lt;&gt;"",SUMIFS('📊 รายงานสินค้าคงเหลือ'!G:G,'📊 รายงานสินค้าคงเหลือ'!D:D,V139),"")</f>
        <v/>
      </c>
      <c r="X139" s="46"/>
      <c r="Y139" s="46"/>
      <c r="Z139" s="46"/>
    </row>
    <row r="140">
      <c r="A140" s="46"/>
      <c r="B140" s="16"/>
      <c r="C140" s="118"/>
      <c r="D140" s="126"/>
      <c r="E140" s="88"/>
      <c r="F140" s="118"/>
      <c r="G140" s="46"/>
      <c r="H140" s="46"/>
      <c r="I140" s="118"/>
      <c r="J140" s="46"/>
      <c r="K140" s="16" t="str">
        <f>IF(J140&lt;&gt;"",SUMIFS('💰 Transaction ขาย'!$F:$F,'💰 Transaction ขาย'!$K:$K,$J140,'💰 Transaction ขาย'!$J:$J,$B$1),"")</f>
        <v/>
      </c>
      <c r="L140" s="118"/>
      <c r="M140" s="46"/>
      <c r="N140" s="46"/>
      <c r="O140" s="46"/>
      <c r="P140" s="118"/>
      <c r="Q140" s="46"/>
      <c r="R140" s="46"/>
      <c r="S140" s="46"/>
      <c r="T140" s="46"/>
      <c r="U140" s="118"/>
      <c r="V140" s="46"/>
      <c r="W140" s="88" t="str">
        <f>IF(V140&lt;&gt;"",SUMIFS('📊 รายงานสินค้าคงเหลือ'!G:G,'📊 รายงานสินค้าคงเหลือ'!D:D,V140),"")</f>
        <v/>
      </c>
      <c r="X140" s="46"/>
      <c r="Y140" s="46"/>
      <c r="Z140" s="46"/>
    </row>
    <row r="141">
      <c r="A141" s="46"/>
      <c r="B141" s="16"/>
      <c r="C141" s="118"/>
      <c r="D141" s="126"/>
      <c r="E141" s="88"/>
      <c r="F141" s="118"/>
      <c r="G141" s="46"/>
      <c r="H141" s="46"/>
      <c r="I141" s="118"/>
      <c r="J141" s="46"/>
      <c r="K141" s="16" t="str">
        <f>IF(J141&lt;&gt;"",SUMIFS('💰 Transaction ขาย'!$F:$F,'💰 Transaction ขาย'!$K:$K,$J141,'💰 Transaction ขาย'!$J:$J,$B$1),"")</f>
        <v/>
      </c>
      <c r="L141" s="118"/>
      <c r="M141" s="46"/>
      <c r="N141" s="46"/>
      <c r="O141" s="46"/>
      <c r="P141" s="118"/>
      <c r="Q141" s="46"/>
      <c r="R141" s="46"/>
      <c r="S141" s="46"/>
      <c r="T141" s="46"/>
      <c r="U141" s="118"/>
      <c r="V141" s="46"/>
      <c r="W141" s="88" t="str">
        <f>IF(V141&lt;&gt;"",SUMIFS('📊 รายงานสินค้าคงเหลือ'!G:G,'📊 รายงานสินค้าคงเหลือ'!D:D,V141),"")</f>
        <v/>
      </c>
      <c r="X141" s="46"/>
      <c r="Y141" s="46"/>
      <c r="Z141" s="46"/>
    </row>
    <row r="142">
      <c r="A142" s="46"/>
      <c r="B142" s="16"/>
      <c r="C142" s="118"/>
      <c r="D142" s="126"/>
      <c r="E142" s="88"/>
      <c r="F142" s="118"/>
      <c r="G142" s="46"/>
      <c r="H142" s="46"/>
      <c r="I142" s="118"/>
      <c r="J142" s="46"/>
      <c r="K142" s="16" t="str">
        <f>IF(J142&lt;&gt;"",SUMIFS('💰 Transaction ขาย'!$F:$F,'💰 Transaction ขาย'!$K:$K,$J142,'💰 Transaction ขาย'!$J:$J,$B$1),"")</f>
        <v/>
      </c>
      <c r="L142" s="118"/>
      <c r="M142" s="46"/>
      <c r="N142" s="46"/>
      <c r="O142" s="46"/>
      <c r="P142" s="118"/>
      <c r="Q142" s="46"/>
      <c r="R142" s="46"/>
      <c r="S142" s="46"/>
      <c r="T142" s="46"/>
      <c r="U142" s="118"/>
      <c r="V142" s="46"/>
      <c r="W142" s="88" t="str">
        <f>IF(V142&lt;&gt;"",SUMIFS('📊 รายงานสินค้าคงเหลือ'!G:G,'📊 รายงานสินค้าคงเหลือ'!D:D,V142),"")</f>
        <v/>
      </c>
      <c r="X142" s="46"/>
      <c r="Y142" s="46"/>
      <c r="Z142" s="46"/>
    </row>
    <row r="143">
      <c r="A143" s="46"/>
      <c r="B143" s="16"/>
      <c r="C143" s="118"/>
      <c r="D143" s="126"/>
      <c r="E143" s="88"/>
      <c r="F143" s="118"/>
      <c r="G143" s="46"/>
      <c r="H143" s="46"/>
      <c r="I143" s="118"/>
      <c r="J143" s="46"/>
      <c r="K143" s="16" t="str">
        <f>IF(J143&lt;&gt;"",SUMIFS('💰 Transaction ขาย'!$F:$F,'💰 Transaction ขาย'!$K:$K,$J143,'💰 Transaction ขาย'!$J:$J,$B$1),"")</f>
        <v/>
      </c>
      <c r="L143" s="118"/>
      <c r="M143" s="46"/>
      <c r="N143" s="46"/>
      <c r="O143" s="46"/>
      <c r="P143" s="118"/>
      <c r="Q143" s="46"/>
      <c r="R143" s="46"/>
      <c r="S143" s="46"/>
      <c r="T143" s="46"/>
      <c r="U143" s="118"/>
      <c r="V143" s="46"/>
      <c r="W143" s="88" t="str">
        <f>IF(V143&lt;&gt;"",SUMIFS('📊 รายงานสินค้าคงเหลือ'!G:G,'📊 รายงานสินค้าคงเหลือ'!D:D,V143),"")</f>
        <v/>
      </c>
      <c r="X143" s="46"/>
      <c r="Y143" s="46"/>
      <c r="Z143" s="46"/>
    </row>
    <row r="144">
      <c r="A144" s="46"/>
      <c r="B144" s="16"/>
      <c r="C144" s="118"/>
      <c r="D144" s="126"/>
      <c r="E144" s="88"/>
      <c r="F144" s="118"/>
      <c r="G144" s="46"/>
      <c r="H144" s="46"/>
      <c r="I144" s="118"/>
      <c r="J144" s="46"/>
      <c r="K144" s="16" t="str">
        <f>IF(J144&lt;&gt;"",SUMIFS('💰 Transaction ขาย'!$F:$F,'💰 Transaction ขาย'!$K:$K,$J144,'💰 Transaction ขาย'!$J:$J,$B$1),"")</f>
        <v/>
      </c>
      <c r="L144" s="118"/>
      <c r="M144" s="46"/>
      <c r="N144" s="46"/>
      <c r="O144" s="46"/>
      <c r="P144" s="118"/>
      <c r="Q144" s="46"/>
      <c r="R144" s="46"/>
      <c r="S144" s="46"/>
      <c r="T144" s="46"/>
      <c r="U144" s="118"/>
      <c r="V144" s="46"/>
      <c r="W144" s="88" t="str">
        <f>IF(V144&lt;&gt;"",SUMIFS('📊 รายงานสินค้าคงเหลือ'!G:G,'📊 รายงานสินค้าคงเหลือ'!D:D,V144),"")</f>
        <v/>
      </c>
      <c r="X144" s="46"/>
      <c r="Y144" s="46"/>
      <c r="Z144" s="46"/>
    </row>
    <row r="145">
      <c r="A145" s="46"/>
      <c r="B145" s="16"/>
      <c r="C145" s="118"/>
      <c r="D145" s="126"/>
      <c r="E145" s="88"/>
      <c r="F145" s="118"/>
      <c r="G145" s="46"/>
      <c r="H145" s="46"/>
      <c r="I145" s="118"/>
      <c r="J145" s="46"/>
      <c r="K145" s="16" t="str">
        <f>IF(J145&lt;&gt;"",SUMIFS('💰 Transaction ขาย'!$F:$F,'💰 Transaction ขาย'!$K:$K,$J145,'💰 Transaction ขาย'!$J:$J,$B$1),"")</f>
        <v/>
      </c>
      <c r="L145" s="118"/>
      <c r="M145" s="46"/>
      <c r="N145" s="46"/>
      <c r="O145" s="46"/>
      <c r="P145" s="118"/>
      <c r="Q145" s="46"/>
      <c r="R145" s="46"/>
      <c r="S145" s="46"/>
      <c r="T145" s="46"/>
      <c r="U145" s="118"/>
      <c r="V145" s="46"/>
      <c r="W145" s="88" t="str">
        <f>IF(V145&lt;&gt;"",SUMIFS('📊 รายงานสินค้าคงเหลือ'!G:G,'📊 รายงานสินค้าคงเหลือ'!D:D,V145),"")</f>
        <v/>
      </c>
      <c r="X145" s="46"/>
      <c r="Y145" s="46"/>
      <c r="Z145" s="46"/>
    </row>
    <row r="146">
      <c r="A146" s="46"/>
      <c r="B146" s="16"/>
      <c r="C146" s="118"/>
      <c r="D146" s="126"/>
      <c r="E146" s="88"/>
      <c r="F146" s="118"/>
      <c r="G146" s="46"/>
      <c r="H146" s="46"/>
      <c r="I146" s="118"/>
      <c r="J146" s="46"/>
      <c r="K146" s="16" t="str">
        <f>IF(J146&lt;&gt;"",SUMIFS('💰 Transaction ขาย'!$F:$F,'💰 Transaction ขาย'!$K:$K,$J146,'💰 Transaction ขาย'!$J:$J,$B$1),"")</f>
        <v/>
      </c>
      <c r="L146" s="118"/>
      <c r="M146" s="46"/>
      <c r="N146" s="46"/>
      <c r="O146" s="46"/>
      <c r="P146" s="118"/>
      <c r="Q146" s="46"/>
      <c r="R146" s="46"/>
      <c r="S146" s="46"/>
      <c r="T146" s="46"/>
      <c r="U146" s="118"/>
      <c r="V146" s="46"/>
      <c r="W146" s="88" t="str">
        <f>IF(V146&lt;&gt;"",SUMIFS('📊 รายงานสินค้าคงเหลือ'!G:G,'📊 รายงานสินค้าคงเหลือ'!D:D,V146),"")</f>
        <v/>
      </c>
      <c r="X146" s="46"/>
      <c r="Y146" s="46"/>
      <c r="Z146" s="46"/>
    </row>
    <row r="147">
      <c r="A147" s="46"/>
      <c r="B147" s="16"/>
      <c r="C147" s="118"/>
      <c r="D147" s="126"/>
      <c r="E147" s="88"/>
      <c r="F147" s="118"/>
      <c r="G147" s="46"/>
      <c r="H147" s="46"/>
      <c r="I147" s="118"/>
      <c r="J147" s="46"/>
      <c r="K147" s="16" t="str">
        <f>IF(J147&lt;&gt;"",SUMIFS('💰 Transaction ขาย'!$F:$F,'💰 Transaction ขาย'!$K:$K,$J147,'💰 Transaction ขาย'!$J:$J,$B$1),"")</f>
        <v/>
      </c>
      <c r="L147" s="118"/>
      <c r="M147" s="46"/>
      <c r="N147" s="46"/>
      <c r="O147" s="46"/>
      <c r="P147" s="118"/>
      <c r="Q147" s="46"/>
      <c r="R147" s="46"/>
      <c r="S147" s="46"/>
      <c r="T147" s="46"/>
      <c r="U147" s="118"/>
      <c r="V147" s="46"/>
      <c r="W147" s="88" t="str">
        <f>IF(V147&lt;&gt;"",SUMIFS('📊 รายงานสินค้าคงเหลือ'!G:G,'📊 รายงานสินค้าคงเหลือ'!D:D,V147),"")</f>
        <v/>
      </c>
      <c r="X147" s="46"/>
      <c r="Y147" s="46"/>
      <c r="Z147" s="46"/>
    </row>
    <row r="148">
      <c r="A148" s="46"/>
      <c r="B148" s="16"/>
      <c r="C148" s="118"/>
      <c r="D148" s="126"/>
      <c r="E148" s="88"/>
      <c r="F148" s="118"/>
      <c r="G148" s="46"/>
      <c r="H148" s="46"/>
      <c r="I148" s="118"/>
      <c r="J148" s="46"/>
      <c r="K148" s="16" t="str">
        <f>IF(J148&lt;&gt;"",SUMIFS('💰 Transaction ขาย'!$F:$F,'💰 Transaction ขาย'!$K:$K,$J148,'💰 Transaction ขาย'!$J:$J,$B$1),"")</f>
        <v/>
      </c>
      <c r="L148" s="118"/>
      <c r="M148" s="46"/>
      <c r="N148" s="46"/>
      <c r="O148" s="46"/>
      <c r="P148" s="118"/>
      <c r="Q148" s="46"/>
      <c r="R148" s="46"/>
      <c r="S148" s="46"/>
      <c r="T148" s="46"/>
      <c r="U148" s="118"/>
      <c r="V148" s="46"/>
      <c r="W148" s="88" t="str">
        <f>IF(V148&lt;&gt;"",SUMIFS('📊 รายงานสินค้าคงเหลือ'!G:G,'📊 รายงานสินค้าคงเหลือ'!D:D,V148),"")</f>
        <v/>
      </c>
      <c r="X148" s="46"/>
      <c r="Y148" s="46"/>
      <c r="Z148" s="46"/>
    </row>
    <row r="149">
      <c r="A149" s="46"/>
      <c r="B149" s="16"/>
      <c r="C149" s="118"/>
      <c r="D149" s="126"/>
      <c r="E149" s="88"/>
      <c r="F149" s="118"/>
      <c r="G149" s="46"/>
      <c r="H149" s="46"/>
      <c r="I149" s="118"/>
      <c r="J149" s="46"/>
      <c r="K149" s="16" t="str">
        <f>IF(J149&lt;&gt;"",SUMIFS('💰 Transaction ขาย'!$F:$F,'💰 Transaction ขาย'!$K:$K,$J149,'💰 Transaction ขาย'!$J:$J,$B$1),"")</f>
        <v/>
      </c>
      <c r="L149" s="118"/>
      <c r="M149" s="46"/>
      <c r="N149" s="46"/>
      <c r="O149" s="46"/>
      <c r="P149" s="118"/>
      <c r="Q149" s="46"/>
      <c r="R149" s="46"/>
      <c r="S149" s="46"/>
      <c r="T149" s="46"/>
      <c r="U149" s="118"/>
      <c r="V149" s="46"/>
      <c r="W149" s="88" t="str">
        <f>IF(V149&lt;&gt;"",SUMIFS('📊 รายงานสินค้าคงเหลือ'!G:G,'📊 รายงานสินค้าคงเหลือ'!D:D,V149),"")</f>
        <v/>
      </c>
      <c r="X149" s="46"/>
      <c r="Y149" s="46"/>
      <c r="Z149" s="46"/>
    </row>
    <row r="150">
      <c r="A150" s="46"/>
      <c r="B150" s="16"/>
      <c r="C150" s="118"/>
      <c r="D150" s="126"/>
      <c r="E150" s="88"/>
      <c r="F150" s="118"/>
      <c r="G150" s="46"/>
      <c r="H150" s="46"/>
      <c r="I150" s="118"/>
      <c r="J150" s="46"/>
      <c r="K150" s="16" t="str">
        <f>IF(J150&lt;&gt;"",SUMIFS('💰 Transaction ขาย'!$F:$F,'💰 Transaction ขาย'!$K:$K,$J150,'💰 Transaction ขาย'!$J:$J,$B$1),"")</f>
        <v/>
      </c>
      <c r="L150" s="118"/>
      <c r="M150" s="46"/>
      <c r="N150" s="46"/>
      <c r="O150" s="46"/>
      <c r="P150" s="118"/>
      <c r="Q150" s="46"/>
      <c r="R150" s="46"/>
      <c r="S150" s="46"/>
      <c r="T150" s="46"/>
      <c r="U150" s="118"/>
      <c r="V150" s="46"/>
      <c r="W150" s="88" t="str">
        <f>IF(V150&lt;&gt;"",SUMIFS('📊 รายงานสินค้าคงเหลือ'!G:G,'📊 รายงานสินค้าคงเหลือ'!D:D,V150),"")</f>
        <v/>
      </c>
      <c r="X150" s="46"/>
      <c r="Y150" s="46"/>
      <c r="Z150" s="46"/>
    </row>
    <row r="151">
      <c r="A151" s="46"/>
      <c r="B151" s="16"/>
      <c r="C151" s="118"/>
      <c r="D151" s="126"/>
      <c r="E151" s="88"/>
      <c r="F151" s="118"/>
      <c r="G151" s="46"/>
      <c r="H151" s="46"/>
      <c r="I151" s="118"/>
      <c r="J151" s="46"/>
      <c r="K151" s="16" t="str">
        <f>IF(J151&lt;&gt;"",SUMIFS('💰 Transaction ขาย'!$F:$F,'💰 Transaction ขาย'!$K:$K,$J151,'💰 Transaction ขาย'!$J:$J,$B$1),"")</f>
        <v/>
      </c>
      <c r="L151" s="118"/>
      <c r="M151" s="46"/>
      <c r="N151" s="46"/>
      <c r="O151" s="46"/>
      <c r="P151" s="118"/>
      <c r="Q151" s="46"/>
      <c r="R151" s="46"/>
      <c r="S151" s="46"/>
      <c r="T151" s="46"/>
      <c r="U151" s="118"/>
      <c r="V151" s="46"/>
      <c r="W151" s="88" t="str">
        <f>IF(V151&lt;&gt;"",SUMIFS('📊 รายงานสินค้าคงเหลือ'!G:G,'📊 รายงานสินค้าคงเหลือ'!D:D,V151),"")</f>
        <v/>
      </c>
      <c r="X151" s="46"/>
      <c r="Y151" s="46"/>
      <c r="Z151" s="46"/>
    </row>
    <row r="152">
      <c r="A152" s="46"/>
      <c r="B152" s="16"/>
      <c r="C152" s="118"/>
      <c r="D152" s="126"/>
      <c r="E152" s="88"/>
      <c r="F152" s="118"/>
      <c r="G152" s="46"/>
      <c r="H152" s="46"/>
      <c r="I152" s="118"/>
      <c r="J152" s="46"/>
      <c r="K152" s="16" t="str">
        <f>IF(J152&lt;&gt;"",SUMIFS('💰 Transaction ขาย'!$F:$F,'💰 Transaction ขาย'!$K:$K,$J152,'💰 Transaction ขาย'!$J:$J,$B$1),"")</f>
        <v/>
      </c>
      <c r="L152" s="118"/>
      <c r="M152" s="46"/>
      <c r="N152" s="46"/>
      <c r="O152" s="46"/>
      <c r="P152" s="118"/>
      <c r="Q152" s="46"/>
      <c r="R152" s="46"/>
      <c r="S152" s="46"/>
      <c r="T152" s="46"/>
      <c r="U152" s="118"/>
      <c r="V152" s="46"/>
      <c r="W152" s="88" t="str">
        <f>IF(V152&lt;&gt;"",SUMIFS('📊 รายงานสินค้าคงเหลือ'!G:G,'📊 รายงานสินค้าคงเหลือ'!D:D,V152),"")</f>
        <v/>
      </c>
      <c r="X152" s="46"/>
      <c r="Y152" s="46"/>
      <c r="Z152" s="46"/>
    </row>
    <row r="153">
      <c r="A153" s="46"/>
      <c r="B153" s="16"/>
      <c r="C153" s="118"/>
      <c r="D153" s="126"/>
      <c r="E153" s="88"/>
      <c r="F153" s="118"/>
      <c r="G153" s="46"/>
      <c r="H153" s="46"/>
      <c r="I153" s="118"/>
      <c r="J153" s="46"/>
      <c r="K153" s="16" t="str">
        <f>IF(J153&lt;&gt;"",SUMIFS('💰 Transaction ขาย'!$F:$F,'💰 Transaction ขาย'!$K:$K,$J153,'💰 Transaction ขาย'!$J:$J,$B$1),"")</f>
        <v/>
      </c>
      <c r="L153" s="118"/>
      <c r="M153" s="46"/>
      <c r="N153" s="46"/>
      <c r="O153" s="46"/>
      <c r="P153" s="118"/>
      <c r="Q153" s="46"/>
      <c r="R153" s="46"/>
      <c r="S153" s="46"/>
      <c r="T153" s="46"/>
      <c r="U153" s="118"/>
      <c r="V153" s="46"/>
      <c r="W153" s="88" t="str">
        <f>IF(V153&lt;&gt;"",SUMIFS('📊 รายงานสินค้าคงเหลือ'!G:G,'📊 รายงานสินค้าคงเหลือ'!D:D,V153),"")</f>
        <v/>
      </c>
      <c r="X153" s="46"/>
      <c r="Y153" s="46"/>
      <c r="Z153" s="46"/>
    </row>
    <row r="154">
      <c r="A154" s="46"/>
      <c r="B154" s="16"/>
      <c r="C154" s="118"/>
      <c r="D154" s="126"/>
      <c r="E154" s="88"/>
      <c r="F154" s="118"/>
      <c r="G154" s="46"/>
      <c r="H154" s="46"/>
      <c r="I154" s="118"/>
      <c r="J154" s="46"/>
      <c r="K154" s="16" t="str">
        <f>IF(J154&lt;&gt;"",SUMIFS('💰 Transaction ขาย'!$F:$F,'💰 Transaction ขาย'!$K:$K,$J154,'💰 Transaction ขาย'!$J:$J,$B$1),"")</f>
        <v/>
      </c>
      <c r="L154" s="118"/>
      <c r="M154" s="46"/>
      <c r="N154" s="46"/>
      <c r="O154" s="46"/>
      <c r="P154" s="118"/>
      <c r="Q154" s="46"/>
      <c r="R154" s="46"/>
      <c r="S154" s="46"/>
      <c r="T154" s="46"/>
      <c r="U154" s="118"/>
      <c r="V154" s="46"/>
      <c r="W154" s="88" t="str">
        <f>IF(V154&lt;&gt;"",SUMIFS('📊 รายงานสินค้าคงเหลือ'!G:G,'📊 รายงานสินค้าคงเหลือ'!D:D,V154),"")</f>
        <v/>
      </c>
      <c r="X154" s="46"/>
      <c r="Y154" s="46"/>
      <c r="Z154" s="46"/>
    </row>
    <row r="155">
      <c r="A155" s="46"/>
      <c r="B155" s="16"/>
      <c r="C155" s="118"/>
      <c r="D155" s="126"/>
      <c r="E155" s="88"/>
      <c r="F155" s="118"/>
      <c r="G155" s="46"/>
      <c r="H155" s="46"/>
      <c r="I155" s="118"/>
      <c r="J155" s="46"/>
      <c r="K155" s="16" t="str">
        <f>IF(J155&lt;&gt;"",SUMIFS('💰 Transaction ขาย'!$F:$F,'💰 Transaction ขาย'!$K:$K,$J155,'💰 Transaction ขาย'!$J:$J,$B$1),"")</f>
        <v/>
      </c>
      <c r="L155" s="118"/>
      <c r="M155" s="46"/>
      <c r="N155" s="46"/>
      <c r="O155" s="46"/>
      <c r="P155" s="118"/>
      <c r="Q155" s="46"/>
      <c r="R155" s="46"/>
      <c r="S155" s="46"/>
      <c r="T155" s="46"/>
      <c r="U155" s="118"/>
      <c r="V155" s="46"/>
      <c r="W155" s="88" t="str">
        <f>IF(V155&lt;&gt;"",SUMIFS('📊 รายงานสินค้าคงเหลือ'!G:G,'📊 รายงานสินค้าคงเหลือ'!D:D,V155),"")</f>
        <v/>
      </c>
      <c r="X155" s="46"/>
      <c r="Y155" s="46"/>
      <c r="Z155" s="46"/>
    </row>
    <row r="156">
      <c r="A156" s="46"/>
      <c r="B156" s="16"/>
      <c r="C156" s="118"/>
      <c r="D156" s="126"/>
      <c r="E156" s="88"/>
      <c r="F156" s="118"/>
      <c r="G156" s="46"/>
      <c r="H156" s="46"/>
      <c r="I156" s="118"/>
      <c r="J156" s="46"/>
      <c r="K156" s="16" t="str">
        <f>IF(J156&lt;&gt;"",SUMIFS('💰 Transaction ขาย'!$F:$F,'💰 Transaction ขาย'!$K:$K,$J156,'💰 Transaction ขาย'!$J:$J,$B$1),"")</f>
        <v/>
      </c>
      <c r="L156" s="118"/>
      <c r="M156" s="46"/>
      <c r="N156" s="46"/>
      <c r="O156" s="46"/>
      <c r="P156" s="118"/>
      <c r="Q156" s="46"/>
      <c r="R156" s="46"/>
      <c r="S156" s="46"/>
      <c r="T156" s="46"/>
      <c r="U156" s="118"/>
      <c r="V156" s="46"/>
      <c r="W156" s="88" t="str">
        <f>IF(V156&lt;&gt;"",SUMIFS('📊 รายงานสินค้าคงเหลือ'!G:G,'📊 รายงานสินค้าคงเหลือ'!D:D,V156),"")</f>
        <v/>
      </c>
      <c r="X156" s="46"/>
      <c r="Y156" s="46"/>
      <c r="Z156" s="46"/>
    </row>
    <row r="157">
      <c r="A157" s="46"/>
      <c r="B157" s="16"/>
      <c r="C157" s="118"/>
      <c r="D157" s="126"/>
      <c r="E157" s="88"/>
      <c r="F157" s="118"/>
      <c r="G157" s="46"/>
      <c r="H157" s="46"/>
      <c r="I157" s="118"/>
      <c r="J157" s="46"/>
      <c r="K157" s="16" t="str">
        <f>IF(J157&lt;&gt;"",SUMIFS('💰 Transaction ขาย'!$F:$F,'💰 Transaction ขาย'!$K:$K,$J157,'💰 Transaction ขาย'!$J:$J,$B$1),"")</f>
        <v/>
      </c>
      <c r="L157" s="118"/>
      <c r="M157" s="46"/>
      <c r="N157" s="46"/>
      <c r="O157" s="46"/>
      <c r="P157" s="118"/>
      <c r="Q157" s="46"/>
      <c r="R157" s="46"/>
      <c r="S157" s="46"/>
      <c r="T157" s="46"/>
      <c r="U157" s="118"/>
      <c r="V157" s="46"/>
      <c r="W157" s="88" t="str">
        <f>IF(V157&lt;&gt;"",SUMIFS('📊 รายงานสินค้าคงเหลือ'!G:G,'📊 รายงานสินค้าคงเหลือ'!D:D,V157),"")</f>
        <v/>
      </c>
      <c r="X157" s="46"/>
      <c r="Y157" s="46"/>
      <c r="Z157" s="46"/>
    </row>
    <row r="158">
      <c r="A158" s="46"/>
      <c r="B158" s="16"/>
      <c r="C158" s="118"/>
      <c r="D158" s="126"/>
      <c r="E158" s="88"/>
      <c r="F158" s="118"/>
      <c r="G158" s="46"/>
      <c r="H158" s="46"/>
      <c r="I158" s="118"/>
      <c r="J158" s="46"/>
      <c r="K158" s="16" t="str">
        <f>IF(J158&lt;&gt;"",SUMIFS('💰 Transaction ขาย'!$F:$F,'💰 Transaction ขาย'!$K:$K,$J158,'💰 Transaction ขาย'!$J:$J,$B$1),"")</f>
        <v/>
      </c>
      <c r="L158" s="118"/>
      <c r="M158" s="46"/>
      <c r="N158" s="46"/>
      <c r="O158" s="46"/>
      <c r="P158" s="118"/>
      <c r="Q158" s="46"/>
      <c r="R158" s="46"/>
      <c r="S158" s="46"/>
      <c r="T158" s="46"/>
      <c r="U158" s="118"/>
      <c r="V158" s="46"/>
      <c r="W158" s="88" t="str">
        <f>IF(V158&lt;&gt;"",SUMIFS('📊 รายงานสินค้าคงเหลือ'!G:G,'📊 รายงานสินค้าคงเหลือ'!D:D,V158),"")</f>
        <v/>
      </c>
      <c r="X158" s="46"/>
      <c r="Y158" s="46"/>
      <c r="Z158" s="46"/>
    </row>
    <row r="159">
      <c r="A159" s="46"/>
      <c r="B159" s="16"/>
      <c r="C159" s="118"/>
      <c r="D159" s="126"/>
      <c r="E159" s="88"/>
      <c r="F159" s="118"/>
      <c r="G159" s="46"/>
      <c r="H159" s="46"/>
      <c r="I159" s="118"/>
      <c r="J159" s="46"/>
      <c r="K159" s="16" t="str">
        <f>IF(J159&lt;&gt;"",SUMIFS('💰 Transaction ขาย'!$F:$F,'💰 Transaction ขาย'!$K:$K,$J159,'💰 Transaction ขาย'!$J:$J,$B$1),"")</f>
        <v/>
      </c>
      <c r="L159" s="118"/>
      <c r="M159" s="46"/>
      <c r="N159" s="46"/>
      <c r="O159" s="46"/>
      <c r="P159" s="118"/>
      <c r="Q159" s="46"/>
      <c r="R159" s="46"/>
      <c r="S159" s="46"/>
      <c r="T159" s="46"/>
      <c r="U159" s="118"/>
      <c r="V159" s="46"/>
      <c r="W159" s="88" t="str">
        <f>IF(V159&lt;&gt;"",SUMIFS('📊 รายงานสินค้าคงเหลือ'!G:G,'📊 รายงานสินค้าคงเหลือ'!D:D,V159),"")</f>
        <v/>
      </c>
      <c r="X159" s="46"/>
      <c r="Y159" s="46"/>
      <c r="Z159" s="46"/>
    </row>
    <row r="160">
      <c r="A160" s="46"/>
      <c r="B160" s="16"/>
      <c r="C160" s="118"/>
      <c r="D160" s="126"/>
      <c r="E160" s="88"/>
      <c r="F160" s="118"/>
      <c r="G160" s="46"/>
      <c r="H160" s="46"/>
      <c r="I160" s="118"/>
      <c r="J160" s="46"/>
      <c r="K160" s="16" t="str">
        <f>IF(J160&lt;&gt;"",SUMIFS('💰 Transaction ขาย'!$F:$F,'💰 Transaction ขาย'!$K:$K,$J160,'💰 Transaction ขาย'!$J:$J,$B$1),"")</f>
        <v/>
      </c>
      <c r="L160" s="118"/>
      <c r="M160" s="46"/>
      <c r="N160" s="46"/>
      <c r="O160" s="46"/>
      <c r="P160" s="118"/>
      <c r="Q160" s="46"/>
      <c r="R160" s="46"/>
      <c r="S160" s="46"/>
      <c r="T160" s="46"/>
      <c r="U160" s="118"/>
      <c r="V160" s="46"/>
      <c r="W160" s="88" t="str">
        <f>IF(V160&lt;&gt;"",SUMIFS('📊 รายงานสินค้าคงเหลือ'!G:G,'📊 รายงานสินค้าคงเหลือ'!D:D,V160),"")</f>
        <v/>
      </c>
      <c r="X160" s="46"/>
      <c r="Y160" s="46"/>
      <c r="Z160" s="46"/>
    </row>
    <row r="161">
      <c r="A161" s="46"/>
      <c r="B161" s="16"/>
      <c r="C161" s="118"/>
      <c r="D161" s="126"/>
      <c r="E161" s="88"/>
      <c r="F161" s="118"/>
      <c r="G161" s="46"/>
      <c r="H161" s="46"/>
      <c r="I161" s="118"/>
      <c r="J161" s="46"/>
      <c r="K161" s="16" t="str">
        <f>IF(J161&lt;&gt;"",SUMIFS('💰 Transaction ขาย'!$F:$F,'💰 Transaction ขาย'!$K:$K,$J161,'💰 Transaction ขาย'!$J:$J,$B$1),"")</f>
        <v/>
      </c>
      <c r="L161" s="118"/>
      <c r="M161" s="46"/>
      <c r="N161" s="46"/>
      <c r="O161" s="46"/>
      <c r="P161" s="118"/>
      <c r="Q161" s="46"/>
      <c r="R161" s="46"/>
      <c r="S161" s="46"/>
      <c r="T161" s="46"/>
      <c r="U161" s="118"/>
      <c r="V161" s="46"/>
      <c r="W161" s="88" t="str">
        <f>IF(V161&lt;&gt;"",SUMIFS('📊 รายงานสินค้าคงเหลือ'!G:G,'📊 รายงานสินค้าคงเหลือ'!D:D,V161),"")</f>
        <v/>
      </c>
      <c r="X161" s="46"/>
      <c r="Y161" s="46"/>
      <c r="Z161" s="46"/>
    </row>
    <row r="162">
      <c r="A162" s="46"/>
      <c r="B162" s="16"/>
      <c r="C162" s="118"/>
      <c r="D162" s="126"/>
      <c r="E162" s="88"/>
      <c r="F162" s="118"/>
      <c r="G162" s="46"/>
      <c r="H162" s="46"/>
      <c r="I162" s="118"/>
      <c r="J162" s="46"/>
      <c r="K162" s="16" t="str">
        <f>IF(J162&lt;&gt;"",SUMIFS('💰 Transaction ขาย'!$F:$F,'💰 Transaction ขาย'!$K:$K,$J162,'💰 Transaction ขาย'!$J:$J,$B$1),"")</f>
        <v/>
      </c>
      <c r="L162" s="118"/>
      <c r="M162" s="46"/>
      <c r="N162" s="46"/>
      <c r="O162" s="46"/>
      <c r="P162" s="118"/>
      <c r="Q162" s="46"/>
      <c r="R162" s="46"/>
      <c r="S162" s="46"/>
      <c r="T162" s="46"/>
      <c r="U162" s="118"/>
      <c r="V162" s="46"/>
      <c r="W162" s="88" t="str">
        <f>IF(V162&lt;&gt;"",SUMIFS('📊 รายงานสินค้าคงเหลือ'!G:G,'📊 รายงานสินค้าคงเหลือ'!D:D,V162),"")</f>
        <v/>
      </c>
      <c r="X162" s="46"/>
      <c r="Y162" s="46"/>
      <c r="Z162" s="46"/>
    </row>
    <row r="163">
      <c r="A163" s="46"/>
      <c r="B163" s="16"/>
      <c r="C163" s="118"/>
      <c r="D163" s="126"/>
      <c r="E163" s="88"/>
      <c r="F163" s="118"/>
      <c r="G163" s="46"/>
      <c r="H163" s="46"/>
      <c r="I163" s="118"/>
      <c r="J163" s="46"/>
      <c r="K163" s="16" t="str">
        <f>IF(J163&lt;&gt;"",SUMIFS('💰 Transaction ขาย'!$F:$F,'💰 Transaction ขาย'!$K:$K,$J163,'💰 Transaction ขาย'!$J:$J,$B$1),"")</f>
        <v/>
      </c>
      <c r="L163" s="118"/>
      <c r="M163" s="46"/>
      <c r="N163" s="46"/>
      <c r="O163" s="46"/>
      <c r="P163" s="118"/>
      <c r="Q163" s="46"/>
      <c r="R163" s="46"/>
      <c r="S163" s="46"/>
      <c r="T163" s="46"/>
      <c r="U163" s="118"/>
      <c r="V163" s="46"/>
      <c r="W163" s="88" t="str">
        <f>IF(V163&lt;&gt;"",SUMIFS('📊 รายงานสินค้าคงเหลือ'!G:G,'📊 รายงานสินค้าคงเหลือ'!D:D,V163),"")</f>
        <v/>
      </c>
      <c r="X163" s="46"/>
      <c r="Y163" s="46"/>
      <c r="Z163" s="46"/>
    </row>
    <row r="164">
      <c r="A164" s="46"/>
      <c r="B164" s="16"/>
      <c r="C164" s="118"/>
      <c r="D164" s="126"/>
      <c r="E164" s="88"/>
      <c r="F164" s="118"/>
      <c r="G164" s="46"/>
      <c r="H164" s="46"/>
      <c r="I164" s="118"/>
      <c r="J164" s="46"/>
      <c r="K164" s="16" t="str">
        <f>IF(J164&lt;&gt;"",SUMIFS('💰 Transaction ขาย'!$F:$F,'💰 Transaction ขาย'!$K:$K,$J164,'💰 Transaction ขาย'!$J:$J,$B$1),"")</f>
        <v/>
      </c>
      <c r="L164" s="118"/>
      <c r="M164" s="46"/>
      <c r="N164" s="46"/>
      <c r="O164" s="46"/>
      <c r="P164" s="118"/>
      <c r="Q164" s="46"/>
      <c r="R164" s="46"/>
      <c r="S164" s="46"/>
      <c r="T164" s="46"/>
      <c r="U164" s="118"/>
      <c r="V164" s="46"/>
      <c r="W164" s="88" t="str">
        <f>IF(V164&lt;&gt;"",SUMIFS('📊 รายงานสินค้าคงเหลือ'!G:G,'📊 รายงานสินค้าคงเหลือ'!D:D,V164),"")</f>
        <v/>
      </c>
      <c r="X164" s="46"/>
      <c r="Y164" s="46"/>
      <c r="Z164" s="46"/>
    </row>
    <row r="165">
      <c r="A165" s="46"/>
      <c r="B165" s="16"/>
      <c r="C165" s="118"/>
      <c r="D165" s="126"/>
      <c r="E165" s="88"/>
      <c r="F165" s="118"/>
      <c r="G165" s="46"/>
      <c r="H165" s="46"/>
      <c r="I165" s="118"/>
      <c r="J165" s="46"/>
      <c r="K165" s="16" t="str">
        <f>IF(J165&lt;&gt;"",SUMIFS('💰 Transaction ขาย'!$F:$F,'💰 Transaction ขาย'!$K:$K,$J165,'💰 Transaction ขาย'!$J:$J,$B$1),"")</f>
        <v/>
      </c>
      <c r="L165" s="118"/>
      <c r="M165" s="46"/>
      <c r="N165" s="46"/>
      <c r="O165" s="46"/>
      <c r="P165" s="118"/>
      <c r="Q165" s="46"/>
      <c r="R165" s="46"/>
      <c r="S165" s="46"/>
      <c r="T165" s="46"/>
      <c r="U165" s="118"/>
      <c r="V165" s="46"/>
      <c r="W165" s="88" t="str">
        <f>IF(V165&lt;&gt;"",SUMIFS('📊 รายงานสินค้าคงเหลือ'!G:G,'📊 รายงานสินค้าคงเหลือ'!D:D,V165),"")</f>
        <v/>
      </c>
      <c r="X165" s="46"/>
      <c r="Y165" s="46"/>
      <c r="Z165" s="46"/>
    </row>
    <row r="166">
      <c r="A166" s="46"/>
      <c r="B166" s="16"/>
      <c r="C166" s="118"/>
      <c r="D166" s="126"/>
      <c r="E166" s="88"/>
      <c r="F166" s="118"/>
      <c r="G166" s="46"/>
      <c r="H166" s="46"/>
      <c r="I166" s="118"/>
      <c r="J166" s="46"/>
      <c r="K166" s="16" t="str">
        <f>IF(J166&lt;&gt;"",SUMIFS('💰 Transaction ขาย'!$F:$F,'💰 Transaction ขาย'!$K:$K,$J166,'💰 Transaction ขาย'!$J:$J,$B$1),"")</f>
        <v/>
      </c>
      <c r="L166" s="118"/>
      <c r="M166" s="46"/>
      <c r="N166" s="46"/>
      <c r="O166" s="46"/>
      <c r="P166" s="118"/>
      <c r="Q166" s="46"/>
      <c r="R166" s="46"/>
      <c r="S166" s="46"/>
      <c r="T166" s="46"/>
      <c r="U166" s="118"/>
      <c r="V166" s="46"/>
      <c r="W166" s="88" t="str">
        <f>IF(V166&lt;&gt;"",SUMIFS('📊 รายงานสินค้าคงเหลือ'!G:G,'📊 รายงานสินค้าคงเหลือ'!D:D,V166),"")</f>
        <v/>
      </c>
      <c r="X166" s="46"/>
      <c r="Y166" s="46"/>
      <c r="Z166" s="46"/>
    </row>
    <row r="167">
      <c r="A167" s="46"/>
      <c r="B167" s="16"/>
      <c r="C167" s="118"/>
      <c r="D167" s="126"/>
      <c r="E167" s="88"/>
      <c r="F167" s="118"/>
      <c r="G167" s="46"/>
      <c r="H167" s="46"/>
      <c r="I167" s="118"/>
      <c r="J167" s="46"/>
      <c r="K167" s="16" t="str">
        <f>IF(J167&lt;&gt;"",SUMIFS('💰 Transaction ขาย'!$F:$F,'💰 Transaction ขาย'!$K:$K,$J167,'💰 Transaction ขาย'!$J:$J,$B$1),"")</f>
        <v/>
      </c>
      <c r="L167" s="118"/>
      <c r="M167" s="46"/>
      <c r="N167" s="46"/>
      <c r="O167" s="46"/>
      <c r="P167" s="118"/>
      <c r="Q167" s="46"/>
      <c r="R167" s="46"/>
      <c r="S167" s="46"/>
      <c r="T167" s="46"/>
      <c r="U167" s="118"/>
      <c r="V167" s="46"/>
      <c r="W167" s="88" t="str">
        <f>IF(V167&lt;&gt;"",SUMIFS('📊 รายงานสินค้าคงเหลือ'!G:G,'📊 รายงานสินค้าคงเหลือ'!D:D,V167),"")</f>
        <v/>
      </c>
      <c r="X167" s="46"/>
      <c r="Y167" s="46"/>
      <c r="Z167" s="46"/>
    </row>
    <row r="168">
      <c r="A168" s="46"/>
      <c r="B168" s="16"/>
      <c r="C168" s="118"/>
      <c r="D168" s="126"/>
      <c r="E168" s="88"/>
      <c r="F168" s="118"/>
      <c r="G168" s="46"/>
      <c r="H168" s="46"/>
      <c r="I168" s="118"/>
      <c r="J168" s="46"/>
      <c r="K168" s="16" t="str">
        <f>IF(J168&lt;&gt;"",SUMIFS('💰 Transaction ขาย'!$F:$F,'💰 Transaction ขาย'!$K:$K,$J168,'💰 Transaction ขาย'!$J:$J,$B$1),"")</f>
        <v/>
      </c>
      <c r="L168" s="118"/>
      <c r="M168" s="46"/>
      <c r="N168" s="46"/>
      <c r="O168" s="46"/>
      <c r="P168" s="118"/>
      <c r="Q168" s="46"/>
      <c r="R168" s="46"/>
      <c r="S168" s="46"/>
      <c r="T168" s="46"/>
      <c r="U168" s="118"/>
      <c r="V168" s="46"/>
      <c r="W168" s="88" t="str">
        <f>IF(V168&lt;&gt;"",SUMIFS('📊 รายงานสินค้าคงเหลือ'!G:G,'📊 รายงานสินค้าคงเหลือ'!D:D,V168),"")</f>
        <v/>
      </c>
      <c r="X168" s="46"/>
      <c r="Y168" s="46"/>
      <c r="Z168" s="46"/>
    </row>
    <row r="169">
      <c r="A169" s="46"/>
      <c r="B169" s="16"/>
      <c r="C169" s="118"/>
      <c r="D169" s="126"/>
      <c r="E169" s="88"/>
      <c r="F169" s="118"/>
      <c r="G169" s="46"/>
      <c r="H169" s="46"/>
      <c r="I169" s="118"/>
      <c r="J169" s="46"/>
      <c r="K169" s="16" t="str">
        <f>IF(J169&lt;&gt;"",SUMIFS('💰 Transaction ขาย'!$F:$F,'💰 Transaction ขาย'!$K:$K,$J169,'💰 Transaction ขาย'!$J:$J,$B$1),"")</f>
        <v/>
      </c>
      <c r="L169" s="118"/>
      <c r="M169" s="46"/>
      <c r="N169" s="46"/>
      <c r="O169" s="46"/>
      <c r="P169" s="118"/>
      <c r="Q169" s="46"/>
      <c r="R169" s="46"/>
      <c r="S169" s="46"/>
      <c r="T169" s="46"/>
      <c r="U169" s="118"/>
      <c r="V169" s="46"/>
      <c r="W169" s="88" t="str">
        <f>IF(V169&lt;&gt;"",SUMIFS('📊 รายงานสินค้าคงเหลือ'!G:G,'📊 รายงานสินค้าคงเหลือ'!D:D,V169),"")</f>
        <v/>
      </c>
      <c r="X169" s="46"/>
      <c r="Y169" s="46"/>
      <c r="Z169" s="46"/>
    </row>
    <row r="170">
      <c r="A170" s="46"/>
      <c r="B170" s="16"/>
      <c r="C170" s="118"/>
      <c r="D170" s="126"/>
      <c r="E170" s="88"/>
      <c r="F170" s="118"/>
      <c r="G170" s="46"/>
      <c r="H170" s="46"/>
      <c r="I170" s="118"/>
      <c r="J170" s="46"/>
      <c r="K170" s="16" t="str">
        <f>IF(J170&lt;&gt;"",SUMIFS('💰 Transaction ขาย'!$F:$F,'💰 Transaction ขาย'!$K:$K,$J170,'💰 Transaction ขาย'!$J:$J,$B$1),"")</f>
        <v/>
      </c>
      <c r="L170" s="118"/>
      <c r="M170" s="46"/>
      <c r="N170" s="46"/>
      <c r="O170" s="46"/>
      <c r="P170" s="118"/>
      <c r="Q170" s="46"/>
      <c r="R170" s="46"/>
      <c r="S170" s="46"/>
      <c r="T170" s="46"/>
      <c r="U170" s="118"/>
      <c r="V170" s="46"/>
      <c r="W170" s="88" t="str">
        <f>IF(V170&lt;&gt;"",SUMIFS('📊 รายงานสินค้าคงเหลือ'!G:G,'📊 รายงานสินค้าคงเหลือ'!D:D,V170),"")</f>
        <v/>
      </c>
      <c r="X170" s="46"/>
      <c r="Y170" s="46"/>
      <c r="Z170" s="46"/>
    </row>
    <row r="171">
      <c r="A171" s="46"/>
      <c r="B171" s="16"/>
      <c r="C171" s="118"/>
      <c r="D171" s="126"/>
      <c r="E171" s="88"/>
      <c r="F171" s="118"/>
      <c r="G171" s="46"/>
      <c r="H171" s="46"/>
      <c r="I171" s="118"/>
      <c r="J171" s="46"/>
      <c r="K171" s="16" t="str">
        <f>IF(J171&lt;&gt;"",SUMIFS('💰 Transaction ขาย'!$F:$F,'💰 Transaction ขาย'!$K:$K,$J171,'💰 Transaction ขาย'!$J:$J,$B$1),"")</f>
        <v/>
      </c>
      <c r="L171" s="118"/>
      <c r="M171" s="46"/>
      <c r="N171" s="46"/>
      <c r="O171" s="46"/>
      <c r="P171" s="118"/>
      <c r="Q171" s="46"/>
      <c r="R171" s="46"/>
      <c r="S171" s="46"/>
      <c r="T171" s="46"/>
      <c r="U171" s="118"/>
      <c r="V171" s="46"/>
      <c r="W171" s="88" t="str">
        <f>IF(V171&lt;&gt;"",SUMIFS('📊 รายงานสินค้าคงเหลือ'!G:G,'📊 รายงานสินค้าคงเหลือ'!D:D,V171),"")</f>
        <v/>
      </c>
      <c r="X171" s="46"/>
      <c r="Y171" s="46"/>
      <c r="Z171" s="46"/>
    </row>
    <row r="172">
      <c r="A172" s="46"/>
      <c r="B172" s="16"/>
      <c r="C172" s="118"/>
      <c r="D172" s="126"/>
      <c r="E172" s="88"/>
      <c r="F172" s="118"/>
      <c r="G172" s="46"/>
      <c r="H172" s="46"/>
      <c r="I172" s="118"/>
      <c r="J172" s="46"/>
      <c r="K172" s="16" t="str">
        <f>IF(J172&lt;&gt;"",SUMIFS('💰 Transaction ขาย'!$F:$F,'💰 Transaction ขาย'!$K:$K,$J172,'💰 Transaction ขาย'!$J:$J,$B$1),"")</f>
        <v/>
      </c>
      <c r="L172" s="118"/>
      <c r="M172" s="46"/>
      <c r="N172" s="46"/>
      <c r="O172" s="46"/>
      <c r="P172" s="118"/>
      <c r="Q172" s="46"/>
      <c r="R172" s="46"/>
      <c r="S172" s="46"/>
      <c r="T172" s="46"/>
      <c r="U172" s="118"/>
      <c r="V172" s="46"/>
      <c r="W172" s="88" t="str">
        <f>IF(V172&lt;&gt;"",SUMIFS('📊 รายงานสินค้าคงเหลือ'!G:G,'📊 รายงานสินค้าคงเหลือ'!D:D,V172),"")</f>
        <v/>
      </c>
      <c r="X172" s="46"/>
      <c r="Y172" s="46"/>
      <c r="Z172" s="46"/>
    </row>
    <row r="173">
      <c r="A173" s="46"/>
      <c r="B173" s="16"/>
      <c r="C173" s="118"/>
      <c r="D173" s="126"/>
      <c r="E173" s="88"/>
      <c r="F173" s="118"/>
      <c r="G173" s="46"/>
      <c r="H173" s="46"/>
      <c r="I173" s="118"/>
      <c r="J173" s="46"/>
      <c r="K173" s="16" t="str">
        <f>IF(J173&lt;&gt;"",SUMIFS('💰 Transaction ขาย'!$F:$F,'💰 Transaction ขาย'!$K:$K,$J173,'💰 Transaction ขาย'!$J:$J,$B$1),"")</f>
        <v/>
      </c>
      <c r="L173" s="118"/>
      <c r="M173" s="46"/>
      <c r="N173" s="46"/>
      <c r="O173" s="46"/>
      <c r="P173" s="118"/>
      <c r="Q173" s="46"/>
      <c r="R173" s="46"/>
      <c r="S173" s="46"/>
      <c r="T173" s="46"/>
      <c r="U173" s="118"/>
      <c r="V173" s="46"/>
      <c r="W173" s="88" t="str">
        <f>IF(V173&lt;&gt;"",SUMIFS('📊 รายงานสินค้าคงเหลือ'!G:G,'📊 รายงานสินค้าคงเหลือ'!D:D,V173),"")</f>
        <v/>
      </c>
      <c r="X173" s="46"/>
      <c r="Y173" s="46"/>
      <c r="Z173" s="46"/>
    </row>
    <row r="174">
      <c r="A174" s="46"/>
      <c r="B174" s="16"/>
      <c r="C174" s="118"/>
      <c r="D174" s="126"/>
      <c r="E174" s="88"/>
      <c r="F174" s="118"/>
      <c r="G174" s="46"/>
      <c r="H174" s="46"/>
      <c r="I174" s="118"/>
      <c r="J174" s="46"/>
      <c r="K174" s="16" t="str">
        <f>IF(J174&lt;&gt;"",SUMIFS('💰 Transaction ขาย'!$F:$F,'💰 Transaction ขาย'!$K:$K,$J174,'💰 Transaction ขาย'!$J:$J,$B$1),"")</f>
        <v/>
      </c>
      <c r="L174" s="118"/>
      <c r="M174" s="46"/>
      <c r="N174" s="46"/>
      <c r="O174" s="46"/>
      <c r="P174" s="118"/>
      <c r="Q174" s="46"/>
      <c r="R174" s="46"/>
      <c r="S174" s="46"/>
      <c r="T174" s="46"/>
      <c r="U174" s="118"/>
      <c r="V174" s="46"/>
      <c r="W174" s="88" t="str">
        <f>IF(V174&lt;&gt;"",SUMIFS('📊 รายงานสินค้าคงเหลือ'!G:G,'📊 รายงานสินค้าคงเหลือ'!D:D,V174),"")</f>
        <v/>
      </c>
      <c r="X174" s="46"/>
      <c r="Y174" s="46"/>
      <c r="Z174" s="46"/>
    </row>
    <row r="175">
      <c r="A175" s="46"/>
      <c r="B175" s="16"/>
      <c r="C175" s="118"/>
      <c r="D175" s="126"/>
      <c r="E175" s="88"/>
      <c r="F175" s="118"/>
      <c r="G175" s="46"/>
      <c r="H175" s="46"/>
      <c r="I175" s="118"/>
      <c r="J175" s="46"/>
      <c r="K175" s="16" t="str">
        <f>IF(J175&lt;&gt;"",SUMIFS('💰 Transaction ขาย'!$F:$F,'💰 Transaction ขาย'!$K:$K,$J175,'💰 Transaction ขาย'!$J:$J,$B$1),"")</f>
        <v/>
      </c>
      <c r="L175" s="118"/>
      <c r="M175" s="46"/>
      <c r="N175" s="46"/>
      <c r="O175" s="46"/>
      <c r="P175" s="118"/>
      <c r="Q175" s="46"/>
      <c r="R175" s="46"/>
      <c r="S175" s="46"/>
      <c r="T175" s="46"/>
      <c r="U175" s="118"/>
      <c r="V175" s="46"/>
      <c r="W175" s="88" t="str">
        <f>IF(V175&lt;&gt;"",SUMIFS('📊 รายงานสินค้าคงเหลือ'!G:G,'📊 รายงานสินค้าคงเหลือ'!D:D,V175),"")</f>
        <v/>
      </c>
      <c r="X175" s="46"/>
      <c r="Y175" s="46"/>
      <c r="Z175" s="46"/>
    </row>
    <row r="176">
      <c r="A176" s="46"/>
      <c r="B176" s="16"/>
      <c r="C176" s="118"/>
      <c r="D176" s="126"/>
      <c r="E176" s="88"/>
      <c r="F176" s="118"/>
      <c r="G176" s="46"/>
      <c r="H176" s="46"/>
      <c r="I176" s="118"/>
      <c r="J176" s="46"/>
      <c r="K176" s="16" t="str">
        <f>IF(J176&lt;&gt;"",SUMIFS('💰 Transaction ขาย'!$F:$F,'💰 Transaction ขาย'!$K:$K,$J176,'💰 Transaction ขาย'!$J:$J,$B$1),"")</f>
        <v/>
      </c>
      <c r="L176" s="118"/>
      <c r="M176" s="46"/>
      <c r="N176" s="46"/>
      <c r="O176" s="46"/>
      <c r="P176" s="118"/>
      <c r="Q176" s="46"/>
      <c r="R176" s="46"/>
      <c r="S176" s="46"/>
      <c r="T176" s="46"/>
      <c r="U176" s="118"/>
      <c r="V176" s="46"/>
      <c r="W176" s="88" t="str">
        <f>IF(V176&lt;&gt;"",SUMIFS('📊 รายงานสินค้าคงเหลือ'!G:G,'📊 รายงานสินค้าคงเหลือ'!D:D,V176),"")</f>
        <v/>
      </c>
      <c r="X176" s="46"/>
      <c r="Y176" s="46"/>
      <c r="Z176" s="46"/>
    </row>
    <row r="177">
      <c r="A177" s="46"/>
      <c r="B177" s="16"/>
      <c r="C177" s="118"/>
      <c r="D177" s="126"/>
      <c r="E177" s="88"/>
      <c r="F177" s="118"/>
      <c r="G177" s="46"/>
      <c r="H177" s="46"/>
      <c r="I177" s="118"/>
      <c r="J177" s="46"/>
      <c r="K177" s="16" t="str">
        <f>IF(J177&lt;&gt;"",SUMIFS('💰 Transaction ขาย'!$F:$F,'💰 Transaction ขาย'!$K:$K,$J177,'💰 Transaction ขาย'!$J:$J,$B$1),"")</f>
        <v/>
      </c>
      <c r="L177" s="118"/>
      <c r="M177" s="46"/>
      <c r="N177" s="46"/>
      <c r="O177" s="46"/>
      <c r="P177" s="118"/>
      <c r="Q177" s="46"/>
      <c r="R177" s="46"/>
      <c r="S177" s="46"/>
      <c r="T177" s="46"/>
      <c r="U177" s="118"/>
      <c r="V177" s="46"/>
      <c r="W177" s="88" t="str">
        <f>IF(V177&lt;&gt;"",SUMIFS('📊 รายงานสินค้าคงเหลือ'!G:G,'📊 รายงานสินค้าคงเหลือ'!D:D,V177),"")</f>
        <v/>
      </c>
      <c r="X177" s="46"/>
      <c r="Y177" s="46"/>
      <c r="Z177" s="46"/>
    </row>
    <row r="178">
      <c r="A178" s="46"/>
      <c r="B178" s="16"/>
      <c r="C178" s="118"/>
      <c r="D178" s="126"/>
      <c r="E178" s="88"/>
      <c r="F178" s="118"/>
      <c r="G178" s="46"/>
      <c r="H178" s="46"/>
      <c r="I178" s="118"/>
      <c r="J178" s="46"/>
      <c r="K178" s="16" t="str">
        <f>IF(J178&lt;&gt;"",SUMIFS('💰 Transaction ขาย'!$F:$F,'💰 Transaction ขาย'!$K:$K,$J178,'💰 Transaction ขาย'!$J:$J,$B$1),"")</f>
        <v/>
      </c>
      <c r="L178" s="118"/>
      <c r="M178" s="46"/>
      <c r="N178" s="46"/>
      <c r="O178" s="46"/>
      <c r="P178" s="118"/>
      <c r="Q178" s="46"/>
      <c r="R178" s="46"/>
      <c r="S178" s="46"/>
      <c r="T178" s="46"/>
      <c r="U178" s="118"/>
      <c r="V178" s="46"/>
      <c r="W178" s="88" t="str">
        <f>IF(V178&lt;&gt;"",SUMIFS('📊 รายงานสินค้าคงเหลือ'!G:G,'📊 รายงานสินค้าคงเหลือ'!D:D,V178),"")</f>
        <v/>
      </c>
      <c r="X178" s="46"/>
      <c r="Y178" s="46"/>
      <c r="Z178" s="46"/>
    </row>
    <row r="179">
      <c r="A179" s="46"/>
      <c r="B179" s="16"/>
      <c r="C179" s="118"/>
      <c r="D179" s="126"/>
      <c r="E179" s="88"/>
      <c r="F179" s="118"/>
      <c r="G179" s="46"/>
      <c r="H179" s="46"/>
      <c r="I179" s="118"/>
      <c r="J179" s="46"/>
      <c r="K179" s="16" t="str">
        <f>IF(J179&lt;&gt;"",SUMIFS('💰 Transaction ขาย'!$F:$F,'💰 Transaction ขาย'!$K:$K,$J179,'💰 Transaction ขาย'!$J:$J,$B$1),"")</f>
        <v/>
      </c>
      <c r="L179" s="118"/>
      <c r="M179" s="46"/>
      <c r="N179" s="46"/>
      <c r="O179" s="46"/>
      <c r="P179" s="118"/>
      <c r="Q179" s="46"/>
      <c r="R179" s="46"/>
      <c r="S179" s="46"/>
      <c r="T179" s="46"/>
      <c r="U179" s="118"/>
      <c r="V179" s="46"/>
      <c r="W179" s="88" t="str">
        <f>IF(V179&lt;&gt;"",SUMIFS('📊 รายงานสินค้าคงเหลือ'!G:G,'📊 รายงานสินค้าคงเหลือ'!D:D,V179),"")</f>
        <v/>
      </c>
      <c r="X179" s="46"/>
      <c r="Y179" s="46"/>
      <c r="Z179" s="46"/>
    </row>
    <row r="180">
      <c r="A180" s="46"/>
      <c r="B180" s="16"/>
      <c r="C180" s="118"/>
      <c r="D180" s="126"/>
      <c r="E180" s="88"/>
      <c r="F180" s="118"/>
      <c r="G180" s="46"/>
      <c r="H180" s="46"/>
      <c r="I180" s="118"/>
      <c r="J180" s="46"/>
      <c r="K180" s="16" t="str">
        <f>IF(J180&lt;&gt;"",SUMIFS('💰 Transaction ขาย'!$F:$F,'💰 Transaction ขาย'!$K:$K,$J180,'💰 Transaction ขาย'!$J:$J,$B$1),"")</f>
        <v/>
      </c>
      <c r="L180" s="118"/>
      <c r="M180" s="46"/>
      <c r="N180" s="46"/>
      <c r="O180" s="46"/>
      <c r="P180" s="118"/>
      <c r="Q180" s="46"/>
      <c r="R180" s="46"/>
      <c r="S180" s="46"/>
      <c r="T180" s="46"/>
      <c r="U180" s="118"/>
      <c r="V180" s="46"/>
      <c r="W180" s="88" t="str">
        <f>IF(V180&lt;&gt;"",SUMIFS('📊 รายงานสินค้าคงเหลือ'!G:G,'📊 รายงานสินค้าคงเหลือ'!D:D,V180),"")</f>
        <v/>
      </c>
      <c r="X180" s="46"/>
      <c r="Y180" s="46"/>
      <c r="Z180" s="46"/>
    </row>
    <row r="181">
      <c r="A181" s="46"/>
      <c r="B181" s="16"/>
      <c r="C181" s="118"/>
      <c r="D181" s="126"/>
      <c r="E181" s="88"/>
      <c r="F181" s="118"/>
      <c r="G181" s="46"/>
      <c r="H181" s="46"/>
      <c r="I181" s="118"/>
      <c r="J181" s="46"/>
      <c r="K181" s="16" t="str">
        <f>IF(J181&lt;&gt;"",SUMIFS('💰 Transaction ขาย'!$F:$F,'💰 Transaction ขาย'!$K:$K,$J181,'💰 Transaction ขาย'!$J:$J,$B$1),"")</f>
        <v/>
      </c>
      <c r="L181" s="118"/>
      <c r="M181" s="46"/>
      <c r="N181" s="46"/>
      <c r="O181" s="46"/>
      <c r="P181" s="118"/>
      <c r="Q181" s="46"/>
      <c r="R181" s="46"/>
      <c r="S181" s="46"/>
      <c r="T181" s="46"/>
      <c r="U181" s="118"/>
      <c r="V181" s="46"/>
      <c r="W181" s="88" t="str">
        <f>IF(V181&lt;&gt;"",SUMIFS('📊 รายงานสินค้าคงเหลือ'!G:G,'📊 รายงานสินค้าคงเหลือ'!D:D,V181),"")</f>
        <v/>
      </c>
      <c r="X181" s="46"/>
      <c r="Y181" s="46"/>
      <c r="Z181" s="46"/>
    </row>
    <row r="182">
      <c r="A182" s="46"/>
      <c r="B182" s="16"/>
      <c r="C182" s="118"/>
      <c r="D182" s="126"/>
      <c r="E182" s="88"/>
      <c r="F182" s="118"/>
      <c r="G182" s="46"/>
      <c r="H182" s="46"/>
      <c r="I182" s="118"/>
      <c r="J182" s="46"/>
      <c r="K182" s="16" t="str">
        <f>IF(J182&lt;&gt;"",SUMIFS('💰 Transaction ขาย'!$F:$F,'💰 Transaction ขาย'!$K:$K,$J182,'💰 Transaction ขาย'!$J:$J,$B$1),"")</f>
        <v/>
      </c>
      <c r="L182" s="118"/>
      <c r="M182" s="46"/>
      <c r="N182" s="46"/>
      <c r="O182" s="46"/>
      <c r="P182" s="118"/>
      <c r="Q182" s="46"/>
      <c r="R182" s="46"/>
      <c r="S182" s="46"/>
      <c r="T182" s="46"/>
      <c r="U182" s="118"/>
      <c r="V182" s="46"/>
      <c r="W182" s="88" t="str">
        <f>IF(V182&lt;&gt;"",SUMIFS('📊 รายงานสินค้าคงเหลือ'!G:G,'📊 รายงานสินค้าคงเหลือ'!D:D,V182),"")</f>
        <v/>
      </c>
      <c r="X182" s="46"/>
      <c r="Y182" s="46"/>
      <c r="Z182" s="46"/>
    </row>
    <row r="183">
      <c r="A183" s="46"/>
      <c r="B183" s="16"/>
      <c r="C183" s="118"/>
      <c r="D183" s="126"/>
      <c r="E183" s="88"/>
      <c r="F183" s="118"/>
      <c r="G183" s="46"/>
      <c r="H183" s="46"/>
      <c r="I183" s="118"/>
      <c r="J183" s="46"/>
      <c r="K183" s="16" t="str">
        <f>IF(J183&lt;&gt;"",SUMIFS('💰 Transaction ขาย'!$F:$F,'💰 Transaction ขาย'!$K:$K,$J183,'💰 Transaction ขาย'!$J:$J,$B$1),"")</f>
        <v/>
      </c>
      <c r="L183" s="118"/>
      <c r="M183" s="46"/>
      <c r="N183" s="46"/>
      <c r="O183" s="46"/>
      <c r="P183" s="118"/>
      <c r="Q183" s="46"/>
      <c r="R183" s="46"/>
      <c r="S183" s="46"/>
      <c r="T183" s="46"/>
      <c r="U183" s="118"/>
      <c r="V183" s="46"/>
      <c r="W183" s="88" t="str">
        <f>IF(V183&lt;&gt;"",SUMIFS('📊 รายงานสินค้าคงเหลือ'!G:G,'📊 รายงานสินค้าคงเหลือ'!D:D,V183),"")</f>
        <v/>
      </c>
      <c r="X183" s="46"/>
      <c r="Y183" s="46"/>
      <c r="Z183" s="46"/>
    </row>
    <row r="184">
      <c r="A184" s="46"/>
      <c r="B184" s="16"/>
      <c r="C184" s="118"/>
      <c r="D184" s="126"/>
      <c r="E184" s="88"/>
      <c r="F184" s="118"/>
      <c r="G184" s="46"/>
      <c r="H184" s="46"/>
      <c r="I184" s="118"/>
      <c r="J184" s="46"/>
      <c r="K184" s="16" t="str">
        <f>IF(J184&lt;&gt;"",SUMIFS('💰 Transaction ขาย'!$F:$F,'💰 Transaction ขาย'!$K:$K,$J184,'💰 Transaction ขาย'!$J:$J,$B$1),"")</f>
        <v/>
      </c>
      <c r="L184" s="118"/>
      <c r="M184" s="46"/>
      <c r="N184" s="46"/>
      <c r="O184" s="46"/>
      <c r="P184" s="118"/>
      <c r="Q184" s="46"/>
      <c r="R184" s="46"/>
      <c r="S184" s="46"/>
      <c r="T184" s="46"/>
      <c r="U184" s="118"/>
      <c r="V184" s="46"/>
      <c r="W184" s="88" t="str">
        <f>IF(V184&lt;&gt;"",SUMIFS('📊 รายงานสินค้าคงเหลือ'!G:G,'📊 รายงานสินค้าคงเหลือ'!D:D,V184),"")</f>
        <v/>
      </c>
      <c r="X184" s="46"/>
      <c r="Y184" s="46"/>
      <c r="Z184" s="46"/>
    </row>
    <row r="185">
      <c r="A185" s="46"/>
      <c r="B185" s="16"/>
      <c r="C185" s="118"/>
      <c r="D185" s="126"/>
      <c r="E185" s="88"/>
      <c r="F185" s="118"/>
      <c r="G185" s="46"/>
      <c r="H185" s="46"/>
      <c r="I185" s="118"/>
      <c r="J185" s="46"/>
      <c r="K185" s="16" t="str">
        <f>IF(J185&lt;&gt;"",SUMIFS('💰 Transaction ขาย'!$F:$F,'💰 Transaction ขาย'!$K:$K,$J185,'💰 Transaction ขาย'!$J:$J,$B$1),"")</f>
        <v/>
      </c>
      <c r="L185" s="118"/>
      <c r="M185" s="46"/>
      <c r="N185" s="46"/>
      <c r="O185" s="46"/>
      <c r="P185" s="118"/>
      <c r="Q185" s="46"/>
      <c r="R185" s="46"/>
      <c r="S185" s="46"/>
      <c r="T185" s="46"/>
      <c r="U185" s="118"/>
      <c r="V185" s="46"/>
      <c r="W185" s="88" t="str">
        <f>IF(V185&lt;&gt;"",SUMIFS('📊 รายงานสินค้าคงเหลือ'!G:G,'📊 รายงานสินค้าคงเหลือ'!D:D,V185),"")</f>
        <v/>
      </c>
      <c r="X185" s="46"/>
      <c r="Y185" s="46"/>
      <c r="Z185" s="46"/>
    </row>
    <row r="186">
      <c r="A186" s="46"/>
      <c r="B186" s="16"/>
      <c r="C186" s="118"/>
      <c r="D186" s="126"/>
      <c r="E186" s="88"/>
      <c r="F186" s="118"/>
      <c r="G186" s="46"/>
      <c r="H186" s="46"/>
      <c r="I186" s="118"/>
      <c r="J186" s="46"/>
      <c r="K186" s="16" t="str">
        <f>IF(J186&lt;&gt;"",SUMIFS('💰 Transaction ขาย'!$F:$F,'💰 Transaction ขาย'!$K:$K,$J186,'💰 Transaction ขาย'!$J:$J,$B$1),"")</f>
        <v/>
      </c>
      <c r="L186" s="118"/>
      <c r="M186" s="46"/>
      <c r="N186" s="46"/>
      <c r="O186" s="46"/>
      <c r="P186" s="118"/>
      <c r="Q186" s="46"/>
      <c r="R186" s="46"/>
      <c r="S186" s="46"/>
      <c r="T186" s="46"/>
      <c r="U186" s="118"/>
      <c r="V186" s="46"/>
      <c r="W186" s="88" t="str">
        <f>IF(V186&lt;&gt;"",SUMIFS('📊 รายงานสินค้าคงเหลือ'!G:G,'📊 รายงานสินค้าคงเหลือ'!D:D,V186),"")</f>
        <v/>
      </c>
      <c r="X186" s="46"/>
      <c r="Y186" s="46"/>
      <c r="Z186" s="46"/>
    </row>
    <row r="187">
      <c r="A187" s="46"/>
      <c r="B187" s="16"/>
      <c r="C187" s="118"/>
      <c r="D187" s="126"/>
      <c r="E187" s="88"/>
      <c r="F187" s="118"/>
      <c r="G187" s="46"/>
      <c r="H187" s="46"/>
      <c r="I187" s="118"/>
      <c r="J187" s="46"/>
      <c r="K187" s="16" t="str">
        <f>IF(J187&lt;&gt;"",SUMIFS('💰 Transaction ขาย'!$F:$F,'💰 Transaction ขาย'!$K:$K,$J187,'💰 Transaction ขาย'!$J:$J,$B$1),"")</f>
        <v/>
      </c>
      <c r="L187" s="118"/>
      <c r="M187" s="46"/>
      <c r="N187" s="46"/>
      <c r="O187" s="46"/>
      <c r="P187" s="118"/>
      <c r="Q187" s="46"/>
      <c r="R187" s="46"/>
      <c r="S187" s="46"/>
      <c r="T187" s="46"/>
      <c r="U187" s="118"/>
      <c r="V187" s="46"/>
      <c r="W187" s="88" t="str">
        <f>IF(V187&lt;&gt;"",SUMIFS('📊 รายงานสินค้าคงเหลือ'!G:G,'📊 รายงานสินค้าคงเหลือ'!D:D,V187),"")</f>
        <v/>
      </c>
      <c r="X187" s="46"/>
      <c r="Y187" s="46"/>
      <c r="Z187" s="46"/>
    </row>
    <row r="188">
      <c r="A188" s="46"/>
      <c r="B188" s="16"/>
      <c r="C188" s="118"/>
      <c r="D188" s="126"/>
      <c r="E188" s="88"/>
      <c r="F188" s="118"/>
      <c r="G188" s="46"/>
      <c r="H188" s="46"/>
      <c r="I188" s="118"/>
      <c r="J188" s="46"/>
      <c r="K188" s="16" t="str">
        <f>IF(J188&lt;&gt;"",SUMIFS('💰 Transaction ขาย'!$F:$F,'💰 Transaction ขาย'!$K:$K,$J188,'💰 Transaction ขาย'!$J:$J,$B$1),"")</f>
        <v/>
      </c>
      <c r="L188" s="118"/>
      <c r="M188" s="46"/>
      <c r="N188" s="46"/>
      <c r="O188" s="46"/>
      <c r="P188" s="118"/>
      <c r="Q188" s="46"/>
      <c r="R188" s="46"/>
      <c r="S188" s="46"/>
      <c r="T188" s="46"/>
      <c r="U188" s="118"/>
      <c r="V188" s="46"/>
      <c r="W188" s="88" t="str">
        <f>IF(V188&lt;&gt;"",SUMIFS('📊 รายงานสินค้าคงเหลือ'!G:G,'📊 รายงานสินค้าคงเหลือ'!D:D,V188),"")</f>
        <v/>
      </c>
      <c r="X188" s="46"/>
      <c r="Y188" s="46"/>
      <c r="Z188" s="46"/>
    </row>
    <row r="189">
      <c r="A189" s="46"/>
      <c r="B189" s="16"/>
      <c r="C189" s="118"/>
      <c r="D189" s="126"/>
      <c r="E189" s="88"/>
      <c r="F189" s="118"/>
      <c r="G189" s="46"/>
      <c r="H189" s="46"/>
      <c r="I189" s="118"/>
      <c r="J189" s="46"/>
      <c r="K189" s="16" t="str">
        <f>IF(J189&lt;&gt;"",SUMIFS('💰 Transaction ขาย'!$F:$F,'💰 Transaction ขาย'!$K:$K,$J189,'💰 Transaction ขาย'!$J:$J,$B$1),"")</f>
        <v/>
      </c>
      <c r="L189" s="118"/>
      <c r="M189" s="46"/>
      <c r="N189" s="46"/>
      <c r="O189" s="46"/>
      <c r="P189" s="118"/>
      <c r="Q189" s="46"/>
      <c r="R189" s="46"/>
      <c r="S189" s="46"/>
      <c r="T189" s="46"/>
      <c r="U189" s="118"/>
      <c r="V189" s="46"/>
      <c r="W189" s="88" t="str">
        <f>IF(V189&lt;&gt;"",SUMIFS('📊 รายงานสินค้าคงเหลือ'!G:G,'📊 รายงานสินค้าคงเหลือ'!D:D,V189),"")</f>
        <v/>
      </c>
      <c r="X189" s="46"/>
      <c r="Y189" s="46"/>
      <c r="Z189" s="46"/>
    </row>
    <row r="190">
      <c r="A190" s="46"/>
      <c r="B190" s="16"/>
      <c r="C190" s="118"/>
      <c r="D190" s="126"/>
      <c r="E190" s="88"/>
      <c r="F190" s="118"/>
      <c r="G190" s="46"/>
      <c r="H190" s="46"/>
      <c r="I190" s="118"/>
      <c r="J190" s="46"/>
      <c r="K190" s="16" t="str">
        <f>IF(J190&lt;&gt;"",SUMIFS('💰 Transaction ขาย'!$F:$F,'💰 Transaction ขาย'!$K:$K,$J190,'💰 Transaction ขาย'!$J:$J,$B$1),"")</f>
        <v/>
      </c>
      <c r="L190" s="118"/>
      <c r="M190" s="46"/>
      <c r="N190" s="46"/>
      <c r="O190" s="46"/>
      <c r="P190" s="118"/>
      <c r="Q190" s="46"/>
      <c r="R190" s="46"/>
      <c r="S190" s="46"/>
      <c r="T190" s="46"/>
      <c r="U190" s="118"/>
      <c r="V190" s="46"/>
      <c r="W190" s="88" t="str">
        <f>IF(V190&lt;&gt;"",SUMIFS('📊 รายงานสินค้าคงเหลือ'!G:G,'📊 รายงานสินค้าคงเหลือ'!D:D,V190),"")</f>
        <v/>
      </c>
      <c r="X190" s="46"/>
      <c r="Y190" s="46"/>
      <c r="Z190" s="46"/>
    </row>
    <row r="191">
      <c r="A191" s="46"/>
      <c r="B191" s="16"/>
      <c r="C191" s="118"/>
      <c r="D191" s="126"/>
      <c r="E191" s="88"/>
      <c r="F191" s="118"/>
      <c r="G191" s="46"/>
      <c r="H191" s="46"/>
      <c r="I191" s="118"/>
      <c r="J191" s="46"/>
      <c r="K191" s="16" t="str">
        <f>IF(J191&lt;&gt;"",SUMIFS('💰 Transaction ขาย'!$F:$F,'💰 Transaction ขาย'!$K:$K,$J191,'💰 Transaction ขาย'!$J:$J,$B$1),"")</f>
        <v/>
      </c>
      <c r="L191" s="118"/>
      <c r="M191" s="46"/>
      <c r="N191" s="46"/>
      <c r="O191" s="46"/>
      <c r="P191" s="118"/>
      <c r="Q191" s="46"/>
      <c r="R191" s="46"/>
      <c r="S191" s="46"/>
      <c r="T191" s="46"/>
      <c r="U191" s="118"/>
      <c r="V191" s="46"/>
      <c r="W191" s="88" t="str">
        <f>IF(V191&lt;&gt;"",SUMIFS('📊 รายงานสินค้าคงเหลือ'!G:G,'📊 รายงานสินค้าคงเหลือ'!D:D,V191),"")</f>
        <v/>
      </c>
      <c r="X191" s="46"/>
      <c r="Y191" s="46"/>
      <c r="Z191" s="46"/>
    </row>
    <row r="192">
      <c r="A192" s="46"/>
      <c r="B192" s="16"/>
      <c r="C192" s="118"/>
      <c r="D192" s="126"/>
      <c r="E192" s="88"/>
      <c r="F192" s="118"/>
      <c r="G192" s="46"/>
      <c r="H192" s="46"/>
      <c r="I192" s="118"/>
      <c r="J192" s="46"/>
      <c r="K192" s="16" t="str">
        <f>IF(J192&lt;&gt;"",SUMIFS('💰 Transaction ขาย'!$F:$F,'💰 Transaction ขาย'!$K:$K,$J192,'💰 Transaction ขาย'!$J:$J,$B$1),"")</f>
        <v/>
      </c>
      <c r="L192" s="118"/>
      <c r="M192" s="46"/>
      <c r="N192" s="46"/>
      <c r="O192" s="46"/>
      <c r="P192" s="118"/>
      <c r="Q192" s="46"/>
      <c r="R192" s="46"/>
      <c r="S192" s="46"/>
      <c r="T192" s="46"/>
      <c r="U192" s="118"/>
      <c r="V192" s="46"/>
      <c r="W192" s="88" t="str">
        <f>IF(V192&lt;&gt;"",SUMIFS('📊 รายงานสินค้าคงเหลือ'!G:G,'📊 รายงานสินค้าคงเหลือ'!D:D,V192),"")</f>
        <v/>
      </c>
      <c r="X192" s="46"/>
      <c r="Y192" s="46"/>
      <c r="Z192" s="46"/>
    </row>
    <row r="193">
      <c r="A193" s="46"/>
      <c r="B193" s="16"/>
      <c r="C193" s="118"/>
      <c r="D193" s="126"/>
      <c r="E193" s="88"/>
      <c r="F193" s="118"/>
      <c r="G193" s="46"/>
      <c r="H193" s="46"/>
      <c r="I193" s="118"/>
      <c r="J193" s="46"/>
      <c r="K193" s="16" t="str">
        <f>IF(J193&lt;&gt;"",SUMIFS('💰 Transaction ขาย'!$F:$F,'💰 Transaction ขาย'!$K:$K,$J193,'💰 Transaction ขาย'!$J:$J,$B$1),"")</f>
        <v/>
      </c>
      <c r="L193" s="118"/>
      <c r="M193" s="46"/>
      <c r="N193" s="46"/>
      <c r="O193" s="46"/>
      <c r="P193" s="118"/>
      <c r="Q193" s="46"/>
      <c r="R193" s="46"/>
      <c r="S193" s="46"/>
      <c r="T193" s="46"/>
      <c r="U193" s="118"/>
      <c r="V193" s="46"/>
      <c r="W193" s="88" t="str">
        <f>IF(V193&lt;&gt;"",SUMIFS('📊 รายงานสินค้าคงเหลือ'!G:G,'📊 รายงานสินค้าคงเหลือ'!D:D,V193),"")</f>
        <v/>
      </c>
      <c r="X193" s="46"/>
      <c r="Y193" s="46"/>
      <c r="Z193" s="46"/>
    </row>
    <row r="194">
      <c r="A194" s="46"/>
      <c r="B194" s="16"/>
      <c r="C194" s="118"/>
      <c r="D194" s="126"/>
      <c r="E194" s="88"/>
      <c r="F194" s="118"/>
      <c r="G194" s="46"/>
      <c r="H194" s="46"/>
      <c r="I194" s="118"/>
      <c r="J194" s="46"/>
      <c r="K194" s="16" t="str">
        <f>IF(J194&lt;&gt;"",SUMIFS('💰 Transaction ขาย'!$F:$F,'💰 Transaction ขาย'!$K:$K,$J194,'💰 Transaction ขาย'!$J:$J,$B$1),"")</f>
        <v/>
      </c>
      <c r="L194" s="118"/>
      <c r="M194" s="46"/>
      <c r="N194" s="46"/>
      <c r="O194" s="46"/>
      <c r="P194" s="118"/>
      <c r="Q194" s="46"/>
      <c r="R194" s="46"/>
      <c r="S194" s="46"/>
      <c r="T194" s="46"/>
      <c r="U194" s="118"/>
      <c r="V194" s="46"/>
      <c r="W194" s="88" t="str">
        <f>IF(V194&lt;&gt;"",SUMIFS('📊 รายงานสินค้าคงเหลือ'!G:G,'📊 รายงานสินค้าคงเหลือ'!D:D,V194),"")</f>
        <v/>
      </c>
      <c r="X194" s="46"/>
      <c r="Y194" s="46"/>
      <c r="Z194" s="46"/>
    </row>
    <row r="195">
      <c r="A195" s="46"/>
      <c r="B195" s="16"/>
      <c r="C195" s="118"/>
      <c r="D195" s="126"/>
      <c r="E195" s="88"/>
      <c r="F195" s="118"/>
      <c r="G195" s="46"/>
      <c r="H195" s="46"/>
      <c r="I195" s="118"/>
      <c r="J195" s="46"/>
      <c r="K195" s="16" t="str">
        <f>IF(J195&lt;&gt;"",SUMIFS('💰 Transaction ขาย'!$F:$F,'💰 Transaction ขาย'!$K:$K,$J195,'💰 Transaction ขาย'!$J:$J,$B$1),"")</f>
        <v/>
      </c>
      <c r="L195" s="118"/>
      <c r="M195" s="46"/>
      <c r="N195" s="46"/>
      <c r="O195" s="46"/>
      <c r="P195" s="118"/>
      <c r="Q195" s="46"/>
      <c r="R195" s="46"/>
      <c r="S195" s="46"/>
      <c r="T195" s="46"/>
      <c r="U195" s="118"/>
      <c r="V195" s="46"/>
      <c r="W195" s="88" t="str">
        <f>IF(V195&lt;&gt;"",SUMIFS('📊 รายงานสินค้าคงเหลือ'!G:G,'📊 รายงานสินค้าคงเหลือ'!D:D,V195),"")</f>
        <v/>
      </c>
      <c r="X195" s="46"/>
      <c r="Y195" s="46"/>
      <c r="Z195" s="46"/>
    </row>
    <row r="196">
      <c r="A196" s="46"/>
      <c r="B196" s="16"/>
      <c r="C196" s="118"/>
      <c r="D196" s="126"/>
      <c r="E196" s="88"/>
      <c r="F196" s="118"/>
      <c r="G196" s="46"/>
      <c r="H196" s="46"/>
      <c r="I196" s="118"/>
      <c r="J196" s="46"/>
      <c r="K196" s="16" t="str">
        <f>IF(J196&lt;&gt;"",SUMIFS('💰 Transaction ขาย'!$F:$F,'💰 Transaction ขาย'!$K:$K,$J196,'💰 Transaction ขาย'!$J:$J,$B$1),"")</f>
        <v/>
      </c>
      <c r="L196" s="118"/>
      <c r="M196" s="46"/>
      <c r="N196" s="46"/>
      <c r="O196" s="46"/>
      <c r="P196" s="118"/>
      <c r="Q196" s="46"/>
      <c r="R196" s="46"/>
      <c r="S196" s="46"/>
      <c r="T196" s="46"/>
      <c r="U196" s="118"/>
      <c r="V196" s="46"/>
      <c r="W196" s="88" t="str">
        <f>IF(V196&lt;&gt;"",SUMIFS('📊 รายงานสินค้าคงเหลือ'!G:G,'📊 รายงานสินค้าคงเหลือ'!D:D,V196),"")</f>
        <v/>
      </c>
      <c r="X196" s="46"/>
      <c r="Y196" s="46"/>
      <c r="Z196" s="46"/>
    </row>
    <row r="197">
      <c r="A197" s="46"/>
      <c r="B197" s="16"/>
      <c r="C197" s="118"/>
      <c r="D197" s="126"/>
      <c r="E197" s="88"/>
      <c r="F197" s="118"/>
      <c r="G197" s="46"/>
      <c r="H197" s="46"/>
      <c r="I197" s="118"/>
      <c r="J197" s="46"/>
      <c r="K197" s="16" t="str">
        <f>IF(J197&lt;&gt;"",SUMIFS('💰 Transaction ขาย'!$F:$F,'💰 Transaction ขาย'!$K:$K,$J197,'💰 Transaction ขาย'!$J:$J,$B$1),"")</f>
        <v/>
      </c>
      <c r="L197" s="118"/>
      <c r="M197" s="46"/>
      <c r="N197" s="46"/>
      <c r="O197" s="46"/>
      <c r="P197" s="118"/>
      <c r="Q197" s="46"/>
      <c r="R197" s="46"/>
      <c r="S197" s="46"/>
      <c r="T197" s="46"/>
      <c r="U197" s="118"/>
      <c r="V197" s="46"/>
      <c r="W197" s="88" t="str">
        <f>IF(V197&lt;&gt;"",SUMIFS('📊 รายงานสินค้าคงเหลือ'!G:G,'📊 รายงานสินค้าคงเหลือ'!D:D,V197),"")</f>
        <v/>
      </c>
      <c r="X197" s="46"/>
      <c r="Y197" s="46"/>
      <c r="Z197" s="46"/>
    </row>
    <row r="198">
      <c r="A198" s="46"/>
      <c r="B198" s="16"/>
      <c r="C198" s="118"/>
      <c r="D198" s="126"/>
      <c r="E198" s="88"/>
      <c r="F198" s="118"/>
      <c r="G198" s="46"/>
      <c r="H198" s="46"/>
      <c r="I198" s="118"/>
      <c r="J198" s="46"/>
      <c r="K198" s="16" t="str">
        <f>IF(J198&lt;&gt;"",SUMIFS('💰 Transaction ขาย'!$F:$F,'💰 Transaction ขาย'!$K:$K,$J198,'💰 Transaction ขาย'!$J:$J,$B$1),"")</f>
        <v/>
      </c>
      <c r="L198" s="118"/>
      <c r="M198" s="46"/>
      <c r="N198" s="46"/>
      <c r="O198" s="46"/>
      <c r="P198" s="118"/>
      <c r="Q198" s="46"/>
      <c r="R198" s="46"/>
      <c r="S198" s="46"/>
      <c r="T198" s="46"/>
      <c r="U198" s="118"/>
      <c r="V198" s="46"/>
      <c r="W198" s="88" t="str">
        <f>IF(V198&lt;&gt;"",SUMIFS('📊 รายงานสินค้าคงเหลือ'!G:G,'📊 รายงานสินค้าคงเหลือ'!D:D,V198),"")</f>
        <v/>
      </c>
      <c r="X198" s="46"/>
      <c r="Y198" s="46"/>
      <c r="Z198" s="46"/>
    </row>
    <row r="199">
      <c r="A199" s="46"/>
      <c r="B199" s="16"/>
      <c r="C199" s="118"/>
      <c r="D199" s="126"/>
      <c r="E199" s="88"/>
      <c r="F199" s="118"/>
      <c r="G199" s="46"/>
      <c r="H199" s="46"/>
      <c r="I199" s="118"/>
      <c r="J199" s="46"/>
      <c r="K199" s="16" t="str">
        <f>IF(J199&lt;&gt;"",SUMIFS('💰 Transaction ขาย'!$F:$F,'💰 Transaction ขาย'!$K:$K,$J199,'💰 Transaction ขาย'!$J:$J,$B$1),"")</f>
        <v/>
      </c>
      <c r="L199" s="118"/>
      <c r="M199" s="46"/>
      <c r="N199" s="46"/>
      <c r="O199" s="46"/>
      <c r="P199" s="118"/>
      <c r="Q199" s="46"/>
      <c r="R199" s="46"/>
      <c r="S199" s="46"/>
      <c r="T199" s="46"/>
      <c r="U199" s="118"/>
      <c r="V199" s="46"/>
      <c r="W199" s="88" t="str">
        <f>IF(V199&lt;&gt;"",SUMIFS('📊 รายงานสินค้าคงเหลือ'!G:G,'📊 รายงานสินค้าคงเหลือ'!D:D,V199),"")</f>
        <v/>
      </c>
      <c r="X199" s="46"/>
      <c r="Y199" s="46"/>
      <c r="Z199" s="46"/>
    </row>
    <row r="200">
      <c r="A200" s="46"/>
      <c r="B200" s="16"/>
      <c r="C200" s="118"/>
      <c r="D200" s="126"/>
      <c r="E200" s="88"/>
      <c r="F200" s="118"/>
      <c r="G200" s="46"/>
      <c r="H200" s="46"/>
      <c r="I200" s="118"/>
      <c r="J200" s="46"/>
      <c r="K200" s="16" t="str">
        <f>IF(J200&lt;&gt;"",SUMIFS('💰 Transaction ขาย'!$F:$F,'💰 Transaction ขาย'!$K:$K,$J200,'💰 Transaction ขาย'!$J:$J,$B$1),"")</f>
        <v/>
      </c>
      <c r="L200" s="118"/>
      <c r="M200" s="46"/>
      <c r="N200" s="46"/>
      <c r="O200" s="46"/>
      <c r="P200" s="118"/>
      <c r="Q200" s="46"/>
      <c r="R200" s="46"/>
      <c r="S200" s="46"/>
      <c r="T200" s="46"/>
      <c r="U200" s="118"/>
      <c r="V200" s="46"/>
      <c r="W200" s="88" t="str">
        <f>IF(V200&lt;&gt;"",SUMIFS('📊 รายงานสินค้าคงเหลือ'!G:G,'📊 รายงานสินค้าคงเหลือ'!D:D,V200),"")</f>
        <v/>
      </c>
      <c r="X200" s="46"/>
      <c r="Y200" s="46"/>
      <c r="Z200" s="46"/>
    </row>
    <row r="201">
      <c r="A201" s="46"/>
      <c r="B201" s="16"/>
      <c r="C201" s="118"/>
      <c r="D201" s="126"/>
      <c r="E201" s="88"/>
      <c r="F201" s="118"/>
      <c r="G201" s="46"/>
      <c r="H201" s="46"/>
      <c r="I201" s="118"/>
      <c r="J201" s="46"/>
      <c r="K201" s="16" t="str">
        <f>IF(J201&lt;&gt;"",SUMIFS('💰 Transaction ขาย'!$F:$F,'💰 Transaction ขาย'!$K:$K,$J201,'💰 Transaction ขาย'!$J:$J,$B$1),"")</f>
        <v/>
      </c>
      <c r="L201" s="118"/>
      <c r="M201" s="46"/>
      <c r="N201" s="46"/>
      <c r="O201" s="46"/>
      <c r="P201" s="118"/>
      <c r="Q201" s="46"/>
      <c r="R201" s="46"/>
      <c r="S201" s="46"/>
      <c r="T201" s="46"/>
      <c r="U201" s="118"/>
      <c r="V201" s="46"/>
      <c r="W201" s="88" t="str">
        <f>IF(V201&lt;&gt;"",SUMIFS('📊 รายงานสินค้าคงเหลือ'!G:G,'📊 รายงานสินค้าคงเหลือ'!D:D,V201),"")</f>
        <v/>
      </c>
      <c r="X201" s="46"/>
      <c r="Y201" s="46"/>
      <c r="Z201" s="46"/>
    </row>
    <row r="202">
      <c r="A202" s="46"/>
      <c r="B202" s="16"/>
      <c r="C202" s="118"/>
      <c r="D202" s="126"/>
      <c r="E202" s="88"/>
      <c r="F202" s="118"/>
      <c r="G202" s="46"/>
      <c r="H202" s="46"/>
      <c r="I202" s="118"/>
      <c r="J202" s="46"/>
      <c r="K202" s="16" t="str">
        <f>IF(J202&lt;&gt;"",SUMIFS('💰 Transaction ขาย'!$F:$F,'💰 Transaction ขาย'!$K:$K,$J202,'💰 Transaction ขาย'!$J:$J,$B$1),"")</f>
        <v/>
      </c>
      <c r="L202" s="118"/>
      <c r="M202" s="46"/>
      <c r="N202" s="46"/>
      <c r="O202" s="46"/>
      <c r="P202" s="118"/>
      <c r="Q202" s="46"/>
      <c r="R202" s="46"/>
      <c r="S202" s="46"/>
      <c r="T202" s="46"/>
      <c r="U202" s="118"/>
      <c r="V202" s="46"/>
      <c r="W202" s="88" t="str">
        <f>IF(V202&lt;&gt;"",SUMIFS('📊 รายงานสินค้าคงเหลือ'!G:G,'📊 รายงานสินค้าคงเหลือ'!D:D,V202),"")</f>
        <v/>
      </c>
      <c r="X202" s="46"/>
      <c r="Y202" s="46"/>
      <c r="Z202" s="46"/>
    </row>
    <row r="203">
      <c r="A203" s="46"/>
      <c r="B203" s="16"/>
      <c r="C203" s="118"/>
      <c r="D203" s="126"/>
      <c r="E203" s="88"/>
      <c r="F203" s="118"/>
      <c r="G203" s="46"/>
      <c r="H203" s="46"/>
      <c r="I203" s="118"/>
      <c r="J203" s="46"/>
      <c r="K203" s="16" t="str">
        <f>IF(J203&lt;&gt;"",SUMIFS('💰 Transaction ขาย'!$F:$F,'💰 Transaction ขาย'!$K:$K,$J203,'💰 Transaction ขาย'!$J:$J,$B$1),"")</f>
        <v/>
      </c>
      <c r="L203" s="118"/>
      <c r="M203" s="46"/>
      <c r="N203" s="46"/>
      <c r="O203" s="46"/>
      <c r="P203" s="118"/>
      <c r="Q203" s="46"/>
      <c r="R203" s="46"/>
      <c r="S203" s="46"/>
      <c r="T203" s="46"/>
      <c r="U203" s="118"/>
      <c r="V203" s="46"/>
      <c r="W203" s="88" t="str">
        <f>IF(V203&lt;&gt;"",SUMIFS('📊 รายงานสินค้าคงเหลือ'!G:G,'📊 รายงานสินค้าคงเหลือ'!D:D,V203),"")</f>
        <v/>
      </c>
      <c r="X203" s="46"/>
      <c r="Y203" s="46"/>
      <c r="Z203" s="46"/>
    </row>
    <row r="204">
      <c r="A204" s="46"/>
      <c r="B204" s="16"/>
      <c r="C204" s="118"/>
      <c r="D204" s="126"/>
      <c r="E204" s="88"/>
      <c r="F204" s="118"/>
      <c r="G204" s="46"/>
      <c r="H204" s="46"/>
      <c r="I204" s="118"/>
      <c r="J204" s="46"/>
      <c r="K204" s="16" t="str">
        <f>IF(J204&lt;&gt;"",SUMIFS('💰 Transaction ขาย'!$F:$F,'💰 Transaction ขาย'!$K:$K,$J204,'💰 Transaction ขาย'!$J:$J,$B$1),"")</f>
        <v/>
      </c>
      <c r="L204" s="118"/>
      <c r="M204" s="46"/>
      <c r="N204" s="46"/>
      <c r="O204" s="46"/>
      <c r="P204" s="118"/>
      <c r="Q204" s="46"/>
      <c r="R204" s="46"/>
      <c r="S204" s="46"/>
      <c r="T204" s="46"/>
      <c r="U204" s="118"/>
      <c r="V204" s="46"/>
      <c r="W204" s="88" t="str">
        <f>IF(V204&lt;&gt;"",SUMIFS('📊 รายงานสินค้าคงเหลือ'!G:G,'📊 รายงานสินค้าคงเหลือ'!D:D,V204),"")</f>
        <v/>
      </c>
      <c r="X204" s="46"/>
      <c r="Y204" s="46"/>
      <c r="Z204" s="46"/>
    </row>
    <row r="205">
      <c r="A205" s="46"/>
      <c r="B205" s="16"/>
      <c r="C205" s="118"/>
      <c r="D205" s="126"/>
      <c r="E205" s="88"/>
      <c r="F205" s="118"/>
      <c r="G205" s="46"/>
      <c r="H205" s="46"/>
      <c r="I205" s="118"/>
      <c r="J205" s="46"/>
      <c r="K205" s="16" t="str">
        <f>IF(J205&lt;&gt;"",SUMIFS('💰 Transaction ขาย'!$F:$F,'💰 Transaction ขาย'!$K:$K,$J205,'💰 Transaction ขาย'!$J:$J,$B$1),"")</f>
        <v/>
      </c>
      <c r="L205" s="118"/>
      <c r="M205" s="46"/>
      <c r="N205" s="46"/>
      <c r="O205" s="46"/>
      <c r="P205" s="118"/>
      <c r="Q205" s="46"/>
      <c r="R205" s="46"/>
      <c r="S205" s="46"/>
      <c r="T205" s="46"/>
      <c r="U205" s="118"/>
      <c r="V205" s="46"/>
      <c r="W205" s="88" t="str">
        <f>IF(V205&lt;&gt;"",SUMIFS('📊 รายงานสินค้าคงเหลือ'!G:G,'📊 รายงานสินค้าคงเหลือ'!D:D,V205),"")</f>
        <v/>
      </c>
      <c r="X205" s="46"/>
      <c r="Y205" s="46"/>
      <c r="Z205" s="46"/>
    </row>
    <row r="206">
      <c r="A206" s="46"/>
      <c r="B206" s="16"/>
      <c r="C206" s="118"/>
      <c r="D206" s="126"/>
      <c r="E206" s="88"/>
      <c r="F206" s="118"/>
      <c r="G206" s="46"/>
      <c r="H206" s="46"/>
      <c r="I206" s="118"/>
      <c r="J206" s="46"/>
      <c r="K206" s="16" t="str">
        <f>IF(J206&lt;&gt;"",SUMIFS('💰 Transaction ขาย'!$F:$F,'💰 Transaction ขาย'!$K:$K,$J206,'💰 Transaction ขาย'!$J:$J,$B$1),"")</f>
        <v/>
      </c>
      <c r="L206" s="118"/>
      <c r="M206" s="46"/>
      <c r="N206" s="46"/>
      <c r="O206" s="46"/>
      <c r="P206" s="118"/>
      <c r="Q206" s="46"/>
      <c r="R206" s="46"/>
      <c r="S206" s="46"/>
      <c r="T206" s="46"/>
      <c r="U206" s="118"/>
      <c r="V206" s="46"/>
      <c r="W206" s="88" t="str">
        <f>IF(V206&lt;&gt;"",SUMIFS('📊 รายงานสินค้าคงเหลือ'!G:G,'📊 รายงานสินค้าคงเหลือ'!D:D,V206),"")</f>
        <v/>
      </c>
      <c r="X206" s="46"/>
      <c r="Y206" s="46"/>
      <c r="Z206" s="46"/>
    </row>
    <row r="207">
      <c r="A207" s="46"/>
      <c r="B207" s="16"/>
      <c r="C207" s="118"/>
      <c r="D207" s="126"/>
      <c r="E207" s="88"/>
      <c r="F207" s="118"/>
      <c r="G207" s="46"/>
      <c r="H207" s="46"/>
      <c r="I207" s="118"/>
      <c r="J207" s="46"/>
      <c r="K207" s="16" t="str">
        <f>IF(J207&lt;&gt;"",SUMIFS('💰 Transaction ขาย'!$F:$F,'💰 Transaction ขาย'!$K:$K,$J207,'💰 Transaction ขาย'!$J:$J,$B$1),"")</f>
        <v/>
      </c>
      <c r="L207" s="118"/>
      <c r="M207" s="46"/>
      <c r="N207" s="46"/>
      <c r="O207" s="46"/>
      <c r="P207" s="118"/>
      <c r="Q207" s="46"/>
      <c r="R207" s="46"/>
      <c r="S207" s="46"/>
      <c r="T207" s="46"/>
      <c r="U207" s="118"/>
      <c r="V207" s="46"/>
      <c r="W207" s="88" t="str">
        <f>IF(V207&lt;&gt;"",SUMIFS('📊 รายงานสินค้าคงเหลือ'!G:G,'📊 รายงานสินค้าคงเหลือ'!D:D,V207),"")</f>
        <v/>
      </c>
      <c r="X207" s="46"/>
      <c r="Y207" s="46"/>
      <c r="Z207" s="46"/>
    </row>
    <row r="208">
      <c r="A208" s="46"/>
      <c r="B208" s="16"/>
      <c r="C208" s="118"/>
      <c r="D208" s="126"/>
      <c r="E208" s="88"/>
      <c r="F208" s="118"/>
      <c r="G208" s="46"/>
      <c r="H208" s="46"/>
      <c r="I208" s="118"/>
      <c r="J208" s="46"/>
      <c r="K208" s="16" t="str">
        <f>IF(J208&lt;&gt;"",SUMIFS('💰 Transaction ขาย'!$F:$F,'💰 Transaction ขาย'!$K:$K,$J208,'💰 Transaction ขาย'!$J:$J,$B$1),"")</f>
        <v/>
      </c>
      <c r="L208" s="118"/>
      <c r="M208" s="46"/>
      <c r="N208" s="46"/>
      <c r="O208" s="46"/>
      <c r="P208" s="118"/>
      <c r="Q208" s="46"/>
      <c r="R208" s="46"/>
      <c r="S208" s="46"/>
      <c r="T208" s="46"/>
      <c r="U208" s="118"/>
      <c r="V208" s="46"/>
      <c r="W208" s="88" t="str">
        <f>IF(V208&lt;&gt;"",SUMIFS('📊 รายงานสินค้าคงเหลือ'!G:G,'📊 รายงานสินค้าคงเหลือ'!D:D,V208),"")</f>
        <v/>
      </c>
      <c r="X208" s="46"/>
      <c r="Y208" s="46"/>
      <c r="Z208" s="46"/>
    </row>
    <row r="209">
      <c r="A209" s="46"/>
      <c r="B209" s="16"/>
      <c r="C209" s="118"/>
      <c r="D209" s="126"/>
      <c r="E209" s="88"/>
      <c r="F209" s="118"/>
      <c r="G209" s="46"/>
      <c r="H209" s="46"/>
      <c r="I209" s="118"/>
      <c r="J209" s="46"/>
      <c r="K209" s="16" t="str">
        <f>IF(J209&lt;&gt;"",SUMIFS('💰 Transaction ขาย'!$F:$F,'💰 Transaction ขาย'!$K:$K,$J209,'💰 Transaction ขาย'!$J:$J,$B$1),"")</f>
        <v/>
      </c>
      <c r="L209" s="118"/>
      <c r="M209" s="46"/>
      <c r="N209" s="46"/>
      <c r="O209" s="46"/>
      <c r="P209" s="118"/>
      <c r="Q209" s="46"/>
      <c r="R209" s="46"/>
      <c r="S209" s="46"/>
      <c r="T209" s="46"/>
      <c r="U209" s="118"/>
      <c r="V209" s="46"/>
      <c r="W209" s="88" t="str">
        <f>IF(V209&lt;&gt;"",SUMIFS('📊 รายงานสินค้าคงเหลือ'!G:G,'📊 รายงานสินค้าคงเหลือ'!D:D,V209),"")</f>
        <v/>
      </c>
      <c r="X209" s="46"/>
      <c r="Y209" s="46"/>
      <c r="Z209" s="46"/>
    </row>
    <row r="210">
      <c r="A210" s="46"/>
      <c r="B210" s="16"/>
      <c r="C210" s="118"/>
      <c r="D210" s="126"/>
      <c r="E210" s="88"/>
      <c r="F210" s="118"/>
      <c r="G210" s="46"/>
      <c r="H210" s="46"/>
      <c r="I210" s="118"/>
      <c r="J210" s="46"/>
      <c r="K210" s="16" t="str">
        <f>IF(J210&lt;&gt;"",SUMIFS('💰 Transaction ขาย'!$F:$F,'💰 Transaction ขาย'!$K:$K,$J210,'💰 Transaction ขาย'!$J:$J,$B$1),"")</f>
        <v/>
      </c>
      <c r="L210" s="118"/>
      <c r="M210" s="46"/>
      <c r="N210" s="46"/>
      <c r="O210" s="46"/>
      <c r="P210" s="118"/>
      <c r="Q210" s="46"/>
      <c r="R210" s="46"/>
      <c r="S210" s="46"/>
      <c r="T210" s="46"/>
      <c r="U210" s="118"/>
      <c r="V210" s="46"/>
      <c r="W210" s="88" t="str">
        <f>IF(V210&lt;&gt;"",SUMIFS('📊 รายงานสินค้าคงเหลือ'!G:G,'📊 รายงานสินค้าคงเหลือ'!D:D,V210),"")</f>
        <v/>
      </c>
      <c r="X210" s="46"/>
      <c r="Y210" s="46"/>
      <c r="Z210" s="46"/>
    </row>
    <row r="211">
      <c r="A211" s="46"/>
      <c r="B211" s="16"/>
      <c r="C211" s="118"/>
      <c r="D211" s="126"/>
      <c r="E211" s="88"/>
      <c r="F211" s="118"/>
      <c r="G211" s="46"/>
      <c r="H211" s="46"/>
      <c r="I211" s="118"/>
      <c r="J211" s="46"/>
      <c r="K211" s="16" t="str">
        <f>IF(J211&lt;&gt;"",SUMIFS('💰 Transaction ขาย'!$F:$F,'💰 Transaction ขาย'!$K:$K,$J211,'💰 Transaction ขาย'!$J:$J,$B$1),"")</f>
        <v/>
      </c>
      <c r="L211" s="118"/>
      <c r="M211" s="46"/>
      <c r="N211" s="46"/>
      <c r="O211" s="46"/>
      <c r="P211" s="118"/>
      <c r="Q211" s="46"/>
      <c r="R211" s="46"/>
      <c r="S211" s="46"/>
      <c r="T211" s="46"/>
      <c r="U211" s="118"/>
      <c r="V211" s="46"/>
      <c r="W211" s="88" t="str">
        <f>IF(V211&lt;&gt;"",SUMIFS('📊 รายงานสินค้าคงเหลือ'!G:G,'📊 รายงานสินค้าคงเหลือ'!D:D,V211),"")</f>
        <v/>
      </c>
      <c r="X211" s="46"/>
      <c r="Y211" s="46"/>
      <c r="Z211" s="46"/>
    </row>
    <row r="212">
      <c r="A212" s="46"/>
      <c r="B212" s="16"/>
      <c r="C212" s="118"/>
      <c r="D212" s="126"/>
      <c r="E212" s="88"/>
      <c r="F212" s="118"/>
      <c r="G212" s="46"/>
      <c r="H212" s="46"/>
      <c r="I212" s="118"/>
      <c r="J212" s="46"/>
      <c r="K212" s="16" t="str">
        <f>IF(J212&lt;&gt;"",SUMIFS('💰 Transaction ขาย'!$F:$F,'💰 Transaction ขาย'!$K:$K,$J212,'💰 Transaction ขาย'!$J:$J,$B$1),"")</f>
        <v/>
      </c>
      <c r="L212" s="118"/>
      <c r="M212" s="46"/>
      <c r="N212" s="46"/>
      <c r="O212" s="46"/>
      <c r="P212" s="118"/>
      <c r="Q212" s="46"/>
      <c r="R212" s="46"/>
      <c r="S212" s="46"/>
      <c r="T212" s="46"/>
      <c r="U212" s="118"/>
      <c r="V212" s="46"/>
      <c r="W212" s="88" t="str">
        <f>IF(V212&lt;&gt;"",SUMIFS('📊 รายงานสินค้าคงเหลือ'!G:G,'📊 รายงานสินค้าคงเหลือ'!D:D,V212),"")</f>
        <v/>
      </c>
      <c r="X212" s="46"/>
      <c r="Y212" s="46"/>
      <c r="Z212" s="46"/>
    </row>
    <row r="213">
      <c r="A213" s="46"/>
      <c r="B213" s="16"/>
      <c r="C213" s="118"/>
      <c r="D213" s="126"/>
      <c r="E213" s="88"/>
      <c r="F213" s="118"/>
      <c r="G213" s="46"/>
      <c r="H213" s="46"/>
      <c r="I213" s="118"/>
      <c r="J213" s="46"/>
      <c r="K213" s="16" t="str">
        <f>IF(J213&lt;&gt;"",SUMIFS('💰 Transaction ขาย'!$F:$F,'💰 Transaction ขาย'!$K:$K,$J213,'💰 Transaction ขาย'!$J:$J,$B$1),"")</f>
        <v/>
      </c>
      <c r="L213" s="118"/>
      <c r="M213" s="46"/>
      <c r="N213" s="46"/>
      <c r="O213" s="46"/>
      <c r="P213" s="118"/>
      <c r="Q213" s="46"/>
      <c r="R213" s="46"/>
      <c r="S213" s="46"/>
      <c r="T213" s="46"/>
      <c r="U213" s="118"/>
      <c r="V213" s="46"/>
      <c r="W213" s="88" t="str">
        <f>IF(V213&lt;&gt;"",SUMIFS('📊 รายงานสินค้าคงเหลือ'!G:G,'📊 รายงานสินค้าคงเหลือ'!D:D,V213),"")</f>
        <v/>
      </c>
      <c r="X213" s="46"/>
      <c r="Y213" s="46"/>
      <c r="Z213" s="46"/>
    </row>
    <row r="214">
      <c r="A214" s="46"/>
      <c r="B214" s="16"/>
      <c r="C214" s="118"/>
      <c r="D214" s="126"/>
      <c r="E214" s="88"/>
      <c r="F214" s="118"/>
      <c r="G214" s="46"/>
      <c r="H214" s="46"/>
      <c r="I214" s="118"/>
      <c r="J214" s="46"/>
      <c r="K214" s="16" t="str">
        <f>IF(J214&lt;&gt;"",SUMIFS('💰 Transaction ขาย'!$F:$F,'💰 Transaction ขาย'!$K:$K,$J214,'💰 Transaction ขาย'!$J:$J,$B$1),"")</f>
        <v/>
      </c>
      <c r="L214" s="118"/>
      <c r="M214" s="46"/>
      <c r="N214" s="46"/>
      <c r="O214" s="46"/>
      <c r="P214" s="118"/>
      <c r="Q214" s="46"/>
      <c r="R214" s="46"/>
      <c r="S214" s="46"/>
      <c r="T214" s="46"/>
      <c r="U214" s="118"/>
      <c r="V214" s="46"/>
      <c r="W214" s="88" t="str">
        <f>IF(V214&lt;&gt;"",SUMIFS('📊 รายงานสินค้าคงเหลือ'!G:G,'📊 รายงานสินค้าคงเหลือ'!D:D,V214),"")</f>
        <v/>
      </c>
      <c r="X214" s="46"/>
      <c r="Y214" s="46"/>
      <c r="Z214" s="46"/>
    </row>
    <row r="215">
      <c r="A215" s="46"/>
      <c r="B215" s="16"/>
      <c r="C215" s="118"/>
      <c r="D215" s="126"/>
      <c r="E215" s="88"/>
      <c r="F215" s="118"/>
      <c r="G215" s="46"/>
      <c r="H215" s="46"/>
      <c r="I215" s="118"/>
      <c r="J215" s="46"/>
      <c r="K215" s="16" t="str">
        <f>IF(J215&lt;&gt;"",SUMIFS('💰 Transaction ขาย'!$F:$F,'💰 Transaction ขาย'!$K:$K,$J215,'💰 Transaction ขาย'!$J:$J,$B$1),"")</f>
        <v/>
      </c>
      <c r="L215" s="118"/>
      <c r="M215" s="46"/>
      <c r="N215" s="46"/>
      <c r="O215" s="46"/>
      <c r="P215" s="118"/>
      <c r="Q215" s="46"/>
      <c r="R215" s="46"/>
      <c r="S215" s="46"/>
      <c r="T215" s="46"/>
      <c r="U215" s="118"/>
      <c r="V215" s="46"/>
      <c r="W215" s="88" t="str">
        <f>IF(V215&lt;&gt;"",SUMIFS('📊 รายงานสินค้าคงเหลือ'!G:G,'📊 รายงานสินค้าคงเหลือ'!D:D,V215),"")</f>
        <v/>
      </c>
      <c r="X215" s="46"/>
      <c r="Y215" s="46"/>
      <c r="Z215" s="46"/>
    </row>
    <row r="216">
      <c r="A216" s="46"/>
      <c r="B216" s="16"/>
      <c r="C216" s="118"/>
      <c r="D216" s="126"/>
      <c r="E216" s="88"/>
      <c r="F216" s="118"/>
      <c r="G216" s="46"/>
      <c r="H216" s="46"/>
      <c r="I216" s="118"/>
      <c r="J216" s="46"/>
      <c r="K216" s="16" t="str">
        <f>IF(J216&lt;&gt;"",SUMIFS('💰 Transaction ขาย'!$F:$F,'💰 Transaction ขาย'!$K:$K,$J216,'💰 Transaction ขาย'!$J:$J,$B$1),"")</f>
        <v/>
      </c>
      <c r="L216" s="118"/>
      <c r="M216" s="46"/>
      <c r="N216" s="46"/>
      <c r="O216" s="46"/>
      <c r="P216" s="118"/>
      <c r="Q216" s="46"/>
      <c r="R216" s="46"/>
      <c r="S216" s="46"/>
      <c r="T216" s="46"/>
      <c r="U216" s="118"/>
      <c r="V216" s="46"/>
      <c r="W216" s="88" t="str">
        <f>IF(V216&lt;&gt;"",SUMIFS('📊 รายงานสินค้าคงเหลือ'!G:G,'📊 รายงานสินค้าคงเหลือ'!D:D,V216),"")</f>
        <v/>
      </c>
      <c r="X216" s="46"/>
      <c r="Y216" s="46"/>
      <c r="Z216" s="46"/>
    </row>
    <row r="217">
      <c r="A217" s="46"/>
      <c r="B217" s="16"/>
      <c r="C217" s="118"/>
      <c r="D217" s="126"/>
      <c r="E217" s="88"/>
      <c r="F217" s="118"/>
      <c r="G217" s="46"/>
      <c r="H217" s="46"/>
      <c r="I217" s="118"/>
      <c r="J217" s="46"/>
      <c r="K217" s="16" t="str">
        <f>IF(J217&lt;&gt;"",SUMIFS('💰 Transaction ขาย'!$F:$F,'💰 Transaction ขาย'!$K:$K,$J217,'💰 Transaction ขาย'!$J:$J,$B$1),"")</f>
        <v/>
      </c>
      <c r="L217" s="118"/>
      <c r="M217" s="46"/>
      <c r="N217" s="46"/>
      <c r="O217" s="46"/>
      <c r="P217" s="118"/>
      <c r="Q217" s="46"/>
      <c r="R217" s="46"/>
      <c r="S217" s="46"/>
      <c r="T217" s="46"/>
      <c r="U217" s="118"/>
      <c r="V217" s="46"/>
      <c r="W217" s="88" t="str">
        <f>IF(V217&lt;&gt;"",SUMIFS('📊 รายงานสินค้าคงเหลือ'!G:G,'📊 รายงานสินค้าคงเหลือ'!D:D,V217),"")</f>
        <v/>
      </c>
      <c r="X217" s="46"/>
      <c r="Y217" s="46"/>
      <c r="Z217" s="46"/>
    </row>
    <row r="218">
      <c r="A218" s="46"/>
      <c r="B218" s="16"/>
      <c r="C218" s="118"/>
      <c r="D218" s="126"/>
      <c r="E218" s="88"/>
      <c r="F218" s="118"/>
      <c r="G218" s="46"/>
      <c r="H218" s="46"/>
      <c r="I218" s="118"/>
      <c r="J218" s="46"/>
      <c r="K218" s="16" t="str">
        <f>IF(J218&lt;&gt;"",SUMIFS('💰 Transaction ขาย'!$F:$F,'💰 Transaction ขาย'!$K:$K,$J218,'💰 Transaction ขาย'!$J:$J,$B$1),"")</f>
        <v/>
      </c>
      <c r="L218" s="118"/>
      <c r="M218" s="46"/>
      <c r="N218" s="46"/>
      <c r="O218" s="46"/>
      <c r="P218" s="118"/>
      <c r="Q218" s="46"/>
      <c r="R218" s="46"/>
      <c r="S218" s="46"/>
      <c r="T218" s="46"/>
      <c r="U218" s="118"/>
      <c r="V218" s="46"/>
      <c r="W218" s="88" t="str">
        <f>IF(V218&lt;&gt;"",SUMIFS('📊 รายงานสินค้าคงเหลือ'!G:G,'📊 รายงานสินค้าคงเหลือ'!D:D,V218),"")</f>
        <v/>
      </c>
      <c r="X218" s="46"/>
      <c r="Y218" s="46"/>
      <c r="Z218" s="46"/>
    </row>
    <row r="219">
      <c r="A219" s="46"/>
      <c r="B219" s="16"/>
      <c r="C219" s="118"/>
      <c r="D219" s="126"/>
      <c r="E219" s="88"/>
      <c r="F219" s="118"/>
      <c r="G219" s="46"/>
      <c r="H219" s="46"/>
      <c r="I219" s="118"/>
      <c r="J219" s="46"/>
      <c r="K219" s="16" t="str">
        <f>IF(J219&lt;&gt;"",SUMIFS('💰 Transaction ขาย'!$F:$F,'💰 Transaction ขาย'!$K:$K,$J219,'💰 Transaction ขาย'!$J:$J,$B$1),"")</f>
        <v/>
      </c>
      <c r="L219" s="118"/>
      <c r="M219" s="46"/>
      <c r="N219" s="46"/>
      <c r="O219" s="46"/>
      <c r="P219" s="118"/>
      <c r="Q219" s="46"/>
      <c r="R219" s="46"/>
      <c r="S219" s="46"/>
      <c r="T219" s="46"/>
      <c r="U219" s="118"/>
      <c r="V219" s="46"/>
      <c r="W219" s="88" t="str">
        <f>IF(V219&lt;&gt;"",SUMIFS('📊 รายงานสินค้าคงเหลือ'!G:G,'📊 รายงานสินค้าคงเหลือ'!D:D,V219),"")</f>
        <v/>
      </c>
      <c r="X219" s="46"/>
      <c r="Y219" s="46"/>
      <c r="Z219" s="46"/>
    </row>
    <row r="220">
      <c r="A220" s="46"/>
      <c r="B220" s="16"/>
      <c r="C220" s="118"/>
      <c r="D220" s="126"/>
      <c r="E220" s="88"/>
      <c r="F220" s="118"/>
      <c r="G220" s="46"/>
      <c r="H220" s="46"/>
      <c r="I220" s="118"/>
      <c r="J220" s="46"/>
      <c r="K220" s="16" t="str">
        <f>IF(J220&lt;&gt;"",SUMIFS('💰 Transaction ขาย'!$F:$F,'💰 Transaction ขาย'!$K:$K,$J220,'💰 Transaction ขาย'!$J:$J,$B$1),"")</f>
        <v/>
      </c>
      <c r="L220" s="118"/>
      <c r="M220" s="46"/>
      <c r="N220" s="46"/>
      <c r="O220" s="46"/>
      <c r="P220" s="118"/>
      <c r="Q220" s="46"/>
      <c r="R220" s="46"/>
      <c r="S220" s="46"/>
      <c r="T220" s="46"/>
      <c r="U220" s="118"/>
      <c r="V220" s="46"/>
      <c r="W220" s="88" t="str">
        <f>IF(V220&lt;&gt;"",SUMIFS('📊 รายงานสินค้าคงเหลือ'!G:G,'📊 รายงานสินค้าคงเหลือ'!D:D,V220),"")</f>
        <v/>
      </c>
      <c r="X220" s="46"/>
      <c r="Y220" s="46"/>
      <c r="Z220" s="46"/>
    </row>
    <row r="221">
      <c r="A221" s="46"/>
      <c r="B221" s="16"/>
      <c r="C221" s="118"/>
      <c r="D221" s="126"/>
      <c r="E221" s="88"/>
      <c r="F221" s="118"/>
      <c r="G221" s="46"/>
      <c r="H221" s="46"/>
      <c r="I221" s="118"/>
      <c r="J221" s="46"/>
      <c r="K221" s="16" t="str">
        <f>IF(J221&lt;&gt;"",SUMIFS('💰 Transaction ขาย'!$F:$F,'💰 Transaction ขาย'!$K:$K,$J221,'💰 Transaction ขาย'!$J:$J,$B$1),"")</f>
        <v/>
      </c>
      <c r="L221" s="118"/>
      <c r="M221" s="46"/>
      <c r="N221" s="46"/>
      <c r="O221" s="46"/>
      <c r="P221" s="118"/>
      <c r="Q221" s="46"/>
      <c r="R221" s="46"/>
      <c r="S221" s="46"/>
      <c r="T221" s="46"/>
      <c r="U221" s="118"/>
      <c r="V221" s="46"/>
      <c r="W221" s="88" t="str">
        <f>IF(V221&lt;&gt;"",SUMIFS('📊 รายงานสินค้าคงเหลือ'!G:G,'📊 รายงานสินค้าคงเหลือ'!D:D,V221),"")</f>
        <v/>
      </c>
      <c r="X221" s="46"/>
      <c r="Y221" s="46"/>
      <c r="Z221" s="46"/>
    </row>
    <row r="222">
      <c r="A222" s="46"/>
      <c r="B222" s="16"/>
      <c r="C222" s="118"/>
      <c r="D222" s="126"/>
      <c r="E222" s="88"/>
      <c r="F222" s="118"/>
      <c r="G222" s="46"/>
      <c r="H222" s="46"/>
      <c r="I222" s="118"/>
      <c r="J222" s="46"/>
      <c r="K222" s="16" t="str">
        <f>IF(J222&lt;&gt;"",SUMIFS('💰 Transaction ขาย'!$F:$F,'💰 Transaction ขาย'!$K:$K,$J222,'💰 Transaction ขาย'!$J:$J,$B$1),"")</f>
        <v/>
      </c>
      <c r="L222" s="118"/>
      <c r="M222" s="46"/>
      <c r="N222" s="46"/>
      <c r="O222" s="46"/>
      <c r="P222" s="118"/>
      <c r="Q222" s="46"/>
      <c r="R222" s="46"/>
      <c r="S222" s="46"/>
      <c r="T222" s="46"/>
      <c r="U222" s="118"/>
      <c r="V222" s="46"/>
      <c r="W222" s="88" t="str">
        <f>IF(V222&lt;&gt;"",SUMIFS('📊 รายงานสินค้าคงเหลือ'!G:G,'📊 รายงานสินค้าคงเหลือ'!D:D,V222),"")</f>
        <v/>
      </c>
      <c r="X222" s="46"/>
      <c r="Y222" s="46"/>
      <c r="Z222" s="46"/>
    </row>
    <row r="223">
      <c r="A223" s="46"/>
      <c r="B223" s="16"/>
      <c r="C223" s="118"/>
      <c r="D223" s="126"/>
      <c r="E223" s="88"/>
      <c r="F223" s="118"/>
      <c r="G223" s="46"/>
      <c r="H223" s="46"/>
      <c r="I223" s="118"/>
      <c r="J223" s="46"/>
      <c r="K223" s="16" t="str">
        <f>IF(J223&lt;&gt;"",SUMIFS('💰 Transaction ขาย'!$F:$F,'💰 Transaction ขาย'!$K:$K,$J223,'💰 Transaction ขาย'!$J:$J,$B$1),"")</f>
        <v/>
      </c>
      <c r="L223" s="118"/>
      <c r="M223" s="46"/>
      <c r="N223" s="46"/>
      <c r="O223" s="46"/>
      <c r="P223" s="118"/>
      <c r="Q223" s="46"/>
      <c r="R223" s="46"/>
      <c r="S223" s="46"/>
      <c r="T223" s="46"/>
      <c r="U223" s="118"/>
      <c r="V223" s="46"/>
      <c r="W223" s="88" t="str">
        <f>IF(V223&lt;&gt;"",SUMIFS('📊 รายงานสินค้าคงเหลือ'!G:G,'📊 รายงานสินค้าคงเหลือ'!D:D,V223),"")</f>
        <v/>
      </c>
      <c r="X223" s="46"/>
      <c r="Y223" s="46"/>
      <c r="Z223" s="46"/>
    </row>
    <row r="224">
      <c r="A224" s="46"/>
      <c r="B224" s="16"/>
      <c r="C224" s="118"/>
      <c r="D224" s="126"/>
      <c r="E224" s="88"/>
      <c r="F224" s="118"/>
      <c r="G224" s="46"/>
      <c r="H224" s="46"/>
      <c r="I224" s="118"/>
      <c r="J224" s="46"/>
      <c r="K224" s="16" t="str">
        <f>IF(J224&lt;&gt;"",SUMIFS('💰 Transaction ขาย'!$F:$F,'💰 Transaction ขาย'!$K:$K,$J224,'💰 Transaction ขาย'!$J:$J,$B$1),"")</f>
        <v/>
      </c>
      <c r="L224" s="118"/>
      <c r="M224" s="46"/>
      <c r="N224" s="46"/>
      <c r="O224" s="46"/>
      <c r="P224" s="118"/>
      <c r="Q224" s="46"/>
      <c r="R224" s="46"/>
      <c r="S224" s="46"/>
      <c r="T224" s="46"/>
      <c r="U224" s="118"/>
      <c r="V224" s="46"/>
      <c r="W224" s="88" t="str">
        <f>IF(V224&lt;&gt;"",SUMIFS('📊 รายงานสินค้าคงเหลือ'!G:G,'📊 รายงานสินค้าคงเหลือ'!D:D,V224),"")</f>
        <v/>
      </c>
      <c r="X224" s="46"/>
      <c r="Y224" s="46"/>
      <c r="Z224" s="46"/>
    </row>
    <row r="225">
      <c r="A225" s="46"/>
      <c r="B225" s="16"/>
      <c r="C225" s="118"/>
      <c r="D225" s="126"/>
      <c r="E225" s="88"/>
      <c r="F225" s="118"/>
      <c r="G225" s="46"/>
      <c r="H225" s="46"/>
      <c r="I225" s="118"/>
      <c r="J225" s="46"/>
      <c r="K225" s="16" t="str">
        <f>IF(J225&lt;&gt;"",SUMIFS('💰 Transaction ขาย'!$F:$F,'💰 Transaction ขาย'!$K:$K,$J225,'💰 Transaction ขาย'!$J:$J,$B$1),"")</f>
        <v/>
      </c>
      <c r="L225" s="118"/>
      <c r="M225" s="46"/>
      <c r="N225" s="46"/>
      <c r="O225" s="46"/>
      <c r="P225" s="118"/>
      <c r="Q225" s="46"/>
      <c r="R225" s="46"/>
      <c r="S225" s="46"/>
      <c r="T225" s="46"/>
      <c r="U225" s="118"/>
      <c r="V225" s="46"/>
      <c r="W225" s="88" t="str">
        <f>IF(V225&lt;&gt;"",SUMIFS('📊 รายงานสินค้าคงเหลือ'!G:G,'📊 รายงานสินค้าคงเหลือ'!D:D,V225),"")</f>
        <v/>
      </c>
      <c r="X225" s="46"/>
      <c r="Y225" s="46"/>
      <c r="Z225" s="46"/>
    </row>
    <row r="226">
      <c r="A226" s="46"/>
      <c r="B226" s="16"/>
      <c r="C226" s="118"/>
      <c r="D226" s="126"/>
      <c r="E226" s="88"/>
      <c r="F226" s="118"/>
      <c r="G226" s="46"/>
      <c r="H226" s="46"/>
      <c r="I226" s="118"/>
      <c r="J226" s="46"/>
      <c r="K226" s="16" t="str">
        <f>IF(J226&lt;&gt;"",SUMIFS('💰 Transaction ขาย'!$F:$F,'💰 Transaction ขาย'!$K:$K,$J226,'💰 Transaction ขาย'!$J:$J,$B$1),"")</f>
        <v/>
      </c>
      <c r="L226" s="118"/>
      <c r="M226" s="46"/>
      <c r="N226" s="46"/>
      <c r="O226" s="46"/>
      <c r="P226" s="118"/>
      <c r="Q226" s="46"/>
      <c r="R226" s="46"/>
      <c r="S226" s="46"/>
      <c r="T226" s="46"/>
      <c r="U226" s="118"/>
      <c r="V226" s="46"/>
      <c r="W226" s="88" t="str">
        <f>IF(V226&lt;&gt;"",SUMIFS('📊 รายงานสินค้าคงเหลือ'!G:G,'📊 รายงานสินค้าคงเหลือ'!D:D,V226),"")</f>
        <v/>
      </c>
      <c r="X226" s="46"/>
      <c r="Y226" s="46"/>
      <c r="Z226" s="46"/>
    </row>
    <row r="227">
      <c r="A227" s="46"/>
      <c r="B227" s="16"/>
      <c r="C227" s="118"/>
      <c r="D227" s="126"/>
      <c r="E227" s="88"/>
      <c r="F227" s="118"/>
      <c r="G227" s="46"/>
      <c r="H227" s="46"/>
      <c r="I227" s="118"/>
      <c r="J227" s="46"/>
      <c r="K227" s="16" t="str">
        <f>IF(J227&lt;&gt;"",SUMIFS('💰 Transaction ขาย'!$F:$F,'💰 Transaction ขาย'!$K:$K,$J227,'💰 Transaction ขาย'!$J:$J,$B$1),"")</f>
        <v/>
      </c>
      <c r="L227" s="118"/>
      <c r="M227" s="46"/>
      <c r="N227" s="46"/>
      <c r="O227" s="46"/>
      <c r="P227" s="118"/>
      <c r="Q227" s="46"/>
      <c r="R227" s="46"/>
      <c r="S227" s="46"/>
      <c r="T227" s="46"/>
      <c r="U227" s="118"/>
      <c r="V227" s="46"/>
      <c r="W227" s="88" t="str">
        <f>IF(V227&lt;&gt;"",SUMIFS('📊 รายงานสินค้าคงเหลือ'!G:G,'📊 รายงานสินค้าคงเหลือ'!D:D,V227),"")</f>
        <v/>
      </c>
      <c r="X227" s="46"/>
      <c r="Y227" s="46"/>
      <c r="Z227" s="46"/>
    </row>
    <row r="228">
      <c r="A228" s="46"/>
      <c r="B228" s="16"/>
      <c r="C228" s="118"/>
      <c r="D228" s="126"/>
      <c r="E228" s="88"/>
      <c r="F228" s="118"/>
      <c r="G228" s="46"/>
      <c r="H228" s="46"/>
      <c r="I228" s="118"/>
      <c r="J228" s="46"/>
      <c r="K228" s="16" t="str">
        <f>IF(J228&lt;&gt;"",SUMIFS('💰 Transaction ขาย'!$F:$F,'💰 Transaction ขาย'!$K:$K,$J228,'💰 Transaction ขาย'!$J:$J,$B$1),"")</f>
        <v/>
      </c>
      <c r="L228" s="118"/>
      <c r="M228" s="46"/>
      <c r="N228" s="46"/>
      <c r="O228" s="46"/>
      <c r="P228" s="118"/>
      <c r="Q228" s="46"/>
      <c r="R228" s="46"/>
      <c r="S228" s="46"/>
      <c r="T228" s="46"/>
      <c r="U228" s="118"/>
      <c r="V228" s="46"/>
      <c r="W228" s="88" t="str">
        <f>IF(V228&lt;&gt;"",SUMIFS('📊 รายงานสินค้าคงเหลือ'!G:G,'📊 รายงานสินค้าคงเหลือ'!D:D,V228),"")</f>
        <v/>
      </c>
      <c r="X228" s="46"/>
      <c r="Y228" s="46"/>
      <c r="Z228" s="46"/>
    </row>
    <row r="229">
      <c r="A229" s="46"/>
      <c r="B229" s="16"/>
      <c r="C229" s="118"/>
      <c r="D229" s="126"/>
      <c r="E229" s="88"/>
      <c r="F229" s="118"/>
      <c r="G229" s="46"/>
      <c r="H229" s="46"/>
      <c r="I229" s="118"/>
      <c r="J229" s="46"/>
      <c r="K229" s="16" t="str">
        <f>IF(J229&lt;&gt;"",SUMIFS('💰 Transaction ขาย'!$F:$F,'💰 Transaction ขาย'!$K:$K,$J229,'💰 Transaction ขาย'!$J:$J,$B$1),"")</f>
        <v/>
      </c>
      <c r="L229" s="118"/>
      <c r="M229" s="46"/>
      <c r="N229" s="46"/>
      <c r="O229" s="46"/>
      <c r="P229" s="118"/>
      <c r="Q229" s="46"/>
      <c r="R229" s="46"/>
      <c r="S229" s="46"/>
      <c r="T229" s="46"/>
      <c r="U229" s="118"/>
      <c r="V229" s="46"/>
      <c r="W229" s="88" t="str">
        <f>IF(V229&lt;&gt;"",SUMIFS('📊 รายงานสินค้าคงเหลือ'!G:G,'📊 รายงานสินค้าคงเหลือ'!D:D,V229),"")</f>
        <v/>
      </c>
      <c r="X229" s="46"/>
      <c r="Y229" s="46"/>
      <c r="Z229" s="46"/>
    </row>
    <row r="230">
      <c r="A230" s="46"/>
      <c r="B230" s="16"/>
      <c r="C230" s="118"/>
      <c r="D230" s="126"/>
      <c r="E230" s="88"/>
      <c r="F230" s="118"/>
      <c r="G230" s="46"/>
      <c r="H230" s="46"/>
      <c r="I230" s="118"/>
      <c r="J230" s="46"/>
      <c r="K230" s="16" t="str">
        <f>IF(J230&lt;&gt;"",SUMIFS('💰 Transaction ขาย'!$F:$F,'💰 Transaction ขาย'!$K:$K,$J230,'💰 Transaction ขาย'!$J:$J,$B$1),"")</f>
        <v/>
      </c>
      <c r="L230" s="118"/>
      <c r="M230" s="46"/>
      <c r="N230" s="46"/>
      <c r="O230" s="46"/>
      <c r="P230" s="118"/>
      <c r="Q230" s="46"/>
      <c r="R230" s="46"/>
      <c r="S230" s="46"/>
      <c r="T230" s="46"/>
      <c r="U230" s="118"/>
      <c r="V230" s="46"/>
      <c r="W230" s="88" t="str">
        <f>IF(V230&lt;&gt;"",SUMIFS('📊 รายงานสินค้าคงเหลือ'!G:G,'📊 รายงานสินค้าคงเหลือ'!D:D,V230),"")</f>
        <v/>
      </c>
      <c r="X230" s="46"/>
      <c r="Y230" s="46"/>
      <c r="Z230" s="46"/>
    </row>
    <row r="231">
      <c r="A231" s="46"/>
      <c r="B231" s="16"/>
      <c r="C231" s="118"/>
      <c r="D231" s="126"/>
      <c r="E231" s="88"/>
      <c r="F231" s="118"/>
      <c r="G231" s="46"/>
      <c r="H231" s="46"/>
      <c r="I231" s="118"/>
      <c r="J231" s="46"/>
      <c r="K231" s="16" t="str">
        <f>IF(J231&lt;&gt;"",SUMIFS('💰 Transaction ขาย'!$F:$F,'💰 Transaction ขาย'!$K:$K,$J231,'💰 Transaction ขาย'!$J:$J,$B$1),"")</f>
        <v/>
      </c>
      <c r="L231" s="118"/>
      <c r="M231" s="46"/>
      <c r="N231" s="46"/>
      <c r="O231" s="46"/>
      <c r="P231" s="118"/>
      <c r="Q231" s="46"/>
      <c r="R231" s="46"/>
      <c r="S231" s="46"/>
      <c r="T231" s="46"/>
      <c r="U231" s="118"/>
      <c r="V231" s="46"/>
      <c r="W231" s="88" t="str">
        <f>IF(V231&lt;&gt;"",SUMIFS('📊 รายงานสินค้าคงเหลือ'!G:G,'📊 รายงานสินค้าคงเหลือ'!D:D,V231),"")</f>
        <v/>
      </c>
      <c r="X231" s="46"/>
      <c r="Y231" s="46"/>
      <c r="Z231" s="46"/>
    </row>
    <row r="232">
      <c r="A232" s="46"/>
      <c r="B232" s="16"/>
      <c r="C232" s="118"/>
      <c r="D232" s="126"/>
      <c r="E232" s="88"/>
      <c r="F232" s="118"/>
      <c r="G232" s="46"/>
      <c r="H232" s="46"/>
      <c r="I232" s="118"/>
      <c r="J232" s="46"/>
      <c r="K232" s="16" t="str">
        <f>IF(J232&lt;&gt;"",SUMIFS('💰 Transaction ขาย'!$F:$F,'💰 Transaction ขาย'!$K:$K,$J232,'💰 Transaction ขาย'!$J:$J,$B$1),"")</f>
        <v/>
      </c>
      <c r="L232" s="118"/>
      <c r="M232" s="46"/>
      <c r="N232" s="46"/>
      <c r="O232" s="46"/>
      <c r="P232" s="118"/>
      <c r="Q232" s="46"/>
      <c r="R232" s="46"/>
      <c r="S232" s="46"/>
      <c r="T232" s="46"/>
      <c r="U232" s="118"/>
      <c r="V232" s="46"/>
      <c r="W232" s="88" t="str">
        <f>IF(V232&lt;&gt;"",SUMIFS('📊 รายงานสินค้าคงเหลือ'!G:G,'📊 รายงานสินค้าคงเหลือ'!D:D,V232),"")</f>
        <v/>
      </c>
      <c r="X232" s="46"/>
      <c r="Y232" s="46"/>
      <c r="Z232" s="46"/>
    </row>
    <row r="233">
      <c r="A233" s="46"/>
      <c r="B233" s="16"/>
      <c r="C233" s="118"/>
      <c r="D233" s="126"/>
      <c r="E233" s="88"/>
      <c r="F233" s="118"/>
      <c r="G233" s="46"/>
      <c r="H233" s="46"/>
      <c r="I233" s="118"/>
      <c r="J233" s="46"/>
      <c r="K233" s="16" t="str">
        <f>IF(J233&lt;&gt;"",SUMIFS('💰 Transaction ขาย'!$F:$F,'💰 Transaction ขาย'!$K:$K,$J233,'💰 Transaction ขาย'!$J:$J,$B$1),"")</f>
        <v/>
      </c>
      <c r="L233" s="118"/>
      <c r="M233" s="46"/>
      <c r="N233" s="46"/>
      <c r="O233" s="46"/>
      <c r="P233" s="118"/>
      <c r="Q233" s="46"/>
      <c r="R233" s="46"/>
      <c r="S233" s="46"/>
      <c r="T233" s="46"/>
      <c r="U233" s="118"/>
      <c r="V233" s="46"/>
      <c r="W233" s="88" t="str">
        <f>IF(V233&lt;&gt;"",SUMIFS('📊 รายงานสินค้าคงเหลือ'!G:G,'📊 รายงานสินค้าคงเหลือ'!D:D,V233),"")</f>
        <v/>
      </c>
      <c r="X233" s="46"/>
      <c r="Y233" s="46"/>
      <c r="Z233" s="46"/>
    </row>
    <row r="234">
      <c r="A234" s="46"/>
      <c r="B234" s="16"/>
      <c r="C234" s="118"/>
      <c r="D234" s="126"/>
      <c r="E234" s="88"/>
      <c r="F234" s="118"/>
      <c r="G234" s="46"/>
      <c r="H234" s="46"/>
      <c r="I234" s="118"/>
      <c r="J234" s="46"/>
      <c r="K234" s="16" t="str">
        <f>IF(J234&lt;&gt;"",SUMIFS('💰 Transaction ขาย'!$F:$F,'💰 Transaction ขาย'!$K:$K,$J234,'💰 Transaction ขาย'!$J:$J,$B$1),"")</f>
        <v/>
      </c>
      <c r="L234" s="118"/>
      <c r="M234" s="46"/>
      <c r="N234" s="46"/>
      <c r="O234" s="46"/>
      <c r="P234" s="118"/>
      <c r="Q234" s="46"/>
      <c r="R234" s="46"/>
      <c r="S234" s="46"/>
      <c r="T234" s="46"/>
      <c r="U234" s="118"/>
      <c r="V234" s="46"/>
      <c r="W234" s="88" t="str">
        <f>IF(V234&lt;&gt;"",SUMIFS('📊 รายงานสินค้าคงเหลือ'!G:G,'📊 รายงานสินค้าคงเหลือ'!D:D,V234),"")</f>
        <v/>
      </c>
      <c r="X234" s="46"/>
      <c r="Y234" s="46"/>
      <c r="Z234" s="46"/>
    </row>
    <row r="235">
      <c r="A235" s="46"/>
      <c r="B235" s="16"/>
      <c r="C235" s="118"/>
      <c r="D235" s="126"/>
      <c r="E235" s="88"/>
      <c r="F235" s="118"/>
      <c r="G235" s="46"/>
      <c r="H235" s="46"/>
      <c r="I235" s="118"/>
      <c r="J235" s="46"/>
      <c r="K235" s="16" t="str">
        <f>IF(J235&lt;&gt;"",SUMIFS('💰 Transaction ขาย'!$F:$F,'💰 Transaction ขาย'!$K:$K,$J235,'💰 Transaction ขาย'!$J:$J,$B$1),"")</f>
        <v/>
      </c>
      <c r="L235" s="118"/>
      <c r="M235" s="46"/>
      <c r="N235" s="46"/>
      <c r="O235" s="46"/>
      <c r="P235" s="118"/>
      <c r="Q235" s="46"/>
      <c r="R235" s="46"/>
      <c r="S235" s="46"/>
      <c r="T235" s="46"/>
      <c r="U235" s="118"/>
      <c r="V235" s="46"/>
      <c r="W235" s="88" t="str">
        <f>IF(V235&lt;&gt;"",SUMIFS('📊 รายงานสินค้าคงเหลือ'!G:G,'📊 รายงานสินค้าคงเหลือ'!D:D,V235),"")</f>
        <v/>
      </c>
      <c r="X235" s="46"/>
      <c r="Y235" s="46"/>
      <c r="Z235" s="46"/>
    </row>
    <row r="236">
      <c r="A236" s="46"/>
      <c r="B236" s="16"/>
      <c r="C236" s="118"/>
      <c r="D236" s="126"/>
      <c r="E236" s="88"/>
      <c r="F236" s="118"/>
      <c r="G236" s="46"/>
      <c r="H236" s="46"/>
      <c r="I236" s="118"/>
      <c r="J236" s="46"/>
      <c r="K236" s="16" t="str">
        <f>IF(J236&lt;&gt;"",SUMIFS('💰 Transaction ขาย'!$F:$F,'💰 Transaction ขาย'!$K:$K,$J236,'💰 Transaction ขาย'!$J:$J,$B$1),"")</f>
        <v/>
      </c>
      <c r="L236" s="118"/>
      <c r="M236" s="46"/>
      <c r="N236" s="46"/>
      <c r="O236" s="46"/>
      <c r="P236" s="118"/>
      <c r="Q236" s="46"/>
      <c r="R236" s="46"/>
      <c r="S236" s="46"/>
      <c r="T236" s="46"/>
      <c r="U236" s="118"/>
      <c r="V236" s="46"/>
      <c r="W236" s="88" t="str">
        <f>IF(V236&lt;&gt;"",SUMIFS('📊 รายงานสินค้าคงเหลือ'!G:G,'📊 รายงานสินค้าคงเหลือ'!D:D,V236),"")</f>
        <v/>
      </c>
      <c r="X236" s="46"/>
      <c r="Y236" s="46"/>
      <c r="Z236" s="46"/>
    </row>
    <row r="237">
      <c r="A237" s="46"/>
      <c r="B237" s="16"/>
      <c r="C237" s="118"/>
      <c r="D237" s="126"/>
      <c r="E237" s="88"/>
      <c r="F237" s="118"/>
      <c r="G237" s="46"/>
      <c r="H237" s="46"/>
      <c r="I237" s="118"/>
      <c r="J237" s="46"/>
      <c r="K237" s="16" t="str">
        <f>IF(J237&lt;&gt;"",SUMIFS('💰 Transaction ขาย'!$F:$F,'💰 Transaction ขาย'!$K:$K,$J237,'💰 Transaction ขาย'!$J:$J,$B$1),"")</f>
        <v/>
      </c>
      <c r="L237" s="118"/>
      <c r="M237" s="46"/>
      <c r="N237" s="46"/>
      <c r="O237" s="46"/>
      <c r="P237" s="118"/>
      <c r="Q237" s="46"/>
      <c r="R237" s="46"/>
      <c r="S237" s="46"/>
      <c r="T237" s="46"/>
      <c r="U237" s="118"/>
      <c r="V237" s="46"/>
      <c r="W237" s="88" t="str">
        <f>IF(V237&lt;&gt;"",SUMIFS('📊 รายงานสินค้าคงเหลือ'!G:G,'📊 รายงานสินค้าคงเหลือ'!D:D,V237),"")</f>
        <v/>
      </c>
      <c r="X237" s="46"/>
      <c r="Y237" s="46"/>
      <c r="Z237" s="46"/>
    </row>
    <row r="238">
      <c r="A238" s="46"/>
      <c r="B238" s="16"/>
      <c r="C238" s="118"/>
      <c r="D238" s="126"/>
      <c r="E238" s="88"/>
      <c r="F238" s="118"/>
      <c r="G238" s="46"/>
      <c r="H238" s="46"/>
      <c r="I238" s="118"/>
      <c r="J238" s="46"/>
      <c r="K238" s="16" t="str">
        <f>IF(J238&lt;&gt;"",SUMIFS('💰 Transaction ขาย'!$F:$F,'💰 Transaction ขาย'!$K:$K,$J238,'💰 Transaction ขาย'!$J:$J,$B$1),"")</f>
        <v/>
      </c>
      <c r="L238" s="118"/>
      <c r="M238" s="46"/>
      <c r="N238" s="46"/>
      <c r="O238" s="46"/>
      <c r="P238" s="118"/>
      <c r="Q238" s="46"/>
      <c r="R238" s="46"/>
      <c r="S238" s="46"/>
      <c r="T238" s="46"/>
      <c r="U238" s="118"/>
      <c r="V238" s="46"/>
      <c r="W238" s="88" t="str">
        <f>IF(V238&lt;&gt;"",SUMIFS('📊 รายงานสินค้าคงเหลือ'!G:G,'📊 รายงานสินค้าคงเหลือ'!D:D,V238),"")</f>
        <v/>
      </c>
      <c r="X238" s="46"/>
      <c r="Y238" s="46"/>
      <c r="Z238" s="46"/>
    </row>
    <row r="239">
      <c r="A239" s="46"/>
      <c r="B239" s="16"/>
      <c r="C239" s="118"/>
      <c r="D239" s="126"/>
      <c r="E239" s="88"/>
      <c r="F239" s="118"/>
      <c r="G239" s="46"/>
      <c r="H239" s="46"/>
      <c r="I239" s="118"/>
      <c r="J239" s="46"/>
      <c r="K239" s="16" t="str">
        <f>IF(J239&lt;&gt;"",SUMIFS('💰 Transaction ขาย'!$F:$F,'💰 Transaction ขาย'!$K:$K,$J239,'💰 Transaction ขาย'!$J:$J,$B$1),"")</f>
        <v/>
      </c>
      <c r="L239" s="118"/>
      <c r="M239" s="46"/>
      <c r="N239" s="46"/>
      <c r="O239" s="46"/>
      <c r="P239" s="118"/>
      <c r="Q239" s="46"/>
      <c r="R239" s="46"/>
      <c r="S239" s="46"/>
      <c r="T239" s="46"/>
      <c r="U239" s="118"/>
      <c r="V239" s="46"/>
      <c r="W239" s="88" t="str">
        <f>IF(V239&lt;&gt;"",SUMIFS('📊 รายงานสินค้าคงเหลือ'!G:G,'📊 รายงานสินค้าคงเหลือ'!D:D,V239),"")</f>
        <v/>
      </c>
      <c r="X239" s="46"/>
      <c r="Y239" s="46"/>
      <c r="Z239" s="46"/>
    </row>
    <row r="240">
      <c r="A240" s="46"/>
      <c r="B240" s="16"/>
      <c r="C240" s="118"/>
      <c r="D240" s="126"/>
      <c r="E240" s="88"/>
      <c r="F240" s="118"/>
      <c r="G240" s="46"/>
      <c r="H240" s="46"/>
      <c r="I240" s="118"/>
      <c r="J240" s="46"/>
      <c r="K240" s="16" t="str">
        <f>IF(J240&lt;&gt;"",SUMIFS('💰 Transaction ขาย'!$F:$F,'💰 Transaction ขาย'!$K:$K,$J240,'💰 Transaction ขาย'!$J:$J,$B$1),"")</f>
        <v/>
      </c>
      <c r="L240" s="118"/>
      <c r="M240" s="46"/>
      <c r="N240" s="46"/>
      <c r="O240" s="46"/>
      <c r="P240" s="118"/>
      <c r="Q240" s="46"/>
      <c r="R240" s="46"/>
      <c r="S240" s="46"/>
      <c r="T240" s="46"/>
      <c r="U240" s="118"/>
      <c r="V240" s="46"/>
      <c r="W240" s="88" t="str">
        <f>IF(V240&lt;&gt;"",SUMIFS('📊 รายงานสินค้าคงเหลือ'!G:G,'📊 รายงานสินค้าคงเหลือ'!D:D,V240),"")</f>
        <v/>
      </c>
      <c r="X240" s="46"/>
      <c r="Y240" s="46"/>
      <c r="Z240" s="46"/>
    </row>
    <row r="241">
      <c r="A241" s="46"/>
      <c r="B241" s="16"/>
      <c r="C241" s="118"/>
      <c r="D241" s="126"/>
      <c r="E241" s="88"/>
      <c r="F241" s="118"/>
      <c r="G241" s="46"/>
      <c r="H241" s="46"/>
      <c r="I241" s="118"/>
      <c r="J241" s="46"/>
      <c r="K241" s="16" t="str">
        <f>IF(J241&lt;&gt;"",SUMIFS('💰 Transaction ขาย'!$F:$F,'💰 Transaction ขาย'!$K:$K,$J241,'💰 Transaction ขาย'!$J:$J,$B$1),"")</f>
        <v/>
      </c>
      <c r="L241" s="118"/>
      <c r="M241" s="46"/>
      <c r="N241" s="46"/>
      <c r="O241" s="46"/>
      <c r="P241" s="118"/>
      <c r="Q241" s="46"/>
      <c r="R241" s="46"/>
      <c r="S241" s="46"/>
      <c r="T241" s="46"/>
      <c r="U241" s="118"/>
      <c r="V241" s="46"/>
      <c r="W241" s="88" t="str">
        <f>IF(V241&lt;&gt;"",SUMIFS('📊 รายงานสินค้าคงเหลือ'!G:G,'📊 รายงานสินค้าคงเหลือ'!D:D,V241),"")</f>
        <v/>
      </c>
      <c r="X241" s="46"/>
      <c r="Y241" s="46"/>
      <c r="Z241" s="46"/>
    </row>
    <row r="242">
      <c r="A242" s="46"/>
      <c r="B242" s="16"/>
      <c r="C242" s="118"/>
      <c r="D242" s="126"/>
      <c r="E242" s="88"/>
      <c r="F242" s="118"/>
      <c r="G242" s="46"/>
      <c r="H242" s="46"/>
      <c r="I242" s="118"/>
      <c r="J242" s="46"/>
      <c r="K242" s="16" t="str">
        <f>IF(J242&lt;&gt;"",SUMIFS('💰 Transaction ขาย'!$F:$F,'💰 Transaction ขาย'!$K:$K,$J242,'💰 Transaction ขาย'!$J:$J,$B$1),"")</f>
        <v/>
      </c>
      <c r="L242" s="118"/>
      <c r="M242" s="46"/>
      <c r="N242" s="46"/>
      <c r="O242" s="46"/>
      <c r="P242" s="118"/>
      <c r="Q242" s="46"/>
      <c r="R242" s="46"/>
      <c r="S242" s="46"/>
      <c r="T242" s="46"/>
      <c r="U242" s="118"/>
      <c r="V242" s="46"/>
      <c r="W242" s="88" t="str">
        <f>IF(V242&lt;&gt;"",SUMIFS('📊 รายงานสินค้าคงเหลือ'!G:G,'📊 รายงานสินค้าคงเหลือ'!D:D,V242),"")</f>
        <v/>
      </c>
      <c r="X242" s="46"/>
      <c r="Y242" s="46"/>
      <c r="Z242" s="46"/>
    </row>
    <row r="243">
      <c r="A243" s="46"/>
      <c r="B243" s="16"/>
      <c r="C243" s="118"/>
      <c r="D243" s="126"/>
      <c r="E243" s="88"/>
      <c r="F243" s="118"/>
      <c r="G243" s="46"/>
      <c r="H243" s="46"/>
      <c r="I243" s="118"/>
      <c r="J243" s="46"/>
      <c r="K243" s="16" t="str">
        <f>IF(J243&lt;&gt;"",SUMIFS('💰 Transaction ขาย'!$F:$F,'💰 Transaction ขาย'!$K:$K,$J243,'💰 Transaction ขาย'!$J:$J,$B$1),"")</f>
        <v/>
      </c>
      <c r="L243" s="118"/>
      <c r="M243" s="46"/>
      <c r="N243" s="46"/>
      <c r="O243" s="46"/>
      <c r="P243" s="118"/>
      <c r="Q243" s="46"/>
      <c r="R243" s="46"/>
      <c r="S243" s="46"/>
      <c r="T243" s="46"/>
      <c r="U243" s="118"/>
      <c r="V243" s="46"/>
      <c r="W243" s="88" t="str">
        <f>IF(V243&lt;&gt;"",SUMIFS('📊 รายงานสินค้าคงเหลือ'!G:G,'📊 รายงานสินค้าคงเหลือ'!D:D,V243),"")</f>
        <v/>
      </c>
      <c r="X243" s="46"/>
      <c r="Y243" s="46"/>
      <c r="Z243" s="46"/>
    </row>
    <row r="244">
      <c r="A244" s="46"/>
      <c r="B244" s="16"/>
      <c r="C244" s="118"/>
      <c r="D244" s="126"/>
      <c r="E244" s="88"/>
      <c r="F244" s="118"/>
      <c r="G244" s="46"/>
      <c r="H244" s="46"/>
      <c r="I244" s="118"/>
      <c r="J244" s="46"/>
      <c r="K244" s="16" t="str">
        <f>IF(J244&lt;&gt;"",SUMIFS('💰 Transaction ขาย'!$F:$F,'💰 Transaction ขาย'!$K:$K,$J244,'💰 Transaction ขาย'!$J:$J,$B$1),"")</f>
        <v/>
      </c>
      <c r="L244" s="118"/>
      <c r="M244" s="46"/>
      <c r="N244" s="46"/>
      <c r="O244" s="46"/>
      <c r="P244" s="118"/>
      <c r="Q244" s="46"/>
      <c r="R244" s="46"/>
      <c r="S244" s="46"/>
      <c r="T244" s="46"/>
      <c r="U244" s="118"/>
      <c r="V244" s="46"/>
      <c r="W244" s="88" t="str">
        <f>IF(V244&lt;&gt;"",SUMIFS('📊 รายงานสินค้าคงเหลือ'!G:G,'📊 รายงานสินค้าคงเหลือ'!D:D,V244),"")</f>
        <v/>
      </c>
      <c r="X244" s="46"/>
      <c r="Y244" s="46"/>
      <c r="Z244" s="46"/>
    </row>
    <row r="245">
      <c r="A245" s="46"/>
      <c r="B245" s="16"/>
      <c r="C245" s="118"/>
      <c r="D245" s="126"/>
      <c r="E245" s="88"/>
      <c r="F245" s="118"/>
      <c r="G245" s="46"/>
      <c r="H245" s="46"/>
      <c r="I245" s="118"/>
      <c r="J245" s="46"/>
      <c r="K245" s="16" t="str">
        <f>IF(J245&lt;&gt;"",SUMIFS('💰 Transaction ขาย'!$F:$F,'💰 Transaction ขาย'!$K:$K,$J245,'💰 Transaction ขาย'!$J:$J,$B$1),"")</f>
        <v/>
      </c>
      <c r="L245" s="118"/>
      <c r="M245" s="46"/>
      <c r="N245" s="46"/>
      <c r="O245" s="46"/>
      <c r="P245" s="118"/>
      <c r="Q245" s="46"/>
      <c r="R245" s="46"/>
      <c r="S245" s="46"/>
      <c r="T245" s="46"/>
      <c r="U245" s="118"/>
      <c r="V245" s="46"/>
      <c r="W245" s="88" t="str">
        <f>IF(V245&lt;&gt;"",SUMIFS('📊 รายงานสินค้าคงเหลือ'!G:G,'📊 รายงานสินค้าคงเหลือ'!D:D,V245),"")</f>
        <v/>
      </c>
      <c r="X245" s="46"/>
      <c r="Y245" s="46"/>
      <c r="Z245" s="46"/>
    </row>
    <row r="246">
      <c r="A246" s="46"/>
      <c r="B246" s="16"/>
      <c r="C246" s="118"/>
      <c r="D246" s="126"/>
      <c r="E246" s="88"/>
      <c r="F246" s="118"/>
      <c r="G246" s="46"/>
      <c r="H246" s="46"/>
      <c r="I246" s="118"/>
      <c r="J246" s="46"/>
      <c r="K246" s="16" t="str">
        <f>IF(J246&lt;&gt;"",SUMIFS('💰 Transaction ขาย'!$F:$F,'💰 Transaction ขาย'!$K:$K,$J246,'💰 Transaction ขาย'!$J:$J,$B$1),"")</f>
        <v/>
      </c>
      <c r="L246" s="118"/>
      <c r="M246" s="46"/>
      <c r="N246" s="46"/>
      <c r="O246" s="46"/>
      <c r="P246" s="118"/>
      <c r="Q246" s="46"/>
      <c r="R246" s="46"/>
      <c r="S246" s="46"/>
      <c r="T246" s="46"/>
      <c r="U246" s="118"/>
      <c r="V246" s="46"/>
      <c r="W246" s="88" t="str">
        <f>IF(V246&lt;&gt;"",SUMIFS('📊 รายงานสินค้าคงเหลือ'!G:G,'📊 รายงานสินค้าคงเหลือ'!D:D,V246),"")</f>
        <v/>
      </c>
      <c r="X246" s="46"/>
      <c r="Y246" s="46"/>
      <c r="Z246" s="46"/>
    </row>
    <row r="247">
      <c r="A247" s="46"/>
      <c r="B247" s="16"/>
      <c r="C247" s="118"/>
      <c r="D247" s="126"/>
      <c r="E247" s="88"/>
      <c r="F247" s="118"/>
      <c r="G247" s="46"/>
      <c r="H247" s="46"/>
      <c r="I247" s="118"/>
      <c r="J247" s="46"/>
      <c r="K247" s="16" t="str">
        <f>IF(J247&lt;&gt;"",SUMIFS('💰 Transaction ขาย'!$F:$F,'💰 Transaction ขาย'!$K:$K,$J247,'💰 Transaction ขาย'!$J:$J,$B$1),"")</f>
        <v/>
      </c>
      <c r="L247" s="118"/>
      <c r="M247" s="46"/>
      <c r="N247" s="46"/>
      <c r="O247" s="46"/>
      <c r="P247" s="118"/>
      <c r="Q247" s="46"/>
      <c r="R247" s="46"/>
      <c r="S247" s="46"/>
      <c r="T247" s="46"/>
      <c r="U247" s="118"/>
      <c r="V247" s="46"/>
      <c r="W247" s="88" t="str">
        <f>IF(V247&lt;&gt;"",SUMIFS('📊 รายงานสินค้าคงเหลือ'!G:G,'📊 รายงานสินค้าคงเหลือ'!D:D,V247),"")</f>
        <v/>
      </c>
      <c r="X247" s="46"/>
      <c r="Y247" s="46"/>
      <c r="Z247" s="46"/>
    </row>
    <row r="248">
      <c r="A248" s="46"/>
      <c r="B248" s="16"/>
      <c r="C248" s="118"/>
      <c r="D248" s="126"/>
      <c r="E248" s="88"/>
      <c r="F248" s="118"/>
      <c r="G248" s="46"/>
      <c r="H248" s="46"/>
      <c r="I248" s="118"/>
      <c r="J248" s="46"/>
      <c r="K248" s="16" t="str">
        <f>IF(J248&lt;&gt;"",SUMIFS('💰 Transaction ขาย'!$F:$F,'💰 Transaction ขาย'!$K:$K,$J248,'💰 Transaction ขาย'!$J:$J,$B$1),"")</f>
        <v/>
      </c>
      <c r="L248" s="118"/>
      <c r="M248" s="46"/>
      <c r="N248" s="46"/>
      <c r="O248" s="46"/>
      <c r="P248" s="118"/>
      <c r="Q248" s="46"/>
      <c r="R248" s="46"/>
      <c r="S248" s="46"/>
      <c r="T248" s="46"/>
      <c r="U248" s="118"/>
      <c r="V248" s="46"/>
      <c r="W248" s="88" t="str">
        <f>IF(V248&lt;&gt;"",SUMIFS('📊 รายงานสินค้าคงเหลือ'!G:G,'📊 รายงานสินค้าคงเหลือ'!D:D,V248),"")</f>
        <v/>
      </c>
      <c r="X248" s="46"/>
      <c r="Y248" s="46"/>
      <c r="Z248" s="46"/>
    </row>
    <row r="249">
      <c r="A249" s="46"/>
      <c r="B249" s="16"/>
      <c r="C249" s="118"/>
      <c r="D249" s="126"/>
      <c r="E249" s="88"/>
      <c r="F249" s="118"/>
      <c r="G249" s="46"/>
      <c r="H249" s="46"/>
      <c r="I249" s="118"/>
      <c r="J249" s="46"/>
      <c r="K249" s="16" t="str">
        <f>IF(J249&lt;&gt;"",SUMIFS('💰 Transaction ขาย'!$F:$F,'💰 Transaction ขาย'!$K:$K,$J249,'💰 Transaction ขาย'!$J:$J,$B$1),"")</f>
        <v/>
      </c>
      <c r="L249" s="118"/>
      <c r="M249" s="46"/>
      <c r="N249" s="46"/>
      <c r="O249" s="46"/>
      <c r="P249" s="118"/>
      <c r="Q249" s="46"/>
      <c r="R249" s="46"/>
      <c r="S249" s="46"/>
      <c r="T249" s="46"/>
      <c r="U249" s="118"/>
      <c r="V249" s="46"/>
      <c r="W249" s="88" t="str">
        <f>IF(V249&lt;&gt;"",SUMIFS('📊 รายงานสินค้าคงเหลือ'!G:G,'📊 รายงานสินค้าคงเหลือ'!D:D,V249),"")</f>
        <v/>
      </c>
      <c r="X249" s="46"/>
      <c r="Y249" s="46"/>
      <c r="Z249" s="46"/>
    </row>
    <row r="250">
      <c r="A250" s="46"/>
      <c r="B250" s="16"/>
      <c r="C250" s="118"/>
      <c r="D250" s="126"/>
      <c r="E250" s="88"/>
      <c r="F250" s="118"/>
      <c r="G250" s="46"/>
      <c r="H250" s="46"/>
      <c r="I250" s="118"/>
      <c r="J250" s="46"/>
      <c r="K250" s="16" t="str">
        <f>IF(J250&lt;&gt;"",SUMIFS('💰 Transaction ขาย'!$F:$F,'💰 Transaction ขาย'!$K:$K,$J250,'💰 Transaction ขาย'!$J:$J,$B$1),"")</f>
        <v/>
      </c>
      <c r="L250" s="118"/>
      <c r="M250" s="46"/>
      <c r="N250" s="46"/>
      <c r="O250" s="46"/>
      <c r="P250" s="118"/>
      <c r="Q250" s="46"/>
      <c r="R250" s="46"/>
      <c r="S250" s="46"/>
      <c r="T250" s="46"/>
      <c r="U250" s="118"/>
      <c r="V250" s="46"/>
      <c r="W250" s="88" t="str">
        <f>IF(V250&lt;&gt;"",SUMIFS('📊 รายงานสินค้าคงเหลือ'!G:G,'📊 รายงานสินค้าคงเหลือ'!D:D,V250),"")</f>
        <v/>
      </c>
      <c r="X250" s="46"/>
      <c r="Y250" s="46"/>
      <c r="Z250" s="46"/>
    </row>
    <row r="251">
      <c r="A251" s="46"/>
      <c r="B251" s="16"/>
      <c r="C251" s="118"/>
      <c r="D251" s="126"/>
      <c r="E251" s="88"/>
      <c r="F251" s="118"/>
      <c r="G251" s="46"/>
      <c r="H251" s="46"/>
      <c r="I251" s="118"/>
      <c r="J251" s="46"/>
      <c r="K251" s="16" t="str">
        <f>IF(J251&lt;&gt;"",SUMIFS('💰 Transaction ขาย'!$F:$F,'💰 Transaction ขาย'!$K:$K,$J251,'💰 Transaction ขาย'!$J:$J,$B$1),"")</f>
        <v/>
      </c>
      <c r="L251" s="118"/>
      <c r="M251" s="46"/>
      <c r="N251" s="46"/>
      <c r="O251" s="46"/>
      <c r="P251" s="118"/>
      <c r="Q251" s="46"/>
      <c r="R251" s="46"/>
      <c r="S251" s="46"/>
      <c r="T251" s="46"/>
      <c r="U251" s="118"/>
      <c r="V251" s="46"/>
      <c r="W251" s="88" t="str">
        <f>IF(V251&lt;&gt;"",SUMIFS('📊 รายงานสินค้าคงเหลือ'!G:G,'📊 รายงานสินค้าคงเหลือ'!D:D,V251),"")</f>
        <v/>
      </c>
      <c r="X251" s="46"/>
      <c r="Y251" s="46"/>
      <c r="Z251" s="46"/>
    </row>
    <row r="252">
      <c r="A252" s="46"/>
      <c r="B252" s="16"/>
      <c r="C252" s="118"/>
      <c r="D252" s="126"/>
      <c r="E252" s="88"/>
      <c r="F252" s="118"/>
      <c r="G252" s="46"/>
      <c r="H252" s="46"/>
      <c r="I252" s="118"/>
      <c r="J252" s="46"/>
      <c r="K252" s="16" t="str">
        <f>IF(J252&lt;&gt;"",SUMIFS('💰 Transaction ขาย'!$F:$F,'💰 Transaction ขาย'!$K:$K,$J252,'💰 Transaction ขาย'!$J:$J,$B$1),"")</f>
        <v/>
      </c>
      <c r="L252" s="118"/>
      <c r="M252" s="46"/>
      <c r="N252" s="46"/>
      <c r="O252" s="46"/>
      <c r="P252" s="118"/>
      <c r="Q252" s="46"/>
      <c r="R252" s="46"/>
      <c r="S252" s="46"/>
      <c r="T252" s="46"/>
      <c r="U252" s="118"/>
      <c r="V252" s="46"/>
      <c r="W252" s="88" t="str">
        <f>IF(V252&lt;&gt;"",SUMIFS('📊 รายงานสินค้าคงเหลือ'!G:G,'📊 รายงานสินค้าคงเหลือ'!D:D,V252),"")</f>
        <v/>
      </c>
      <c r="X252" s="46"/>
      <c r="Y252" s="46"/>
      <c r="Z252" s="46"/>
    </row>
    <row r="253">
      <c r="A253" s="46"/>
      <c r="B253" s="16"/>
      <c r="C253" s="118"/>
      <c r="D253" s="126"/>
      <c r="E253" s="88"/>
      <c r="F253" s="118"/>
      <c r="G253" s="46"/>
      <c r="H253" s="46"/>
      <c r="I253" s="118"/>
      <c r="J253" s="46"/>
      <c r="K253" s="16" t="str">
        <f>IF(J253&lt;&gt;"",SUMIFS('💰 Transaction ขาย'!$F:$F,'💰 Transaction ขาย'!$K:$K,$J253,'💰 Transaction ขาย'!$J:$J,$B$1),"")</f>
        <v/>
      </c>
      <c r="L253" s="118"/>
      <c r="M253" s="46"/>
      <c r="N253" s="46"/>
      <c r="O253" s="46"/>
      <c r="P253" s="118"/>
      <c r="Q253" s="46"/>
      <c r="R253" s="46"/>
      <c r="S253" s="46"/>
      <c r="T253" s="46"/>
      <c r="U253" s="118"/>
      <c r="V253" s="46"/>
      <c r="W253" s="88" t="str">
        <f>IF(V253&lt;&gt;"",SUMIFS('📊 รายงานสินค้าคงเหลือ'!G:G,'📊 รายงานสินค้าคงเหลือ'!D:D,V253),"")</f>
        <v/>
      </c>
      <c r="X253" s="46"/>
      <c r="Y253" s="46"/>
      <c r="Z253" s="46"/>
    </row>
    <row r="254">
      <c r="A254" s="46"/>
      <c r="B254" s="16"/>
      <c r="C254" s="118"/>
      <c r="D254" s="126"/>
      <c r="E254" s="88"/>
      <c r="F254" s="118"/>
      <c r="G254" s="46"/>
      <c r="H254" s="46"/>
      <c r="I254" s="118"/>
      <c r="J254" s="46"/>
      <c r="K254" s="16" t="str">
        <f>IF(J254&lt;&gt;"",SUMIFS('💰 Transaction ขาย'!$F:$F,'💰 Transaction ขาย'!$K:$K,$J254,'💰 Transaction ขาย'!$J:$J,$B$1),"")</f>
        <v/>
      </c>
      <c r="L254" s="118"/>
      <c r="M254" s="46"/>
      <c r="N254" s="46"/>
      <c r="O254" s="46"/>
      <c r="P254" s="118"/>
      <c r="Q254" s="46"/>
      <c r="R254" s="46"/>
      <c r="S254" s="46"/>
      <c r="T254" s="46"/>
      <c r="U254" s="118"/>
      <c r="V254" s="46"/>
      <c r="W254" s="88" t="str">
        <f>IF(V254&lt;&gt;"",SUMIFS('📊 รายงานสินค้าคงเหลือ'!G:G,'📊 รายงานสินค้าคงเหลือ'!D:D,V254),"")</f>
        <v/>
      </c>
      <c r="X254" s="46"/>
      <c r="Y254" s="46"/>
      <c r="Z254" s="46"/>
    </row>
    <row r="255">
      <c r="A255" s="46"/>
      <c r="B255" s="16"/>
      <c r="C255" s="118"/>
      <c r="D255" s="126"/>
      <c r="E255" s="88"/>
      <c r="F255" s="118"/>
      <c r="G255" s="46"/>
      <c r="H255" s="46"/>
      <c r="I255" s="118"/>
      <c r="J255" s="46"/>
      <c r="K255" s="16" t="str">
        <f>IF(J255&lt;&gt;"",SUMIFS('💰 Transaction ขาย'!$F:$F,'💰 Transaction ขาย'!$K:$K,$J255,'💰 Transaction ขาย'!$J:$J,$B$1),"")</f>
        <v/>
      </c>
      <c r="L255" s="118"/>
      <c r="M255" s="46"/>
      <c r="N255" s="46"/>
      <c r="O255" s="46"/>
      <c r="P255" s="118"/>
      <c r="Q255" s="46"/>
      <c r="R255" s="46"/>
      <c r="S255" s="46"/>
      <c r="T255" s="46"/>
      <c r="U255" s="118"/>
      <c r="V255" s="46"/>
      <c r="W255" s="88" t="str">
        <f>IF(V255&lt;&gt;"",SUMIFS('📊 รายงานสินค้าคงเหลือ'!G:G,'📊 รายงานสินค้าคงเหลือ'!D:D,V255),"")</f>
        <v/>
      </c>
      <c r="X255" s="46"/>
      <c r="Y255" s="46"/>
      <c r="Z255" s="46"/>
    </row>
    <row r="256">
      <c r="A256" s="46"/>
      <c r="B256" s="16"/>
      <c r="C256" s="118"/>
      <c r="D256" s="126"/>
      <c r="E256" s="88"/>
      <c r="F256" s="118"/>
      <c r="G256" s="46"/>
      <c r="H256" s="46"/>
      <c r="I256" s="118"/>
      <c r="J256" s="46"/>
      <c r="K256" s="16" t="str">
        <f>IF(J256&lt;&gt;"",SUMIFS('💰 Transaction ขาย'!$F:$F,'💰 Transaction ขาย'!$K:$K,$J256,'💰 Transaction ขาย'!$J:$J,$B$1),"")</f>
        <v/>
      </c>
      <c r="L256" s="118"/>
      <c r="M256" s="46"/>
      <c r="N256" s="46"/>
      <c r="O256" s="46"/>
      <c r="P256" s="118"/>
      <c r="Q256" s="46"/>
      <c r="R256" s="46"/>
      <c r="S256" s="46"/>
      <c r="T256" s="46"/>
      <c r="U256" s="118"/>
      <c r="V256" s="46"/>
      <c r="W256" s="88" t="str">
        <f>IF(V256&lt;&gt;"",SUMIFS('📊 รายงานสินค้าคงเหลือ'!G:G,'📊 รายงานสินค้าคงเหลือ'!D:D,V256),"")</f>
        <v/>
      </c>
      <c r="X256" s="46"/>
      <c r="Y256" s="46"/>
      <c r="Z256" s="46"/>
    </row>
    <row r="257">
      <c r="A257" s="46"/>
      <c r="B257" s="16"/>
      <c r="C257" s="118"/>
      <c r="D257" s="126"/>
      <c r="E257" s="88"/>
      <c r="F257" s="118"/>
      <c r="G257" s="46"/>
      <c r="H257" s="46"/>
      <c r="I257" s="118"/>
      <c r="J257" s="46"/>
      <c r="K257" s="16" t="str">
        <f>IF(J257&lt;&gt;"",SUMIFS('💰 Transaction ขาย'!$F:$F,'💰 Transaction ขาย'!$K:$K,$J257,'💰 Transaction ขาย'!$J:$J,$B$1),"")</f>
        <v/>
      </c>
      <c r="L257" s="118"/>
      <c r="M257" s="46"/>
      <c r="N257" s="46"/>
      <c r="O257" s="46"/>
      <c r="P257" s="118"/>
      <c r="Q257" s="46"/>
      <c r="R257" s="46"/>
      <c r="S257" s="46"/>
      <c r="T257" s="46"/>
      <c r="U257" s="118"/>
      <c r="V257" s="46"/>
      <c r="W257" s="88" t="str">
        <f>IF(V257&lt;&gt;"",SUMIFS('📊 รายงานสินค้าคงเหลือ'!G:G,'📊 รายงานสินค้าคงเหลือ'!D:D,V257),"")</f>
        <v/>
      </c>
      <c r="X257" s="46"/>
      <c r="Y257" s="46"/>
      <c r="Z257" s="46"/>
    </row>
    <row r="258">
      <c r="A258" s="46"/>
      <c r="B258" s="16"/>
      <c r="C258" s="118"/>
      <c r="D258" s="126"/>
      <c r="E258" s="88"/>
      <c r="F258" s="118"/>
      <c r="G258" s="46"/>
      <c r="H258" s="46"/>
      <c r="I258" s="118"/>
      <c r="J258" s="46"/>
      <c r="K258" s="16" t="str">
        <f>IF(J258&lt;&gt;"",SUMIFS('💰 Transaction ขาย'!$F:$F,'💰 Transaction ขาย'!$K:$K,$J258,'💰 Transaction ขาย'!$J:$J,$B$1),"")</f>
        <v/>
      </c>
      <c r="L258" s="118"/>
      <c r="M258" s="46"/>
      <c r="N258" s="46"/>
      <c r="O258" s="46"/>
      <c r="P258" s="118"/>
      <c r="Q258" s="46"/>
      <c r="R258" s="46"/>
      <c r="S258" s="46"/>
      <c r="T258" s="46"/>
      <c r="U258" s="118"/>
      <c r="V258" s="46"/>
      <c r="W258" s="88" t="str">
        <f>IF(V258&lt;&gt;"",SUMIFS('📊 รายงานสินค้าคงเหลือ'!G:G,'📊 รายงานสินค้าคงเหลือ'!D:D,V258),"")</f>
        <v/>
      </c>
      <c r="X258" s="46"/>
      <c r="Y258" s="46"/>
      <c r="Z258" s="46"/>
    </row>
    <row r="259">
      <c r="A259" s="46"/>
      <c r="B259" s="16"/>
      <c r="C259" s="118"/>
      <c r="D259" s="126"/>
      <c r="E259" s="88"/>
      <c r="F259" s="118"/>
      <c r="G259" s="46"/>
      <c r="H259" s="46"/>
      <c r="I259" s="118"/>
      <c r="J259" s="46"/>
      <c r="K259" s="16" t="str">
        <f>IF(J259&lt;&gt;"",SUMIFS('💰 Transaction ขาย'!$F:$F,'💰 Transaction ขาย'!$K:$K,$J259,'💰 Transaction ขาย'!$J:$J,$B$1),"")</f>
        <v/>
      </c>
      <c r="L259" s="118"/>
      <c r="M259" s="46"/>
      <c r="N259" s="46"/>
      <c r="O259" s="46"/>
      <c r="P259" s="118"/>
      <c r="Q259" s="46"/>
      <c r="R259" s="46"/>
      <c r="S259" s="46"/>
      <c r="T259" s="46"/>
      <c r="U259" s="118"/>
      <c r="V259" s="46"/>
      <c r="W259" s="88" t="str">
        <f>IF(V259&lt;&gt;"",SUMIFS('📊 รายงานสินค้าคงเหลือ'!G:G,'📊 รายงานสินค้าคงเหลือ'!D:D,V259),"")</f>
        <v/>
      </c>
      <c r="X259" s="46"/>
      <c r="Y259" s="46"/>
      <c r="Z259" s="46"/>
    </row>
    <row r="260">
      <c r="A260" s="46"/>
      <c r="B260" s="16"/>
      <c r="C260" s="118"/>
      <c r="D260" s="126"/>
      <c r="E260" s="88"/>
      <c r="F260" s="118"/>
      <c r="G260" s="46"/>
      <c r="H260" s="46"/>
      <c r="I260" s="118"/>
      <c r="J260" s="46"/>
      <c r="K260" s="16" t="str">
        <f>IF(J260&lt;&gt;"",SUMIFS('💰 Transaction ขาย'!$F:$F,'💰 Transaction ขาย'!$K:$K,$J260,'💰 Transaction ขาย'!$J:$J,$B$1),"")</f>
        <v/>
      </c>
      <c r="L260" s="118"/>
      <c r="M260" s="46"/>
      <c r="N260" s="46"/>
      <c r="O260" s="46"/>
      <c r="P260" s="118"/>
      <c r="Q260" s="46"/>
      <c r="R260" s="46"/>
      <c r="S260" s="46"/>
      <c r="T260" s="46"/>
      <c r="U260" s="118"/>
      <c r="V260" s="46"/>
      <c r="W260" s="88" t="str">
        <f>IF(V260&lt;&gt;"",SUMIFS('📊 รายงานสินค้าคงเหลือ'!G:G,'📊 รายงานสินค้าคงเหลือ'!D:D,V260),"")</f>
        <v/>
      </c>
      <c r="X260" s="46"/>
      <c r="Y260" s="46"/>
      <c r="Z260" s="46"/>
    </row>
    <row r="261">
      <c r="A261" s="46"/>
      <c r="B261" s="16"/>
      <c r="C261" s="118"/>
      <c r="D261" s="126"/>
      <c r="E261" s="88"/>
      <c r="F261" s="118"/>
      <c r="G261" s="46"/>
      <c r="H261" s="46"/>
      <c r="I261" s="118"/>
      <c r="J261" s="46"/>
      <c r="K261" s="16" t="str">
        <f>IF(J261&lt;&gt;"",SUMIFS('💰 Transaction ขาย'!$F:$F,'💰 Transaction ขาย'!$K:$K,$J261,'💰 Transaction ขาย'!$J:$J,$B$1),"")</f>
        <v/>
      </c>
      <c r="L261" s="118"/>
      <c r="M261" s="46"/>
      <c r="N261" s="46"/>
      <c r="O261" s="46"/>
      <c r="P261" s="118"/>
      <c r="Q261" s="46"/>
      <c r="R261" s="46"/>
      <c r="S261" s="46"/>
      <c r="T261" s="46"/>
      <c r="U261" s="118"/>
      <c r="V261" s="46"/>
      <c r="W261" s="88" t="str">
        <f>IF(V261&lt;&gt;"",SUMIFS('📊 รายงานสินค้าคงเหลือ'!G:G,'📊 รายงานสินค้าคงเหลือ'!D:D,V261),"")</f>
        <v/>
      </c>
      <c r="X261" s="46"/>
      <c r="Y261" s="46"/>
      <c r="Z261" s="46"/>
    </row>
    <row r="262">
      <c r="A262" s="46"/>
      <c r="B262" s="16"/>
      <c r="C262" s="118"/>
      <c r="D262" s="126"/>
      <c r="E262" s="88"/>
      <c r="F262" s="118"/>
      <c r="G262" s="46"/>
      <c r="H262" s="46"/>
      <c r="I262" s="118"/>
      <c r="J262" s="46"/>
      <c r="K262" s="16" t="str">
        <f>IF(J262&lt;&gt;"",SUMIFS('💰 Transaction ขาย'!$F:$F,'💰 Transaction ขาย'!$K:$K,$J262,'💰 Transaction ขาย'!$J:$J,$B$1),"")</f>
        <v/>
      </c>
      <c r="L262" s="118"/>
      <c r="M262" s="46"/>
      <c r="N262" s="46"/>
      <c r="O262" s="46"/>
      <c r="P262" s="118"/>
      <c r="Q262" s="46"/>
      <c r="R262" s="46"/>
      <c r="S262" s="46"/>
      <c r="T262" s="46"/>
      <c r="U262" s="118"/>
      <c r="V262" s="46"/>
      <c r="W262" s="88" t="str">
        <f>IF(V262&lt;&gt;"",SUMIFS('📊 รายงานสินค้าคงเหลือ'!G:G,'📊 รายงานสินค้าคงเหลือ'!D:D,V262),"")</f>
        <v/>
      </c>
      <c r="X262" s="46"/>
      <c r="Y262" s="46"/>
      <c r="Z262" s="46"/>
    </row>
    <row r="263">
      <c r="A263" s="46"/>
      <c r="B263" s="16"/>
      <c r="C263" s="118"/>
      <c r="D263" s="126"/>
      <c r="E263" s="88"/>
      <c r="F263" s="118"/>
      <c r="G263" s="46"/>
      <c r="H263" s="46"/>
      <c r="I263" s="118"/>
      <c r="J263" s="46"/>
      <c r="K263" s="16" t="str">
        <f>IF(J263&lt;&gt;"",SUMIFS('💰 Transaction ขาย'!$F:$F,'💰 Transaction ขาย'!$K:$K,$J263,'💰 Transaction ขาย'!$J:$J,$B$1),"")</f>
        <v/>
      </c>
      <c r="L263" s="118"/>
      <c r="M263" s="46"/>
      <c r="N263" s="46"/>
      <c r="O263" s="46"/>
      <c r="P263" s="118"/>
      <c r="Q263" s="46"/>
      <c r="R263" s="46"/>
      <c r="S263" s="46"/>
      <c r="T263" s="46"/>
      <c r="U263" s="118"/>
      <c r="V263" s="46"/>
      <c r="W263" s="88" t="str">
        <f>IF(V263&lt;&gt;"",SUMIFS('📊 รายงานสินค้าคงเหลือ'!G:G,'📊 รายงานสินค้าคงเหลือ'!D:D,V263),"")</f>
        <v/>
      </c>
      <c r="X263" s="46"/>
      <c r="Y263" s="46"/>
      <c r="Z263" s="46"/>
    </row>
    <row r="264">
      <c r="A264" s="46"/>
      <c r="B264" s="16"/>
      <c r="C264" s="118"/>
      <c r="D264" s="126"/>
      <c r="E264" s="88"/>
      <c r="F264" s="118"/>
      <c r="G264" s="46"/>
      <c r="H264" s="46"/>
      <c r="I264" s="118"/>
      <c r="J264" s="46"/>
      <c r="K264" s="16" t="str">
        <f>IF(J264&lt;&gt;"",SUMIFS('💰 Transaction ขาย'!$F:$F,'💰 Transaction ขาย'!$K:$K,$J264,'💰 Transaction ขาย'!$J:$J,$B$1),"")</f>
        <v/>
      </c>
      <c r="L264" s="118"/>
      <c r="M264" s="46"/>
      <c r="N264" s="46"/>
      <c r="O264" s="46"/>
      <c r="P264" s="118"/>
      <c r="Q264" s="46"/>
      <c r="R264" s="46"/>
      <c r="S264" s="46"/>
      <c r="T264" s="46"/>
      <c r="U264" s="118"/>
      <c r="V264" s="46"/>
      <c r="W264" s="88" t="str">
        <f>IF(V264&lt;&gt;"",SUMIFS('📊 รายงานสินค้าคงเหลือ'!G:G,'📊 รายงานสินค้าคงเหลือ'!D:D,V264),"")</f>
        <v/>
      </c>
      <c r="X264" s="46"/>
      <c r="Y264" s="46"/>
      <c r="Z264" s="46"/>
    </row>
    <row r="265">
      <c r="A265" s="46"/>
      <c r="B265" s="16"/>
      <c r="C265" s="118"/>
      <c r="D265" s="126"/>
      <c r="E265" s="88"/>
      <c r="F265" s="118"/>
      <c r="G265" s="46"/>
      <c r="H265" s="46"/>
      <c r="I265" s="118"/>
      <c r="J265" s="46"/>
      <c r="K265" s="16" t="str">
        <f>IF(J265&lt;&gt;"",SUMIFS('💰 Transaction ขาย'!$F:$F,'💰 Transaction ขาย'!$K:$K,$J265,'💰 Transaction ขาย'!$J:$J,$B$1),"")</f>
        <v/>
      </c>
      <c r="L265" s="118"/>
      <c r="M265" s="46"/>
      <c r="N265" s="46"/>
      <c r="O265" s="46"/>
      <c r="P265" s="118"/>
      <c r="Q265" s="46"/>
      <c r="R265" s="46"/>
      <c r="S265" s="46"/>
      <c r="T265" s="46"/>
      <c r="U265" s="118"/>
      <c r="V265" s="46"/>
      <c r="W265" s="88" t="str">
        <f>IF(V265&lt;&gt;"",SUMIFS('📊 รายงานสินค้าคงเหลือ'!G:G,'📊 รายงานสินค้าคงเหลือ'!D:D,V265),"")</f>
        <v/>
      </c>
      <c r="X265" s="46"/>
      <c r="Y265" s="46"/>
      <c r="Z265" s="46"/>
    </row>
    <row r="266">
      <c r="A266" s="46"/>
      <c r="B266" s="16"/>
      <c r="C266" s="118"/>
      <c r="D266" s="126"/>
      <c r="E266" s="88"/>
      <c r="F266" s="118"/>
      <c r="G266" s="46"/>
      <c r="H266" s="46"/>
      <c r="I266" s="118"/>
      <c r="J266" s="46"/>
      <c r="K266" s="16" t="str">
        <f>IF(J266&lt;&gt;"",SUMIFS('💰 Transaction ขาย'!$F:$F,'💰 Transaction ขาย'!$K:$K,$J266,'💰 Transaction ขาย'!$J:$J,$B$1),"")</f>
        <v/>
      </c>
      <c r="L266" s="118"/>
      <c r="M266" s="46"/>
      <c r="N266" s="46"/>
      <c r="O266" s="46"/>
      <c r="P266" s="118"/>
      <c r="Q266" s="46"/>
      <c r="R266" s="46"/>
      <c r="S266" s="46"/>
      <c r="T266" s="46"/>
      <c r="U266" s="118"/>
      <c r="V266" s="46"/>
      <c r="W266" s="88" t="str">
        <f>IF(V266&lt;&gt;"",SUMIFS('📊 รายงานสินค้าคงเหลือ'!G:G,'📊 รายงานสินค้าคงเหลือ'!D:D,V266),"")</f>
        <v/>
      </c>
      <c r="X266" s="46"/>
      <c r="Y266" s="46"/>
      <c r="Z266" s="46"/>
    </row>
    <row r="267">
      <c r="A267" s="46"/>
      <c r="B267" s="16"/>
      <c r="C267" s="118"/>
      <c r="D267" s="126"/>
      <c r="E267" s="88"/>
      <c r="F267" s="118"/>
      <c r="G267" s="46"/>
      <c r="H267" s="46"/>
      <c r="I267" s="118"/>
      <c r="J267" s="46"/>
      <c r="K267" s="16" t="str">
        <f>IF(J267&lt;&gt;"",SUMIFS('💰 Transaction ขาย'!$F:$F,'💰 Transaction ขาย'!$K:$K,$J267,'💰 Transaction ขาย'!$J:$J,$B$1),"")</f>
        <v/>
      </c>
      <c r="L267" s="118"/>
      <c r="M267" s="46"/>
      <c r="N267" s="46"/>
      <c r="O267" s="46"/>
      <c r="P267" s="118"/>
      <c r="Q267" s="46"/>
      <c r="R267" s="46"/>
      <c r="S267" s="46"/>
      <c r="T267" s="46"/>
      <c r="U267" s="118"/>
      <c r="V267" s="46"/>
      <c r="W267" s="88" t="str">
        <f>IF(V267&lt;&gt;"",SUMIFS('📊 รายงานสินค้าคงเหลือ'!G:G,'📊 รายงานสินค้าคงเหลือ'!D:D,V267),"")</f>
        <v/>
      </c>
      <c r="X267" s="46"/>
      <c r="Y267" s="46"/>
      <c r="Z267" s="46"/>
    </row>
    <row r="268">
      <c r="A268" s="46"/>
      <c r="B268" s="16"/>
      <c r="C268" s="118"/>
      <c r="D268" s="126"/>
      <c r="E268" s="88"/>
      <c r="F268" s="118"/>
      <c r="G268" s="46"/>
      <c r="H268" s="46"/>
      <c r="I268" s="118"/>
      <c r="J268" s="46"/>
      <c r="K268" s="16" t="str">
        <f>IF(J268&lt;&gt;"",SUMIFS('💰 Transaction ขาย'!$F:$F,'💰 Transaction ขาย'!$K:$K,$J268,'💰 Transaction ขาย'!$J:$J,$B$1),"")</f>
        <v/>
      </c>
      <c r="L268" s="118"/>
      <c r="M268" s="46"/>
      <c r="N268" s="46"/>
      <c r="O268" s="46"/>
      <c r="P268" s="118"/>
      <c r="Q268" s="46"/>
      <c r="R268" s="46"/>
      <c r="S268" s="46"/>
      <c r="T268" s="46"/>
      <c r="U268" s="118"/>
      <c r="V268" s="46"/>
      <c r="W268" s="88" t="str">
        <f>IF(V268&lt;&gt;"",SUMIFS('📊 รายงานสินค้าคงเหลือ'!G:G,'📊 รายงานสินค้าคงเหลือ'!D:D,V268),"")</f>
        <v/>
      </c>
      <c r="X268" s="46"/>
      <c r="Y268" s="46"/>
      <c r="Z268" s="46"/>
    </row>
    <row r="269">
      <c r="A269" s="46"/>
      <c r="B269" s="16"/>
      <c r="C269" s="118"/>
      <c r="D269" s="126"/>
      <c r="E269" s="88"/>
      <c r="F269" s="118"/>
      <c r="G269" s="46"/>
      <c r="H269" s="46"/>
      <c r="I269" s="118"/>
      <c r="J269" s="46"/>
      <c r="K269" s="16" t="str">
        <f>IF(J269&lt;&gt;"",SUMIFS('💰 Transaction ขาย'!$F:$F,'💰 Transaction ขาย'!$K:$K,$J269,'💰 Transaction ขาย'!$J:$J,$B$1),"")</f>
        <v/>
      </c>
      <c r="L269" s="118"/>
      <c r="M269" s="46"/>
      <c r="N269" s="46"/>
      <c r="O269" s="46"/>
      <c r="P269" s="118"/>
      <c r="Q269" s="46"/>
      <c r="R269" s="46"/>
      <c r="S269" s="46"/>
      <c r="T269" s="46"/>
      <c r="U269" s="118"/>
      <c r="V269" s="46"/>
      <c r="W269" s="88" t="str">
        <f>IF(V269&lt;&gt;"",SUMIFS('📊 รายงานสินค้าคงเหลือ'!G:G,'📊 รายงานสินค้าคงเหลือ'!D:D,V269),"")</f>
        <v/>
      </c>
      <c r="X269" s="46"/>
      <c r="Y269" s="46"/>
      <c r="Z269" s="46"/>
    </row>
    <row r="270">
      <c r="A270" s="46"/>
      <c r="B270" s="16"/>
      <c r="C270" s="118"/>
      <c r="D270" s="126"/>
      <c r="E270" s="88"/>
      <c r="F270" s="118"/>
      <c r="G270" s="46"/>
      <c r="H270" s="46"/>
      <c r="I270" s="118"/>
      <c r="J270" s="46"/>
      <c r="K270" s="16" t="str">
        <f>IF(J270&lt;&gt;"",SUMIFS('💰 Transaction ขาย'!$F:$F,'💰 Transaction ขาย'!$K:$K,$J270,'💰 Transaction ขาย'!$J:$J,$B$1),"")</f>
        <v/>
      </c>
      <c r="L270" s="118"/>
      <c r="M270" s="46"/>
      <c r="N270" s="46"/>
      <c r="O270" s="46"/>
      <c r="P270" s="118"/>
      <c r="Q270" s="46"/>
      <c r="R270" s="46"/>
      <c r="S270" s="46"/>
      <c r="T270" s="46"/>
      <c r="U270" s="118"/>
      <c r="V270" s="46"/>
      <c r="W270" s="88" t="str">
        <f>IF(V270&lt;&gt;"",SUMIFS('📊 รายงานสินค้าคงเหลือ'!G:G,'📊 รายงานสินค้าคงเหลือ'!D:D,V270),"")</f>
        <v/>
      </c>
      <c r="X270" s="46"/>
      <c r="Y270" s="46"/>
      <c r="Z270" s="46"/>
    </row>
    <row r="271">
      <c r="A271" s="46"/>
      <c r="B271" s="16"/>
      <c r="C271" s="118"/>
      <c r="D271" s="126"/>
      <c r="E271" s="88"/>
      <c r="F271" s="118"/>
      <c r="G271" s="46"/>
      <c r="H271" s="46"/>
      <c r="I271" s="118"/>
      <c r="J271" s="46"/>
      <c r="K271" s="16" t="str">
        <f>IF(J271&lt;&gt;"",SUMIFS('💰 Transaction ขาย'!$F:$F,'💰 Transaction ขาย'!$K:$K,$J271,'💰 Transaction ขาย'!$J:$J,$B$1),"")</f>
        <v/>
      </c>
      <c r="L271" s="118"/>
      <c r="M271" s="46"/>
      <c r="N271" s="46"/>
      <c r="O271" s="46"/>
      <c r="P271" s="118"/>
      <c r="Q271" s="46"/>
      <c r="R271" s="46"/>
      <c r="S271" s="46"/>
      <c r="T271" s="46"/>
      <c r="U271" s="118"/>
      <c r="V271" s="46"/>
      <c r="W271" s="88" t="str">
        <f>IF(V271&lt;&gt;"",SUMIFS('📊 รายงานสินค้าคงเหลือ'!G:G,'📊 รายงานสินค้าคงเหลือ'!D:D,V271),"")</f>
        <v/>
      </c>
      <c r="X271" s="46"/>
      <c r="Y271" s="46"/>
      <c r="Z271" s="46"/>
    </row>
    <row r="272">
      <c r="A272" s="46"/>
      <c r="B272" s="16"/>
      <c r="C272" s="118"/>
      <c r="D272" s="126"/>
      <c r="E272" s="88"/>
      <c r="F272" s="118"/>
      <c r="G272" s="46"/>
      <c r="H272" s="46"/>
      <c r="I272" s="118"/>
      <c r="J272" s="46"/>
      <c r="K272" s="16" t="str">
        <f>IF(J272&lt;&gt;"",SUMIFS('💰 Transaction ขาย'!$F:$F,'💰 Transaction ขาย'!$K:$K,$J272,'💰 Transaction ขาย'!$J:$J,$B$1),"")</f>
        <v/>
      </c>
      <c r="L272" s="118"/>
      <c r="M272" s="46"/>
      <c r="N272" s="46"/>
      <c r="O272" s="46"/>
      <c r="P272" s="118"/>
      <c r="Q272" s="46"/>
      <c r="R272" s="46"/>
      <c r="S272" s="46"/>
      <c r="T272" s="46"/>
      <c r="U272" s="118"/>
      <c r="V272" s="46"/>
      <c r="W272" s="88" t="str">
        <f>IF(V272&lt;&gt;"",SUMIFS('📊 รายงานสินค้าคงเหลือ'!G:G,'📊 รายงานสินค้าคงเหลือ'!D:D,V272),"")</f>
        <v/>
      </c>
      <c r="X272" s="46"/>
      <c r="Y272" s="46"/>
      <c r="Z272" s="46"/>
    </row>
    <row r="273">
      <c r="A273" s="46"/>
      <c r="B273" s="16"/>
      <c r="C273" s="118"/>
      <c r="D273" s="126"/>
      <c r="E273" s="88"/>
      <c r="F273" s="118"/>
      <c r="G273" s="46"/>
      <c r="H273" s="46"/>
      <c r="I273" s="118"/>
      <c r="J273" s="46"/>
      <c r="K273" s="16" t="str">
        <f>IF(J273&lt;&gt;"",SUMIFS('💰 Transaction ขาย'!$F:$F,'💰 Transaction ขาย'!$K:$K,$J273,'💰 Transaction ขาย'!$J:$J,$B$1),"")</f>
        <v/>
      </c>
      <c r="L273" s="118"/>
      <c r="M273" s="46"/>
      <c r="N273" s="46"/>
      <c r="O273" s="46"/>
      <c r="P273" s="118"/>
      <c r="Q273" s="46"/>
      <c r="R273" s="46"/>
      <c r="S273" s="46"/>
      <c r="T273" s="46"/>
      <c r="U273" s="118"/>
      <c r="V273" s="46"/>
      <c r="W273" s="88" t="str">
        <f>IF(V273&lt;&gt;"",SUMIFS('📊 รายงานสินค้าคงเหลือ'!G:G,'📊 รายงานสินค้าคงเหลือ'!D:D,V273),"")</f>
        <v/>
      </c>
      <c r="X273" s="46"/>
      <c r="Y273" s="46"/>
      <c r="Z273" s="46"/>
    </row>
    <row r="274">
      <c r="A274" s="46"/>
      <c r="B274" s="16"/>
      <c r="C274" s="118"/>
      <c r="D274" s="126"/>
      <c r="E274" s="88"/>
      <c r="F274" s="118"/>
      <c r="G274" s="46"/>
      <c r="H274" s="46"/>
      <c r="I274" s="118"/>
      <c r="J274" s="46"/>
      <c r="K274" s="16" t="str">
        <f>IF(J274&lt;&gt;"",SUMIFS('💰 Transaction ขาย'!$F:$F,'💰 Transaction ขาย'!$K:$K,$J274,'💰 Transaction ขาย'!$J:$J,$B$1),"")</f>
        <v/>
      </c>
      <c r="L274" s="118"/>
      <c r="M274" s="46"/>
      <c r="N274" s="46"/>
      <c r="O274" s="46"/>
      <c r="P274" s="118"/>
      <c r="Q274" s="46"/>
      <c r="R274" s="46"/>
      <c r="S274" s="46"/>
      <c r="T274" s="46"/>
      <c r="U274" s="118"/>
      <c r="V274" s="46"/>
      <c r="W274" s="88" t="str">
        <f>IF(V274&lt;&gt;"",SUMIFS('📊 รายงานสินค้าคงเหลือ'!G:G,'📊 รายงานสินค้าคงเหลือ'!D:D,V274),"")</f>
        <v/>
      </c>
      <c r="X274" s="46"/>
      <c r="Y274" s="46"/>
      <c r="Z274" s="46"/>
    </row>
    <row r="275">
      <c r="A275" s="46"/>
      <c r="B275" s="16"/>
      <c r="C275" s="118"/>
      <c r="D275" s="126"/>
      <c r="E275" s="88"/>
      <c r="F275" s="118"/>
      <c r="G275" s="46"/>
      <c r="H275" s="46"/>
      <c r="I275" s="118"/>
      <c r="J275" s="46"/>
      <c r="K275" s="16" t="str">
        <f>IF(J275&lt;&gt;"",SUMIFS('💰 Transaction ขาย'!$F:$F,'💰 Transaction ขาย'!$K:$K,$J275,'💰 Transaction ขาย'!$J:$J,$B$1),"")</f>
        <v/>
      </c>
      <c r="L275" s="118"/>
      <c r="M275" s="46"/>
      <c r="N275" s="46"/>
      <c r="O275" s="46"/>
      <c r="P275" s="118"/>
      <c r="Q275" s="46"/>
      <c r="R275" s="46"/>
      <c r="S275" s="46"/>
      <c r="T275" s="46"/>
      <c r="U275" s="118"/>
      <c r="V275" s="46"/>
      <c r="W275" s="88" t="str">
        <f>IF(V275&lt;&gt;"",SUMIFS('📊 รายงานสินค้าคงเหลือ'!G:G,'📊 รายงานสินค้าคงเหลือ'!D:D,V275),"")</f>
        <v/>
      </c>
      <c r="X275" s="46"/>
      <c r="Y275" s="46"/>
      <c r="Z275" s="46"/>
    </row>
    <row r="276">
      <c r="A276" s="46"/>
      <c r="B276" s="16"/>
      <c r="C276" s="118"/>
      <c r="D276" s="126"/>
      <c r="E276" s="88"/>
      <c r="F276" s="118"/>
      <c r="G276" s="46"/>
      <c r="H276" s="46"/>
      <c r="I276" s="118"/>
      <c r="J276" s="46"/>
      <c r="K276" s="16" t="str">
        <f>IF(J276&lt;&gt;"",SUMIFS('💰 Transaction ขาย'!$F:$F,'💰 Transaction ขาย'!$K:$K,$J276,'💰 Transaction ขาย'!$J:$J,$B$1),"")</f>
        <v/>
      </c>
      <c r="L276" s="118"/>
      <c r="M276" s="46"/>
      <c r="N276" s="46"/>
      <c r="O276" s="46"/>
      <c r="P276" s="118"/>
      <c r="Q276" s="46"/>
      <c r="R276" s="46"/>
      <c r="S276" s="46"/>
      <c r="T276" s="46"/>
      <c r="U276" s="118"/>
      <c r="V276" s="46"/>
      <c r="W276" s="88" t="str">
        <f>IF(V276&lt;&gt;"",SUMIFS('📊 รายงานสินค้าคงเหลือ'!G:G,'📊 รายงานสินค้าคงเหลือ'!D:D,V276),"")</f>
        <v/>
      </c>
      <c r="X276" s="46"/>
      <c r="Y276" s="46"/>
      <c r="Z276" s="46"/>
    </row>
    <row r="277">
      <c r="A277" s="46"/>
      <c r="B277" s="16"/>
      <c r="C277" s="118"/>
      <c r="D277" s="126"/>
      <c r="E277" s="88"/>
      <c r="F277" s="118"/>
      <c r="G277" s="46"/>
      <c r="H277" s="46"/>
      <c r="I277" s="118"/>
      <c r="J277" s="46"/>
      <c r="K277" s="16" t="str">
        <f>IF(J277&lt;&gt;"",SUMIFS('💰 Transaction ขาย'!$F:$F,'💰 Transaction ขาย'!$K:$K,$J277,'💰 Transaction ขาย'!$J:$J,$B$1),"")</f>
        <v/>
      </c>
      <c r="L277" s="118"/>
      <c r="M277" s="46"/>
      <c r="N277" s="46"/>
      <c r="O277" s="46"/>
      <c r="P277" s="118"/>
      <c r="Q277" s="46"/>
      <c r="R277" s="46"/>
      <c r="S277" s="46"/>
      <c r="T277" s="46"/>
      <c r="U277" s="118"/>
      <c r="V277" s="46"/>
      <c r="W277" s="88" t="str">
        <f>IF(V277&lt;&gt;"",SUMIFS('📊 รายงานสินค้าคงเหลือ'!G:G,'📊 รายงานสินค้าคงเหลือ'!D:D,V277),"")</f>
        <v/>
      </c>
      <c r="X277" s="46"/>
      <c r="Y277" s="46"/>
      <c r="Z277" s="46"/>
    </row>
    <row r="278">
      <c r="A278" s="46"/>
      <c r="B278" s="16"/>
      <c r="C278" s="118"/>
      <c r="D278" s="126"/>
      <c r="E278" s="88"/>
      <c r="F278" s="118"/>
      <c r="G278" s="46"/>
      <c r="H278" s="46"/>
      <c r="I278" s="118"/>
      <c r="J278" s="46"/>
      <c r="K278" s="16" t="str">
        <f>IF(J278&lt;&gt;"",SUMIFS('💰 Transaction ขาย'!$F:$F,'💰 Transaction ขาย'!$K:$K,$J278,'💰 Transaction ขาย'!$J:$J,$B$1),"")</f>
        <v/>
      </c>
      <c r="L278" s="118"/>
      <c r="M278" s="46"/>
      <c r="N278" s="46"/>
      <c r="O278" s="46"/>
      <c r="P278" s="118"/>
      <c r="Q278" s="46"/>
      <c r="R278" s="46"/>
      <c r="S278" s="46"/>
      <c r="T278" s="46"/>
      <c r="U278" s="118"/>
      <c r="V278" s="46"/>
      <c r="W278" s="88" t="str">
        <f>IF(V278&lt;&gt;"",SUMIFS('📊 รายงานสินค้าคงเหลือ'!G:G,'📊 รายงานสินค้าคงเหลือ'!D:D,V278),"")</f>
        <v/>
      </c>
      <c r="X278" s="46"/>
      <c r="Y278" s="46"/>
      <c r="Z278" s="46"/>
    </row>
    <row r="279">
      <c r="A279" s="46"/>
      <c r="B279" s="16"/>
      <c r="C279" s="118"/>
      <c r="D279" s="126"/>
      <c r="E279" s="88"/>
      <c r="F279" s="118"/>
      <c r="G279" s="46"/>
      <c r="H279" s="46"/>
      <c r="I279" s="118"/>
      <c r="J279" s="46"/>
      <c r="K279" s="16" t="str">
        <f>IF(J279&lt;&gt;"",SUMIFS('💰 Transaction ขาย'!$F:$F,'💰 Transaction ขาย'!$K:$K,$J279,'💰 Transaction ขาย'!$J:$J,$B$1),"")</f>
        <v/>
      </c>
      <c r="L279" s="118"/>
      <c r="M279" s="46"/>
      <c r="N279" s="46"/>
      <c r="O279" s="46"/>
      <c r="P279" s="118"/>
      <c r="Q279" s="46"/>
      <c r="R279" s="46"/>
      <c r="S279" s="46"/>
      <c r="T279" s="46"/>
      <c r="U279" s="118"/>
      <c r="V279" s="46"/>
      <c r="W279" s="88" t="str">
        <f>IF(V279&lt;&gt;"",SUMIFS('📊 รายงานสินค้าคงเหลือ'!G:G,'📊 รายงานสินค้าคงเหลือ'!D:D,V279),"")</f>
        <v/>
      </c>
      <c r="X279" s="46"/>
      <c r="Y279" s="46"/>
      <c r="Z279" s="46"/>
    </row>
    <row r="280">
      <c r="A280" s="46"/>
      <c r="B280" s="16"/>
      <c r="C280" s="118"/>
      <c r="D280" s="126"/>
      <c r="E280" s="88"/>
      <c r="F280" s="118"/>
      <c r="G280" s="46"/>
      <c r="H280" s="46"/>
      <c r="I280" s="118"/>
      <c r="J280" s="46"/>
      <c r="K280" s="16" t="str">
        <f>IF(J280&lt;&gt;"",SUMIFS('💰 Transaction ขาย'!$F:$F,'💰 Transaction ขาย'!$K:$K,$J280,'💰 Transaction ขาย'!$J:$J,$B$1),"")</f>
        <v/>
      </c>
      <c r="L280" s="118"/>
      <c r="M280" s="46"/>
      <c r="N280" s="46"/>
      <c r="O280" s="46"/>
      <c r="P280" s="118"/>
      <c r="Q280" s="46"/>
      <c r="R280" s="46"/>
      <c r="S280" s="46"/>
      <c r="T280" s="46"/>
      <c r="U280" s="118"/>
      <c r="V280" s="46"/>
      <c r="W280" s="88" t="str">
        <f>IF(V280&lt;&gt;"",SUMIFS('📊 รายงานสินค้าคงเหลือ'!G:G,'📊 รายงานสินค้าคงเหลือ'!D:D,V280),"")</f>
        <v/>
      </c>
      <c r="X280" s="46"/>
      <c r="Y280" s="46"/>
      <c r="Z280" s="46"/>
    </row>
    <row r="281">
      <c r="A281" s="46"/>
      <c r="B281" s="16"/>
      <c r="C281" s="118"/>
      <c r="D281" s="126"/>
      <c r="E281" s="88"/>
      <c r="F281" s="118"/>
      <c r="G281" s="46"/>
      <c r="H281" s="46"/>
      <c r="I281" s="118"/>
      <c r="J281" s="46"/>
      <c r="K281" s="16" t="str">
        <f>IF(J281&lt;&gt;"",SUMIFS('💰 Transaction ขาย'!$F:$F,'💰 Transaction ขาย'!$K:$K,$J281,'💰 Transaction ขาย'!$J:$J,$B$1),"")</f>
        <v/>
      </c>
      <c r="L281" s="118"/>
      <c r="M281" s="46"/>
      <c r="N281" s="46"/>
      <c r="O281" s="46"/>
      <c r="P281" s="118"/>
      <c r="Q281" s="46"/>
      <c r="R281" s="46"/>
      <c r="S281" s="46"/>
      <c r="T281" s="46"/>
      <c r="U281" s="118"/>
      <c r="V281" s="46"/>
      <c r="W281" s="88" t="str">
        <f>IF(V281&lt;&gt;"",SUMIFS('📊 รายงานสินค้าคงเหลือ'!G:G,'📊 รายงานสินค้าคงเหลือ'!D:D,V281),"")</f>
        <v/>
      </c>
      <c r="X281" s="46"/>
      <c r="Y281" s="46"/>
      <c r="Z281" s="46"/>
    </row>
    <row r="282">
      <c r="A282" s="46"/>
      <c r="B282" s="16"/>
      <c r="C282" s="118"/>
      <c r="D282" s="126"/>
      <c r="E282" s="88"/>
      <c r="F282" s="118"/>
      <c r="G282" s="46"/>
      <c r="H282" s="46"/>
      <c r="I282" s="118"/>
      <c r="J282" s="46"/>
      <c r="K282" s="16" t="str">
        <f>IF(J282&lt;&gt;"",SUMIFS('💰 Transaction ขาย'!$F:$F,'💰 Transaction ขาย'!$K:$K,$J282,'💰 Transaction ขาย'!$J:$J,$B$1),"")</f>
        <v/>
      </c>
      <c r="L282" s="118"/>
      <c r="M282" s="46"/>
      <c r="N282" s="46"/>
      <c r="O282" s="46"/>
      <c r="P282" s="118"/>
      <c r="Q282" s="46"/>
      <c r="R282" s="46"/>
      <c r="S282" s="46"/>
      <c r="T282" s="46"/>
      <c r="U282" s="118"/>
      <c r="V282" s="46"/>
      <c r="W282" s="88" t="str">
        <f>IF(V282&lt;&gt;"",SUMIFS('📊 รายงานสินค้าคงเหลือ'!G:G,'📊 รายงานสินค้าคงเหลือ'!D:D,V282),"")</f>
        <v/>
      </c>
      <c r="X282" s="46"/>
      <c r="Y282" s="46"/>
      <c r="Z282" s="46"/>
    </row>
    <row r="283">
      <c r="A283" s="46"/>
      <c r="B283" s="16"/>
      <c r="C283" s="118"/>
      <c r="D283" s="126"/>
      <c r="E283" s="88"/>
      <c r="F283" s="118"/>
      <c r="G283" s="46"/>
      <c r="H283" s="46"/>
      <c r="I283" s="118"/>
      <c r="J283" s="46"/>
      <c r="K283" s="16" t="str">
        <f>IF(J283&lt;&gt;"",SUMIFS('💰 Transaction ขาย'!$F:$F,'💰 Transaction ขาย'!$K:$K,$J283,'💰 Transaction ขาย'!$J:$J,$B$1),"")</f>
        <v/>
      </c>
      <c r="L283" s="118"/>
      <c r="M283" s="46"/>
      <c r="N283" s="46"/>
      <c r="O283" s="46"/>
      <c r="P283" s="118"/>
      <c r="Q283" s="46"/>
      <c r="R283" s="46"/>
      <c r="S283" s="46"/>
      <c r="T283" s="46"/>
      <c r="U283" s="118"/>
      <c r="V283" s="46"/>
      <c r="W283" s="88" t="str">
        <f>IF(V283&lt;&gt;"",SUMIFS('📊 รายงานสินค้าคงเหลือ'!G:G,'📊 รายงานสินค้าคงเหลือ'!D:D,V283),"")</f>
        <v/>
      </c>
      <c r="X283" s="46"/>
      <c r="Y283" s="46"/>
      <c r="Z283" s="46"/>
    </row>
    <row r="284">
      <c r="A284" s="46"/>
      <c r="B284" s="16"/>
      <c r="C284" s="118"/>
      <c r="D284" s="126"/>
      <c r="E284" s="88"/>
      <c r="F284" s="118"/>
      <c r="G284" s="46"/>
      <c r="H284" s="46"/>
      <c r="I284" s="118"/>
      <c r="J284" s="46"/>
      <c r="K284" s="16" t="str">
        <f>IF(J284&lt;&gt;"",SUMIFS('💰 Transaction ขาย'!$F:$F,'💰 Transaction ขาย'!$K:$K,$J284,'💰 Transaction ขาย'!$J:$J,$B$1),"")</f>
        <v/>
      </c>
      <c r="L284" s="118"/>
      <c r="M284" s="46"/>
      <c r="N284" s="46"/>
      <c r="O284" s="46"/>
      <c r="P284" s="118"/>
      <c r="Q284" s="46"/>
      <c r="R284" s="46"/>
      <c r="S284" s="46"/>
      <c r="T284" s="46"/>
      <c r="U284" s="118"/>
      <c r="V284" s="46"/>
      <c r="W284" s="88" t="str">
        <f>IF(V284&lt;&gt;"",SUMIFS('📊 รายงานสินค้าคงเหลือ'!G:G,'📊 รายงานสินค้าคงเหลือ'!D:D,V284),"")</f>
        <v/>
      </c>
      <c r="X284" s="46"/>
      <c r="Y284" s="46"/>
      <c r="Z284" s="46"/>
    </row>
    <row r="285">
      <c r="A285" s="46"/>
      <c r="B285" s="16"/>
      <c r="C285" s="118"/>
      <c r="D285" s="126"/>
      <c r="E285" s="88"/>
      <c r="F285" s="118"/>
      <c r="G285" s="46"/>
      <c r="H285" s="46"/>
      <c r="I285" s="118"/>
      <c r="J285" s="46"/>
      <c r="K285" s="16" t="str">
        <f>IF(J285&lt;&gt;"",SUMIFS('💰 Transaction ขาย'!$F:$F,'💰 Transaction ขาย'!$K:$K,$J285,'💰 Transaction ขาย'!$J:$J,$B$1),"")</f>
        <v/>
      </c>
      <c r="L285" s="118"/>
      <c r="M285" s="46"/>
      <c r="N285" s="46"/>
      <c r="O285" s="46"/>
      <c r="P285" s="118"/>
      <c r="Q285" s="46"/>
      <c r="R285" s="46"/>
      <c r="S285" s="46"/>
      <c r="T285" s="46"/>
      <c r="U285" s="118"/>
      <c r="V285" s="46"/>
      <c r="W285" s="88" t="str">
        <f>IF(V285&lt;&gt;"",SUMIFS('📊 รายงานสินค้าคงเหลือ'!G:G,'📊 รายงานสินค้าคงเหลือ'!D:D,V285),"")</f>
        <v/>
      </c>
      <c r="X285" s="46"/>
      <c r="Y285" s="46"/>
      <c r="Z285" s="46"/>
    </row>
    <row r="286">
      <c r="A286" s="46"/>
      <c r="B286" s="16"/>
      <c r="C286" s="118"/>
      <c r="D286" s="126"/>
      <c r="E286" s="88"/>
      <c r="F286" s="118"/>
      <c r="G286" s="46"/>
      <c r="H286" s="46"/>
      <c r="I286" s="118"/>
      <c r="J286" s="46"/>
      <c r="K286" s="16" t="str">
        <f>IF(J286&lt;&gt;"",SUMIFS('💰 Transaction ขาย'!$F:$F,'💰 Transaction ขาย'!$K:$K,$J286,'💰 Transaction ขาย'!$J:$J,$B$1),"")</f>
        <v/>
      </c>
      <c r="L286" s="118"/>
      <c r="M286" s="46"/>
      <c r="N286" s="46"/>
      <c r="O286" s="46"/>
      <c r="P286" s="118"/>
      <c r="Q286" s="46"/>
      <c r="R286" s="46"/>
      <c r="S286" s="46"/>
      <c r="T286" s="46"/>
      <c r="U286" s="118"/>
      <c r="V286" s="46"/>
      <c r="W286" s="88" t="str">
        <f>IF(V286&lt;&gt;"",SUMIFS('📊 รายงานสินค้าคงเหลือ'!G:G,'📊 รายงานสินค้าคงเหลือ'!D:D,V286),"")</f>
        <v/>
      </c>
      <c r="X286" s="46"/>
      <c r="Y286" s="46"/>
      <c r="Z286" s="46"/>
    </row>
    <row r="287">
      <c r="A287" s="46"/>
      <c r="B287" s="16"/>
      <c r="C287" s="118"/>
      <c r="D287" s="126"/>
      <c r="E287" s="88"/>
      <c r="F287" s="118"/>
      <c r="G287" s="46"/>
      <c r="H287" s="46"/>
      <c r="I287" s="118"/>
      <c r="J287" s="46"/>
      <c r="K287" s="16" t="str">
        <f>IF(J287&lt;&gt;"",SUMIFS('💰 Transaction ขาย'!$F:$F,'💰 Transaction ขาย'!$K:$K,$J287,'💰 Transaction ขาย'!$J:$J,$B$1),"")</f>
        <v/>
      </c>
      <c r="L287" s="118"/>
      <c r="M287" s="46"/>
      <c r="N287" s="46"/>
      <c r="O287" s="46"/>
      <c r="P287" s="118"/>
      <c r="Q287" s="46"/>
      <c r="R287" s="46"/>
      <c r="S287" s="46"/>
      <c r="T287" s="46"/>
      <c r="U287" s="118"/>
      <c r="V287" s="46"/>
      <c r="W287" s="88" t="str">
        <f>IF(V287&lt;&gt;"",SUMIFS('📊 รายงานสินค้าคงเหลือ'!G:G,'📊 รายงานสินค้าคงเหลือ'!D:D,V287),"")</f>
        <v/>
      </c>
      <c r="X287" s="46"/>
      <c r="Y287" s="46"/>
      <c r="Z287" s="46"/>
    </row>
    <row r="288">
      <c r="A288" s="46"/>
      <c r="B288" s="16"/>
      <c r="C288" s="118"/>
      <c r="D288" s="126"/>
      <c r="E288" s="88"/>
      <c r="F288" s="118"/>
      <c r="G288" s="46"/>
      <c r="H288" s="46"/>
      <c r="I288" s="118"/>
      <c r="J288" s="46"/>
      <c r="K288" s="16" t="str">
        <f>IF(J288&lt;&gt;"",SUMIFS('💰 Transaction ขาย'!$F:$F,'💰 Transaction ขาย'!$K:$K,$J288,'💰 Transaction ขาย'!$J:$J,$B$1),"")</f>
        <v/>
      </c>
      <c r="L288" s="118"/>
      <c r="M288" s="46"/>
      <c r="N288" s="46"/>
      <c r="O288" s="46"/>
      <c r="P288" s="118"/>
      <c r="Q288" s="46"/>
      <c r="R288" s="46"/>
      <c r="S288" s="46"/>
      <c r="T288" s="46"/>
      <c r="U288" s="118"/>
      <c r="V288" s="46"/>
      <c r="W288" s="88" t="str">
        <f>IF(V288&lt;&gt;"",SUMIFS('📊 รายงานสินค้าคงเหลือ'!G:G,'📊 รายงานสินค้าคงเหลือ'!D:D,V288),"")</f>
        <v/>
      </c>
      <c r="X288" s="46"/>
      <c r="Y288" s="46"/>
      <c r="Z288" s="46"/>
    </row>
    <row r="289">
      <c r="A289" s="46"/>
      <c r="B289" s="16"/>
      <c r="C289" s="118"/>
      <c r="D289" s="126"/>
      <c r="E289" s="88"/>
      <c r="F289" s="118"/>
      <c r="G289" s="46"/>
      <c r="H289" s="46"/>
      <c r="I289" s="118"/>
      <c r="J289" s="46"/>
      <c r="K289" s="16" t="str">
        <f>IF(J289&lt;&gt;"",SUMIFS('💰 Transaction ขาย'!$F:$F,'💰 Transaction ขาย'!$K:$K,$J289,'💰 Transaction ขาย'!$J:$J,$B$1),"")</f>
        <v/>
      </c>
      <c r="L289" s="118"/>
      <c r="M289" s="46"/>
      <c r="N289" s="46"/>
      <c r="O289" s="46"/>
      <c r="P289" s="118"/>
      <c r="Q289" s="46"/>
      <c r="R289" s="46"/>
      <c r="S289" s="46"/>
      <c r="T289" s="46"/>
      <c r="U289" s="118"/>
      <c r="V289" s="46"/>
      <c r="W289" s="88" t="str">
        <f>IF(V289&lt;&gt;"",SUMIFS('📊 รายงานสินค้าคงเหลือ'!G:G,'📊 รายงานสินค้าคงเหลือ'!D:D,V289),"")</f>
        <v/>
      </c>
      <c r="X289" s="46"/>
      <c r="Y289" s="46"/>
      <c r="Z289" s="46"/>
    </row>
    <row r="290">
      <c r="A290" s="46"/>
      <c r="B290" s="16"/>
      <c r="C290" s="118"/>
      <c r="D290" s="126"/>
      <c r="E290" s="88"/>
      <c r="F290" s="118"/>
      <c r="G290" s="46"/>
      <c r="H290" s="46"/>
      <c r="I290" s="118"/>
      <c r="J290" s="46"/>
      <c r="K290" s="16" t="str">
        <f>IF(J290&lt;&gt;"",SUMIFS('💰 Transaction ขาย'!$F:$F,'💰 Transaction ขาย'!$K:$K,$J290,'💰 Transaction ขาย'!$J:$J,$B$1),"")</f>
        <v/>
      </c>
      <c r="L290" s="118"/>
      <c r="M290" s="46"/>
      <c r="N290" s="46"/>
      <c r="O290" s="46"/>
      <c r="P290" s="118"/>
      <c r="Q290" s="46"/>
      <c r="R290" s="46"/>
      <c r="S290" s="46"/>
      <c r="T290" s="46"/>
      <c r="U290" s="118"/>
      <c r="V290" s="46"/>
      <c r="W290" s="88" t="str">
        <f>IF(V290&lt;&gt;"",SUMIFS('📊 รายงานสินค้าคงเหลือ'!G:G,'📊 รายงานสินค้าคงเหลือ'!D:D,V290),"")</f>
        <v/>
      </c>
      <c r="X290" s="46"/>
      <c r="Y290" s="46"/>
      <c r="Z290" s="46"/>
    </row>
    <row r="291">
      <c r="A291" s="46"/>
      <c r="B291" s="16"/>
      <c r="C291" s="118"/>
      <c r="D291" s="126"/>
      <c r="E291" s="88"/>
      <c r="F291" s="118"/>
      <c r="G291" s="46"/>
      <c r="H291" s="46"/>
      <c r="I291" s="118"/>
      <c r="J291" s="46"/>
      <c r="K291" s="16" t="str">
        <f>IF(J291&lt;&gt;"",SUMIFS('💰 Transaction ขาย'!$F:$F,'💰 Transaction ขาย'!$K:$K,$J291,'💰 Transaction ขาย'!$J:$J,$B$1),"")</f>
        <v/>
      </c>
      <c r="L291" s="118"/>
      <c r="M291" s="46"/>
      <c r="N291" s="46"/>
      <c r="O291" s="46"/>
      <c r="P291" s="118"/>
      <c r="Q291" s="46"/>
      <c r="R291" s="46"/>
      <c r="S291" s="46"/>
      <c r="T291" s="46"/>
      <c r="U291" s="118"/>
      <c r="V291" s="46"/>
      <c r="W291" s="88" t="str">
        <f>IF(V291&lt;&gt;"",SUMIFS('📊 รายงานสินค้าคงเหลือ'!G:G,'📊 รายงานสินค้าคงเหลือ'!D:D,V291),"")</f>
        <v/>
      </c>
      <c r="X291" s="46"/>
      <c r="Y291" s="46"/>
      <c r="Z291" s="46"/>
    </row>
    <row r="292">
      <c r="A292" s="46"/>
      <c r="B292" s="16"/>
      <c r="C292" s="118"/>
      <c r="D292" s="126"/>
      <c r="E292" s="88"/>
      <c r="F292" s="118"/>
      <c r="G292" s="46"/>
      <c r="H292" s="46"/>
      <c r="I292" s="118"/>
      <c r="J292" s="46"/>
      <c r="K292" s="16" t="str">
        <f>IF(J292&lt;&gt;"",SUMIFS('💰 Transaction ขาย'!$F:$F,'💰 Transaction ขาย'!$K:$K,$J292,'💰 Transaction ขาย'!$J:$J,$B$1),"")</f>
        <v/>
      </c>
      <c r="L292" s="118"/>
      <c r="M292" s="46"/>
      <c r="N292" s="46"/>
      <c r="O292" s="46"/>
      <c r="P292" s="118"/>
      <c r="Q292" s="46"/>
      <c r="R292" s="46"/>
      <c r="S292" s="46"/>
      <c r="T292" s="46"/>
      <c r="U292" s="118"/>
      <c r="V292" s="46"/>
      <c r="W292" s="88" t="str">
        <f>IF(V292&lt;&gt;"",SUMIFS('📊 รายงานสินค้าคงเหลือ'!G:G,'📊 รายงานสินค้าคงเหลือ'!D:D,V292),"")</f>
        <v/>
      </c>
      <c r="X292" s="46"/>
      <c r="Y292" s="46"/>
      <c r="Z292" s="46"/>
    </row>
    <row r="293">
      <c r="A293" s="46"/>
      <c r="B293" s="16"/>
      <c r="C293" s="118"/>
      <c r="D293" s="126"/>
      <c r="E293" s="88"/>
      <c r="F293" s="118"/>
      <c r="G293" s="46"/>
      <c r="H293" s="46"/>
      <c r="I293" s="118"/>
      <c r="J293" s="46"/>
      <c r="K293" s="16" t="str">
        <f>IF(J293&lt;&gt;"",SUMIFS('💰 Transaction ขาย'!$F:$F,'💰 Transaction ขาย'!$K:$K,$J293,'💰 Transaction ขาย'!$J:$J,$B$1),"")</f>
        <v/>
      </c>
      <c r="L293" s="118"/>
      <c r="M293" s="46"/>
      <c r="N293" s="46"/>
      <c r="O293" s="46"/>
      <c r="P293" s="118"/>
      <c r="Q293" s="46"/>
      <c r="R293" s="46"/>
      <c r="S293" s="46"/>
      <c r="T293" s="46"/>
      <c r="U293" s="118"/>
      <c r="V293" s="46"/>
      <c r="W293" s="88" t="str">
        <f>IF(V293&lt;&gt;"",SUMIFS('📊 รายงานสินค้าคงเหลือ'!G:G,'📊 รายงานสินค้าคงเหลือ'!D:D,V293),"")</f>
        <v/>
      </c>
      <c r="X293" s="46"/>
      <c r="Y293" s="46"/>
      <c r="Z293" s="46"/>
    </row>
    <row r="294">
      <c r="A294" s="46"/>
      <c r="B294" s="16"/>
      <c r="C294" s="118"/>
      <c r="D294" s="126"/>
      <c r="E294" s="88"/>
      <c r="F294" s="118"/>
      <c r="G294" s="46"/>
      <c r="H294" s="46"/>
      <c r="I294" s="118"/>
      <c r="J294" s="46"/>
      <c r="K294" s="16" t="str">
        <f>IF(J294&lt;&gt;"",SUMIFS('💰 Transaction ขาย'!$F:$F,'💰 Transaction ขาย'!$K:$K,$J294,'💰 Transaction ขาย'!$J:$J,$B$1),"")</f>
        <v/>
      </c>
      <c r="L294" s="118"/>
      <c r="M294" s="46"/>
      <c r="N294" s="46"/>
      <c r="O294" s="46"/>
      <c r="P294" s="118"/>
      <c r="Q294" s="46"/>
      <c r="R294" s="46"/>
      <c r="S294" s="46"/>
      <c r="T294" s="46"/>
      <c r="U294" s="118"/>
      <c r="V294" s="46"/>
      <c r="W294" s="88" t="str">
        <f>IF(V294&lt;&gt;"",SUMIFS('📊 รายงานสินค้าคงเหลือ'!G:G,'📊 รายงานสินค้าคงเหลือ'!D:D,V294),"")</f>
        <v/>
      </c>
      <c r="X294" s="46"/>
      <c r="Y294" s="46"/>
      <c r="Z294" s="46"/>
    </row>
    <row r="295">
      <c r="A295" s="46"/>
      <c r="B295" s="16"/>
      <c r="C295" s="118"/>
      <c r="D295" s="126"/>
      <c r="E295" s="88"/>
      <c r="F295" s="118"/>
      <c r="G295" s="46"/>
      <c r="H295" s="46"/>
      <c r="I295" s="118"/>
      <c r="J295" s="46"/>
      <c r="K295" s="16" t="str">
        <f>IF(J295&lt;&gt;"",SUMIFS('💰 Transaction ขาย'!$F:$F,'💰 Transaction ขาย'!$K:$K,$J295,'💰 Transaction ขาย'!$J:$J,$B$1),"")</f>
        <v/>
      </c>
      <c r="L295" s="118"/>
      <c r="M295" s="46"/>
      <c r="N295" s="46"/>
      <c r="O295" s="46"/>
      <c r="P295" s="118"/>
      <c r="Q295" s="46"/>
      <c r="R295" s="46"/>
      <c r="S295" s="46"/>
      <c r="T295" s="46"/>
      <c r="U295" s="118"/>
      <c r="V295" s="46"/>
      <c r="W295" s="88" t="str">
        <f>IF(V295&lt;&gt;"",SUMIFS('📊 รายงานสินค้าคงเหลือ'!G:G,'📊 รายงานสินค้าคงเหลือ'!D:D,V295),"")</f>
        <v/>
      </c>
      <c r="X295" s="46"/>
      <c r="Y295" s="46"/>
      <c r="Z295" s="46"/>
    </row>
    <row r="296">
      <c r="A296" s="46"/>
      <c r="B296" s="16"/>
      <c r="C296" s="118"/>
      <c r="D296" s="126"/>
      <c r="E296" s="88"/>
      <c r="F296" s="118"/>
      <c r="G296" s="46"/>
      <c r="H296" s="46"/>
      <c r="I296" s="118"/>
      <c r="J296" s="46"/>
      <c r="K296" s="16" t="str">
        <f>IF(J296&lt;&gt;"",SUMIFS('💰 Transaction ขาย'!$F:$F,'💰 Transaction ขาย'!$K:$K,$J296,'💰 Transaction ขาย'!$J:$J,$B$1),"")</f>
        <v/>
      </c>
      <c r="L296" s="118"/>
      <c r="M296" s="46"/>
      <c r="N296" s="46"/>
      <c r="O296" s="46"/>
      <c r="P296" s="118"/>
      <c r="Q296" s="46"/>
      <c r="R296" s="46"/>
      <c r="S296" s="46"/>
      <c r="T296" s="46"/>
      <c r="U296" s="118"/>
      <c r="V296" s="46"/>
      <c r="W296" s="88" t="str">
        <f>IF(V296&lt;&gt;"",SUMIFS('📊 รายงานสินค้าคงเหลือ'!G:G,'📊 รายงานสินค้าคงเหลือ'!D:D,V296),"")</f>
        <v/>
      </c>
      <c r="X296" s="46"/>
      <c r="Y296" s="46"/>
      <c r="Z296" s="46"/>
    </row>
    <row r="297">
      <c r="A297" s="46"/>
      <c r="B297" s="16"/>
      <c r="C297" s="118"/>
      <c r="D297" s="126"/>
      <c r="E297" s="88"/>
      <c r="F297" s="118"/>
      <c r="G297" s="46"/>
      <c r="H297" s="46"/>
      <c r="I297" s="118"/>
      <c r="J297" s="46"/>
      <c r="K297" s="16" t="str">
        <f>IF(J297&lt;&gt;"",SUMIFS('💰 Transaction ขาย'!$F:$F,'💰 Transaction ขาย'!$K:$K,$J297,'💰 Transaction ขาย'!$J:$J,$B$1),"")</f>
        <v/>
      </c>
      <c r="L297" s="118"/>
      <c r="M297" s="46"/>
      <c r="N297" s="46"/>
      <c r="O297" s="46"/>
      <c r="P297" s="118"/>
      <c r="Q297" s="46"/>
      <c r="R297" s="46"/>
      <c r="S297" s="46"/>
      <c r="T297" s="46"/>
      <c r="U297" s="118"/>
      <c r="V297" s="46"/>
      <c r="W297" s="88" t="str">
        <f>IF(V297&lt;&gt;"",SUMIFS('📊 รายงานสินค้าคงเหลือ'!G:G,'📊 รายงานสินค้าคงเหลือ'!D:D,V297),"")</f>
        <v/>
      </c>
      <c r="X297" s="46"/>
      <c r="Y297" s="46"/>
      <c r="Z297" s="46"/>
    </row>
    <row r="298">
      <c r="A298" s="46"/>
      <c r="B298" s="16"/>
      <c r="C298" s="118"/>
      <c r="D298" s="126"/>
      <c r="E298" s="88"/>
      <c r="F298" s="118"/>
      <c r="G298" s="46"/>
      <c r="H298" s="46"/>
      <c r="I298" s="118"/>
      <c r="J298" s="46"/>
      <c r="K298" s="16" t="str">
        <f>IF(J298&lt;&gt;"",SUMIFS('💰 Transaction ขาย'!$F:$F,'💰 Transaction ขาย'!$K:$K,$J298,'💰 Transaction ขาย'!$J:$J,$B$1),"")</f>
        <v/>
      </c>
      <c r="L298" s="118"/>
      <c r="M298" s="46"/>
      <c r="N298" s="46"/>
      <c r="O298" s="46"/>
      <c r="P298" s="118"/>
      <c r="Q298" s="46"/>
      <c r="R298" s="46"/>
      <c r="S298" s="46"/>
      <c r="T298" s="46"/>
      <c r="U298" s="118"/>
      <c r="V298" s="46"/>
      <c r="W298" s="88" t="str">
        <f>IF(V298&lt;&gt;"",SUMIFS('📊 รายงานสินค้าคงเหลือ'!G:G,'📊 รายงานสินค้าคงเหลือ'!D:D,V298),"")</f>
        <v/>
      </c>
      <c r="X298" s="46"/>
      <c r="Y298" s="46"/>
      <c r="Z298" s="46"/>
    </row>
    <row r="299">
      <c r="A299" s="46"/>
      <c r="B299" s="16"/>
      <c r="C299" s="118"/>
      <c r="D299" s="126"/>
      <c r="E299" s="88"/>
      <c r="F299" s="118"/>
      <c r="G299" s="46"/>
      <c r="H299" s="46"/>
      <c r="I299" s="118"/>
      <c r="J299" s="46"/>
      <c r="K299" s="16" t="str">
        <f>IF(J299&lt;&gt;"",SUMIFS('💰 Transaction ขาย'!$F:$F,'💰 Transaction ขาย'!$K:$K,$J299,'💰 Transaction ขาย'!$J:$J,$B$1),"")</f>
        <v/>
      </c>
      <c r="L299" s="118"/>
      <c r="M299" s="46"/>
      <c r="N299" s="46"/>
      <c r="O299" s="46"/>
      <c r="P299" s="118"/>
      <c r="Q299" s="46"/>
      <c r="R299" s="46"/>
      <c r="S299" s="46"/>
      <c r="T299" s="46"/>
      <c r="U299" s="118"/>
      <c r="V299" s="46"/>
      <c r="W299" s="88" t="str">
        <f>IF(V299&lt;&gt;"",SUMIFS('📊 รายงานสินค้าคงเหลือ'!G:G,'📊 รายงานสินค้าคงเหลือ'!D:D,V299),"")</f>
        <v/>
      </c>
      <c r="X299" s="46"/>
      <c r="Y299" s="46"/>
      <c r="Z299" s="46"/>
    </row>
    <row r="300">
      <c r="A300" s="46"/>
      <c r="B300" s="16"/>
      <c r="C300" s="118"/>
      <c r="D300" s="126"/>
      <c r="E300" s="88"/>
      <c r="F300" s="118"/>
      <c r="G300" s="46"/>
      <c r="H300" s="46"/>
      <c r="I300" s="118"/>
      <c r="J300" s="46"/>
      <c r="K300" s="16" t="str">
        <f>IF(J300&lt;&gt;"",SUMIFS('💰 Transaction ขาย'!$F:$F,'💰 Transaction ขาย'!$K:$K,$J300,'💰 Transaction ขาย'!$J:$J,$B$1),"")</f>
        <v/>
      </c>
      <c r="L300" s="118"/>
      <c r="M300" s="46"/>
      <c r="N300" s="46"/>
      <c r="O300" s="46"/>
      <c r="P300" s="118"/>
      <c r="Q300" s="46"/>
      <c r="R300" s="46"/>
      <c r="S300" s="46"/>
      <c r="T300" s="46"/>
      <c r="U300" s="118"/>
      <c r="V300" s="46"/>
      <c r="W300" s="88" t="str">
        <f>IF(V300&lt;&gt;"",SUMIFS('📊 รายงานสินค้าคงเหลือ'!G:G,'📊 รายงานสินค้าคงเหลือ'!D:D,V300),"")</f>
        <v/>
      </c>
      <c r="X300" s="46"/>
      <c r="Y300" s="46"/>
      <c r="Z300" s="46"/>
    </row>
    <row r="301">
      <c r="A301" s="46"/>
      <c r="B301" s="16"/>
      <c r="C301" s="118"/>
      <c r="D301" s="126"/>
      <c r="E301" s="88"/>
      <c r="F301" s="118"/>
      <c r="G301" s="46"/>
      <c r="H301" s="46"/>
      <c r="I301" s="118"/>
      <c r="J301" s="46"/>
      <c r="K301" s="16" t="str">
        <f>IF(J301&lt;&gt;"",SUMIFS('💰 Transaction ขาย'!$F:$F,'💰 Transaction ขาย'!$K:$K,$J301,'💰 Transaction ขาย'!$J:$J,$B$1),"")</f>
        <v/>
      </c>
      <c r="L301" s="118"/>
      <c r="M301" s="46"/>
      <c r="N301" s="46"/>
      <c r="O301" s="46"/>
      <c r="P301" s="118"/>
      <c r="Q301" s="46"/>
      <c r="R301" s="46"/>
      <c r="S301" s="46"/>
      <c r="T301" s="46"/>
      <c r="U301" s="118"/>
      <c r="V301" s="46"/>
      <c r="W301" s="88" t="str">
        <f>IF(V301&lt;&gt;"",SUMIFS('📊 รายงานสินค้าคงเหลือ'!G:G,'📊 รายงานสินค้าคงเหลือ'!D:D,V301),"")</f>
        <v/>
      </c>
      <c r="X301" s="46"/>
      <c r="Y301" s="46"/>
      <c r="Z301" s="46"/>
    </row>
    <row r="302">
      <c r="A302" s="46"/>
      <c r="B302" s="16"/>
      <c r="C302" s="118"/>
      <c r="D302" s="126"/>
      <c r="E302" s="88"/>
      <c r="F302" s="118"/>
      <c r="G302" s="46"/>
      <c r="H302" s="46"/>
      <c r="I302" s="118"/>
      <c r="J302" s="46"/>
      <c r="K302" s="16" t="str">
        <f>IF(J302&lt;&gt;"",SUMIFS('💰 Transaction ขาย'!$F:$F,'💰 Transaction ขาย'!$K:$K,$J302,'💰 Transaction ขาย'!$J:$J,$B$1),"")</f>
        <v/>
      </c>
      <c r="L302" s="118"/>
      <c r="M302" s="46"/>
      <c r="N302" s="46"/>
      <c r="O302" s="46"/>
      <c r="P302" s="118"/>
      <c r="Q302" s="46"/>
      <c r="R302" s="46"/>
      <c r="S302" s="46"/>
      <c r="T302" s="46"/>
      <c r="U302" s="118"/>
      <c r="V302" s="46"/>
      <c r="W302" s="88" t="str">
        <f>IF(V302&lt;&gt;"",SUMIFS('📊 รายงานสินค้าคงเหลือ'!G:G,'📊 รายงานสินค้าคงเหลือ'!D:D,V302),"")</f>
        <v/>
      </c>
      <c r="X302" s="46"/>
      <c r="Y302" s="46"/>
      <c r="Z302" s="46"/>
    </row>
    <row r="303">
      <c r="A303" s="46"/>
      <c r="B303" s="16"/>
      <c r="C303" s="118"/>
      <c r="D303" s="126"/>
      <c r="E303" s="88"/>
      <c r="F303" s="118"/>
      <c r="G303" s="46"/>
      <c r="H303" s="46"/>
      <c r="I303" s="118"/>
      <c r="J303" s="46"/>
      <c r="K303" s="16" t="str">
        <f>IF(J303&lt;&gt;"",SUMIFS('💰 Transaction ขาย'!$F:$F,'💰 Transaction ขาย'!$K:$K,$J303,'💰 Transaction ขาย'!$J:$J,$B$1),"")</f>
        <v/>
      </c>
      <c r="L303" s="118"/>
      <c r="M303" s="46"/>
      <c r="N303" s="46"/>
      <c r="O303" s="46"/>
      <c r="P303" s="118"/>
      <c r="Q303" s="46"/>
      <c r="R303" s="46"/>
      <c r="S303" s="46"/>
      <c r="T303" s="46"/>
      <c r="U303" s="118"/>
      <c r="V303" s="46"/>
      <c r="W303" s="88" t="str">
        <f>IF(V303&lt;&gt;"",SUMIFS('📊 รายงานสินค้าคงเหลือ'!G:G,'📊 รายงานสินค้าคงเหลือ'!D:D,V303),"")</f>
        <v/>
      </c>
      <c r="X303" s="46"/>
      <c r="Y303" s="46"/>
      <c r="Z303" s="46"/>
    </row>
    <row r="304">
      <c r="A304" s="46"/>
      <c r="B304" s="16"/>
      <c r="C304" s="118"/>
      <c r="D304" s="126"/>
      <c r="E304" s="88"/>
      <c r="F304" s="118"/>
      <c r="G304" s="46"/>
      <c r="H304" s="46"/>
      <c r="I304" s="118"/>
      <c r="J304" s="46"/>
      <c r="K304" s="16" t="str">
        <f>IF(J304&lt;&gt;"",SUMIFS('💰 Transaction ขาย'!$F:$F,'💰 Transaction ขาย'!$K:$K,$J304,'💰 Transaction ขาย'!$J:$J,$B$1),"")</f>
        <v/>
      </c>
      <c r="L304" s="118"/>
      <c r="M304" s="46"/>
      <c r="N304" s="46"/>
      <c r="O304" s="46"/>
      <c r="P304" s="118"/>
      <c r="Q304" s="46"/>
      <c r="R304" s="46"/>
      <c r="S304" s="46"/>
      <c r="T304" s="46"/>
      <c r="U304" s="118"/>
      <c r="V304" s="46"/>
      <c r="W304" s="88" t="str">
        <f>IF(V304&lt;&gt;"",SUMIFS('📊 รายงานสินค้าคงเหลือ'!G:G,'📊 รายงานสินค้าคงเหลือ'!D:D,V304),"")</f>
        <v/>
      </c>
      <c r="X304" s="46"/>
      <c r="Y304" s="46"/>
      <c r="Z304" s="46"/>
    </row>
    <row r="305">
      <c r="A305" s="46"/>
      <c r="B305" s="16"/>
      <c r="C305" s="118"/>
      <c r="D305" s="126"/>
      <c r="E305" s="88"/>
      <c r="F305" s="118"/>
      <c r="G305" s="46"/>
      <c r="H305" s="46"/>
      <c r="I305" s="118"/>
      <c r="J305" s="46"/>
      <c r="K305" s="16" t="str">
        <f>IF(J305&lt;&gt;"",SUMIFS('💰 Transaction ขาย'!$F:$F,'💰 Transaction ขาย'!$K:$K,$J305,'💰 Transaction ขาย'!$J:$J,$B$1),"")</f>
        <v/>
      </c>
      <c r="L305" s="118"/>
      <c r="M305" s="46"/>
      <c r="N305" s="46"/>
      <c r="O305" s="46"/>
      <c r="P305" s="118"/>
      <c r="Q305" s="46"/>
      <c r="R305" s="46"/>
      <c r="S305" s="46"/>
      <c r="T305" s="46"/>
      <c r="U305" s="118"/>
      <c r="V305" s="46"/>
      <c r="W305" s="88" t="str">
        <f>IF(V305&lt;&gt;"",SUMIFS('📊 รายงานสินค้าคงเหลือ'!G:G,'📊 รายงานสินค้าคงเหลือ'!D:D,V305),"")</f>
        <v/>
      </c>
      <c r="X305" s="46"/>
      <c r="Y305" s="46"/>
      <c r="Z305" s="46"/>
    </row>
    <row r="306">
      <c r="A306" s="46"/>
      <c r="B306" s="16"/>
      <c r="C306" s="118"/>
      <c r="D306" s="126"/>
      <c r="E306" s="88"/>
      <c r="F306" s="118"/>
      <c r="G306" s="46"/>
      <c r="H306" s="46"/>
      <c r="I306" s="118"/>
      <c r="J306" s="46"/>
      <c r="K306" s="16" t="str">
        <f>IF(J306&lt;&gt;"",SUMIFS('💰 Transaction ขาย'!$F:$F,'💰 Transaction ขาย'!$K:$K,$J306,'💰 Transaction ขาย'!$J:$J,$B$1),"")</f>
        <v/>
      </c>
      <c r="L306" s="118"/>
      <c r="M306" s="46"/>
      <c r="N306" s="46"/>
      <c r="O306" s="46"/>
      <c r="P306" s="118"/>
      <c r="Q306" s="46"/>
      <c r="R306" s="46"/>
      <c r="S306" s="46"/>
      <c r="T306" s="46"/>
      <c r="U306" s="118"/>
      <c r="V306" s="46"/>
      <c r="W306" s="88" t="str">
        <f>IF(V306&lt;&gt;"",SUMIFS('📊 รายงานสินค้าคงเหลือ'!G:G,'📊 รายงานสินค้าคงเหลือ'!D:D,V306),"")</f>
        <v/>
      </c>
      <c r="X306" s="46"/>
      <c r="Y306" s="46"/>
      <c r="Z306" s="46"/>
    </row>
    <row r="307">
      <c r="A307" s="46"/>
      <c r="B307" s="16"/>
      <c r="C307" s="118"/>
      <c r="D307" s="126"/>
      <c r="E307" s="88"/>
      <c r="F307" s="118"/>
      <c r="G307" s="46"/>
      <c r="H307" s="46"/>
      <c r="I307" s="118"/>
      <c r="J307" s="46"/>
      <c r="K307" s="16" t="str">
        <f>IF(J307&lt;&gt;"",SUMIFS('💰 Transaction ขาย'!$F:$F,'💰 Transaction ขาย'!$K:$K,$J307,'💰 Transaction ขาย'!$J:$J,$B$1),"")</f>
        <v/>
      </c>
      <c r="L307" s="118"/>
      <c r="M307" s="46"/>
      <c r="N307" s="46"/>
      <c r="O307" s="46"/>
      <c r="P307" s="118"/>
      <c r="Q307" s="46"/>
      <c r="R307" s="46"/>
      <c r="S307" s="46"/>
      <c r="T307" s="46"/>
      <c r="U307" s="118"/>
      <c r="V307" s="46"/>
      <c r="W307" s="88" t="str">
        <f>IF(V307&lt;&gt;"",SUMIFS('📊 รายงานสินค้าคงเหลือ'!G:G,'📊 รายงานสินค้าคงเหลือ'!D:D,V307),"")</f>
        <v/>
      </c>
      <c r="X307" s="46"/>
      <c r="Y307" s="46"/>
      <c r="Z307" s="46"/>
    </row>
    <row r="308">
      <c r="A308" s="46"/>
      <c r="B308" s="16"/>
      <c r="C308" s="118"/>
      <c r="D308" s="126"/>
      <c r="E308" s="88"/>
      <c r="F308" s="118"/>
      <c r="G308" s="46"/>
      <c r="H308" s="46"/>
      <c r="I308" s="118"/>
      <c r="J308" s="46"/>
      <c r="K308" s="16" t="str">
        <f>IF(J308&lt;&gt;"",SUMIFS('💰 Transaction ขาย'!$F:$F,'💰 Transaction ขาย'!$K:$K,$J308,'💰 Transaction ขาย'!$J:$J,$B$1),"")</f>
        <v/>
      </c>
      <c r="L308" s="118"/>
      <c r="M308" s="46"/>
      <c r="N308" s="46"/>
      <c r="O308" s="46"/>
      <c r="P308" s="118"/>
      <c r="Q308" s="46"/>
      <c r="R308" s="46"/>
      <c r="S308" s="46"/>
      <c r="T308" s="46"/>
      <c r="U308" s="118"/>
      <c r="V308" s="46"/>
      <c r="W308" s="88" t="str">
        <f>IF(V308&lt;&gt;"",SUMIFS('📊 รายงานสินค้าคงเหลือ'!G:G,'📊 รายงานสินค้าคงเหลือ'!D:D,V308),"")</f>
        <v/>
      </c>
      <c r="X308" s="46"/>
      <c r="Y308" s="46"/>
      <c r="Z308" s="46"/>
    </row>
    <row r="309">
      <c r="A309" s="46"/>
      <c r="B309" s="16"/>
      <c r="C309" s="118"/>
      <c r="D309" s="126"/>
      <c r="E309" s="88"/>
      <c r="F309" s="118"/>
      <c r="G309" s="46"/>
      <c r="H309" s="46"/>
      <c r="I309" s="118"/>
      <c r="J309" s="46"/>
      <c r="K309" s="16" t="str">
        <f>IF(J309&lt;&gt;"",SUMIFS('💰 Transaction ขาย'!$F:$F,'💰 Transaction ขาย'!$K:$K,$J309,'💰 Transaction ขาย'!$J:$J,$B$1),"")</f>
        <v/>
      </c>
      <c r="L309" s="118"/>
      <c r="M309" s="46"/>
      <c r="N309" s="46"/>
      <c r="O309" s="46"/>
      <c r="P309" s="118"/>
      <c r="Q309" s="46"/>
      <c r="R309" s="46"/>
      <c r="S309" s="46"/>
      <c r="T309" s="46"/>
      <c r="U309" s="118"/>
      <c r="V309" s="46"/>
      <c r="W309" s="88" t="str">
        <f>IF(V309&lt;&gt;"",SUMIFS('📊 รายงานสินค้าคงเหลือ'!G:G,'📊 รายงานสินค้าคงเหลือ'!D:D,V309),"")</f>
        <v/>
      </c>
      <c r="X309" s="46"/>
      <c r="Y309" s="46"/>
      <c r="Z309" s="46"/>
    </row>
    <row r="310">
      <c r="A310" s="46"/>
      <c r="B310" s="16"/>
      <c r="C310" s="118"/>
      <c r="D310" s="126"/>
      <c r="E310" s="88"/>
      <c r="F310" s="118"/>
      <c r="G310" s="46"/>
      <c r="H310" s="46"/>
      <c r="I310" s="118"/>
      <c r="J310" s="46"/>
      <c r="K310" s="16" t="str">
        <f>IF(J310&lt;&gt;"",SUMIFS('💰 Transaction ขาย'!$F:$F,'💰 Transaction ขาย'!$K:$K,$J310,'💰 Transaction ขาย'!$J:$J,$B$1),"")</f>
        <v/>
      </c>
      <c r="L310" s="118"/>
      <c r="M310" s="46"/>
      <c r="N310" s="46"/>
      <c r="O310" s="46"/>
      <c r="P310" s="118"/>
      <c r="Q310" s="46"/>
      <c r="R310" s="46"/>
      <c r="S310" s="46"/>
      <c r="T310" s="46"/>
      <c r="U310" s="118"/>
      <c r="V310" s="46"/>
      <c r="W310" s="88" t="str">
        <f>IF(V310&lt;&gt;"",SUMIFS('📊 รายงานสินค้าคงเหลือ'!G:G,'📊 รายงานสินค้าคงเหลือ'!D:D,V310),"")</f>
        <v/>
      </c>
      <c r="X310" s="46"/>
      <c r="Y310" s="46"/>
      <c r="Z310" s="46"/>
    </row>
    <row r="311">
      <c r="A311" s="46"/>
      <c r="B311" s="16"/>
      <c r="C311" s="118"/>
      <c r="D311" s="126"/>
      <c r="E311" s="88"/>
      <c r="F311" s="118"/>
      <c r="G311" s="46"/>
      <c r="H311" s="46"/>
      <c r="I311" s="118"/>
      <c r="J311" s="46"/>
      <c r="K311" s="16" t="str">
        <f>IF(J311&lt;&gt;"",SUMIFS('💰 Transaction ขาย'!$F:$F,'💰 Transaction ขาย'!$K:$K,$J311,'💰 Transaction ขาย'!$J:$J,$B$1),"")</f>
        <v/>
      </c>
      <c r="L311" s="118"/>
      <c r="M311" s="46"/>
      <c r="N311" s="46"/>
      <c r="O311" s="46"/>
      <c r="P311" s="118"/>
      <c r="Q311" s="46"/>
      <c r="R311" s="46"/>
      <c r="S311" s="46"/>
      <c r="T311" s="46"/>
      <c r="U311" s="118"/>
      <c r="V311" s="46"/>
      <c r="W311" s="88" t="str">
        <f>IF(V311&lt;&gt;"",SUMIFS('📊 รายงานสินค้าคงเหลือ'!G:G,'📊 รายงานสินค้าคงเหลือ'!D:D,V311),"")</f>
        <v/>
      </c>
      <c r="X311" s="46"/>
      <c r="Y311" s="46"/>
      <c r="Z311" s="46"/>
    </row>
    <row r="312">
      <c r="A312" s="46"/>
      <c r="B312" s="16"/>
      <c r="C312" s="118"/>
      <c r="D312" s="126"/>
      <c r="E312" s="88"/>
      <c r="F312" s="118"/>
      <c r="G312" s="46"/>
      <c r="H312" s="46"/>
      <c r="I312" s="118"/>
      <c r="J312" s="46"/>
      <c r="K312" s="16" t="str">
        <f>IF(J312&lt;&gt;"",SUMIFS('💰 Transaction ขาย'!$F:$F,'💰 Transaction ขาย'!$K:$K,$J312,'💰 Transaction ขาย'!$J:$J,$B$1),"")</f>
        <v/>
      </c>
      <c r="L312" s="118"/>
      <c r="M312" s="46"/>
      <c r="N312" s="46"/>
      <c r="O312" s="46"/>
      <c r="P312" s="118"/>
      <c r="Q312" s="46"/>
      <c r="R312" s="46"/>
      <c r="S312" s="46"/>
      <c r="T312" s="46"/>
      <c r="U312" s="118"/>
      <c r="V312" s="46"/>
      <c r="W312" s="88" t="str">
        <f>IF(V312&lt;&gt;"",SUMIFS('📊 รายงานสินค้าคงเหลือ'!G:G,'📊 รายงานสินค้าคงเหลือ'!D:D,V312),"")</f>
        <v/>
      </c>
      <c r="X312" s="46"/>
      <c r="Y312" s="46"/>
      <c r="Z312" s="46"/>
    </row>
    <row r="313">
      <c r="A313" s="46"/>
      <c r="B313" s="16"/>
      <c r="C313" s="118"/>
      <c r="D313" s="126"/>
      <c r="E313" s="88"/>
      <c r="F313" s="118"/>
      <c r="G313" s="46"/>
      <c r="H313" s="46"/>
      <c r="I313" s="118"/>
      <c r="J313" s="46"/>
      <c r="K313" s="16" t="str">
        <f>IF(J313&lt;&gt;"",SUMIFS('💰 Transaction ขาย'!$F:$F,'💰 Transaction ขาย'!$K:$K,$J313,'💰 Transaction ขาย'!$J:$J,$B$1),"")</f>
        <v/>
      </c>
      <c r="L313" s="118"/>
      <c r="M313" s="46"/>
      <c r="N313" s="46"/>
      <c r="O313" s="46"/>
      <c r="P313" s="118"/>
      <c r="Q313" s="46"/>
      <c r="R313" s="46"/>
      <c r="S313" s="46"/>
      <c r="T313" s="46"/>
      <c r="U313" s="118"/>
      <c r="V313" s="46"/>
      <c r="W313" s="88" t="str">
        <f>IF(V313&lt;&gt;"",SUMIFS('📊 รายงานสินค้าคงเหลือ'!G:G,'📊 รายงานสินค้าคงเหลือ'!D:D,V313),"")</f>
        <v/>
      </c>
      <c r="X313" s="46"/>
      <c r="Y313" s="46"/>
      <c r="Z313" s="46"/>
    </row>
    <row r="314">
      <c r="A314" s="46"/>
      <c r="B314" s="16"/>
      <c r="C314" s="118"/>
      <c r="D314" s="126"/>
      <c r="E314" s="88"/>
      <c r="F314" s="118"/>
      <c r="G314" s="46"/>
      <c r="H314" s="46"/>
      <c r="I314" s="118"/>
      <c r="J314" s="46"/>
      <c r="K314" s="16" t="str">
        <f>IF(J314&lt;&gt;"",SUMIFS('💰 Transaction ขาย'!$F:$F,'💰 Transaction ขาย'!$K:$K,$J314,'💰 Transaction ขาย'!$J:$J,$B$1),"")</f>
        <v/>
      </c>
      <c r="L314" s="118"/>
      <c r="M314" s="46"/>
      <c r="N314" s="46"/>
      <c r="O314" s="46"/>
      <c r="P314" s="118"/>
      <c r="Q314" s="46"/>
      <c r="R314" s="46"/>
      <c r="S314" s="46"/>
      <c r="T314" s="46"/>
      <c r="U314" s="118"/>
      <c r="V314" s="46"/>
      <c r="W314" s="88" t="str">
        <f>IF(V314&lt;&gt;"",SUMIFS('📊 รายงานสินค้าคงเหลือ'!G:G,'📊 รายงานสินค้าคงเหลือ'!D:D,V314),"")</f>
        <v/>
      </c>
      <c r="X314" s="46"/>
      <c r="Y314" s="46"/>
      <c r="Z314" s="46"/>
    </row>
    <row r="315">
      <c r="A315" s="46"/>
      <c r="B315" s="16"/>
      <c r="C315" s="118"/>
      <c r="D315" s="126"/>
      <c r="E315" s="88"/>
      <c r="F315" s="118"/>
      <c r="G315" s="46"/>
      <c r="H315" s="46"/>
      <c r="I315" s="118"/>
      <c r="J315" s="46"/>
      <c r="K315" s="16" t="str">
        <f>IF(J315&lt;&gt;"",SUMIFS('💰 Transaction ขาย'!$F:$F,'💰 Transaction ขาย'!$K:$K,$J315,'💰 Transaction ขาย'!$J:$J,$B$1),"")</f>
        <v/>
      </c>
      <c r="L315" s="118"/>
      <c r="M315" s="46"/>
      <c r="N315" s="46"/>
      <c r="O315" s="46"/>
      <c r="P315" s="118"/>
      <c r="Q315" s="46"/>
      <c r="R315" s="46"/>
      <c r="S315" s="46"/>
      <c r="T315" s="46"/>
      <c r="U315" s="118"/>
      <c r="V315" s="46"/>
      <c r="W315" s="88" t="str">
        <f>IF(V315&lt;&gt;"",SUMIFS('📊 รายงานสินค้าคงเหลือ'!G:G,'📊 รายงานสินค้าคงเหลือ'!D:D,V315),"")</f>
        <v/>
      </c>
      <c r="X315" s="46"/>
      <c r="Y315" s="46"/>
      <c r="Z315" s="46"/>
    </row>
    <row r="316">
      <c r="A316" s="46"/>
      <c r="B316" s="16"/>
      <c r="C316" s="118"/>
      <c r="D316" s="126"/>
      <c r="E316" s="88"/>
      <c r="F316" s="118"/>
      <c r="G316" s="46"/>
      <c r="H316" s="46"/>
      <c r="I316" s="118"/>
      <c r="J316" s="46"/>
      <c r="K316" s="16" t="str">
        <f>IF(J316&lt;&gt;"",SUMIFS('💰 Transaction ขาย'!$F:$F,'💰 Transaction ขาย'!$K:$K,$J316,'💰 Transaction ขาย'!$J:$J,$B$1),"")</f>
        <v/>
      </c>
      <c r="L316" s="118"/>
      <c r="M316" s="46"/>
      <c r="N316" s="46"/>
      <c r="O316" s="46"/>
      <c r="P316" s="118"/>
      <c r="Q316" s="46"/>
      <c r="R316" s="46"/>
      <c r="S316" s="46"/>
      <c r="T316" s="46"/>
      <c r="U316" s="118"/>
      <c r="V316" s="46"/>
      <c r="W316" s="88" t="str">
        <f>IF(V316&lt;&gt;"",SUMIFS('📊 รายงานสินค้าคงเหลือ'!G:G,'📊 รายงานสินค้าคงเหลือ'!D:D,V316),"")</f>
        <v/>
      </c>
      <c r="X316" s="46"/>
      <c r="Y316" s="46"/>
      <c r="Z316" s="46"/>
    </row>
    <row r="317">
      <c r="A317" s="46"/>
      <c r="B317" s="16"/>
      <c r="C317" s="118"/>
      <c r="D317" s="126"/>
      <c r="E317" s="88"/>
      <c r="F317" s="118"/>
      <c r="G317" s="46"/>
      <c r="H317" s="46"/>
      <c r="I317" s="118"/>
      <c r="J317" s="46"/>
      <c r="K317" s="16" t="str">
        <f>IF(J317&lt;&gt;"",SUMIFS('💰 Transaction ขาย'!$F:$F,'💰 Transaction ขาย'!$K:$K,$J317,'💰 Transaction ขาย'!$J:$J,$B$1),"")</f>
        <v/>
      </c>
      <c r="L317" s="118"/>
      <c r="M317" s="46"/>
      <c r="N317" s="46"/>
      <c r="O317" s="46"/>
      <c r="P317" s="118"/>
      <c r="Q317" s="46"/>
      <c r="R317" s="46"/>
      <c r="S317" s="46"/>
      <c r="T317" s="46"/>
      <c r="U317" s="118"/>
      <c r="V317" s="46"/>
      <c r="W317" s="88" t="str">
        <f>IF(V317&lt;&gt;"",SUMIFS('📊 รายงานสินค้าคงเหลือ'!G:G,'📊 รายงานสินค้าคงเหลือ'!D:D,V317),"")</f>
        <v/>
      </c>
      <c r="X317" s="46"/>
      <c r="Y317" s="46"/>
      <c r="Z317" s="46"/>
    </row>
    <row r="318">
      <c r="A318" s="46"/>
      <c r="B318" s="16"/>
      <c r="C318" s="118"/>
      <c r="D318" s="126"/>
      <c r="E318" s="88"/>
      <c r="F318" s="118"/>
      <c r="G318" s="46"/>
      <c r="H318" s="46"/>
      <c r="I318" s="118"/>
      <c r="J318" s="46"/>
      <c r="K318" s="16" t="str">
        <f>IF(J318&lt;&gt;"",SUMIFS('💰 Transaction ขาย'!$F:$F,'💰 Transaction ขาย'!$K:$K,$J318,'💰 Transaction ขาย'!$J:$J,$B$1),"")</f>
        <v/>
      </c>
      <c r="L318" s="118"/>
      <c r="M318" s="46"/>
      <c r="N318" s="46"/>
      <c r="O318" s="46"/>
      <c r="P318" s="118"/>
      <c r="Q318" s="46"/>
      <c r="R318" s="46"/>
      <c r="S318" s="46"/>
      <c r="T318" s="46"/>
      <c r="U318" s="118"/>
      <c r="V318" s="46"/>
      <c r="W318" s="88" t="str">
        <f>IF(V318&lt;&gt;"",SUMIFS('📊 รายงานสินค้าคงเหลือ'!G:G,'📊 รายงานสินค้าคงเหลือ'!D:D,V318),"")</f>
        <v/>
      </c>
      <c r="X318" s="46"/>
      <c r="Y318" s="46"/>
      <c r="Z318" s="46"/>
    </row>
    <row r="319">
      <c r="A319" s="46"/>
      <c r="B319" s="16"/>
      <c r="C319" s="118"/>
      <c r="D319" s="126"/>
      <c r="E319" s="88"/>
      <c r="F319" s="118"/>
      <c r="G319" s="46"/>
      <c r="H319" s="46"/>
      <c r="I319" s="118"/>
      <c r="J319" s="46"/>
      <c r="K319" s="16" t="str">
        <f>IF(J319&lt;&gt;"",SUMIFS('💰 Transaction ขาย'!$F:$F,'💰 Transaction ขาย'!$K:$K,$J319,'💰 Transaction ขาย'!$J:$J,$B$1),"")</f>
        <v/>
      </c>
      <c r="L319" s="118"/>
      <c r="M319" s="46"/>
      <c r="N319" s="46"/>
      <c r="O319" s="46"/>
      <c r="P319" s="118"/>
      <c r="Q319" s="46"/>
      <c r="R319" s="46"/>
      <c r="S319" s="46"/>
      <c r="T319" s="46"/>
      <c r="U319" s="118"/>
      <c r="V319" s="46"/>
      <c r="W319" s="88" t="str">
        <f>IF(V319&lt;&gt;"",SUMIFS('📊 รายงานสินค้าคงเหลือ'!G:G,'📊 รายงานสินค้าคงเหลือ'!D:D,V319),"")</f>
        <v/>
      </c>
      <c r="X319" s="46"/>
      <c r="Y319" s="46"/>
      <c r="Z319" s="46"/>
    </row>
    <row r="320">
      <c r="A320" s="46"/>
      <c r="B320" s="16"/>
      <c r="C320" s="118"/>
      <c r="D320" s="126"/>
      <c r="E320" s="88"/>
      <c r="F320" s="118"/>
      <c r="G320" s="46"/>
      <c r="H320" s="46"/>
      <c r="I320" s="118"/>
      <c r="J320" s="46"/>
      <c r="K320" s="16" t="str">
        <f>IF(J320&lt;&gt;"",SUMIFS('💰 Transaction ขาย'!$F:$F,'💰 Transaction ขาย'!$K:$K,$J320,'💰 Transaction ขาย'!$J:$J,$B$1),"")</f>
        <v/>
      </c>
      <c r="L320" s="118"/>
      <c r="M320" s="46"/>
      <c r="N320" s="46"/>
      <c r="O320" s="46"/>
      <c r="P320" s="118"/>
      <c r="Q320" s="46"/>
      <c r="R320" s="46"/>
      <c r="S320" s="46"/>
      <c r="T320" s="46"/>
      <c r="U320" s="118"/>
      <c r="V320" s="46"/>
      <c r="W320" s="88" t="str">
        <f>IF(V320&lt;&gt;"",SUMIFS('📊 รายงานสินค้าคงเหลือ'!G:G,'📊 รายงานสินค้าคงเหลือ'!D:D,V320),"")</f>
        <v/>
      </c>
      <c r="X320" s="46"/>
      <c r="Y320" s="46"/>
      <c r="Z320" s="46"/>
    </row>
    <row r="321">
      <c r="A321" s="46"/>
      <c r="B321" s="16"/>
      <c r="C321" s="118"/>
      <c r="D321" s="126"/>
      <c r="E321" s="88"/>
      <c r="F321" s="118"/>
      <c r="G321" s="46"/>
      <c r="H321" s="46"/>
      <c r="I321" s="118"/>
      <c r="J321" s="46"/>
      <c r="K321" s="16" t="str">
        <f>IF(J321&lt;&gt;"",SUMIFS('💰 Transaction ขาย'!$F:$F,'💰 Transaction ขาย'!$K:$K,$J321,'💰 Transaction ขาย'!$J:$J,$B$1),"")</f>
        <v/>
      </c>
      <c r="L321" s="118"/>
      <c r="M321" s="46"/>
      <c r="N321" s="46"/>
      <c r="O321" s="46"/>
      <c r="P321" s="118"/>
      <c r="Q321" s="46"/>
      <c r="R321" s="46"/>
      <c r="S321" s="46"/>
      <c r="T321" s="46"/>
      <c r="U321" s="118"/>
      <c r="V321" s="46"/>
      <c r="W321" s="88" t="str">
        <f>IF(V321&lt;&gt;"",SUMIFS('📊 รายงานสินค้าคงเหลือ'!G:G,'📊 รายงานสินค้าคงเหลือ'!D:D,V321),"")</f>
        <v/>
      </c>
      <c r="X321" s="46"/>
      <c r="Y321" s="46"/>
      <c r="Z321" s="46"/>
    </row>
    <row r="322">
      <c r="A322" s="46"/>
      <c r="B322" s="16"/>
      <c r="C322" s="118"/>
      <c r="D322" s="126"/>
      <c r="E322" s="88"/>
      <c r="F322" s="118"/>
      <c r="G322" s="46"/>
      <c r="H322" s="46"/>
      <c r="I322" s="118"/>
      <c r="J322" s="46"/>
      <c r="K322" s="16" t="str">
        <f>IF(J322&lt;&gt;"",SUMIFS('💰 Transaction ขาย'!$F:$F,'💰 Transaction ขาย'!$K:$K,$J322,'💰 Transaction ขาย'!$J:$J,$B$1),"")</f>
        <v/>
      </c>
      <c r="L322" s="118"/>
      <c r="M322" s="46"/>
      <c r="N322" s="46"/>
      <c r="O322" s="46"/>
      <c r="P322" s="118"/>
      <c r="Q322" s="46"/>
      <c r="R322" s="46"/>
      <c r="S322" s="46"/>
      <c r="T322" s="46"/>
      <c r="U322" s="118"/>
      <c r="V322" s="46"/>
      <c r="W322" s="88" t="str">
        <f>IF(V322&lt;&gt;"",SUMIFS('📊 รายงานสินค้าคงเหลือ'!G:G,'📊 รายงานสินค้าคงเหลือ'!D:D,V322),"")</f>
        <v/>
      </c>
      <c r="X322" s="46"/>
      <c r="Y322" s="46"/>
      <c r="Z322" s="46"/>
    </row>
    <row r="323">
      <c r="A323" s="46"/>
      <c r="B323" s="16"/>
      <c r="C323" s="118"/>
      <c r="D323" s="126"/>
      <c r="E323" s="88"/>
      <c r="F323" s="118"/>
      <c r="G323" s="46"/>
      <c r="H323" s="46"/>
      <c r="I323" s="118"/>
      <c r="J323" s="46"/>
      <c r="K323" s="16" t="str">
        <f>IF(J323&lt;&gt;"",SUMIFS('💰 Transaction ขาย'!$F:$F,'💰 Transaction ขาย'!$K:$K,$J323,'💰 Transaction ขาย'!$J:$J,$B$1),"")</f>
        <v/>
      </c>
      <c r="L323" s="118"/>
      <c r="M323" s="46"/>
      <c r="N323" s="46"/>
      <c r="O323" s="46"/>
      <c r="P323" s="118"/>
      <c r="Q323" s="46"/>
      <c r="R323" s="46"/>
      <c r="S323" s="46"/>
      <c r="T323" s="46"/>
      <c r="U323" s="118"/>
      <c r="V323" s="46"/>
      <c r="W323" s="88" t="str">
        <f>IF(V323&lt;&gt;"",SUMIFS('📊 รายงานสินค้าคงเหลือ'!G:G,'📊 รายงานสินค้าคงเหลือ'!D:D,V323),"")</f>
        <v/>
      </c>
      <c r="X323" s="46"/>
      <c r="Y323" s="46"/>
      <c r="Z323" s="46"/>
    </row>
    <row r="324">
      <c r="A324" s="46"/>
      <c r="B324" s="16"/>
      <c r="C324" s="118"/>
      <c r="D324" s="126"/>
      <c r="E324" s="88"/>
      <c r="F324" s="118"/>
      <c r="G324" s="46"/>
      <c r="H324" s="46"/>
      <c r="I324" s="118"/>
      <c r="J324" s="46"/>
      <c r="K324" s="16" t="str">
        <f>IF(J324&lt;&gt;"",SUMIFS('💰 Transaction ขาย'!$F:$F,'💰 Transaction ขาย'!$K:$K,$J324,'💰 Transaction ขาย'!$J:$J,$B$1),"")</f>
        <v/>
      </c>
      <c r="L324" s="118"/>
      <c r="M324" s="46"/>
      <c r="N324" s="46"/>
      <c r="O324" s="46"/>
      <c r="P324" s="118"/>
      <c r="Q324" s="46"/>
      <c r="R324" s="46"/>
      <c r="S324" s="46"/>
      <c r="T324" s="46"/>
      <c r="U324" s="118"/>
      <c r="V324" s="46"/>
      <c r="W324" s="88" t="str">
        <f>IF(V324&lt;&gt;"",SUMIFS('📊 รายงานสินค้าคงเหลือ'!G:G,'📊 รายงานสินค้าคงเหลือ'!D:D,V324),"")</f>
        <v/>
      </c>
      <c r="X324" s="46"/>
      <c r="Y324" s="46"/>
      <c r="Z324" s="46"/>
    </row>
    <row r="325">
      <c r="A325" s="46"/>
      <c r="B325" s="16"/>
      <c r="C325" s="118"/>
      <c r="D325" s="126"/>
      <c r="E325" s="88"/>
      <c r="F325" s="118"/>
      <c r="G325" s="46"/>
      <c r="H325" s="46"/>
      <c r="I325" s="118"/>
      <c r="J325" s="46"/>
      <c r="K325" s="16" t="str">
        <f>IF(J325&lt;&gt;"",SUMIFS('💰 Transaction ขาย'!$F:$F,'💰 Transaction ขาย'!$K:$K,$J325,'💰 Transaction ขาย'!$J:$J,$B$1),"")</f>
        <v/>
      </c>
      <c r="L325" s="118"/>
      <c r="M325" s="46"/>
      <c r="N325" s="46"/>
      <c r="O325" s="46"/>
      <c r="P325" s="118"/>
      <c r="Q325" s="46"/>
      <c r="R325" s="46"/>
      <c r="S325" s="46"/>
      <c r="T325" s="46"/>
      <c r="U325" s="118"/>
      <c r="V325" s="46"/>
      <c r="W325" s="88" t="str">
        <f>IF(V325&lt;&gt;"",SUMIFS('📊 รายงานสินค้าคงเหลือ'!G:G,'📊 รายงานสินค้าคงเหลือ'!D:D,V325),"")</f>
        <v/>
      </c>
      <c r="X325" s="46"/>
      <c r="Y325" s="46"/>
      <c r="Z325" s="46"/>
    </row>
    <row r="326">
      <c r="A326" s="46"/>
      <c r="B326" s="16"/>
      <c r="C326" s="118"/>
      <c r="D326" s="126"/>
      <c r="E326" s="88"/>
      <c r="F326" s="118"/>
      <c r="G326" s="46"/>
      <c r="H326" s="46"/>
      <c r="I326" s="118"/>
      <c r="J326" s="46"/>
      <c r="K326" s="16" t="str">
        <f>IF(J326&lt;&gt;"",SUMIFS('💰 Transaction ขาย'!$F:$F,'💰 Transaction ขาย'!$K:$K,$J326,'💰 Transaction ขาย'!$J:$J,$B$1),"")</f>
        <v/>
      </c>
      <c r="L326" s="118"/>
      <c r="M326" s="46"/>
      <c r="N326" s="46"/>
      <c r="O326" s="46"/>
      <c r="P326" s="118"/>
      <c r="Q326" s="46"/>
      <c r="R326" s="46"/>
      <c r="S326" s="46"/>
      <c r="T326" s="46"/>
      <c r="U326" s="118"/>
      <c r="V326" s="46"/>
      <c r="W326" s="88" t="str">
        <f>IF(V326&lt;&gt;"",SUMIFS('📊 รายงานสินค้าคงเหลือ'!G:G,'📊 รายงานสินค้าคงเหลือ'!D:D,V326),"")</f>
        <v/>
      </c>
      <c r="X326" s="46"/>
      <c r="Y326" s="46"/>
      <c r="Z326" s="46"/>
    </row>
    <row r="327">
      <c r="A327" s="46"/>
      <c r="B327" s="16"/>
      <c r="C327" s="118"/>
      <c r="D327" s="126"/>
      <c r="E327" s="88"/>
      <c r="F327" s="118"/>
      <c r="G327" s="46"/>
      <c r="H327" s="46"/>
      <c r="I327" s="118"/>
      <c r="J327" s="46"/>
      <c r="K327" s="16" t="str">
        <f>IF(J327&lt;&gt;"",SUMIFS('💰 Transaction ขาย'!$F:$F,'💰 Transaction ขาย'!$K:$K,$J327,'💰 Transaction ขาย'!$J:$J,$B$1),"")</f>
        <v/>
      </c>
      <c r="L327" s="118"/>
      <c r="M327" s="46"/>
      <c r="N327" s="46"/>
      <c r="O327" s="46"/>
      <c r="P327" s="118"/>
      <c r="Q327" s="46"/>
      <c r="R327" s="46"/>
      <c r="S327" s="46"/>
      <c r="T327" s="46"/>
      <c r="U327" s="118"/>
      <c r="V327" s="46"/>
      <c r="W327" s="88" t="str">
        <f>IF(V327&lt;&gt;"",SUMIFS('📊 รายงานสินค้าคงเหลือ'!G:G,'📊 รายงานสินค้าคงเหลือ'!D:D,V327),"")</f>
        <v/>
      </c>
      <c r="X327" s="46"/>
      <c r="Y327" s="46"/>
      <c r="Z327" s="46"/>
    </row>
    <row r="328">
      <c r="A328" s="46"/>
      <c r="B328" s="16"/>
      <c r="C328" s="118"/>
      <c r="D328" s="126"/>
      <c r="E328" s="88"/>
      <c r="F328" s="118"/>
      <c r="G328" s="46"/>
      <c r="H328" s="46"/>
      <c r="I328" s="118"/>
      <c r="J328" s="46"/>
      <c r="K328" s="16" t="str">
        <f>IF(J328&lt;&gt;"",SUMIFS('💰 Transaction ขาย'!$F:$F,'💰 Transaction ขาย'!$K:$K,$J328,'💰 Transaction ขาย'!$J:$J,$B$1),"")</f>
        <v/>
      </c>
      <c r="L328" s="118"/>
      <c r="M328" s="46"/>
      <c r="N328" s="46"/>
      <c r="O328" s="46"/>
      <c r="P328" s="118"/>
      <c r="Q328" s="46"/>
      <c r="R328" s="46"/>
      <c r="S328" s="46"/>
      <c r="T328" s="46"/>
      <c r="U328" s="118"/>
      <c r="V328" s="46"/>
      <c r="W328" s="88" t="str">
        <f>IF(V328&lt;&gt;"",SUMIFS('📊 รายงานสินค้าคงเหลือ'!G:G,'📊 รายงานสินค้าคงเหลือ'!D:D,V328),"")</f>
        <v/>
      </c>
      <c r="X328" s="46"/>
      <c r="Y328" s="46"/>
      <c r="Z328" s="46"/>
    </row>
    <row r="329">
      <c r="A329" s="46"/>
      <c r="B329" s="16"/>
      <c r="C329" s="118"/>
      <c r="D329" s="126"/>
      <c r="E329" s="88"/>
      <c r="F329" s="118"/>
      <c r="G329" s="46"/>
      <c r="H329" s="46"/>
      <c r="I329" s="118"/>
      <c r="J329" s="46"/>
      <c r="K329" s="16" t="str">
        <f>IF(J329&lt;&gt;"",SUMIFS('💰 Transaction ขาย'!$F:$F,'💰 Transaction ขาย'!$K:$K,$J329,'💰 Transaction ขาย'!$J:$J,$B$1),"")</f>
        <v/>
      </c>
      <c r="L329" s="118"/>
      <c r="M329" s="46"/>
      <c r="N329" s="46"/>
      <c r="O329" s="46"/>
      <c r="P329" s="118"/>
      <c r="Q329" s="46"/>
      <c r="R329" s="46"/>
      <c r="S329" s="46"/>
      <c r="T329" s="46"/>
      <c r="U329" s="118"/>
      <c r="V329" s="46"/>
      <c r="W329" s="88" t="str">
        <f>IF(V329&lt;&gt;"",SUMIFS('📊 รายงานสินค้าคงเหลือ'!G:G,'📊 รายงานสินค้าคงเหลือ'!D:D,V329),"")</f>
        <v/>
      </c>
      <c r="X329" s="46"/>
      <c r="Y329" s="46"/>
      <c r="Z329" s="46"/>
    </row>
    <row r="330">
      <c r="A330" s="46"/>
      <c r="B330" s="16"/>
      <c r="C330" s="118"/>
      <c r="D330" s="126"/>
      <c r="E330" s="88"/>
      <c r="F330" s="118"/>
      <c r="G330" s="46"/>
      <c r="H330" s="46"/>
      <c r="I330" s="118"/>
      <c r="J330" s="46"/>
      <c r="K330" s="16" t="str">
        <f>IF(J330&lt;&gt;"",SUMIFS('💰 Transaction ขาย'!$F:$F,'💰 Transaction ขาย'!$K:$K,$J330,'💰 Transaction ขาย'!$J:$J,$B$1),"")</f>
        <v/>
      </c>
      <c r="L330" s="118"/>
      <c r="M330" s="46"/>
      <c r="N330" s="46"/>
      <c r="O330" s="46"/>
      <c r="P330" s="118"/>
      <c r="Q330" s="46"/>
      <c r="R330" s="46"/>
      <c r="S330" s="46"/>
      <c r="T330" s="46"/>
      <c r="U330" s="118"/>
      <c r="V330" s="46"/>
      <c r="W330" s="88" t="str">
        <f>IF(V330&lt;&gt;"",SUMIFS('📊 รายงานสินค้าคงเหลือ'!G:G,'📊 รายงานสินค้าคงเหลือ'!D:D,V330),"")</f>
        <v/>
      </c>
      <c r="X330" s="46"/>
      <c r="Y330" s="46"/>
      <c r="Z330" s="46"/>
    </row>
    <row r="331">
      <c r="A331" s="46"/>
      <c r="B331" s="16"/>
      <c r="C331" s="118"/>
      <c r="D331" s="126"/>
      <c r="E331" s="88"/>
      <c r="F331" s="118"/>
      <c r="G331" s="46"/>
      <c r="H331" s="46"/>
      <c r="I331" s="118"/>
      <c r="J331" s="46"/>
      <c r="K331" s="16" t="str">
        <f>IF(J331&lt;&gt;"",SUMIFS('💰 Transaction ขาย'!$F:$F,'💰 Transaction ขาย'!$K:$K,$J331,'💰 Transaction ขาย'!$J:$J,$B$1),"")</f>
        <v/>
      </c>
      <c r="L331" s="118"/>
      <c r="M331" s="46"/>
      <c r="N331" s="46"/>
      <c r="O331" s="46"/>
      <c r="P331" s="118"/>
      <c r="Q331" s="46"/>
      <c r="R331" s="46"/>
      <c r="S331" s="46"/>
      <c r="T331" s="46"/>
      <c r="U331" s="118"/>
      <c r="V331" s="46"/>
      <c r="W331" s="88" t="str">
        <f>IF(V331&lt;&gt;"",SUMIFS('📊 รายงานสินค้าคงเหลือ'!G:G,'📊 รายงานสินค้าคงเหลือ'!D:D,V331),"")</f>
        <v/>
      </c>
      <c r="X331" s="46"/>
      <c r="Y331" s="46"/>
      <c r="Z331" s="46"/>
    </row>
    <row r="332">
      <c r="A332" s="46"/>
      <c r="B332" s="16"/>
      <c r="C332" s="118"/>
      <c r="D332" s="126"/>
      <c r="E332" s="88"/>
      <c r="F332" s="118"/>
      <c r="G332" s="46"/>
      <c r="H332" s="46"/>
      <c r="I332" s="118"/>
      <c r="J332" s="46"/>
      <c r="K332" s="16" t="str">
        <f>IF(J332&lt;&gt;"",SUMIFS('💰 Transaction ขาย'!$F:$F,'💰 Transaction ขาย'!$K:$K,$J332,'💰 Transaction ขาย'!$J:$J,$B$1),"")</f>
        <v/>
      </c>
      <c r="L332" s="118"/>
      <c r="M332" s="46"/>
      <c r="N332" s="46"/>
      <c r="O332" s="46"/>
      <c r="P332" s="118"/>
      <c r="Q332" s="46"/>
      <c r="R332" s="46"/>
      <c r="S332" s="46"/>
      <c r="T332" s="46"/>
      <c r="U332" s="118"/>
      <c r="V332" s="46"/>
      <c r="W332" s="88" t="str">
        <f>IF(V332&lt;&gt;"",SUMIFS('📊 รายงานสินค้าคงเหลือ'!G:G,'📊 รายงานสินค้าคงเหลือ'!D:D,V332),"")</f>
        <v/>
      </c>
      <c r="X332" s="46"/>
      <c r="Y332" s="46"/>
      <c r="Z332" s="46"/>
    </row>
    <row r="333">
      <c r="A333" s="46"/>
      <c r="B333" s="16"/>
      <c r="C333" s="118"/>
      <c r="D333" s="126"/>
      <c r="E333" s="88"/>
      <c r="F333" s="118"/>
      <c r="G333" s="46"/>
      <c r="H333" s="46"/>
      <c r="I333" s="118"/>
      <c r="J333" s="46"/>
      <c r="K333" s="16" t="str">
        <f>IF(J333&lt;&gt;"",SUMIFS('💰 Transaction ขาย'!$F:$F,'💰 Transaction ขาย'!$K:$K,$J333,'💰 Transaction ขาย'!$J:$J,$B$1),"")</f>
        <v/>
      </c>
      <c r="L333" s="118"/>
      <c r="M333" s="46"/>
      <c r="N333" s="46"/>
      <c r="O333" s="46"/>
      <c r="P333" s="118"/>
      <c r="Q333" s="46"/>
      <c r="R333" s="46"/>
      <c r="S333" s="46"/>
      <c r="T333" s="46"/>
      <c r="U333" s="118"/>
      <c r="V333" s="46"/>
      <c r="W333" s="88" t="str">
        <f>IF(V333&lt;&gt;"",SUMIFS('📊 รายงานสินค้าคงเหลือ'!G:G,'📊 รายงานสินค้าคงเหลือ'!D:D,V333),"")</f>
        <v/>
      </c>
      <c r="X333" s="46"/>
      <c r="Y333" s="46"/>
      <c r="Z333" s="46"/>
    </row>
    <row r="334">
      <c r="A334" s="46"/>
      <c r="B334" s="16"/>
      <c r="C334" s="118"/>
      <c r="D334" s="126"/>
      <c r="E334" s="88"/>
      <c r="F334" s="118"/>
      <c r="G334" s="46"/>
      <c r="H334" s="46"/>
      <c r="I334" s="118"/>
      <c r="J334" s="46"/>
      <c r="K334" s="16" t="str">
        <f>IF(J334&lt;&gt;"",SUMIFS('💰 Transaction ขาย'!$F:$F,'💰 Transaction ขาย'!$K:$K,$J334,'💰 Transaction ขาย'!$J:$J,$B$1),"")</f>
        <v/>
      </c>
      <c r="L334" s="118"/>
      <c r="M334" s="46"/>
      <c r="N334" s="46"/>
      <c r="O334" s="46"/>
      <c r="P334" s="118"/>
      <c r="Q334" s="46"/>
      <c r="R334" s="46"/>
      <c r="S334" s="46"/>
      <c r="T334" s="46"/>
      <c r="U334" s="118"/>
      <c r="V334" s="46"/>
      <c r="W334" s="88" t="str">
        <f>IF(V334&lt;&gt;"",SUMIFS('📊 รายงานสินค้าคงเหลือ'!G:G,'📊 รายงานสินค้าคงเหลือ'!D:D,V334),"")</f>
        <v/>
      </c>
      <c r="X334" s="46"/>
      <c r="Y334" s="46"/>
      <c r="Z334" s="46"/>
    </row>
    <row r="335">
      <c r="A335" s="46"/>
      <c r="B335" s="16"/>
      <c r="C335" s="118"/>
      <c r="D335" s="126"/>
      <c r="E335" s="88"/>
      <c r="F335" s="118"/>
      <c r="G335" s="46"/>
      <c r="H335" s="46"/>
      <c r="I335" s="118"/>
      <c r="J335" s="46"/>
      <c r="K335" s="16" t="str">
        <f>IF(J335&lt;&gt;"",SUMIFS('💰 Transaction ขาย'!$F:$F,'💰 Transaction ขาย'!$K:$K,$J335,'💰 Transaction ขาย'!$J:$J,$B$1),"")</f>
        <v/>
      </c>
      <c r="L335" s="118"/>
      <c r="M335" s="46"/>
      <c r="N335" s="46"/>
      <c r="O335" s="46"/>
      <c r="P335" s="118"/>
      <c r="Q335" s="46"/>
      <c r="R335" s="46"/>
      <c r="S335" s="46"/>
      <c r="T335" s="46"/>
      <c r="U335" s="118"/>
      <c r="V335" s="46"/>
      <c r="W335" s="88" t="str">
        <f>IF(V335&lt;&gt;"",SUMIFS('📊 รายงานสินค้าคงเหลือ'!G:G,'📊 รายงานสินค้าคงเหลือ'!D:D,V335),"")</f>
        <v/>
      </c>
      <c r="X335" s="46"/>
      <c r="Y335" s="46"/>
      <c r="Z335" s="46"/>
    </row>
    <row r="336">
      <c r="A336" s="46"/>
      <c r="B336" s="16"/>
      <c r="C336" s="118"/>
      <c r="D336" s="126"/>
      <c r="E336" s="88"/>
      <c r="F336" s="118"/>
      <c r="G336" s="46"/>
      <c r="H336" s="46"/>
      <c r="I336" s="118"/>
      <c r="J336" s="46"/>
      <c r="K336" s="16" t="str">
        <f>IF(J336&lt;&gt;"",SUMIFS('💰 Transaction ขาย'!$F:$F,'💰 Transaction ขาย'!$K:$K,$J336,'💰 Transaction ขาย'!$J:$J,$B$1),"")</f>
        <v/>
      </c>
      <c r="L336" s="118"/>
      <c r="M336" s="46"/>
      <c r="N336" s="46"/>
      <c r="O336" s="46"/>
      <c r="P336" s="118"/>
      <c r="Q336" s="46"/>
      <c r="R336" s="46"/>
      <c r="S336" s="46"/>
      <c r="T336" s="46"/>
      <c r="U336" s="118"/>
      <c r="V336" s="46"/>
      <c r="W336" s="88" t="str">
        <f>IF(V336&lt;&gt;"",SUMIFS('📊 รายงานสินค้าคงเหลือ'!G:G,'📊 รายงานสินค้าคงเหลือ'!D:D,V336),"")</f>
        <v/>
      </c>
      <c r="X336" s="46"/>
      <c r="Y336" s="46"/>
      <c r="Z336" s="46"/>
    </row>
    <row r="337">
      <c r="A337" s="46"/>
      <c r="B337" s="16"/>
      <c r="C337" s="118"/>
      <c r="D337" s="126"/>
      <c r="E337" s="88"/>
      <c r="F337" s="118"/>
      <c r="G337" s="46"/>
      <c r="H337" s="46"/>
      <c r="I337" s="118"/>
      <c r="J337" s="46"/>
      <c r="K337" s="16" t="str">
        <f>IF(J337&lt;&gt;"",SUMIFS('💰 Transaction ขาย'!$F:$F,'💰 Transaction ขาย'!$K:$K,$J337,'💰 Transaction ขาย'!$J:$J,$B$1),"")</f>
        <v/>
      </c>
      <c r="L337" s="118"/>
      <c r="M337" s="46"/>
      <c r="N337" s="46"/>
      <c r="O337" s="46"/>
      <c r="P337" s="118"/>
      <c r="Q337" s="46"/>
      <c r="R337" s="46"/>
      <c r="S337" s="46"/>
      <c r="T337" s="46"/>
      <c r="U337" s="118"/>
      <c r="V337" s="46"/>
      <c r="W337" s="88" t="str">
        <f>IF(V337&lt;&gt;"",SUMIFS('📊 รายงานสินค้าคงเหลือ'!G:G,'📊 รายงานสินค้าคงเหลือ'!D:D,V337),"")</f>
        <v/>
      </c>
      <c r="X337" s="46"/>
      <c r="Y337" s="46"/>
      <c r="Z337" s="46"/>
    </row>
    <row r="338">
      <c r="A338" s="46"/>
      <c r="B338" s="16"/>
      <c r="C338" s="118"/>
      <c r="D338" s="126"/>
      <c r="E338" s="88"/>
      <c r="F338" s="118"/>
      <c r="G338" s="46"/>
      <c r="H338" s="46"/>
      <c r="I338" s="118"/>
      <c r="J338" s="46"/>
      <c r="K338" s="16" t="str">
        <f>IF(J338&lt;&gt;"",SUMIFS('💰 Transaction ขาย'!$F:$F,'💰 Transaction ขาย'!$K:$K,$J338,'💰 Transaction ขาย'!$J:$J,$B$1),"")</f>
        <v/>
      </c>
      <c r="L338" s="118"/>
      <c r="M338" s="46"/>
      <c r="N338" s="46"/>
      <c r="O338" s="46"/>
      <c r="P338" s="118"/>
      <c r="Q338" s="46"/>
      <c r="R338" s="46"/>
      <c r="S338" s="46"/>
      <c r="T338" s="46"/>
      <c r="U338" s="118"/>
      <c r="V338" s="46"/>
      <c r="W338" s="88" t="str">
        <f>IF(V338&lt;&gt;"",SUMIFS('📊 รายงานสินค้าคงเหลือ'!G:G,'📊 รายงานสินค้าคงเหลือ'!D:D,V338),"")</f>
        <v/>
      </c>
      <c r="X338" s="46"/>
      <c r="Y338" s="46"/>
      <c r="Z338" s="46"/>
    </row>
    <row r="339">
      <c r="A339" s="46"/>
      <c r="B339" s="16"/>
      <c r="C339" s="118"/>
      <c r="D339" s="126"/>
      <c r="E339" s="88"/>
      <c r="F339" s="118"/>
      <c r="G339" s="46"/>
      <c r="H339" s="46"/>
      <c r="I339" s="118"/>
      <c r="J339" s="46"/>
      <c r="K339" s="16" t="str">
        <f>IF(J339&lt;&gt;"",SUMIFS('💰 Transaction ขาย'!$F:$F,'💰 Transaction ขาย'!$K:$K,$J339,'💰 Transaction ขาย'!$J:$J,$B$1),"")</f>
        <v/>
      </c>
      <c r="L339" s="118"/>
      <c r="M339" s="46"/>
      <c r="N339" s="46"/>
      <c r="O339" s="46"/>
      <c r="P339" s="118"/>
      <c r="Q339" s="46"/>
      <c r="R339" s="46"/>
      <c r="S339" s="46"/>
      <c r="T339" s="46"/>
      <c r="U339" s="118"/>
      <c r="V339" s="46"/>
      <c r="W339" s="88" t="str">
        <f>IF(V339&lt;&gt;"",SUMIFS('📊 รายงานสินค้าคงเหลือ'!G:G,'📊 รายงานสินค้าคงเหลือ'!D:D,V339),"")</f>
        <v/>
      </c>
      <c r="X339" s="46"/>
      <c r="Y339" s="46"/>
      <c r="Z339" s="46"/>
    </row>
    <row r="340">
      <c r="A340" s="46"/>
      <c r="B340" s="16"/>
      <c r="C340" s="118"/>
      <c r="D340" s="126"/>
      <c r="E340" s="88"/>
      <c r="F340" s="118"/>
      <c r="G340" s="46"/>
      <c r="H340" s="46"/>
      <c r="I340" s="118"/>
      <c r="J340" s="46"/>
      <c r="K340" s="16" t="str">
        <f>IF(J340&lt;&gt;"",SUMIFS('💰 Transaction ขาย'!$F:$F,'💰 Transaction ขาย'!$K:$K,$J340,'💰 Transaction ขาย'!$J:$J,$B$1),"")</f>
        <v/>
      </c>
      <c r="L340" s="118"/>
      <c r="M340" s="46"/>
      <c r="N340" s="46"/>
      <c r="O340" s="46"/>
      <c r="P340" s="118"/>
      <c r="Q340" s="46"/>
      <c r="R340" s="46"/>
      <c r="S340" s="46"/>
      <c r="T340" s="46"/>
      <c r="U340" s="118"/>
      <c r="V340" s="46"/>
      <c r="W340" s="88" t="str">
        <f>IF(V340&lt;&gt;"",SUMIFS('📊 รายงานสินค้าคงเหลือ'!G:G,'📊 รายงานสินค้าคงเหลือ'!D:D,V340),"")</f>
        <v/>
      </c>
      <c r="X340" s="46"/>
      <c r="Y340" s="46"/>
      <c r="Z340" s="46"/>
    </row>
    <row r="341">
      <c r="A341" s="46"/>
      <c r="B341" s="16"/>
      <c r="C341" s="118"/>
      <c r="D341" s="126"/>
      <c r="E341" s="88"/>
      <c r="F341" s="118"/>
      <c r="G341" s="46"/>
      <c r="H341" s="46"/>
      <c r="I341" s="118"/>
      <c r="J341" s="46"/>
      <c r="K341" s="16" t="str">
        <f>IF(J341&lt;&gt;"",SUMIFS('💰 Transaction ขาย'!$F:$F,'💰 Transaction ขาย'!$K:$K,$J341,'💰 Transaction ขาย'!$J:$J,$B$1),"")</f>
        <v/>
      </c>
      <c r="L341" s="118"/>
      <c r="M341" s="46"/>
      <c r="N341" s="46"/>
      <c r="O341" s="46"/>
      <c r="P341" s="118"/>
      <c r="Q341" s="46"/>
      <c r="R341" s="46"/>
      <c r="S341" s="46"/>
      <c r="T341" s="46"/>
      <c r="U341" s="118"/>
      <c r="V341" s="46"/>
      <c r="W341" s="88" t="str">
        <f>IF(V341&lt;&gt;"",SUMIFS('📊 รายงานสินค้าคงเหลือ'!G:G,'📊 รายงานสินค้าคงเหลือ'!D:D,V341),"")</f>
        <v/>
      </c>
      <c r="X341" s="46"/>
      <c r="Y341" s="46"/>
      <c r="Z341" s="46"/>
    </row>
    <row r="342">
      <c r="A342" s="46"/>
      <c r="B342" s="16"/>
      <c r="C342" s="118"/>
      <c r="D342" s="126"/>
      <c r="E342" s="88"/>
      <c r="F342" s="118"/>
      <c r="G342" s="46"/>
      <c r="H342" s="46"/>
      <c r="I342" s="118"/>
      <c r="J342" s="46"/>
      <c r="K342" s="16" t="str">
        <f>IF(J342&lt;&gt;"",SUMIFS('💰 Transaction ขาย'!$F:$F,'💰 Transaction ขาย'!$K:$K,$J342,'💰 Transaction ขาย'!$J:$J,$B$1),"")</f>
        <v/>
      </c>
      <c r="L342" s="118"/>
      <c r="M342" s="46"/>
      <c r="N342" s="46"/>
      <c r="O342" s="46"/>
      <c r="P342" s="118"/>
      <c r="Q342" s="46"/>
      <c r="R342" s="46"/>
      <c r="S342" s="46"/>
      <c r="T342" s="46"/>
      <c r="U342" s="118"/>
      <c r="V342" s="46"/>
      <c r="W342" s="88" t="str">
        <f>IF(V342&lt;&gt;"",SUMIFS('📊 รายงานสินค้าคงเหลือ'!G:G,'📊 รายงานสินค้าคงเหลือ'!D:D,V342),"")</f>
        <v/>
      </c>
      <c r="X342" s="46"/>
      <c r="Y342" s="46"/>
      <c r="Z342" s="46"/>
    </row>
    <row r="343">
      <c r="A343" s="46"/>
      <c r="B343" s="16"/>
      <c r="C343" s="118"/>
      <c r="D343" s="126"/>
      <c r="E343" s="88"/>
      <c r="F343" s="118"/>
      <c r="G343" s="46"/>
      <c r="H343" s="46"/>
      <c r="I343" s="118"/>
      <c r="J343" s="46"/>
      <c r="K343" s="16" t="str">
        <f>IF(J343&lt;&gt;"",SUMIFS('💰 Transaction ขาย'!$F:$F,'💰 Transaction ขาย'!$K:$K,$J343,'💰 Transaction ขาย'!$J:$J,$B$1),"")</f>
        <v/>
      </c>
      <c r="L343" s="118"/>
      <c r="M343" s="46"/>
      <c r="N343" s="46"/>
      <c r="O343" s="46"/>
      <c r="P343" s="118"/>
      <c r="Q343" s="46"/>
      <c r="R343" s="46"/>
      <c r="S343" s="46"/>
      <c r="T343" s="46"/>
      <c r="U343" s="118"/>
      <c r="V343" s="46"/>
      <c r="W343" s="88" t="str">
        <f>IF(V343&lt;&gt;"",SUMIFS('📊 รายงานสินค้าคงเหลือ'!G:G,'📊 รายงานสินค้าคงเหลือ'!D:D,V343),"")</f>
        <v/>
      </c>
      <c r="X343" s="46"/>
      <c r="Y343" s="46"/>
      <c r="Z343" s="46"/>
    </row>
    <row r="344">
      <c r="A344" s="46"/>
      <c r="B344" s="16"/>
      <c r="C344" s="118"/>
      <c r="D344" s="126"/>
      <c r="E344" s="88"/>
      <c r="F344" s="118"/>
      <c r="G344" s="46"/>
      <c r="H344" s="46"/>
      <c r="I344" s="118"/>
      <c r="J344" s="46"/>
      <c r="K344" s="16" t="str">
        <f>IF(J344&lt;&gt;"",SUMIFS('💰 Transaction ขาย'!$F:$F,'💰 Transaction ขาย'!$K:$K,$J344,'💰 Transaction ขาย'!$J:$J,$B$1),"")</f>
        <v/>
      </c>
      <c r="L344" s="118"/>
      <c r="M344" s="46"/>
      <c r="N344" s="46"/>
      <c r="O344" s="46"/>
      <c r="P344" s="118"/>
      <c r="Q344" s="46"/>
      <c r="R344" s="46"/>
      <c r="S344" s="46"/>
      <c r="T344" s="46"/>
      <c r="U344" s="118"/>
      <c r="V344" s="46"/>
      <c r="W344" s="88" t="str">
        <f>IF(V344&lt;&gt;"",SUMIFS('📊 รายงานสินค้าคงเหลือ'!G:G,'📊 รายงานสินค้าคงเหลือ'!D:D,V344),"")</f>
        <v/>
      </c>
      <c r="X344" s="46"/>
      <c r="Y344" s="46"/>
      <c r="Z344" s="46"/>
    </row>
    <row r="345">
      <c r="A345" s="46"/>
      <c r="B345" s="16"/>
      <c r="C345" s="118"/>
      <c r="D345" s="126"/>
      <c r="E345" s="88"/>
      <c r="F345" s="118"/>
      <c r="G345" s="46"/>
      <c r="H345" s="46"/>
      <c r="I345" s="118"/>
      <c r="J345" s="46"/>
      <c r="K345" s="16" t="str">
        <f>IF(J345&lt;&gt;"",SUMIFS('💰 Transaction ขาย'!$F:$F,'💰 Transaction ขาย'!$K:$K,$J345,'💰 Transaction ขาย'!$J:$J,$B$1),"")</f>
        <v/>
      </c>
      <c r="L345" s="118"/>
      <c r="M345" s="46"/>
      <c r="N345" s="46"/>
      <c r="O345" s="46"/>
      <c r="P345" s="118"/>
      <c r="Q345" s="46"/>
      <c r="R345" s="46"/>
      <c r="S345" s="46"/>
      <c r="T345" s="46"/>
      <c r="U345" s="118"/>
      <c r="V345" s="46"/>
      <c r="W345" s="88" t="str">
        <f>IF(V345&lt;&gt;"",SUMIFS('📊 รายงานสินค้าคงเหลือ'!G:G,'📊 รายงานสินค้าคงเหลือ'!D:D,V345),"")</f>
        <v/>
      </c>
      <c r="X345" s="46"/>
      <c r="Y345" s="46"/>
      <c r="Z345" s="46"/>
    </row>
    <row r="346">
      <c r="A346" s="46"/>
      <c r="B346" s="16"/>
      <c r="C346" s="118"/>
      <c r="D346" s="126"/>
      <c r="E346" s="88"/>
      <c r="F346" s="118"/>
      <c r="G346" s="46"/>
      <c r="H346" s="46"/>
      <c r="I346" s="118"/>
      <c r="J346" s="46"/>
      <c r="K346" s="16" t="str">
        <f>IF(J346&lt;&gt;"",SUMIFS('💰 Transaction ขาย'!$F:$F,'💰 Transaction ขาย'!$K:$K,$J346,'💰 Transaction ขาย'!$J:$J,$B$1),"")</f>
        <v/>
      </c>
      <c r="L346" s="118"/>
      <c r="M346" s="46"/>
      <c r="N346" s="46"/>
      <c r="O346" s="46"/>
      <c r="P346" s="118"/>
      <c r="Q346" s="46"/>
      <c r="R346" s="46"/>
      <c r="S346" s="46"/>
      <c r="T346" s="46"/>
      <c r="U346" s="118"/>
      <c r="V346" s="46"/>
      <c r="W346" s="88" t="str">
        <f>IF(V346&lt;&gt;"",SUMIFS('📊 รายงานสินค้าคงเหลือ'!G:G,'📊 รายงานสินค้าคงเหลือ'!D:D,V346),"")</f>
        <v/>
      </c>
      <c r="X346" s="46"/>
      <c r="Y346" s="46"/>
      <c r="Z346" s="46"/>
    </row>
    <row r="347">
      <c r="A347" s="46"/>
      <c r="B347" s="16"/>
      <c r="C347" s="118"/>
      <c r="D347" s="126"/>
      <c r="E347" s="88"/>
      <c r="F347" s="118"/>
      <c r="G347" s="46"/>
      <c r="H347" s="46"/>
      <c r="I347" s="118"/>
      <c r="J347" s="46"/>
      <c r="K347" s="16" t="str">
        <f>IF(J347&lt;&gt;"",SUMIFS('💰 Transaction ขาย'!$F:$F,'💰 Transaction ขาย'!$K:$K,$J347,'💰 Transaction ขาย'!$J:$J,$B$1),"")</f>
        <v/>
      </c>
      <c r="L347" s="118"/>
      <c r="M347" s="46"/>
      <c r="N347" s="46"/>
      <c r="O347" s="46"/>
      <c r="P347" s="118"/>
      <c r="Q347" s="46"/>
      <c r="R347" s="46"/>
      <c r="S347" s="46"/>
      <c r="T347" s="46"/>
      <c r="U347" s="118"/>
      <c r="V347" s="46"/>
      <c r="W347" s="88" t="str">
        <f>IF(V347&lt;&gt;"",SUMIFS('📊 รายงานสินค้าคงเหลือ'!G:G,'📊 รายงานสินค้าคงเหลือ'!D:D,V347),"")</f>
        <v/>
      </c>
      <c r="X347" s="46"/>
      <c r="Y347" s="46"/>
      <c r="Z347" s="46"/>
    </row>
    <row r="348">
      <c r="A348" s="46"/>
      <c r="B348" s="16"/>
      <c r="C348" s="118"/>
      <c r="D348" s="126"/>
      <c r="E348" s="88"/>
      <c r="F348" s="118"/>
      <c r="G348" s="46"/>
      <c r="H348" s="46"/>
      <c r="I348" s="118"/>
      <c r="J348" s="46"/>
      <c r="K348" s="16" t="str">
        <f>IF(J348&lt;&gt;"",SUMIFS('💰 Transaction ขาย'!$F:$F,'💰 Transaction ขาย'!$K:$K,$J348,'💰 Transaction ขาย'!$J:$J,$B$1),"")</f>
        <v/>
      </c>
      <c r="L348" s="118"/>
      <c r="M348" s="46"/>
      <c r="N348" s="46"/>
      <c r="O348" s="46"/>
      <c r="P348" s="118"/>
      <c r="Q348" s="46"/>
      <c r="R348" s="46"/>
      <c r="S348" s="46"/>
      <c r="T348" s="46"/>
      <c r="U348" s="118"/>
      <c r="V348" s="46"/>
      <c r="W348" s="88" t="str">
        <f>IF(V348&lt;&gt;"",SUMIFS('📊 รายงานสินค้าคงเหลือ'!G:G,'📊 รายงานสินค้าคงเหลือ'!D:D,V348),"")</f>
        <v/>
      </c>
      <c r="X348" s="46"/>
      <c r="Y348" s="46"/>
      <c r="Z348" s="46"/>
    </row>
    <row r="349">
      <c r="A349" s="46"/>
      <c r="B349" s="16"/>
      <c r="C349" s="118"/>
      <c r="D349" s="126"/>
      <c r="E349" s="88"/>
      <c r="F349" s="118"/>
      <c r="G349" s="46"/>
      <c r="H349" s="46"/>
      <c r="I349" s="118"/>
      <c r="J349" s="46"/>
      <c r="K349" s="16" t="str">
        <f>IF(J349&lt;&gt;"",SUMIFS('💰 Transaction ขาย'!$F:$F,'💰 Transaction ขาย'!$K:$K,$J349,'💰 Transaction ขาย'!$J:$J,$B$1),"")</f>
        <v/>
      </c>
      <c r="L349" s="118"/>
      <c r="M349" s="46"/>
      <c r="N349" s="46"/>
      <c r="O349" s="46"/>
      <c r="P349" s="118"/>
      <c r="Q349" s="46"/>
      <c r="R349" s="46"/>
      <c r="S349" s="46"/>
      <c r="T349" s="46"/>
      <c r="U349" s="118"/>
      <c r="V349" s="46"/>
      <c r="W349" s="88" t="str">
        <f>IF(V349&lt;&gt;"",SUMIFS('📊 รายงานสินค้าคงเหลือ'!G:G,'📊 รายงานสินค้าคงเหลือ'!D:D,V349),"")</f>
        <v/>
      </c>
      <c r="X349" s="46"/>
      <c r="Y349" s="46"/>
      <c r="Z349" s="46"/>
    </row>
    <row r="350">
      <c r="A350" s="46"/>
      <c r="B350" s="16"/>
      <c r="C350" s="118"/>
      <c r="D350" s="126"/>
      <c r="E350" s="88"/>
      <c r="F350" s="118"/>
      <c r="G350" s="46"/>
      <c r="H350" s="46"/>
      <c r="I350" s="118"/>
      <c r="J350" s="46"/>
      <c r="K350" s="16" t="str">
        <f>IF(J350&lt;&gt;"",SUMIFS('💰 Transaction ขาย'!$F:$F,'💰 Transaction ขาย'!$K:$K,$J350,'💰 Transaction ขาย'!$J:$J,$B$1),"")</f>
        <v/>
      </c>
      <c r="L350" s="118"/>
      <c r="M350" s="46"/>
      <c r="N350" s="46"/>
      <c r="O350" s="46"/>
      <c r="P350" s="118"/>
      <c r="Q350" s="46"/>
      <c r="R350" s="46"/>
      <c r="S350" s="46"/>
      <c r="T350" s="46"/>
      <c r="U350" s="118"/>
      <c r="V350" s="46"/>
      <c r="W350" s="88" t="str">
        <f>IF(V350&lt;&gt;"",SUMIFS('📊 รายงานสินค้าคงเหลือ'!G:G,'📊 รายงานสินค้าคงเหลือ'!D:D,V350),"")</f>
        <v/>
      </c>
      <c r="X350" s="46"/>
      <c r="Y350" s="46"/>
      <c r="Z350" s="46"/>
    </row>
    <row r="351">
      <c r="A351" s="46"/>
      <c r="B351" s="16"/>
      <c r="C351" s="118"/>
      <c r="D351" s="126"/>
      <c r="E351" s="88"/>
      <c r="F351" s="118"/>
      <c r="G351" s="46"/>
      <c r="H351" s="46"/>
      <c r="I351" s="118"/>
      <c r="J351" s="46"/>
      <c r="K351" s="16" t="str">
        <f>IF(J351&lt;&gt;"",SUMIFS('💰 Transaction ขาย'!$F:$F,'💰 Transaction ขาย'!$K:$K,$J351,'💰 Transaction ขาย'!$J:$J,$B$1),"")</f>
        <v/>
      </c>
      <c r="L351" s="118"/>
      <c r="M351" s="46"/>
      <c r="N351" s="46"/>
      <c r="O351" s="46"/>
      <c r="P351" s="118"/>
      <c r="Q351" s="46"/>
      <c r="R351" s="46"/>
      <c r="S351" s="46"/>
      <c r="T351" s="46"/>
      <c r="U351" s="118"/>
      <c r="V351" s="46"/>
      <c r="W351" s="88" t="str">
        <f>IF(V351&lt;&gt;"",SUMIFS('📊 รายงานสินค้าคงเหลือ'!G:G,'📊 รายงานสินค้าคงเหลือ'!D:D,V351),"")</f>
        <v/>
      </c>
      <c r="X351" s="46"/>
      <c r="Y351" s="46"/>
      <c r="Z351" s="46"/>
    </row>
    <row r="352">
      <c r="A352" s="46"/>
      <c r="B352" s="16"/>
      <c r="C352" s="118"/>
      <c r="D352" s="126"/>
      <c r="E352" s="88"/>
      <c r="F352" s="118"/>
      <c r="G352" s="46"/>
      <c r="H352" s="46"/>
      <c r="I352" s="118"/>
      <c r="J352" s="46"/>
      <c r="K352" s="16" t="str">
        <f>IF(J352&lt;&gt;"",SUMIFS('💰 Transaction ขาย'!$F:$F,'💰 Transaction ขาย'!$K:$K,$J352,'💰 Transaction ขาย'!$J:$J,$B$1),"")</f>
        <v/>
      </c>
      <c r="L352" s="118"/>
      <c r="M352" s="46"/>
      <c r="N352" s="46"/>
      <c r="O352" s="46"/>
      <c r="P352" s="118"/>
      <c r="Q352" s="46"/>
      <c r="R352" s="46"/>
      <c r="S352" s="46"/>
      <c r="T352" s="46"/>
      <c r="U352" s="118"/>
      <c r="V352" s="46"/>
      <c r="W352" s="88" t="str">
        <f>IF(V352&lt;&gt;"",SUMIFS('📊 รายงานสินค้าคงเหลือ'!G:G,'📊 รายงานสินค้าคงเหลือ'!D:D,V352),"")</f>
        <v/>
      </c>
      <c r="X352" s="46"/>
      <c r="Y352" s="46"/>
      <c r="Z352" s="46"/>
    </row>
    <row r="353">
      <c r="A353" s="46"/>
      <c r="B353" s="16"/>
      <c r="C353" s="118"/>
      <c r="D353" s="126"/>
      <c r="E353" s="88"/>
      <c r="F353" s="118"/>
      <c r="G353" s="46"/>
      <c r="H353" s="46"/>
      <c r="I353" s="118"/>
      <c r="J353" s="46"/>
      <c r="K353" s="16" t="str">
        <f>IF(J353&lt;&gt;"",SUMIFS('💰 Transaction ขาย'!$F:$F,'💰 Transaction ขาย'!$K:$K,$J353,'💰 Transaction ขาย'!$J:$J,$B$1),"")</f>
        <v/>
      </c>
      <c r="L353" s="118"/>
      <c r="M353" s="46"/>
      <c r="N353" s="46"/>
      <c r="O353" s="46"/>
      <c r="P353" s="118"/>
      <c r="Q353" s="46"/>
      <c r="R353" s="46"/>
      <c r="S353" s="46"/>
      <c r="T353" s="46"/>
      <c r="U353" s="118"/>
      <c r="V353" s="46"/>
      <c r="W353" s="88" t="str">
        <f>IF(V353&lt;&gt;"",SUMIFS('📊 รายงานสินค้าคงเหลือ'!G:G,'📊 รายงานสินค้าคงเหลือ'!D:D,V353),"")</f>
        <v/>
      </c>
      <c r="X353" s="46"/>
      <c r="Y353" s="46"/>
      <c r="Z353" s="46"/>
    </row>
    <row r="354">
      <c r="A354" s="46"/>
      <c r="B354" s="16"/>
      <c r="C354" s="118"/>
      <c r="D354" s="126"/>
      <c r="E354" s="88"/>
      <c r="F354" s="118"/>
      <c r="G354" s="46"/>
      <c r="H354" s="46"/>
      <c r="I354" s="118"/>
      <c r="J354" s="46"/>
      <c r="K354" s="16" t="str">
        <f>IF(J354&lt;&gt;"",SUMIFS('💰 Transaction ขาย'!$F:$F,'💰 Transaction ขาย'!$K:$K,$J354,'💰 Transaction ขาย'!$J:$J,$B$1),"")</f>
        <v/>
      </c>
      <c r="L354" s="118"/>
      <c r="M354" s="46"/>
      <c r="N354" s="46"/>
      <c r="O354" s="46"/>
      <c r="P354" s="118"/>
      <c r="Q354" s="46"/>
      <c r="R354" s="46"/>
      <c r="S354" s="46"/>
      <c r="T354" s="46"/>
      <c r="U354" s="118"/>
      <c r="V354" s="46"/>
      <c r="W354" s="88" t="str">
        <f>IF(V354&lt;&gt;"",SUMIFS('📊 รายงานสินค้าคงเหลือ'!G:G,'📊 รายงานสินค้าคงเหลือ'!D:D,V354),"")</f>
        <v/>
      </c>
      <c r="X354" s="46"/>
      <c r="Y354" s="46"/>
      <c r="Z354" s="46"/>
    </row>
    <row r="355">
      <c r="A355" s="46"/>
      <c r="B355" s="16"/>
      <c r="C355" s="118"/>
      <c r="D355" s="126"/>
      <c r="E355" s="88"/>
      <c r="F355" s="118"/>
      <c r="G355" s="46"/>
      <c r="H355" s="46"/>
      <c r="I355" s="118"/>
      <c r="J355" s="46"/>
      <c r="K355" s="16" t="str">
        <f>IF(J355&lt;&gt;"",SUMIFS('💰 Transaction ขาย'!$F:$F,'💰 Transaction ขาย'!$K:$K,$J355,'💰 Transaction ขาย'!$J:$J,$B$1),"")</f>
        <v/>
      </c>
      <c r="L355" s="118"/>
      <c r="M355" s="46"/>
      <c r="N355" s="46"/>
      <c r="O355" s="46"/>
      <c r="P355" s="118"/>
      <c r="Q355" s="46"/>
      <c r="R355" s="46"/>
      <c r="S355" s="46"/>
      <c r="T355" s="46"/>
      <c r="U355" s="118"/>
      <c r="V355" s="46"/>
      <c r="W355" s="88" t="str">
        <f>IF(V355&lt;&gt;"",SUMIFS('📊 รายงานสินค้าคงเหลือ'!G:G,'📊 รายงานสินค้าคงเหลือ'!D:D,V355),"")</f>
        <v/>
      </c>
      <c r="X355" s="46"/>
      <c r="Y355" s="46"/>
      <c r="Z355" s="46"/>
    </row>
    <row r="356">
      <c r="A356" s="46"/>
      <c r="B356" s="16"/>
      <c r="C356" s="118"/>
      <c r="D356" s="126"/>
      <c r="E356" s="88"/>
      <c r="F356" s="118"/>
      <c r="G356" s="46"/>
      <c r="H356" s="46"/>
      <c r="I356" s="118"/>
      <c r="J356" s="46"/>
      <c r="K356" s="16" t="str">
        <f>IF(J356&lt;&gt;"",SUMIFS('💰 Transaction ขาย'!$F:$F,'💰 Transaction ขาย'!$K:$K,$J356,'💰 Transaction ขาย'!$J:$J,$B$1),"")</f>
        <v/>
      </c>
      <c r="L356" s="118"/>
      <c r="M356" s="46"/>
      <c r="N356" s="46"/>
      <c r="O356" s="46"/>
      <c r="P356" s="118"/>
      <c r="Q356" s="46"/>
      <c r="R356" s="46"/>
      <c r="S356" s="46"/>
      <c r="T356" s="46"/>
      <c r="U356" s="118"/>
      <c r="V356" s="46"/>
      <c r="W356" s="88" t="str">
        <f>IF(V356&lt;&gt;"",SUMIFS('📊 รายงานสินค้าคงเหลือ'!G:G,'📊 รายงานสินค้าคงเหลือ'!D:D,V356),"")</f>
        <v/>
      </c>
      <c r="X356" s="46"/>
      <c r="Y356" s="46"/>
      <c r="Z356" s="46"/>
    </row>
    <row r="357">
      <c r="A357" s="46"/>
      <c r="B357" s="16"/>
      <c r="C357" s="118"/>
      <c r="D357" s="126"/>
      <c r="E357" s="88"/>
      <c r="F357" s="118"/>
      <c r="G357" s="46"/>
      <c r="H357" s="46"/>
      <c r="I357" s="118"/>
      <c r="J357" s="46"/>
      <c r="K357" s="16" t="str">
        <f>IF(J357&lt;&gt;"",SUMIFS('💰 Transaction ขาย'!$F:$F,'💰 Transaction ขาย'!$K:$K,$J357,'💰 Transaction ขาย'!$J:$J,$B$1),"")</f>
        <v/>
      </c>
      <c r="L357" s="118"/>
      <c r="M357" s="46"/>
      <c r="N357" s="46"/>
      <c r="O357" s="46"/>
      <c r="P357" s="118"/>
      <c r="Q357" s="46"/>
      <c r="R357" s="46"/>
      <c r="S357" s="46"/>
      <c r="T357" s="46"/>
      <c r="U357" s="118"/>
      <c r="V357" s="46"/>
      <c r="W357" s="88" t="str">
        <f>IF(V357&lt;&gt;"",SUMIFS('📊 รายงานสินค้าคงเหลือ'!G:G,'📊 รายงานสินค้าคงเหลือ'!D:D,V357),"")</f>
        <v/>
      </c>
      <c r="X357" s="46"/>
      <c r="Y357" s="46"/>
      <c r="Z357" s="46"/>
    </row>
    <row r="358">
      <c r="A358" s="46"/>
      <c r="B358" s="16"/>
      <c r="C358" s="118"/>
      <c r="D358" s="126"/>
      <c r="E358" s="88"/>
      <c r="F358" s="118"/>
      <c r="G358" s="46"/>
      <c r="H358" s="46"/>
      <c r="I358" s="118"/>
      <c r="J358" s="46"/>
      <c r="K358" s="16" t="str">
        <f>IF(J358&lt;&gt;"",SUMIFS('💰 Transaction ขาย'!$F:$F,'💰 Transaction ขาย'!$K:$K,$J358,'💰 Transaction ขาย'!$J:$J,$B$1),"")</f>
        <v/>
      </c>
      <c r="L358" s="118"/>
      <c r="M358" s="46"/>
      <c r="N358" s="46"/>
      <c r="O358" s="46"/>
      <c r="P358" s="118"/>
      <c r="Q358" s="46"/>
      <c r="R358" s="46"/>
      <c r="S358" s="46"/>
      <c r="T358" s="46"/>
      <c r="U358" s="118"/>
      <c r="V358" s="46"/>
      <c r="W358" s="88" t="str">
        <f>IF(V358&lt;&gt;"",SUMIFS('📊 รายงานสินค้าคงเหลือ'!G:G,'📊 รายงานสินค้าคงเหลือ'!D:D,V358),"")</f>
        <v/>
      </c>
      <c r="X358" s="46"/>
      <c r="Y358" s="46"/>
      <c r="Z358" s="46"/>
    </row>
    <row r="359">
      <c r="A359" s="46"/>
      <c r="B359" s="16"/>
      <c r="C359" s="118"/>
      <c r="D359" s="126"/>
      <c r="E359" s="88"/>
      <c r="F359" s="118"/>
      <c r="G359" s="46"/>
      <c r="H359" s="46"/>
      <c r="I359" s="118"/>
      <c r="J359" s="46"/>
      <c r="K359" s="16" t="str">
        <f>IF(J359&lt;&gt;"",SUMIFS('💰 Transaction ขาย'!$F:$F,'💰 Transaction ขาย'!$K:$K,$J359,'💰 Transaction ขาย'!$J:$J,$B$1),"")</f>
        <v/>
      </c>
      <c r="L359" s="118"/>
      <c r="M359" s="46"/>
      <c r="N359" s="46"/>
      <c r="O359" s="46"/>
      <c r="P359" s="118"/>
      <c r="Q359" s="46"/>
      <c r="R359" s="46"/>
      <c r="S359" s="46"/>
      <c r="T359" s="46"/>
      <c r="U359" s="118"/>
      <c r="V359" s="46"/>
      <c r="W359" s="88" t="str">
        <f>IF(V359&lt;&gt;"",SUMIFS('📊 รายงานสินค้าคงเหลือ'!G:G,'📊 รายงานสินค้าคงเหลือ'!D:D,V359),"")</f>
        <v/>
      </c>
      <c r="X359" s="46"/>
      <c r="Y359" s="46"/>
      <c r="Z359" s="46"/>
    </row>
    <row r="360">
      <c r="A360" s="46"/>
      <c r="B360" s="16"/>
      <c r="C360" s="118"/>
      <c r="D360" s="126"/>
      <c r="E360" s="88"/>
      <c r="F360" s="118"/>
      <c r="G360" s="46"/>
      <c r="H360" s="46"/>
      <c r="I360" s="118"/>
      <c r="J360" s="46"/>
      <c r="K360" s="16" t="str">
        <f>IF(J360&lt;&gt;"",SUMIFS('💰 Transaction ขาย'!$F:$F,'💰 Transaction ขาย'!$K:$K,$J360,'💰 Transaction ขาย'!$J:$J,$B$1),"")</f>
        <v/>
      </c>
      <c r="L360" s="118"/>
      <c r="M360" s="46"/>
      <c r="N360" s="46"/>
      <c r="O360" s="46"/>
      <c r="P360" s="118"/>
      <c r="Q360" s="46"/>
      <c r="R360" s="46"/>
      <c r="S360" s="46"/>
      <c r="T360" s="46"/>
      <c r="U360" s="118"/>
      <c r="V360" s="46"/>
      <c r="W360" s="88" t="str">
        <f>IF(V360&lt;&gt;"",SUMIFS('📊 รายงานสินค้าคงเหลือ'!G:G,'📊 รายงานสินค้าคงเหลือ'!D:D,V360),"")</f>
        <v/>
      </c>
      <c r="X360" s="46"/>
      <c r="Y360" s="46"/>
      <c r="Z360" s="46"/>
    </row>
    <row r="361">
      <c r="A361" s="46"/>
      <c r="B361" s="16"/>
      <c r="C361" s="118"/>
      <c r="D361" s="126"/>
      <c r="E361" s="88"/>
      <c r="F361" s="118"/>
      <c r="G361" s="46"/>
      <c r="H361" s="46"/>
      <c r="I361" s="118"/>
      <c r="J361" s="46"/>
      <c r="K361" s="16" t="str">
        <f>IF(J361&lt;&gt;"",SUMIFS('💰 Transaction ขาย'!$F:$F,'💰 Transaction ขาย'!$K:$K,$J361,'💰 Transaction ขาย'!$J:$J,$B$1),"")</f>
        <v/>
      </c>
      <c r="L361" s="118"/>
      <c r="M361" s="46"/>
      <c r="N361" s="46"/>
      <c r="O361" s="46"/>
      <c r="P361" s="118"/>
      <c r="Q361" s="46"/>
      <c r="R361" s="46"/>
      <c r="S361" s="46"/>
      <c r="T361" s="46"/>
      <c r="U361" s="118"/>
      <c r="V361" s="46"/>
      <c r="W361" s="88" t="str">
        <f>IF(V361&lt;&gt;"",SUMIFS('📊 รายงานสินค้าคงเหลือ'!G:G,'📊 รายงานสินค้าคงเหลือ'!D:D,V361),"")</f>
        <v/>
      </c>
      <c r="X361" s="46"/>
      <c r="Y361" s="46"/>
      <c r="Z361" s="46"/>
    </row>
    <row r="362">
      <c r="A362" s="46"/>
      <c r="B362" s="16"/>
      <c r="C362" s="118"/>
      <c r="D362" s="126"/>
      <c r="E362" s="88"/>
      <c r="F362" s="118"/>
      <c r="G362" s="46"/>
      <c r="H362" s="46"/>
      <c r="I362" s="118"/>
      <c r="J362" s="46"/>
      <c r="K362" s="16" t="str">
        <f>IF(J362&lt;&gt;"",SUMIFS('💰 Transaction ขาย'!$F:$F,'💰 Transaction ขาย'!$K:$K,$J362,'💰 Transaction ขาย'!$J:$J,$B$1),"")</f>
        <v/>
      </c>
      <c r="L362" s="118"/>
      <c r="M362" s="46"/>
      <c r="N362" s="46"/>
      <c r="O362" s="46"/>
      <c r="P362" s="118"/>
      <c r="Q362" s="46"/>
      <c r="R362" s="46"/>
      <c r="S362" s="46"/>
      <c r="T362" s="46"/>
      <c r="U362" s="118"/>
      <c r="V362" s="46"/>
      <c r="W362" s="88" t="str">
        <f>IF(V362&lt;&gt;"",SUMIFS('📊 รายงานสินค้าคงเหลือ'!G:G,'📊 รายงานสินค้าคงเหลือ'!D:D,V362),"")</f>
        <v/>
      </c>
      <c r="X362" s="46"/>
      <c r="Y362" s="46"/>
      <c r="Z362" s="46"/>
    </row>
    <row r="363">
      <c r="A363" s="46"/>
      <c r="B363" s="16"/>
      <c r="C363" s="118"/>
      <c r="D363" s="126"/>
      <c r="E363" s="88"/>
      <c r="F363" s="118"/>
      <c r="G363" s="46"/>
      <c r="H363" s="46"/>
      <c r="I363" s="118"/>
      <c r="J363" s="46"/>
      <c r="K363" s="16" t="str">
        <f>IF(J363&lt;&gt;"",SUMIFS('💰 Transaction ขาย'!$F:$F,'💰 Transaction ขาย'!$K:$K,$J363,'💰 Transaction ขาย'!$J:$J,$B$1),"")</f>
        <v/>
      </c>
      <c r="L363" s="118"/>
      <c r="M363" s="46"/>
      <c r="N363" s="46"/>
      <c r="O363" s="46"/>
      <c r="P363" s="118"/>
      <c r="Q363" s="46"/>
      <c r="R363" s="46"/>
      <c r="S363" s="46"/>
      <c r="T363" s="46"/>
      <c r="U363" s="118"/>
      <c r="V363" s="46"/>
      <c r="W363" s="88" t="str">
        <f>IF(V363&lt;&gt;"",SUMIFS('📊 รายงานสินค้าคงเหลือ'!G:G,'📊 รายงานสินค้าคงเหลือ'!D:D,V363),"")</f>
        <v/>
      </c>
      <c r="X363" s="46"/>
      <c r="Y363" s="46"/>
      <c r="Z363" s="46"/>
    </row>
    <row r="364">
      <c r="A364" s="46"/>
      <c r="B364" s="16"/>
      <c r="C364" s="118"/>
      <c r="D364" s="126"/>
      <c r="E364" s="88"/>
      <c r="F364" s="118"/>
      <c r="G364" s="46"/>
      <c r="H364" s="46"/>
      <c r="I364" s="118"/>
      <c r="J364" s="46"/>
      <c r="K364" s="16" t="str">
        <f>IF(J364&lt;&gt;"",SUMIFS('💰 Transaction ขาย'!$F:$F,'💰 Transaction ขาย'!$K:$K,$J364,'💰 Transaction ขาย'!$J:$J,$B$1),"")</f>
        <v/>
      </c>
      <c r="L364" s="118"/>
      <c r="M364" s="46"/>
      <c r="N364" s="46"/>
      <c r="O364" s="46"/>
      <c r="P364" s="118"/>
      <c r="Q364" s="46"/>
      <c r="R364" s="46"/>
      <c r="S364" s="46"/>
      <c r="T364" s="46"/>
      <c r="U364" s="118"/>
      <c r="V364" s="46"/>
      <c r="W364" s="88" t="str">
        <f>IF(V364&lt;&gt;"",SUMIFS('📊 รายงานสินค้าคงเหลือ'!G:G,'📊 รายงานสินค้าคงเหลือ'!D:D,V364),"")</f>
        <v/>
      </c>
      <c r="X364" s="46"/>
      <c r="Y364" s="46"/>
      <c r="Z364" s="46"/>
    </row>
    <row r="365">
      <c r="A365" s="46"/>
      <c r="B365" s="16"/>
      <c r="C365" s="118"/>
      <c r="D365" s="126"/>
      <c r="E365" s="88"/>
      <c r="F365" s="118"/>
      <c r="G365" s="46"/>
      <c r="H365" s="46"/>
      <c r="I365" s="118"/>
      <c r="J365" s="46"/>
      <c r="K365" s="16" t="str">
        <f>IF(J365&lt;&gt;"",SUMIFS('💰 Transaction ขาย'!$F:$F,'💰 Transaction ขาย'!$K:$K,$J365,'💰 Transaction ขาย'!$J:$J,$B$1),"")</f>
        <v/>
      </c>
      <c r="L365" s="118"/>
      <c r="M365" s="46"/>
      <c r="N365" s="46"/>
      <c r="O365" s="46"/>
      <c r="P365" s="118"/>
      <c r="Q365" s="46"/>
      <c r="R365" s="46"/>
      <c r="S365" s="46"/>
      <c r="T365" s="46"/>
      <c r="U365" s="118"/>
      <c r="V365" s="46"/>
      <c r="W365" s="88" t="str">
        <f>IF(V365&lt;&gt;"",SUMIFS('📊 รายงานสินค้าคงเหลือ'!G:G,'📊 รายงานสินค้าคงเหลือ'!D:D,V365),"")</f>
        <v/>
      </c>
      <c r="X365" s="46"/>
      <c r="Y365" s="46"/>
      <c r="Z365" s="46"/>
    </row>
    <row r="366">
      <c r="A366" s="46"/>
      <c r="B366" s="16"/>
      <c r="C366" s="118"/>
      <c r="D366" s="126"/>
      <c r="E366" s="88"/>
      <c r="F366" s="118"/>
      <c r="G366" s="46"/>
      <c r="H366" s="46"/>
      <c r="I366" s="118"/>
      <c r="J366" s="46"/>
      <c r="K366" s="16" t="str">
        <f>IF(J366&lt;&gt;"",SUMIFS('💰 Transaction ขาย'!$F:$F,'💰 Transaction ขาย'!$K:$K,$J366,'💰 Transaction ขาย'!$J:$J,$B$1),"")</f>
        <v/>
      </c>
      <c r="L366" s="118"/>
      <c r="M366" s="46"/>
      <c r="N366" s="46"/>
      <c r="O366" s="46"/>
      <c r="P366" s="118"/>
      <c r="Q366" s="46"/>
      <c r="R366" s="46"/>
      <c r="S366" s="46"/>
      <c r="T366" s="46"/>
      <c r="U366" s="118"/>
      <c r="V366" s="46"/>
      <c r="W366" s="88" t="str">
        <f>IF(V366&lt;&gt;"",SUMIFS('📊 รายงานสินค้าคงเหลือ'!G:G,'📊 รายงานสินค้าคงเหลือ'!D:D,V366),"")</f>
        <v/>
      </c>
      <c r="X366" s="46"/>
      <c r="Y366" s="46"/>
      <c r="Z366" s="46"/>
    </row>
    <row r="367">
      <c r="A367" s="46"/>
      <c r="B367" s="16"/>
      <c r="C367" s="118"/>
      <c r="D367" s="126"/>
      <c r="E367" s="88"/>
      <c r="F367" s="118"/>
      <c r="G367" s="46"/>
      <c r="H367" s="46"/>
      <c r="I367" s="118"/>
      <c r="J367" s="46"/>
      <c r="K367" s="16" t="str">
        <f>IF(J367&lt;&gt;"",SUMIFS('💰 Transaction ขาย'!$F:$F,'💰 Transaction ขาย'!$K:$K,$J367,'💰 Transaction ขาย'!$J:$J,$B$1),"")</f>
        <v/>
      </c>
      <c r="L367" s="118"/>
      <c r="M367" s="46"/>
      <c r="N367" s="46"/>
      <c r="O367" s="46"/>
      <c r="P367" s="118"/>
      <c r="Q367" s="46"/>
      <c r="R367" s="46"/>
      <c r="S367" s="46"/>
      <c r="T367" s="46"/>
      <c r="U367" s="118"/>
      <c r="V367" s="46"/>
      <c r="W367" s="88" t="str">
        <f>IF(V367&lt;&gt;"",SUMIFS('📊 รายงานสินค้าคงเหลือ'!G:G,'📊 รายงานสินค้าคงเหลือ'!D:D,V367),"")</f>
        <v/>
      </c>
      <c r="X367" s="46"/>
      <c r="Y367" s="46"/>
      <c r="Z367" s="46"/>
    </row>
    <row r="368">
      <c r="A368" s="46"/>
      <c r="B368" s="16"/>
      <c r="C368" s="118"/>
      <c r="D368" s="126"/>
      <c r="E368" s="88"/>
      <c r="F368" s="118"/>
      <c r="G368" s="46"/>
      <c r="H368" s="46"/>
      <c r="I368" s="118"/>
      <c r="J368" s="46"/>
      <c r="K368" s="16" t="str">
        <f>IF(J368&lt;&gt;"",SUMIFS('💰 Transaction ขาย'!$F:$F,'💰 Transaction ขาย'!$K:$K,$J368,'💰 Transaction ขาย'!$J:$J,$B$1),"")</f>
        <v/>
      </c>
      <c r="L368" s="118"/>
      <c r="M368" s="46"/>
      <c r="N368" s="46"/>
      <c r="O368" s="46"/>
      <c r="P368" s="118"/>
      <c r="Q368" s="46"/>
      <c r="R368" s="46"/>
      <c r="S368" s="46"/>
      <c r="T368" s="46"/>
      <c r="U368" s="118"/>
      <c r="V368" s="46"/>
      <c r="W368" s="88" t="str">
        <f>IF(V368&lt;&gt;"",SUMIFS('📊 รายงานสินค้าคงเหลือ'!G:G,'📊 รายงานสินค้าคงเหลือ'!D:D,V368),"")</f>
        <v/>
      </c>
      <c r="X368" s="46"/>
      <c r="Y368" s="46"/>
      <c r="Z368" s="46"/>
    </row>
    <row r="369">
      <c r="A369" s="46"/>
      <c r="B369" s="16"/>
      <c r="C369" s="118"/>
      <c r="D369" s="126"/>
      <c r="E369" s="88"/>
      <c r="F369" s="118"/>
      <c r="G369" s="46"/>
      <c r="H369" s="46"/>
      <c r="I369" s="118"/>
      <c r="J369" s="46"/>
      <c r="K369" s="16" t="str">
        <f>IF(J369&lt;&gt;"",SUMIFS('💰 Transaction ขาย'!$F:$F,'💰 Transaction ขาย'!$K:$K,$J369,'💰 Transaction ขาย'!$J:$J,$B$1),"")</f>
        <v/>
      </c>
      <c r="L369" s="118"/>
      <c r="M369" s="46"/>
      <c r="N369" s="46"/>
      <c r="O369" s="46"/>
      <c r="P369" s="118"/>
      <c r="Q369" s="46"/>
      <c r="R369" s="46"/>
      <c r="S369" s="46"/>
      <c r="T369" s="46"/>
      <c r="U369" s="118"/>
      <c r="V369" s="46"/>
      <c r="W369" s="88" t="str">
        <f>IF(V369&lt;&gt;"",SUMIFS('📊 รายงานสินค้าคงเหลือ'!G:G,'📊 รายงานสินค้าคงเหลือ'!D:D,V369),"")</f>
        <v/>
      </c>
      <c r="X369" s="46"/>
      <c r="Y369" s="46"/>
      <c r="Z369" s="46"/>
    </row>
    <row r="370">
      <c r="A370" s="46"/>
      <c r="B370" s="16"/>
      <c r="C370" s="118"/>
      <c r="D370" s="126"/>
      <c r="E370" s="88"/>
      <c r="F370" s="118"/>
      <c r="G370" s="46"/>
      <c r="H370" s="46"/>
      <c r="I370" s="118"/>
      <c r="J370" s="46"/>
      <c r="K370" s="16" t="str">
        <f>IF(J370&lt;&gt;"",SUMIFS('💰 Transaction ขาย'!$F:$F,'💰 Transaction ขาย'!$K:$K,$J370,'💰 Transaction ขาย'!$J:$J,$B$1),"")</f>
        <v/>
      </c>
      <c r="L370" s="118"/>
      <c r="M370" s="46"/>
      <c r="N370" s="46"/>
      <c r="O370" s="46"/>
      <c r="P370" s="118"/>
      <c r="Q370" s="46"/>
      <c r="R370" s="46"/>
      <c r="S370" s="46"/>
      <c r="T370" s="46"/>
      <c r="U370" s="118"/>
      <c r="V370" s="46"/>
      <c r="W370" s="88" t="str">
        <f>IF(V370&lt;&gt;"",SUMIFS('📊 รายงานสินค้าคงเหลือ'!G:G,'📊 รายงานสินค้าคงเหลือ'!D:D,V370),"")</f>
        <v/>
      </c>
      <c r="X370" s="46"/>
      <c r="Y370" s="46"/>
      <c r="Z370" s="46"/>
    </row>
    <row r="371">
      <c r="A371" s="46"/>
      <c r="B371" s="16"/>
      <c r="C371" s="118"/>
      <c r="D371" s="126"/>
      <c r="E371" s="88"/>
      <c r="F371" s="118"/>
      <c r="G371" s="46"/>
      <c r="H371" s="46"/>
      <c r="I371" s="118"/>
      <c r="J371" s="46"/>
      <c r="K371" s="16" t="str">
        <f>IF(J371&lt;&gt;"",SUMIFS('💰 Transaction ขาย'!$F:$F,'💰 Transaction ขาย'!$K:$K,$J371,'💰 Transaction ขาย'!$J:$J,$B$1),"")</f>
        <v/>
      </c>
      <c r="L371" s="118"/>
      <c r="M371" s="46"/>
      <c r="N371" s="46"/>
      <c r="O371" s="46"/>
      <c r="P371" s="118"/>
      <c r="Q371" s="46"/>
      <c r="R371" s="46"/>
      <c r="S371" s="46"/>
      <c r="T371" s="46"/>
      <c r="U371" s="118"/>
      <c r="V371" s="46"/>
      <c r="W371" s="88" t="str">
        <f>IF(V371&lt;&gt;"",SUMIFS('📊 รายงานสินค้าคงเหลือ'!G:G,'📊 รายงานสินค้าคงเหลือ'!D:D,V371),"")</f>
        <v/>
      </c>
      <c r="X371" s="46"/>
      <c r="Y371" s="46"/>
      <c r="Z371" s="46"/>
    </row>
    <row r="372">
      <c r="A372" s="46"/>
      <c r="B372" s="16"/>
      <c r="C372" s="118"/>
      <c r="D372" s="126"/>
      <c r="E372" s="88"/>
      <c r="F372" s="118"/>
      <c r="G372" s="46"/>
      <c r="H372" s="46"/>
      <c r="I372" s="118"/>
      <c r="J372" s="46"/>
      <c r="K372" s="16" t="str">
        <f>IF(J372&lt;&gt;"",SUMIFS('💰 Transaction ขาย'!$F:$F,'💰 Transaction ขาย'!$K:$K,$J372,'💰 Transaction ขาย'!$J:$J,$B$1),"")</f>
        <v/>
      </c>
      <c r="L372" s="118"/>
      <c r="M372" s="46"/>
      <c r="N372" s="46"/>
      <c r="O372" s="46"/>
      <c r="P372" s="118"/>
      <c r="Q372" s="46"/>
      <c r="R372" s="46"/>
      <c r="S372" s="46"/>
      <c r="T372" s="46"/>
      <c r="U372" s="118"/>
      <c r="V372" s="46"/>
      <c r="W372" s="88" t="str">
        <f>IF(V372&lt;&gt;"",SUMIFS('📊 รายงานสินค้าคงเหลือ'!G:G,'📊 รายงานสินค้าคงเหลือ'!D:D,V372),"")</f>
        <v/>
      </c>
      <c r="X372" s="46"/>
      <c r="Y372" s="46"/>
      <c r="Z372" s="46"/>
    </row>
    <row r="373">
      <c r="A373" s="46"/>
      <c r="B373" s="16"/>
      <c r="C373" s="118"/>
      <c r="D373" s="126"/>
      <c r="E373" s="88"/>
      <c r="F373" s="118"/>
      <c r="G373" s="46"/>
      <c r="H373" s="46"/>
      <c r="I373" s="118"/>
      <c r="J373" s="46"/>
      <c r="K373" s="16" t="str">
        <f>IF(J373&lt;&gt;"",SUMIFS('💰 Transaction ขาย'!$F:$F,'💰 Transaction ขาย'!$K:$K,$J373,'💰 Transaction ขาย'!$J:$J,$B$1),"")</f>
        <v/>
      </c>
      <c r="L373" s="118"/>
      <c r="M373" s="46"/>
      <c r="N373" s="46"/>
      <c r="O373" s="46"/>
      <c r="P373" s="118"/>
      <c r="Q373" s="46"/>
      <c r="R373" s="46"/>
      <c r="S373" s="46"/>
      <c r="T373" s="46"/>
      <c r="U373" s="118"/>
      <c r="V373" s="46"/>
      <c r="W373" s="88" t="str">
        <f>IF(V373&lt;&gt;"",SUMIFS('📊 รายงานสินค้าคงเหลือ'!G:G,'📊 รายงานสินค้าคงเหลือ'!D:D,V373),"")</f>
        <v/>
      </c>
      <c r="X373" s="46"/>
      <c r="Y373" s="46"/>
      <c r="Z373" s="46"/>
    </row>
    <row r="374">
      <c r="A374" s="46"/>
      <c r="B374" s="16"/>
      <c r="C374" s="118"/>
      <c r="D374" s="126"/>
      <c r="E374" s="88"/>
      <c r="F374" s="118"/>
      <c r="G374" s="46"/>
      <c r="H374" s="46"/>
      <c r="I374" s="118"/>
      <c r="J374" s="46"/>
      <c r="K374" s="16" t="str">
        <f>IF(J374&lt;&gt;"",SUMIFS('💰 Transaction ขาย'!$F:$F,'💰 Transaction ขาย'!$K:$K,$J374,'💰 Transaction ขาย'!$J:$J,$B$1),"")</f>
        <v/>
      </c>
      <c r="L374" s="118"/>
      <c r="M374" s="46"/>
      <c r="N374" s="46"/>
      <c r="O374" s="46"/>
      <c r="P374" s="118"/>
      <c r="Q374" s="46"/>
      <c r="R374" s="46"/>
      <c r="S374" s="46"/>
      <c r="T374" s="46"/>
      <c r="U374" s="118"/>
      <c r="V374" s="46"/>
      <c r="W374" s="88" t="str">
        <f>IF(V374&lt;&gt;"",SUMIFS('📊 รายงานสินค้าคงเหลือ'!G:G,'📊 รายงานสินค้าคงเหลือ'!D:D,V374),"")</f>
        <v/>
      </c>
      <c r="X374" s="46"/>
      <c r="Y374" s="46"/>
      <c r="Z374" s="46"/>
    </row>
    <row r="375">
      <c r="A375" s="46"/>
      <c r="B375" s="16"/>
      <c r="C375" s="118"/>
      <c r="D375" s="126"/>
      <c r="E375" s="88"/>
      <c r="F375" s="118"/>
      <c r="G375" s="46"/>
      <c r="H375" s="46"/>
      <c r="I375" s="118"/>
      <c r="J375" s="46"/>
      <c r="K375" s="16" t="str">
        <f>IF(J375&lt;&gt;"",SUMIFS('💰 Transaction ขาย'!$F:$F,'💰 Transaction ขาย'!$K:$K,$J375,'💰 Transaction ขาย'!$J:$J,$B$1),"")</f>
        <v/>
      </c>
      <c r="L375" s="118"/>
      <c r="M375" s="46"/>
      <c r="N375" s="46"/>
      <c r="O375" s="46"/>
      <c r="P375" s="118"/>
      <c r="Q375" s="46"/>
      <c r="R375" s="46"/>
      <c r="S375" s="46"/>
      <c r="T375" s="46"/>
      <c r="U375" s="118"/>
      <c r="V375" s="46"/>
      <c r="W375" s="88" t="str">
        <f>IF(V375&lt;&gt;"",SUMIFS('📊 รายงานสินค้าคงเหลือ'!G:G,'📊 รายงานสินค้าคงเหลือ'!D:D,V375),"")</f>
        <v/>
      </c>
      <c r="X375" s="46"/>
      <c r="Y375" s="46"/>
      <c r="Z375" s="46"/>
    </row>
    <row r="376">
      <c r="A376" s="46"/>
      <c r="B376" s="16"/>
      <c r="C376" s="118"/>
      <c r="D376" s="126"/>
      <c r="E376" s="88"/>
      <c r="F376" s="118"/>
      <c r="G376" s="46"/>
      <c r="H376" s="46"/>
      <c r="I376" s="118"/>
      <c r="J376" s="46"/>
      <c r="K376" s="16" t="str">
        <f>IF(J376&lt;&gt;"",SUMIFS('💰 Transaction ขาย'!$F:$F,'💰 Transaction ขาย'!$K:$K,$J376,'💰 Transaction ขาย'!$J:$J,$B$1),"")</f>
        <v/>
      </c>
      <c r="L376" s="118"/>
      <c r="M376" s="46"/>
      <c r="N376" s="46"/>
      <c r="O376" s="46"/>
      <c r="P376" s="118"/>
      <c r="Q376" s="46"/>
      <c r="R376" s="46"/>
      <c r="S376" s="46"/>
      <c r="T376" s="46"/>
      <c r="U376" s="118"/>
      <c r="V376" s="46"/>
      <c r="W376" s="88" t="str">
        <f>IF(V376&lt;&gt;"",SUMIFS('📊 รายงานสินค้าคงเหลือ'!G:G,'📊 รายงานสินค้าคงเหลือ'!D:D,V376),"")</f>
        <v/>
      </c>
      <c r="X376" s="46"/>
      <c r="Y376" s="46"/>
      <c r="Z376" s="46"/>
    </row>
    <row r="377">
      <c r="A377" s="46"/>
      <c r="B377" s="16"/>
      <c r="C377" s="118"/>
      <c r="D377" s="126"/>
      <c r="E377" s="88"/>
      <c r="F377" s="118"/>
      <c r="G377" s="46"/>
      <c r="H377" s="46"/>
      <c r="I377" s="118"/>
      <c r="J377" s="46"/>
      <c r="K377" s="16" t="str">
        <f>IF(J377&lt;&gt;"",SUMIFS('💰 Transaction ขาย'!$F:$F,'💰 Transaction ขาย'!$K:$K,$J377,'💰 Transaction ขาย'!$J:$J,$B$1),"")</f>
        <v/>
      </c>
      <c r="L377" s="118"/>
      <c r="M377" s="46"/>
      <c r="N377" s="46"/>
      <c r="O377" s="46"/>
      <c r="P377" s="118"/>
      <c r="Q377" s="46"/>
      <c r="R377" s="46"/>
      <c r="S377" s="46"/>
      <c r="T377" s="46"/>
      <c r="U377" s="118"/>
      <c r="V377" s="46"/>
      <c r="W377" s="88" t="str">
        <f>IF(V377&lt;&gt;"",SUMIFS('📊 รายงานสินค้าคงเหลือ'!G:G,'📊 รายงานสินค้าคงเหลือ'!D:D,V377),"")</f>
        <v/>
      </c>
      <c r="X377" s="46"/>
      <c r="Y377" s="46"/>
      <c r="Z377" s="46"/>
    </row>
    <row r="378">
      <c r="A378" s="46"/>
      <c r="B378" s="16"/>
      <c r="C378" s="118"/>
      <c r="D378" s="126"/>
      <c r="E378" s="88"/>
      <c r="F378" s="118"/>
      <c r="G378" s="46"/>
      <c r="H378" s="46"/>
      <c r="I378" s="118"/>
      <c r="J378" s="46"/>
      <c r="K378" s="16" t="str">
        <f>IF(J378&lt;&gt;"",SUMIFS('💰 Transaction ขาย'!$F:$F,'💰 Transaction ขาย'!$K:$K,$J378,'💰 Transaction ขาย'!$J:$J,$B$1),"")</f>
        <v/>
      </c>
      <c r="L378" s="118"/>
      <c r="M378" s="46"/>
      <c r="N378" s="46"/>
      <c r="O378" s="46"/>
      <c r="P378" s="118"/>
      <c r="Q378" s="46"/>
      <c r="R378" s="46"/>
      <c r="S378" s="46"/>
      <c r="T378" s="46"/>
      <c r="U378" s="118"/>
      <c r="V378" s="46"/>
      <c r="W378" s="88" t="str">
        <f>IF(V378&lt;&gt;"",SUMIFS('📊 รายงานสินค้าคงเหลือ'!G:G,'📊 รายงานสินค้าคงเหลือ'!D:D,V378),"")</f>
        <v/>
      </c>
      <c r="X378" s="46"/>
      <c r="Y378" s="46"/>
      <c r="Z378" s="46"/>
    </row>
    <row r="379">
      <c r="A379" s="46"/>
      <c r="B379" s="16"/>
      <c r="C379" s="118"/>
      <c r="D379" s="126"/>
      <c r="E379" s="88"/>
      <c r="F379" s="118"/>
      <c r="G379" s="46"/>
      <c r="H379" s="46"/>
      <c r="I379" s="118"/>
      <c r="J379" s="46"/>
      <c r="K379" s="16" t="str">
        <f>IF(J379&lt;&gt;"",SUMIFS('💰 Transaction ขาย'!$F:$F,'💰 Transaction ขาย'!$K:$K,$J379,'💰 Transaction ขาย'!$J:$J,$B$1),"")</f>
        <v/>
      </c>
      <c r="L379" s="118"/>
      <c r="M379" s="46"/>
      <c r="N379" s="46"/>
      <c r="O379" s="46"/>
      <c r="P379" s="118"/>
      <c r="Q379" s="46"/>
      <c r="R379" s="46"/>
      <c r="S379" s="46"/>
      <c r="T379" s="46"/>
      <c r="U379" s="118"/>
      <c r="V379" s="46"/>
      <c r="W379" s="88" t="str">
        <f>IF(V379&lt;&gt;"",SUMIFS('📊 รายงานสินค้าคงเหลือ'!G:G,'📊 รายงานสินค้าคงเหลือ'!D:D,V379),"")</f>
        <v/>
      </c>
      <c r="X379" s="46"/>
      <c r="Y379" s="46"/>
      <c r="Z379" s="46"/>
    </row>
    <row r="380">
      <c r="A380" s="46"/>
      <c r="B380" s="16"/>
      <c r="C380" s="118"/>
      <c r="D380" s="126"/>
      <c r="E380" s="88"/>
      <c r="F380" s="118"/>
      <c r="G380" s="46"/>
      <c r="H380" s="46"/>
      <c r="I380" s="118"/>
      <c r="J380" s="46"/>
      <c r="K380" s="16" t="str">
        <f>IF(J380&lt;&gt;"",SUMIFS('💰 Transaction ขาย'!$F:$F,'💰 Transaction ขาย'!$K:$K,$J380,'💰 Transaction ขาย'!$J:$J,$B$1),"")</f>
        <v/>
      </c>
      <c r="L380" s="118"/>
      <c r="M380" s="46"/>
      <c r="N380" s="46"/>
      <c r="O380" s="46"/>
      <c r="P380" s="118"/>
      <c r="Q380" s="46"/>
      <c r="R380" s="46"/>
      <c r="S380" s="46"/>
      <c r="T380" s="46"/>
      <c r="U380" s="118"/>
      <c r="V380" s="46"/>
      <c r="W380" s="88" t="str">
        <f>IF(V380&lt;&gt;"",SUMIFS('📊 รายงานสินค้าคงเหลือ'!G:G,'📊 รายงานสินค้าคงเหลือ'!D:D,V380),"")</f>
        <v/>
      </c>
      <c r="X380" s="46"/>
      <c r="Y380" s="46"/>
      <c r="Z380" s="46"/>
    </row>
    <row r="381">
      <c r="A381" s="46"/>
      <c r="B381" s="16"/>
      <c r="C381" s="118"/>
      <c r="D381" s="126"/>
      <c r="E381" s="88"/>
      <c r="F381" s="118"/>
      <c r="G381" s="46"/>
      <c r="H381" s="46"/>
      <c r="I381" s="118"/>
      <c r="J381" s="46"/>
      <c r="K381" s="16" t="str">
        <f>IF(J381&lt;&gt;"",SUMIFS('💰 Transaction ขาย'!$F:$F,'💰 Transaction ขาย'!$K:$K,$J381,'💰 Transaction ขาย'!$J:$J,$B$1),"")</f>
        <v/>
      </c>
      <c r="L381" s="118"/>
      <c r="M381" s="46"/>
      <c r="N381" s="46"/>
      <c r="O381" s="46"/>
      <c r="P381" s="118"/>
      <c r="Q381" s="46"/>
      <c r="R381" s="46"/>
      <c r="S381" s="46"/>
      <c r="T381" s="46"/>
      <c r="U381" s="118"/>
      <c r="V381" s="46"/>
      <c r="W381" s="88" t="str">
        <f>IF(V381&lt;&gt;"",SUMIFS('📊 รายงานสินค้าคงเหลือ'!G:G,'📊 รายงานสินค้าคงเหลือ'!D:D,V381),"")</f>
        <v/>
      </c>
      <c r="X381" s="46"/>
      <c r="Y381" s="46"/>
      <c r="Z381" s="46"/>
    </row>
    <row r="382">
      <c r="A382" s="46"/>
      <c r="B382" s="16"/>
      <c r="C382" s="118"/>
      <c r="D382" s="126"/>
      <c r="E382" s="88"/>
      <c r="F382" s="118"/>
      <c r="G382" s="46"/>
      <c r="H382" s="46"/>
      <c r="I382" s="118"/>
      <c r="J382" s="46"/>
      <c r="K382" s="16" t="str">
        <f>IF(J382&lt;&gt;"",SUMIFS('💰 Transaction ขาย'!$F:$F,'💰 Transaction ขาย'!$K:$K,$J382,'💰 Transaction ขาย'!$J:$J,$B$1),"")</f>
        <v/>
      </c>
      <c r="L382" s="118"/>
      <c r="M382" s="46"/>
      <c r="N382" s="46"/>
      <c r="O382" s="46"/>
      <c r="P382" s="118"/>
      <c r="Q382" s="46"/>
      <c r="R382" s="46"/>
      <c r="S382" s="46"/>
      <c r="T382" s="46"/>
      <c r="U382" s="118"/>
      <c r="V382" s="46"/>
      <c r="W382" s="88" t="str">
        <f>IF(V382&lt;&gt;"",SUMIFS('📊 รายงานสินค้าคงเหลือ'!G:G,'📊 รายงานสินค้าคงเหลือ'!D:D,V382),"")</f>
        <v/>
      </c>
      <c r="X382" s="46"/>
      <c r="Y382" s="46"/>
      <c r="Z382" s="46"/>
    </row>
    <row r="383">
      <c r="A383" s="46"/>
      <c r="B383" s="16"/>
      <c r="C383" s="118"/>
      <c r="D383" s="126"/>
      <c r="E383" s="88"/>
      <c r="F383" s="118"/>
      <c r="G383" s="46"/>
      <c r="H383" s="46"/>
      <c r="I383" s="118"/>
      <c r="J383" s="46"/>
      <c r="K383" s="16" t="str">
        <f>IF(J383&lt;&gt;"",SUMIFS('💰 Transaction ขาย'!$F:$F,'💰 Transaction ขาย'!$K:$K,$J383,'💰 Transaction ขาย'!$J:$J,$B$1),"")</f>
        <v/>
      </c>
      <c r="L383" s="118"/>
      <c r="M383" s="46"/>
      <c r="N383" s="46"/>
      <c r="O383" s="46"/>
      <c r="P383" s="118"/>
      <c r="Q383" s="46"/>
      <c r="R383" s="46"/>
      <c r="S383" s="46"/>
      <c r="T383" s="46"/>
      <c r="U383" s="118"/>
      <c r="V383" s="46"/>
      <c r="W383" s="88" t="str">
        <f>IF(V383&lt;&gt;"",SUMIFS('📊 รายงานสินค้าคงเหลือ'!G:G,'📊 รายงานสินค้าคงเหลือ'!D:D,V383),"")</f>
        <v/>
      </c>
      <c r="X383" s="46"/>
      <c r="Y383" s="46"/>
      <c r="Z383" s="46"/>
    </row>
    <row r="384">
      <c r="A384" s="46"/>
      <c r="B384" s="16"/>
      <c r="C384" s="118"/>
      <c r="D384" s="126"/>
      <c r="E384" s="88"/>
      <c r="F384" s="118"/>
      <c r="G384" s="46"/>
      <c r="H384" s="46"/>
      <c r="I384" s="118"/>
      <c r="J384" s="46"/>
      <c r="K384" s="16" t="str">
        <f>IF(J384&lt;&gt;"",SUMIFS('💰 Transaction ขาย'!$F:$F,'💰 Transaction ขาย'!$K:$K,$J384,'💰 Transaction ขาย'!$J:$J,$B$1),"")</f>
        <v/>
      </c>
      <c r="L384" s="118"/>
      <c r="M384" s="46"/>
      <c r="N384" s="46"/>
      <c r="O384" s="46"/>
      <c r="P384" s="118"/>
      <c r="Q384" s="46"/>
      <c r="R384" s="46"/>
      <c r="S384" s="46"/>
      <c r="T384" s="46"/>
      <c r="U384" s="118"/>
      <c r="V384" s="46"/>
      <c r="W384" s="88" t="str">
        <f>IF(V384&lt;&gt;"",SUMIFS('📊 รายงานสินค้าคงเหลือ'!G:G,'📊 รายงานสินค้าคงเหลือ'!D:D,V384),"")</f>
        <v/>
      </c>
      <c r="X384" s="46"/>
      <c r="Y384" s="46"/>
      <c r="Z384" s="46"/>
    </row>
    <row r="385">
      <c r="A385" s="46"/>
      <c r="B385" s="16"/>
      <c r="C385" s="118"/>
      <c r="D385" s="126"/>
      <c r="E385" s="88"/>
      <c r="F385" s="118"/>
      <c r="G385" s="46"/>
      <c r="H385" s="46"/>
      <c r="I385" s="118"/>
      <c r="J385" s="46"/>
      <c r="K385" s="16" t="str">
        <f>IF(J385&lt;&gt;"",SUMIFS('💰 Transaction ขาย'!$F:$F,'💰 Transaction ขาย'!$K:$K,$J385,'💰 Transaction ขาย'!$J:$J,$B$1),"")</f>
        <v/>
      </c>
      <c r="L385" s="118"/>
      <c r="M385" s="46"/>
      <c r="N385" s="46"/>
      <c r="O385" s="46"/>
      <c r="P385" s="118"/>
      <c r="Q385" s="46"/>
      <c r="R385" s="46"/>
      <c r="S385" s="46"/>
      <c r="T385" s="46"/>
      <c r="U385" s="118"/>
      <c r="V385" s="46"/>
      <c r="W385" s="88" t="str">
        <f>IF(V385&lt;&gt;"",SUMIFS('📊 รายงานสินค้าคงเหลือ'!G:G,'📊 รายงานสินค้าคงเหลือ'!D:D,V385),"")</f>
        <v/>
      </c>
      <c r="X385" s="46"/>
      <c r="Y385" s="46"/>
      <c r="Z385" s="46"/>
    </row>
    <row r="386">
      <c r="A386" s="46"/>
      <c r="B386" s="16"/>
      <c r="C386" s="118"/>
      <c r="D386" s="126"/>
      <c r="E386" s="88"/>
      <c r="F386" s="118"/>
      <c r="G386" s="46"/>
      <c r="H386" s="46"/>
      <c r="I386" s="118"/>
      <c r="J386" s="46"/>
      <c r="K386" s="16" t="str">
        <f>IF(J386&lt;&gt;"",SUMIFS('💰 Transaction ขาย'!$F:$F,'💰 Transaction ขาย'!$K:$K,$J386,'💰 Transaction ขาย'!$J:$J,$B$1),"")</f>
        <v/>
      </c>
      <c r="L386" s="118"/>
      <c r="M386" s="46"/>
      <c r="N386" s="46"/>
      <c r="O386" s="46"/>
      <c r="P386" s="118"/>
      <c r="Q386" s="46"/>
      <c r="R386" s="46"/>
      <c r="S386" s="46"/>
      <c r="T386" s="46"/>
      <c r="U386" s="118"/>
      <c r="V386" s="46"/>
      <c r="W386" s="88" t="str">
        <f>IF(V386&lt;&gt;"",SUMIFS('📊 รายงานสินค้าคงเหลือ'!G:G,'📊 รายงานสินค้าคงเหลือ'!D:D,V386),"")</f>
        <v/>
      </c>
      <c r="X386" s="46"/>
      <c r="Y386" s="46"/>
      <c r="Z386" s="46"/>
    </row>
    <row r="387">
      <c r="A387" s="46"/>
      <c r="B387" s="16"/>
      <c r="C387" s="118"/>
      <c r="D387" s="126"/>
      <c r="E387" s="88"/>
      <c r="F387" s="118"/>
      <c r="G387" s="46"/>
      <c r="H387" s="46"/>
      <c r="I387" s="118"/>
      <c r="J387" s="46"/>
      <c r="K387" s="16" t="str">
        <f>IF(J387&lt;&gt;"",SUMIFS('💰 Transaction ขาย'!$F:$F,'💰 Transaction ขาย'!$K:$K,$J387,'💰 Transaction ขาย'!$J:$J,$B$1),"")</f>
        <v/>
      </c>
      <c r="L387" s="118"/>
      <c r="M387" s="46"/>
      <c r="N387" s="46"/>
      <c r="O387" s="46"/>
      <c r="P387" s="118"/>
      <c r="Q387" s="46"/>
      <c r="R387" s="46"/>
      <c r="S387" s="46"/>
      <c r="T387" s="46"/>
      <c r="U387" s="118"/>
      <c r="V387" s="46"/>
      <c r="W387" s="88" t="str">
        <f>IF(V387&lt;&gt;"",SUMIFS('📊 รายงานสินค้าคงเหลือ'!G:G,'📊 รายงานสินค้าคงเหลือ'!D:D,V387),"")</f>
        <v/>
      </c>
      <c r="X387" s="46"/>
      <c r="Y387" s="46"/>
      <c r="Z387" s="46"/>
    </row>
    <row r="388">
      <c r="A388" s="46"/>
      <c r="B388" s="16"/>
      <c r="C388" s="118"/>
      <c r="D388" s="126"/>
      <c r="E388" s="88"/>
      <c r="F388" s="118"/>
      <c r="G388" s="46"/>
      <c r="H388" s="46"/>
      <c r="I388" s="118"/>
      <c r="J388" s="46"/>
      <c r="K388" s="16" t="str">
        <f>IF(J388&lt;&gt;"",SUMIFS('💰 Transaction ขาย'!$F:$F,'💰 Transaction ขาย'!$K:$K,$J388,'💰 Transaction ขาย'!$J:$J,$B$1),"")</f>
        <v/>
      </c>
      <c r="L388" s="118"/>
      <c r="M388" s="46"/>
      <c r="N388" s="46"/>
      <c r="O388" s="46"/>
      <c r="P388" s="118"/>
      <c r="Q388" s="46"/>
      <c r="R388" s="46"/>
      <c r="S388" s="46"/>
      <c r="T388" s="46"/>
      <c r="U388" s="118"/>
      <c r="V388" s="46"/>
      <c r="W388" s="88" t="str">
        <f>IF(V388&lt;&gt;"",SUMIFS('📊 รายงานสินค้าคงเหลือ'!G:G,'📊 รายงานสินค้าคงเหลือ'!D:D,V388),"")</f>
        <v/>
      </c>
      <c r="X388" s="46"/>
      <c r="Y388" s="46"/>
      <c r="Z388" s="46"/>
    </row>
    <row r="389">
      <c r="A389" s="46"/>
      <c r="B389" s="16"/>
      <c r="C389" s="118"/>
      <c r="D389" s="126"/>
      <c r="E389" s="88"/>
      <c r="F389" s="118"/>
      <c r="G389" s="46"/>
      <c r="H389" s="46"/>
      <c r="I389" s="118"/>
      <c r="J389" s="46"/>
      <c r="K389" s="16" t="str">
        <f>IF(J389&lt;&gt;"",SUMIFS('💰 Transaction ขาย'!$F:$F,'💰 Transaction ขาย'!$K:$K,$J389,'💰 Transaction ขาย'!$J:$J,$B$1),"")</f>
        <v/>
      </c>
      <c r="L389" s="118"/>
      <c r="M389" s="46"/>
      <c r="N389" s="46"/>
      <c r="O389" s="46"/>
      <c r="P389" s="118"/>
      <c r="Q389" s="46"/>
      <c r="R389" s="46"/>
      <c r="S389" s="46"/>
      <c r="T389" s="46"/>
      <c r="U389" s="118"/>
      <c r="V389" s="46"/>
      <c r="W389" s="88" t="str">
        <f>IF(V389&lt;&gt;"",SUMIFS('📊 รายงานสินค้าคงเหลือ'!G:G,'📊 รายงานสินค้าคงเหลือ'!D:D,V389),"")</f>
        <v/>
      </c>
      <c r="X389" s="46"/>
      <c r="Y389" s="46"/>
      <c r="Z389" s="46"/>
    </row>
    <row r="390">
      <c r="A390" s="46"/>
      <c r="B390" s="16"/>
      <c r="C390" s="118"/>
      <c r="D390" s="126"/>
      <c r="E390" s="88"/>
      <c r="F390" s="118"/>
      <c r="G390" s="46"/>
      <c r="H390" s="46"/>
      <c r="I390" s="118"/>
      <c r="J390" s="46"/>
      <c r="K390" s="16" t="str">
        <f>IF(J390&lt;&gt;"",SUMIFS('💰 Transaction ขาย'!$F:$F,'💰 Transaction ขาย'!$K:$K,$J390,'💰 Transaction ขาย'!$J:$J,$B$1),"")</f>
        <v/>
      </c>
      <c r="L390" s="118"/>
      <c r="M390" s="46"/>
      <c r="N390" s="46"/>
      <c r="O390" s="46"/>
      <c r="P390" s="118"/>
      <c r="Q390" s="46"/>
      <c r="R390" s="46"/>
      <c r="S390" s="46"/>
      <c r="T390" s="46"/>
      <c r="U390" s="118"/>
      <c r="V390" s="46"/>
      <c r="W390" s="88" t="str">
        <f>IF(V390&lt;&gt;"",SUMIFS('📊 รายงานสินค้าคงเหลือ'!G:G,'📊 รายงานสินค้าคงเหลือ'!D:D,V390),"")</f>
        <v/>
      </c>
      <c r="X390" s="46"/>
      <c r="Y390" s="46"/>
      <c r="Z390" s="46"/>
    </row>
    <row r="391">
      <c r="A391" s="46"/>
      <c r="B391" s="16"/>
      <c r="C391" s="118"/>
      <c r="D391" s="126"/>
      <c r="E391" s="88"/>
      <c r="F391" s="118"/>
      <c r="G391" s="46"/>
      <c r="H391" s="46"/>
      <c r="I391" s="118"/>
      <c r="J391" s="46"/>
      <c r="K391" s="16" t="str">
        <f>IF(J391&lt;&gt;"",SUMIFS('💰 Transaction ขาย'!$F:$F,'💰 Transaction ขาย'!$K:$K,$J391,'💰 Transaction ขาย'!$J:$J,$B$1),"")</f>
        <v/>
      </c>
      <c r="L391" s="118"/>
      <c r="M391" s="46"/>
      <c r="N391" s="46"/>
      <c r="O391" s="46"/>
      <c r="P391" s="118"/>
      <c r="Q391" s="46"/>
      <c r="R391" s="46"/>
      <c r="S391" s="46"/>
      <c r="T391" s="46"/>
      <c r="U391" s="118"/>
      <c r="V391" s="46"/>
      <c r="W391" s="88" t="str">
        <f>IF(V391&lt;&gt;"",SUMIFS('📊 รายงานสินค้าคงเหลือ'!G:G,'📊 รายงานสินค้าคงเหลือ'!D:D,V391),"")</f>
        <v/>
      </c>
      <c r="X391" s="46"/>
      <c r="Y391" s="46"/>
      <c r="Z391" s="46"/>
    </row>
    <row r="392">
      <c r="A392" s="46"/>
      <c r="B392" s="16"/>
      <c r="C392" s="118"/>
      <c r="D392" s="126"/>
      <c r="E392" s="88"/>
      <c r="F392" s="118"/>
      <c r="G392" s="46"/>
      <c r="H392" s="46"/>
      <c r="I392" s="118"/>
      <c r="J392" s="46"/>
      <c r="K392" s="16" t="str">
        <f>IF(J392&lt;&gt;"",SUMIFS('💰 Transaction ขาย'!$F:$F,'💰 Transaction ขาย'!$K:$K,$J392,'💰 Transaction ขาย'!$J:$J,$B$1),"")</f>
        <v/>
      </c>
      <c r="L392" s="118"/>
      <c r="M392" s="46"/>
      <c r="N392" s="46"/>
      <c r="O392" s="46"/>
      <c r="P392" s="118"/>
      <c r="Q392" s="46"/>
      <c r="R392" s="46"/>
      <c r="S392" s="46"/>
      <c r="T392" s="46"/>
      <c r="U392" s="118"/>
      <c r="V392" s="46"/>
      <c r="W392" s="88" t="str">
        <f>IF(V392&lt;&gt;"",SUMIFS('📊 รายงานสินค้าคงเหลือ'!G:G,'📊 รายงานสินค้าคงเหลือ'!D:D,V392),"")</f>
        <v/>
      </c>
      <c r="X392" s="46"/>
      <c r="Y392" s="46"/>
      <c r="Z392" s="46"/>
    </row>
    <row r="393">
      <c r="A393" s="46"/>
      <c r="B393" s="16"/>
      <c r="C393" s="118"/>
      <c r="D393" s="126"/>
      <c r="E393" s="88"/>
      <c r="F393" s="118"/>
      <c r="G393" s="46"/>
      <c r="H393" s="46"/>
      <c r="I393" s="118"/>
      <c r="J393" s="46"/>
      <c r="K393" s="16" t="str">
        <f>IF(J393&lt;&gt;"",SUMIFS('💰 Transaction ขาย'!$F:$F,'💰 Transaction ขาย'!$K:$K,$J393,'💰 Transaction ขาย'!$J:$J,$B$1),"")</f>
        <v/>
      </c>
      <c r="L393" s="118"/>
      <c r="M393" s="46"/>
      <c r="N393" s="46"/>
      <c r="O393" s="46"/>
      <c r="P393" s="118"/>
      <c r="Q393" s="46"/>
      <c r="R393" s="46"/>
      <c r="S393" s="46"/>
      <c r="T393" s="46"/>
      <c r="U393" s="118"/>
      <c r="V393" s="46"/>
      <c r="W393" s="88" t="str">
        <f>IF(V393&lt;&gt;"",SUMIFS('📊 รายงานสินค้าคงเหลือ'!G:G,'📊 รายงานสินค้าคงเหลือ'!D:D,V393),"")</f>
        <v/>
      </c>
      <c r="X393" s="46"/>
      <c r="Y393" s="46"/>
      <c r="Z393" s="46"/>
    </row>
    <row r="394">
      <c r="A394" s="46"/>
      <c r="B394" s="16"/>
      <c r="C394" s="118"/>
      <c r="D394" s="126"/>
      <c r="E394" s="88"/>
      <c r="F394" s="118"/>
      <c r="G394" s="46"/>
      <c r="H394" s="46"/>
      <c r="I394" s="118"/>
      <c r="J394" s="46"/>
      <c r="K394" s="16" t="str">
        <f>IF(J394&lt;&gt;"",SUMIFS('💰 Transaction ขาย'!$F:$F,'💰 Transaction ขาย'!$K:$K,$J394,'💰 Transaction ขาย'!$J:$J,$B$1),"")</f>
        <v/>
      </c>
      <c r="L394" s="118"/>
      <c r="M394" s="46"/>
      <c r="N394" s="46"/>
      <c r="O394" s="46"/>
      <c r="P394" s="118"/>
      <c r="Q394" s="46"/>
      <c r="R394" s="46"/>
      <c r="S394" s="46"/>
      <c r="T394" s="46"/>
      <c r="U394" s="118"/>
      <c r="V394" s="46"/>
      <c r="W394" s="88" t="str">
        <f>IF(V394&lt;&gt;"",SUMIFS('📊 รายงานสินค้าคงเหลือ'!G:G,'📊 รายงานสินค้าคงเหลือ'!D:D,V394),"")</f>
        <v/>
      </c>
      <c r="X394" s="46"/>
      <c r="Y394" s="46"/>
      <c r="Z394" s="46"/>
    </row>
    <row r="395">
      <c r="A395" s="46"/>
      <c r="B395" s="16"/>
      <c r="C395" s="118"/>
      <c r="D395" s="126"/>
      <c r="E395" s="88"/>
      <c r="F395" s="118"/>
      <c r="G395" s="46"/>
      <c r="H395" s="46"/>
      <c r="I395" s="118"/>
      <c r="J395" s="46"/>
      <c r="K395" s="16" t="str">
        <f>IF(J395&lt;&gt;"",SUMIFS('💰 Transaction ขาย'!$F:$F,'💰 Transaction ขาย'!$K:$K,$J395,'💰 Transaction ขาย'!$J:$J,$B$1),"")</f>
        <v/>
      </c>
      <c r="L395" s="118"/>
      <c r="M395" s="46"/>
      <c r="N395" s="46"/>
      <c r="O395" s="46"/>
      <c r="P395" s="118"/>
      <c r="Q395" s="46"/>
      <c r="R395" s="46"/>
      <c r="S395" s="46"/>
      <c r="T395" s="46"/>
      <c r="U395" s="118"/>
      <c r="V395" s="46"/>
      <c r="W395" s="88" t="str">
        <f>IF(V395&lt;&gt;"",SUMIFS('📊 รายงานสินค้าคงเหลือ'!G:G,'📊 รายงานสินค้าคงเหลือ'!D:D,V395),"")</f>
        <v/>
      </c>
      <c r="X395" s="46"/>
      <c r="Y395" s="46"/>
      <c r="Z395" s="46"/>
    </row>
    <row r="396">
      <c r="A396" s="46"/>
      <c r="B396" s="16"/>
      <c r="C396" s="118"/>
      <c r="D396" s="126"/>
      <c r="E396" s="88"/>
      <c r="F396" s="118"/>
      <c r="G396" s="46"/>
      <c r="H396" s="46"/>
      <c r="I396" s="118"/>
      <c r="J396" s="46"/>
      <c r="K396" s="16" t="str">
        <f>IF(J396&lt;&gt;"",SUMIFS('💰 Transaction ขาย'!$F:$F,'💰 Transaction ขาย'!$K:$K,$J396,'💰 Transaction ขาย'!$J:$J,$B$1),"")</f>
        <v/>
      </c>
      <c r="L396" s="118"/>
      <c r="M396" s="46"/>
      <c r="N396" s="46"/>
      <c r="O396" s="46"/>
      <c r="P396" s="118"/>
      <c r="Q396" s="46"/>
      <c r="R396" s="46"/>
      <c r="S396" s="46"/>
      <c r="T396" s="46"/>
      <c r="U396" s="118"/>
      <c r="V396" s="46"/>
      <c r="W396" s="88" t="str">
        <f>IF(V396&lt;&gt;"",SUMIFS('📊 รายงานสินค้าคงเหลือ'!G:G,'📊 รายงานสินค้าคงเหลือ'!D:D,V396),"")</f>
        <v/>
      </c>
      <c r="X396" s="46"/>
      <c r="Y396" s="46"/>
      <c r="Z396" s="46"/>
    </row>
    <row r="397">
      <c r="A397" s="46"/>
      <c r="B397" s="16"/>
      <c r="C397" s="118"/>
      <c r="D397" s="126"/>
      <c r="E397" s="88"/>
      <c r="F397" s="118"/>
      <c r="G397" s="46"/>
      <c r="H397" s="46"/>
      <c r="I397" s="118"/>
      <c r="J397" s="46"/>
      <c r="K397" s="16" t="str">
        <f>IF(J397&lt;&gt;"",SUMIFS('💰 Transaction ขาย'!$F:$F,'💰 Transaction ขาย'!$K:$K,$J397,'💰 Transaction ขาย'!$J:$J,$B$1),"")</f>
        <v/>
      </c>
      <c r="L397" s="118"/>
      <c r="M397" s="46"/>
      <c r="N397" s="46"/>
      <c r="O397" s="46"/>
      <c r="P397" s="118"/>
      <c r="Q397" s="46"/>
      <c r="R397" s="46"/>
      <c r="S397" s="46"/>
      <c r="T397" s="46"/>
      <c r="U397" s="118"/>
      <c r="V397" s="46"/>
      <c r="W397" s="88" t="str">
        <f>IF(V397&lt;&gt;"",SUMIFS('📊 รายงานสินค้าคงเหลือ'!G:G,'📊 รายงานสินค้าคงเหลือ'!D:D,V397),"")</f>
        <v/>
      </c>
      <c r="X397" s="46"/>
      <c r="Y397" s="46"/>
      <c r="Z397" s="46"/>
    </row>
    <row r="398">
      <c r="A398" s="46"/>
      <c r="B398" s="16"/>
      <c r="C398" s="118"/>
      <c r="D398" s="126"/>
      <c r="E398" s="88"/>
      <c r="F398" s="118"/>
      <c r="G398" s="46"/>
      <c r="H398" s="46"/>
      <c r="I398" s="118"/>
      <c r="J398" s="46"/>
      <c r="K398" s="16" t="str">
        <f>IF(J398&lt;&gt;"",SUMIFS('💰 Transaction ขาย'!$F:$F,'💰 Transaction ขาย'!$K:$K,$J398,'💰 Transaction ขาย'!$J:$J,$B$1),"")</f>
        <v/>
      </c>
      <c r="L398" s="118"/>
      <c r="M398" s="46"/>
      <c r="N398" s="46"/>
      <c r="O398" s="46"/>
      <c r="P398" s="118"/>
      <c r="Q398" s="46"/>
      <c r="R398" s="46"/>
      <c r="S398" s="46"/>
      <c r="T398" s="46"/>
      <c r="U398" s="118"/>
      <c r="V398" s="46"/>
      <c r="W398" s="88" t="str">
        <f>IF(V398&lt;&gt;"",SUMIFS('📊 รายงานสินค้าคงเหลือ'!G:G,'📊 รายงานสินค้าคงเหลือ'!D:D,V398),"")</f>
        <v/>
      </c>
      <c r="X398" s="46"/>
      <c r="Y398" s="46"/>
      <c r="Z398" s="46"/>
    </row>
    <row r="399">
      <c r="A399" s="46"/>
      <c r="B399" s="16"/>
      <c r="C399" s="118"/>
      <c r="D399" s="126"/>
      <c r="E399" s="88"/>
      <c r="F399" s="118"/>
      <c r="G399" s="46"/>
      <c r="H399" s="46"/>
      <c r="I399" s="118"/>
      <c r="J399" s="46"/>
      <c r="K399" s="16" t="str">
        <f>IF(J399&lt;&gt;"",SUMIFS('💰 Transaction ขาย'!$F:$F,'💰 Transaction ขาย'!$K:$K,$J399,'💰 Transaction ขาย'!$J:$J,$B$1),"")</f>
        <v/>
      </c>
      <c r="L399" s="118"/>
      <c r="M399" s="46"/>
      <c r="N399" s="46"/>
      <c r="O399" s="46"/>
      <c r="P399" s="118"/>
      <c r="Q399" s="46"/>
      <c r="R399" s="46"/>
      <c r="S399" s="46"/>
      <c r="T399" s="46"/>
      <c r="U399" s="118"/>
      <c r="V399" s="46"/>
      <c r="W399" s="88" t="str">
        <f>IF(V399&lt;&gt;"",SUMIFS('📊 รายงานสินค้าคงเหลือ'!G:G,'📊 รายงานสินค้าคงเหลือ'!D:D,V399),"")</f>
        <v/>
      </c>
      <c r="X399" s="46"/>
      <c r="Y399" s="46"/>
      <c r="Z399" s="46"/>
    </row>
    <row r="400">
      <c r="A400" s="46"/>
      <c r="B400" s="16"/>
      <c r="C400" s="118"/>
      <c r="D400" s="126"/>
      <c r="E400" s="88"/>
      <c r="F400" s="118"/>
      <c r="G400" s="46"/>
      <c r="H400" s="46"/>
      <c r="I400" s="118"/>
      <c r="J400" s="46"/>
      <c r="K400" s="16" t="str">
        <f>IF(J400&lt;&gt;"",SUMIFS('💰 Transaction ขาย'!$F:$F,'💰 Transaction ขาย'!$K:$K,$J400,'💰 Transaction ขาย'!$J:$J,$B$1),"")</f>
        <v/>
      </c>
      <c r="L400" s="118"/>
      <c r="M400" s="46"/>
      <c r="N400" s="46"/>
      <c r="O400" s="46"/>
      <c r="P400" s="118"/>
      <c r="Q400" s="46"/>
      <c r="R400" s="46"/>
      <c r="S400" s="46"/>
      <c r="T400" s="46"/>
      <c r="U400" s="118"/>
      <c r="V400" s="46"/>
      <c r="W400" s="88" t="str">
        <f>IF(V400&lt;&gt;"",SUMIFS('📊 รายงานสินค้าคงเหลือ'!G:G,'📊 รายงานสินค้าคงเหลือ'!D:D,V400),"")</f>
        <v/>
      </c>
      <c r="X400" s="46"/>
      <c r="Y400" s="46"/>
      <c r="Z400" s="46"/>
    </row>
    <row r="401">
      <c r="A401" s="46"/>
      <c r="B401" s="16"/>
      <c r="C401" s="118"/>
      <c r="D401" s="126"/>
      <c r="E401" s="88"/>
      <c r="F401" s="118"/>
      <c r="G401" s="46"/>
      <c r="H401" s="46"/>
      <c r="I401" s="118"/>
      <c r="J401" s="46"/>
      <c r="K401" s="16" t="str">
        <f>IF(J401&lt;&gt;"",SUMIFS('💰 Transaction ขาย'!$F:$F,'💰 Transaction ขาย'!$K:$K,$J401,'💰 Transaction ขาย'!$J:$J,$B$1),"")</f>
        <v/>
      </c>
      <c r="L401" s="118"/>
      <c r="M401" s="46"/>
      <c r="N401" s="46"/>
      <c r="O401" s="46"/>
      <c r="P401" s="118"/>
      <c r="Q401" s="46"/>
      <c r="R401" s="46"/>
      <c r="S401" s="46"/>
      <c r="T401" s="46"/>
      <c r="U401" s="118"/>
      <c r="V401" s="46"/>
      <c r="W401" s="88" t="str">
        <f>IF(V401&lt;&gt;"",SUMIFS('📊 รายงานสินค้าคงเหลือ'!G:G,'📊 รายงานสินค้าคงเหลือ'!D:D,V401),"")</f>
        <v/>
      </c>
      <c r="X401" s="46"/>
      <c r="Y401" s="46"/>
      <c r="Z401" s="46"/>
    </row>
    <row r="402">
      <c r="A402" s="46"/>
      <c r="B402" s="16"/>
      <c r="C402" s="118"/>
      <c r="D402" s="126"/>
      <c r="E402" s="88"/>
      <c r="F402" s="118"/>
      <c r="G402" s="46"/>
      <c r="H402" s="46"/>
      <c r="I402" s="118"/>
      <c r="J402" s="46"/>
      <c r="K402" s="16" t="str">
        <f>IF(J402&lt;&gt;"",SUMIFS('💰 Transaction ขาย'!$F:$F,'💰 Transaction ขาย'!$K:$K,$J402,'💰 Transaction ขาย'!$J:$J,$B$1),"")</f>
        <v/>
      </c>
      <c r="L402" s="118"/>
      <c r="M402" s="46"/>
      <c r="N402" s="46"/>
      <c r="O402" s="46"/>
      <c r="P402" s="118"/>
      <c r="Q402" s="46"/>
      <c r="R402" s="46"/>
      <c r="S402" s="46"/>
      <c r="T402" s="46"/>
      <c r="U402" s="118"/>
      <c r="V402" s="46"/>
      <c r="W402" s="88" t="str">
        <f>IF(V402&lt;&gt;"",SUMIFS('📊 รายงานสินค้าคงเหลือ'!G:G,'📊 รายงานสินค้าคงเหลือ'!D:D,V402),"")</f>
        <v/>
      </c>
      <c r="X402" s="46"/>
      <c r="Y402" s="46"/>
      <c r="Z402" s="46"/>
    </row>
    <row r="403">
      <c r="A403" s="46"/>
      <c r="B403" s="16"/>
      <c r="C403" s="118"/>
      <c r="D403" s="126"/>
      <c r="E403" s="88"/>
      <c r="F403" s="118"/>
      <c r="G403" s="46"/>
      <c r="H403" s="46"/>
      <c r="I403" s="118"/>
      <c r="J403" s="46"/>
      <c r="K403" s="16" t="str">
        <f>IF(J403&lt;&gt;"",SUMIFS('💰 Transaction ขาย'!$F:$F,'💰 Transaction ขาย'!$K:$K,$J403,'💰 Transaction ขาย'!$J:$J,$B$1),"")</f>
        <v/>
      </c>
      <c r="L403" s="118"/>
      <c r="M403" s="46"/>
      <c r="N403" s="46"/>
      <c r="O403" s="46"/>
      <c r="P403" s="118"/>
      <c r="Q403" s="46"/>
      <c r="R403" s="46"/>
      <c r="S403" s="46"/>
      <c r="T403" s="46"/>
      <c r="U403" s="118"/>
      <c r="V403" s="46"/>
      <c r="W403" s="88" t="str">
        <f>IF(V403&lt;&gt;"",SUMIFS('📊 รายงานสินค้าคงเหลือ'!G:G,'📊 รายงานสินค้าคงเหลือ'!D:D,V403),"")</f>
        <v/>
      </c>
      <c r="X403" s="46"/>
      <c r="Y403" s="46"/>
      <c r="Z403" s="46"/>
    </row>
    <row r="404">
      <c r="A404" s="46"/>
      <c r="B404" s="16"/>
      <c r="C404" s="118"/>
      <c r="D404" s="126"/>
      <c r="E404" s="88"/>
      <c r="F404" s="118"/>
      <c r="G404" s="46"/>
      <c r="H404" s="46"/>
      <c r="I404" s="118"/>
      <c r="J404" s="46"/>
      <c r="K404" s="16" t="str">
        <f>IF(J404&lt;&gt;"",SUMIFS('💰 Transaction ขาย'!$F:$F,'💰 Transaction ขาย'!$K:$K,$J404,'💰 Transaction ขาย'!$J:$J,$B$1),"")</f>
        <v/>
      </c>
      <c r="L404" s="118"/>
      <c r="M404" s="46"/>
      <c r="N404" s="46"/>
      <c r="O404" s="46"/>
      <c r="P404" s="118"/>
      <c r="Q404" s="46"/>
      <c r="R404" s="46"/>
      <c r="S404" s="46"/>
      <c r="T404" s="46"/>
      <c r="U404" s="118"/>
      <c r="V404" s="46"/>
      <c r="W404" s="88" t="str">
        <f>IF(V404&lt;&gt;"",SUMIFS('📊 รายงานสินค้าคงเหลือ'!G:G,'📊 รายงานสินค้าคงเหลือ'!D:D,V404),"")</f>
        <v/>
      </c>
      <c r="X404" s="46"/>
      <c r="Y404" s="46"/>
      <c r="Z404" s="46"/>
    </row>
    <row r="405">
      <c r="A405" s="46"/>
      <c r="B405" s="16"/>
      <c r="C405" s="118"/>
      <c r="D405" s="126"/>
      <c r="E405" s="88"/>
      <c r="F405" s="118"/>
      <c r="G405" s="46"/>
      <c r="H405" s="46"/>
      <c r="I405" s="118"/>
      <c r="J405" s="46"/>
      <c r="K405" s="16" t="str">
        <f>IF(J405&lt;&gt;"",SUMIFS('💰 Transaction ขาย'!$F:$F,'💰 Transaction ขาย'!$K:$K,$J405,'💰 Transaction ขาย'!$J:$J,$B$1),"")</f>
        <v/>
      </c>
      <c r="L405" s="118"/>
      <c r="M405" s="46"/>
      <c r="N405" s="46"/>
      <c r="O405" s="46"/>
      <c r="P405" s="118"/>
      <c r="Q405" s="46"/>
      <c r="R405" s="46"/>
      <c r="S405" s="46"/>
      <c r="T405" s="46"/>
      <c r="U405" s="118"/>
      <c r="V405" s="46"/>
      <c r="W405" s="88" t="str">
        <f>IF(V405&lt;&gt;"",SUMIFS('📊 รายงานสินค้าคงเหลือ'!G:G,'📊 รายงานสินค้าคงเหลือ'!D:D,V405),"")</f>
        <v/>
      </c>
      <c r="X405" s="46"/>
      <c r="Y405" s="46"/>
      <c r="Z405" s="46"/>
    </row>
    <row r="406">
      <c r="A406" s="46"/>
      <c r="B406" s="16"/>
      <c r="C406" s="118"/>
      <c r="D406" s="126"/>
      <c r="E406" s="88"/>
      <c r="F406" s="118"/>
      <c r="G406" s="46"/>
      <c r="H406" s="46"/>
      <c r="I406" s="118"/>
      <c r="J406" s="46"/>
      <c r="K406" s="16" t="str">
        <f>IF(J406&lt;&gt;"",SUMIFS('💰 Transaction ขาย'!$F:$F,'💰 Transaction ขาย'!$K:$K,$J406,'💰 Transaction ขาย'!$J:$J,$B$1),"")</f>
        <v/>
      </c>
      <c r="L406" s="118"/>
      <c r="M406" s="46"/>
      <c r="N406" s="46"/>
      <c r="O406" s="46"/>
      <c r="P406" s="118"/>
      <c r="Q406" s="46"/>
      <c r="R406" s="46"/>
      <c r="S406" s="46"/>
      <c r="T406" s="46"/>
      <c r="U406" s="118"/>
      <c r="V406" s="46"/>
      <c r="W406" s="88" t="str">
        <f>IF(V406&lt;&gt;"",SUMIFS('📊 รายงานสินค้าคงเหลือ'!G:G,'📊 รายงานสินค้าคงเหลือ'!D:D,V406),"")</f>
        <v/>
      </c>
      <c r="X406" s="46"/>
      <c r="Y406" s="46"/>
      <c r="Z406" s="46"/>
    </row>
    <row r="407">
      <c r="A407" s="46"/>
      <c r="B407" s="16"/>
      <c r="C407" s="118"/>
      <c r="D407" s="126"/>
      <c r="E407" s="88"/>
      <c r="F407" s="118"/>
      <c r="G407" s="46"/>
      <c r="H407" s="46"/>
      <c r="I407" s="118"/>
      <c r="J407" s="46"/>
      <c r="K407" s="16" t="str">
        <f>IF(J407&lt;&gt;"",SUMIFS('💰 Transaction ขาย'!$F:$F,'💰 Transaction ขาย'!$K:$K,$J407,'💰 Transaction ขาย'!$J:$J,$B$1),"")</f>
        <v/>
      </c>
      <c r="L407" s="118"/>
      <c r="M407" s="46"/>
      <c r="N407" s="46"/>
      <c r="O407" s="46"/>
      <c r="P407" s="118"/>
      <c r="Q407" s="46"/>
      <c r="R407" s="46"/>
      <c r="S407" s="46"/>
      <c r="T407" s="46"/>
      <c r="U407" s="118"/>
      <c r="V407" s="46"/>
      <c r="W407" s="88" t="str">
        <f>IF(V407&lt;&gt;"",SUMIFS('📊 รายงานสินค้าคงเหลือ'!G:G,'📊 รายงานสินค้าคงเหลือ'!D:D,V407),"")</f>
        <v/>
      </c>
      <c r="X407" s="46"/>
      <c r="Y407" s="46"/>
      <c r="Z407" s="46"/>
    </row>
    <row r="408">
      <c r="A408" s="46"/>
      <c r="B408" s="16"/>
      <c r="C408" s="118"/>
      <c r="D408" s="126"/>
      <c r="E408" s="88"/>
      <c r="F408" s="118"/>
      <c r="G408" s="46"/>
      <c r="H408" s="46"/>
      <c r="I408" s="118"/>
      <c r="J408" s="46"/>
      <c r="K408" s="16" t="str">
        <f>IF(J408&lt;&gt;"",SUMIFS('💰 Transaction ขาย'!$F:$F,'💰 Transaction ขาย'!$K:$K,$J408,'💰 Transaction ขาย'!$J:$J,$B$1),"")</f>
        <v/>
      </c>
      <c r="L408" s="118"/>
      <c r="M408" s="46"/>
      <c r="N408" s="46"/>
      <c r="O408" s="46"/>
      <c r="P408" s="118"/>
      <c r="Q408" s="46"/>
      <c r="R408" s="46"/>
      <c r="S408" s="46"/>
      <c r="T408" s="46"/>
      <c r="U408" s="118"/>
      <c r="V408" s="46"/>
      <c r="W408" s="88" t="str">
        <f>IF(V408&lt;&gt;"",SUMIFS('📊 รายงานสินค้าคงเหลือ'!G:G,'📊 รายงานสินค้าคงเหลือ'!D:D,V408),"")</f>
        <v/>
      </c>
      <c r="X408" s="46"/>
      <c r="Y408" s="46"/>
      <c r="Z408" s="46"/>
    </row>
    <row r="409">
      <c r="A409" s="46"/>
      <c r="B409" s="16"/>
      <c r="C409" s="118"/>
      <c r="D409" s="126"/>
      <c r="E409" s="88"/>
      <c r="F409" s="118"/>
      <c r="G409" s="46"/>
      <c r="H409" s="46"/>
      <c r="I409" s="118"/>
      <c r="J409" s="46"/>
      <c r="K409" s="16" t="str">
        <f>IF(J409&lt;&gt;"",SUMIFS('💰 Transaction ขาย'!$F:$F,'💰 Transaction ขาย'!$K:$K,$J409,'💰 Transaction ขาย'!$J:$J,$B$1),"")</f>
        <v/>
      </c>
      <c r="L409" s="118"/>
      <c r="M409" s="46"/>
      <c r="N409" s="46"/>
      <c r="O409" s="46"/>
      <c r="P409" s="118"/>
      <c r="Q409" s="46"/>
      <c r="R409" s="46"/>
      <c r="S409" s="46"/>
      <c r="T409" s="46"/>
      <c r="U409" s="118"/>
      <c r="V409" s="46"/>
      <c r="W409" s="88" t="str">
        <f>IF(V409&lt;&gt;"",SUMIFS('📊 รายงานสินค้าคงเหลือ'!G:G,'📊 รายงานสินค้าคงเหลือ'!D:D,V409),"")</f>
        <v/>
      </c>
      <c r="X409" s="46"/>
      <c r="Y409" s="46"/>
      <c r="Z409" s="46"/>
    </row>
    <row r="410">
      <c r="A410" s="46"/>
      <c r="B410" s="16"/>
      <c r="C410" s="118"/>
      <c r="D410" s="126"/>
      <c r="E410" s="88"/>
      <c r="F410" s="118"/>
      <c r="G410" s="46"/>
      <c r="H410" s="46"/>
      <c r="I410" s="118"/>
      <c r="J410" s="46"/>
      <c r="K410" s="16" t="str">
        <f>IF(J410&lt;&gt;"",SUMIFS('💰 Transaction ขาย'!$F:$F,'💰 Transaction ขาย'!$K:$K,$J410,'💰 Transaction ขาย'!$J:$J,$B$1),"")</f>
        <v/>
      </c>
      <c r="L410" s="118"/>
      <c r="M410" s="46"/>
      <c r="N410" s="46"/>
      <c r="O410" s="46"/>
      <c r="P410" s="118"/>
      <c r="Q410" s="46"/>
      <c r="R410" s="46"/>
      <c r="S410" s="46"/>
      <c r="T410" s="46"/>
      <c r="U410" s="118"/>
      <c r="V410" s="46"/>
      <c r="W410" s="88" t="str">
        <f>IF(V410&lt;&gt;"",SUMIFS('📊 รายงานสินค้าคงเหลือ'!G:G,'📊 รายงานสินค้าคงเหลือ'!D:D,V410),"")</f>
        <v/>
      </c>
      <c r="X410" s="46"/>
      <c r="Y410" s="46"/>
      <c r="Z410" s="46"/>
    </row>
    <row r="411">
      <c r="A411" s="46"/>
      <c r="B411" s="16"/>
      <c r="C411" s="118"/>
      <c r="D411" s="126"/>
      <c r="E411" s="88"/>
      <c r="F411" s="118"/>
      <c r="G411" s="46"/>
      <c r="H411" s="46"/>
      <c r="I411" s="118"/>
      <c r="J411" s="46"/>
      <c r="K411" s="16" t="str">
        <f>IF(J411&lt;&gt;"",SUMIFS('💰 Transaction ขาย'!$F:$F,'💰 Transaction ขาย'!$K:$K,$J411,'💰 Transaction ขาย'!$J:$J,$B$1),"")</f>
        <v/>
      </c>
      <c r="L411" s="118"/>
      <c r="M411" s="46"/>
      <c r="N411" s="46"/>
      <c r="O411" s="46"/>
      <c r="P411" s="118"/>
      <c r="Q411" s="46"/>
      <c r="R411" s="46"/>
      <c r="S411" s="46"/>
      <c r="T411" s="46"/>
      <c r="U411" s="118"/>
      <c r="V411" s="46"/>
      <c r="W411" s="88" t="str">
        <f>IF(V411&lt;&gt;"",SUMIFS('📊 รายงานสินค้าคงเหลือ'!G:G,'📊 รายงานสินค้าคงเหลือ'!D:D,V411),"")</f>
        <v/>
      </c>
      <c r="X411" s="46"/>
      <c r="Y411" s="46"/>
      <c r="Z411" s="46"/>
    </row>
    <row r="412">
      <c r="A412" s="46"/>
      <c r="B412" s="16"/>
      <c r="C412" s="118"/>
      <c r="D412" s="126"/>
      <c r="E412" s="88"/>
      <c r="F412" s="118"/>
      <c r="G412" s="46"/>
      <c r="H412" s="46"/>
      <c r="I412" s="118"/>
      <c r="J412" s="46"/>
      <c r="K412" s="16" t="str">
        <f>IF(J412&lt;&gt;"",SUMIFS('💰 Transaction ขาย'!$F:$F,'💰 Transaction ขาย'!$K:$K,$J412,'💰 Transaction ขาย'!$J:$J,$B$1),"")</f>
        <v/>
      </c>
      <c r="L412" s="118"/>
      <c r="M412" s="46"/>
      <c r="N412" s="46"/>
      <c r="O412" s="46"/>
      <c r="P412" s="118"/>
      <c r="Q412" s="46"/>
      <c r="R412" s="46"/>
      <c r="S412" s="46"/>
      <c r="T412" s="46"/>
      <c r="U412" s="118"/>
      <c r="V412" s="46"/>
      <c r="W412" s="88" t="str">
        <f>IF(V412&lt;&gt;"",SUMIFS('📊 รายงานสินค้าคงเหลือ'!G:G,'📊 รายงานสินค้าคงเหลือ'!D:D,V412),"")</f>
        <v/>
      </c>
      <c r="X412" s="46"/>
      <c r="Y412" s="46"/>
      <c r="Z412" s="46"/>
    </row>
    <row r="413">
      <c r="A413" s="46"/>
      <c r="B413" s="16"/>
      <c r="C413" s="118"/>
      <c r="D413" s="126"/>
      <c r="E413" s="88"/>
      <c r="F413" s="118"/>
      <c r="G413" s="46"/>
      <c r="H413" s="46"/>
      <c r="I413" s="118"/>
      <c r="J413" s="46"/>
      <c r="K413" s="16" t="str">
        <f>IF(J413&lt;&gt;"",SUMIFS('💰 Transaction ขาย'!$F:$F,'💰 Transaction ขาย'!$K:$K,$J413,'💰 Transaction ขาย'!$J:$J,$B$1),"")</f>
        <v/>
      </c>
      <c r="L413" s="118"/>
      <c r="M413" s="46"/>
      <c r="N413" s="46"/>
      <c r="O413" s="46"/>
      <c r="P413" s="118"/>
      <c r="Q413" s="46"/>
      <c r="R413" s="46"/>
      <c r="S413" s="46"/>
      <c r="T413" s="46"/>
      <c r="U413" s="118"/>
      <c r="V413" s="46"/>
      <c r="W413" s="88" t="str">
        <f>IF(V413&lt;&gt;"",SUMIFS('📊 รายงานสินค้าคงเหลือ'!G:G,'📊 รายงานสินค้าคงเหลือ'!D:D,V413),"")</f>
        <v/>
      </c>
      <c r="X413" s="46"/>
      <c r="Y413" s="46"/>
      <c r="Z413" s="46"/>
    </row>
    <row r="414">
      <c r="A414" s="46"/>
      <c r="B414" s="16"/>
      <c r="C414" s="118"/>
      <c r="D414" s="126"/>
      <c r="E414" s="88"/>
      <c r="F414" s="118"/>
      <c r="G414" s="46"/>
      <c r="H414" s="46"/>
      <c r="I414" s="118"/>
      <c r="J414" s="46"/>
      <c r="K414" s="16" t="str">
        <f>IF(J414&lt;&gt;"",SUMIFS('💰 Transaction ขาย'!$F:$F,'💰 Transaction ขาย'!$K:$K,$J414,'💰 Transaction ขาย'!$J:$J,$B$1),"")</f>
        <v/>
      </c>
      <c r="L414" s="118"/>
      <c r="M414" s="46"/>
      <c r="N414" s="46"/>
      <c r="O414" s="46"/>
      <c r="P414" s="118"/>
      <c r="Q414" s="46"/>
      <c r="R414" s="46"/>
      <c r="S414" s="46"/>
      <c r="T414" s="46"/>
      <c r="U414" s="118"/>
      <c r="V414" s="46"/>
      <c r="W414" s="88" t="str">
        <f>IF(V414&lt;&gt;"",SUMIFS('📊 รายงานสินค้าคงเหลือ'!G:G,'📊 รายงานสินค้าคงเหลือ'!D:D,V414),"")</f>
        <v/>
      </c>
      <c r="X414" s="46"/>
      <c r="Y414" s="46"/>
      <c r="Z414" s="46"/>
    </row>
    <row r="415">
      <c r="A415" s="46"/>
      <c r="B415" s="16"/>
      <c r="C415" s="118"/>
      <c r="D415" s="126"/>
      <c r="E415" s="88"/>
      <c r="F415" s="118"/>
      <c r="G415" s="46"/>
      <c r="H415" s="46"/>
      <c r="I415" s="118"/>
      <c r="J415" s="46"/>
      <c r="K415" s="16" t="str">
        <f>IF(J415&lt;&gt;"",SUMIFS('💰 Transaction ขาย'!$F:$F,'💰 Transaction ขาย'!$K:$K,$J415,'💰 Transaction ขาย'!$J:$J,$B$1),"")</f>
        <v/>
      </c>
      <c r="L415" s="118"/>
      <c r="M415" s="46"/>
      <c r="N415" s="46"/>
      <c r="O415" s="46"/>
      <c r="P415" s="118"/>
      <c r="Q415" s="46"/>
      <c r="R415" s="46"/>
      <c r="S415" s="46"/>
      <c r="T415" s="46"/>
      <c r="U415" s="118"/>
      <c r="V415" s="46"/>
      <c r="W415" s="88" t="str">
        <f>IF(V415&lt;&gt;"",SUMIFS('📊 รายงานสินค้าคงเหลือ'!G:G,'📊 รายงานสินค้าคงเหลือ'!D:D,V415),"")</f>
        <v/>
      </c>
      <c r="X415" s="46"/>
      <c r="Y415" s="46"/>
      <c r="Z415" s="46"/>
    </row>
    <row r="416">
      <c r="A416" s="46"/>
      <c r="B416" s="16"/>
      <c r="C416" s="118"/>
      <c r="D416" s="126"/>
      <c r="E416" s="88"/>
      <c r="F416" s="118"/>
      <c r="G416" s="46"/>
      <c r="H416" s="46"/>
      <c r="I416" s="118"/>
      <c r="J416" s="46"/>
      <c r="K416" s="16" t="str">
        <f>IF(J416&lt;&gt;"",SUMIFS('💰 Transaction ขาย'!$F:$F,'💰 Transaction ขาย'!$K:$K,$J416,'💰 Transaction ขาย'!$J:$J,$B$1),"")</f>
        <v/>
      </c>
      <c r="L416" s="118"/>
      <c r="M416" s="46"/>
      <c r="N416" s="46"/>
      <c r="O416" s="46"/>
      <c r="P416" s="118"/>
      <c r="Q416" s="46"/>
      <c r="R416" s="46"/>
      <c r="S416" s="46"/>
      <c r="T416" s="46"/>
      <c r="U416" s="118"/>
      <c r="V416" s="46"/>
      <c r="W416" s="88" t="str">
        <f>IF(V416&lt;&gt;"",SUMIFS('📊 รายงานสินค้าคงเหลือ'!G:G,'📊 รายงานสินค้าคงเหลือ'!D:D,V416),"")</f>
        <v/>
      </c>
      <c r="X416" s="46"/>
      <c r="Y416" s="46"/>
      <c r="Z416" s="46"/>
    </row>
    <row r="417">
      <c r="A417" s="46"/>
      <c r="B417" s="16"/>
      <c r="C417" s="118"/>
      <c r="D417" s="126"/>
      <c r="E417" s="88"/>
      <c r="F417" s="118"/>
      <c r="G417" s="46"/>
      <c r="H417" s="46"/>
      <c r="I417" s="118"/>
      <c r="J417" s="46"/>
      <c r="K417" s="16" t="str">
        <f>IF(J417&lt;&gt;"",SUMIFS('💰 Transaction ขาย'!$F:$F,'💰 Transaction ขาย'!$K:$K,$J417,'💰 Transaction ขาย'!$J:$J,$B$1),"")</f>
        <v/>
      </c>
      <c r="L417" s="118"/>
      <c r="M417" s="46"/>
      <c r="N417" s="46"/>
      <c r="O417" s="46"/>
      <c r="P417" s="118"/>
      <c r="Q417" s="46"/>
      <c r="R417" s="46"/>
      <c r="S417" s="46"/>
      <c r="T417" s="46"/>
      <c r="U417" s="118"/>
      <c r="V417" s="46"/>
      <c r="W417" s="88" t="str">
        <f>IF(V417&lt;&gt;"",SUMIFS('📊 รายงานสินค้าคงเหลือ'!G:G,'📊 รายงานสินค้าคงเหลือ'!D:D,V417),"")</f>
        <v/>
      </c>
      <c r="X417" s="46"/>
      <c r="Y417" s="46"/>
      <c r="Z417" s="46"/>
    </row>
    <row r="418">
      <c r="A418" s="46"/>
      <c r="B418" s="16"/>
      <c r="C418" s="118"/>
      <c r="D418" s="126"/>
      <c r="E418" s="88"/>
      <c r="F418" s="118"/>
      <c r="G418" s="46"/>
      <c r="H418" s="46"/>
      <c r="I418" s="118"/>
      <c r="J418" s="46"/>
      <c r="K418" s="16" t="str">
        <f>IF(J418&lt;&gt;"",SUMIFS('💰 Transaction ขาย'!$F:$F,'💰 Transaction ขาย'!$K:$K,$J418,'💰 Transaction ขาย'!$J:$J,$B$1),"")</f>
        <v/>
      </c>
      <c r="L418" s="118"/>
      <c r="M418" s="46"/>
      <c r="N418" s="46"/>
      <c r="O418" s="46"/>
      <c r="P418" s="118"/>
      <c r="Q418" s="46"/>
      <c r="R418" s="46"/>
      <c r="S418" s="46"/>
      <c r="T418" s="46"/>
      <c r="U418" s="118"/>
      <c r="V418" s="46"/>
      <c r="W418" s="88" t="str">
        <f>IF(V418&lt;&gt;"",SUMIFS('📊 รายงานสินค้าคงเหลือ'!G:G,'📊 รายงานสินค้าคงเหลือ'!D:D,V418),"")</f>
        <v/>
      </c>
      <c r="X418" s="46"/>
      <c r="Y418" s="46"/>
      <c r="Z418" s="46"/>
    </row>
    <row r="419">
      <c r="A419" s="46"/>
      <c r="B419" s="16"/>
      <c r="C419" s="118"/>
      <c r="D419" s="126"/>
      <c r="E419" s="88"/>
      <c r="F419" s="118"/>
      <c r="G419" s="46"/>
      <c r="H419" s="46"/>
      <c r="I419" s="118"/>
      <c r="J419" s="46"/>
      <c r="K419" s="16" t="str">
        <f>IF(J419&lt;&gt;"",SUMIFS('💰 Transaction ขาย'!$F:$F,'💰 Transaction ขาย'!$K:$K,$J419,'💰 Transaction ขาย'!$J:$J,$B$1),"")</f>
        <v/>
      </c>
      <c r="L419" s="118"/>
      <c r="M419" s="46"/>
      <c r="N419" s="46"/>
      <c r="O419" s="46"/>
      <c r="P419" s="118"/>
      <c r="Q419" s="46"/>
      <c r="R419" s="46"/>
      <c r="S419" s="46"/>
      <c r="T419" s="46"/>
      <c r="U419" s="118"/>
      <c r="V419" s="46"/>
      <c r="W419" s="88" t="str">
        <f>IF(V419&lt;&gt;"",SUMIFS('📊 รายงานสินค้าคงเหลือ'!G:G,'📊 รายงานสินค้าคงเหลือ'!D:D,V419),"")</f>
        <v/>
      </c>
      <c r="X419" s="46"/>
      <c r="Y419" s="46"/>
      <c r="Z419" s="46"/>
    </row>
    <row r="420">
      <c r="A420" s="46"/>
      <c r="B420" s="16"/>
      <c r="C420" s="118"/>
      <c r="D420" s="126"/>
      <c r="E420" s="88"/>
      <c r="F420" s="118"/>
      <c r="G420" s="46"/>
      <c r="H420" s="46"/>
      <c r="I420" s="118"/>
      <c r="J420" s="46"/>
      <c r="K420" s="16" t="str">
        <f>IF(J420&lt;&gt;"",SUMIFS('💰 Transaction ขาย'!$F:$F,'💰 Transaction ขาย'!$K:$K,$J420,'💰 Transaction ขาย'!$J:$J,$B$1),"")</f>
        <v/>
      </c>
      <c r="L420" s="118"/>
      <c r="M420" s="46"/>
      <c r="N420" s="46"/>
      <c r="O420" s="46"/>
      <c r="P420" s="118"/>
      <c r="Q420" s="46"/>
      <c r="R420" s="46"/>
      <c r="S420" s="46"/>
      <c r="T420" s="46"/>
      <c r="U420" s="118"/>
      <c r="V420" s="46"/>
      <c r="W420" s="88" t="str">
        <f>IF(V420&lt;&gt;"",SUMIFS('📊 รายงานสินค้าคงเหลือ'!G:G,'📊 รายงานสินค้าคงเหลือ'!D:D,V420),"")</f>
        <v/>
      </c>
      <c r="X420" s="46"/>
      <c r="Y420" s="46"/>
      <c r="Z420" s="46"/>
    </row>
    <row r="421">
      <c r="A421" s="46"/>
      <c r="B421" s="16"/>
      <c r="C421" s="118"/>
      <c r="D421" s="126"/>
      <c r="E421" s="88"/>
      <c r="F421" s="118"/>
      <c r="G421" s="46"/>
      <c r="H421" s="46"/>
      <c r="I421" s="118"/>
      <c r="J421" s="46"/>
      <c r="K421" s="16" t="str">
        <f>IF(J421&lt;&gt;"",SUMIFS('💰 Transaction ขาย'!$F:$F,'💰 Transaction ขาย'!$K:$K,$J421,'💰 Transaction ขาย'!$J:$J,$B$1),"")</f>
        <v/>
      </c>
      <c r="L421" s="118"/>
      <c r="M421" s="46"/>
      <c r="N421" s="46"/>
      <c r="O421" s="46"/>
      <c r="P421" s="118"/>
      <c r="Q421" s="46"/>
      <c r="R421" s="46"/>
      <c r="S421" s="46"/>
      <c r="T421" s="46"/>
      <c r="U421" s="118"/>
      <c r="V421" s="46"/>
      <c r="W421" s="88" t="str">
        <f>IF(V421&lt;&gt;"",SUMIFS('📊 รายงานสินค้าคงเหลือ'!G:G,'📊 รายงานสินค้าคงเหลือ'!D:D,V421),"")</f>
        <v/>
      </c>
      <c r="X421" s="46"/>
      <c r="Y421" s="46"/>
      <c r="Z421" s="46"/>
    </row>
    <row r="422">
      <c r="A422" s="46"/>
      <c r="B422" s="16"/>
      <c r="C422" s="118"/>
      <c r="D422" s="126"/>
      <c r="E422" s="88"/>
      <c r="F422" s="118"/>
      <c r="G422" s="46"/>
      <c r="H422" s="46"/>
      <c r="I422" s="118"/>
      <c r="J422" s="46"/>
      <c r="K422" s="16" t="str">
        <f>IF(J422&lt;&gt;"",SUMIFS('💰 Transaction ขาย'!$F:$F,'💰 Transaction ขาย'!$K:$K,$J422,'💰 Transaction ขาย'!$J:$J,$B$1),"")</f>
        <v/>
      </c>
      <c r="L422" s="118"/>
      <c r="M422" s="46"/>
      <c r="N422" s="46"/>
      <c r="O422" s="46"/>
      <c r="P422" s="118"/>
      <c r="Q422" s="46"/>
      <c r="R422" s="46"/>
      <c r="S422" s="46"/>
      <c r="T422" s="46"/>
      <c r="U422" s="118"/>
      <c r="V422" s="46"/>
      <c r="W422" s="88" t="str">
        <f>IF(V422&lt;&gt;"",SUMIFS('📊 รายงานสินค้าคงเหลือ'!G:G,'📊 รายงานสินค้าคงเหลือ'!D:D,V422),"")</f>
        <v/>
      </c>
      <c r="X422" s="46"/>
      <c r="Y422" s="46"/>
      <c r="Z422" s="46"/>
    </row>
    <row r="423">
      <c r="A423" s="46"/>
      <c r="B423" s="16"/>
      <c r="C423" s="118"/>
      <c r="D423" s="126"/>
      <c r="E423" s="88"/>
      <c r="F423" s="118"/>
      <c r="G423" s="46"/>
      <c r="H423" s="46"/>
      <c r="I423" s="118"/>
      <c r="J423" s="46"/>
      <c r="K423" s="16" t="str">
        <f>IF(J423&lt;&gt;"",SUMIFS('💰 Transaction ขาย'!$F:$F,'💰 Transaction ขาย'!$K:$K,$J423,'💰 Transaction ขาย'!$J:$J,$B$1),"")</f>
        <v/>
      </c>
      <c r="L423" s="118"/>
      <c r="M423" s="46"/>
      <c r="N423" s="46"/>
      <c r="O423" s="46"/>
      <c r="P423" s="118"/>
      <c r="Q423" s="46"/>
      <c r="R423" s="46"/>
      <c r="S423" s="46"/>
      <c r="T423" s="46"/>
      <c r="U423" s="118"/>
      <c r="V423" s="46"/>
      <c r="W423" s="88" t="str">
        <f>IF(V423&lt;&gt;"",SUMIFS('📊 รายงานสินค้าคงเหลือ'!G:G,'📊 รายงานสินค้าคงเหลือ'!D:D,V423),"")</f>
        <v/>
      </c>
      <c r="X423" s="46"/>
      <c r="Y423" s="46"/>
      <c r="Z423" s="46"/>
    </row>
    <row r="424">
      <c r="A424" s="46"/>
      <c r="B424" s="16"/>
      <c r="C424" s="118"/>
      <c r="D424" s="126"/>
      <c r="E424" s="88"/>
      <c r="F424" s="118"/>
      <c r="G424" s="46"/>
      <c r="H424" s="46"/>
      <c r="I424" s="118"/>
      <c r="J424" s="46"/>
      <c r="K424" s="16" t="str">
        <f>IF(J424&lt;&gt;"",SUMIFS('💰 Transaction ขาย'!$F:$F,'💰 Transaction ขาย'!$K:$K,$J424,'💰 Transaction ขาย'!$J:$J,$B$1),"")</f>
        <v/>
      </c>
      <c r="L424" s="118"/>
      <c r="M424" s="46"/>
      <c r="N424" s="46"/>
      <c r="O424" s="46"/>
      <c r="P424" s="118"/>
      <c r="Q424" s="46"/>
      <c r="R424" s="46"/>
      <c r="S424" s="46"/>
      <c r="T424" s="46"/>
      <c r="U424" s="118"/>
      <c r="V424" s="46"/>
      <c r="W424" s="88" t="str">
        <f>IF(V424&lt;&gt;"",SUMIFS('📊 รายงานสินค้าคงเหลือ'!G:G,'📊 รายงานสินค้าคงเหลือ'!D:D,V424),"")</f>
        <v/>
      </c>
      <c r="X424" s="46"/>
      <c r="Y424" s="46"/>
      <c r="Z424" s="46"/>
    </row>
    <row r="425">
      <c r="A425" s="46"/>
      <c r="B425" s="16"/>
      <c r="C425" s="118"/>
      <c r="D425" s="126"/>
      <c r="E425" s="88"/>
      <c r="F425" s="118"/>
      <c r="G425" s="46"/>
      <c r="H425" s="46"/>
      <c r="I425" s="118"/>
      <c r="J425" s="46"/>
      <c r="K425" s="16" t="str">
        <f>IF(J425&lt;&gt;"",SUMIFS('💰 Transaction ขาย'!$F:$F,'💰 Transaction ขาย'!$K:$K,$J425,'💰 Transaction ขาย'!$J:$J,$B$1),"")</f>
        <v/>
      </c>
      <c r="L425" s="118"/>
      <c r="M425" s="46"/>
      <c r="N425" s="46"/>
      <c r="O425" s="46"/>
      <c r="P425" s="118"/>
      <c r="Q425" s="46"/>
      <c r="R425" s="46"/>
      <c r="S425" s="46"/>
      <c r="T425" s="46"/>
      <c r="U425" s="118"/>
      <c r="V425" s="46"/>
      <c r="W425" s="88" t="str">
        <f>IF(V425&lt;&gt;"",SUMIFS('📊 รายงานสินค้าคงเหลือ'!G:G,'📊 รายงานสินค้าคงเหลือ'!D:D,V425),"")</f>
        <v/>
      </c>
      <c r="X425" s="46"/>
      <c r="Y425" s="46"/>
      <c r="Z425" s="46"/>
    </row>
    <row r="426">
      <c r="A426" s="46"/>
      <c r="B426" s="16"/>
      <c r="C426" s="118"/>
      <c r="D426" s="126"/>
      <c r="E426" s="88"/>
      <c r="F426" s="118"/>
      <c r="G426" s="46"/>
      <c r="H426" s="46"/>
      <c r="I426" s="118"/>
      <c r="J426" s="46"/>
      <c r="K426" s="16" t="str">
        <f>IF(J426&lt;&gt;"",SUMIFS('💰 Transaction ขาย'!$F:$F,'💰 Transaction ขาย'!$K:$K,$J426,'💰 Transaction ขาย'!$J:$J,$B$1),"")</f>
        <v/>
      </c>
      <c r="L426" s="118"/>
      <c r="M426" s="46"/>
      <c r="N426" s="46"/>
      <c r="O426" s="46"/>
      <c r="P426" s="118"/>
      <c r="Q426" s="46"/>
      <c r="R426" s="46"/>
      <c r="S426" s="46"/>
      <c r="T426" s="46"/>
      <c r="U426" s="118"/>
      <c r="V426" s="46"/>
      <c r="W426" s="88" t="str">
        <f>IF(V426&lt;&gt;"",SUMIFS('📊 รายงานสินค้าคงเหลือ'!G:G,'📊 รายงานสินค้าคงเหลือ'!D:D,V426),"")</f>
        <v/>
      </c>
      <c r="X426" s="46"/>
      <c r="Y426" s="46"/>
      <c r="Z426" s="46"/>
    </row>
    <row r="427">
      <c r="A427" s="46"/>
      <c r="B427" s="16"/>
      <c r="C427" s="118"/>
      <c r="D427" s="126"/>
      <c r="E427" s="88"/>
      <c r="F427" s="118"/>
      <c r="G427" s="46"/>
      <c r="H427" s="46"/>
      <c r="I427" s="118"/>
      <c r="J427" s="46"/>
      <c r="K427" s="16" t="str">
        <f>IF(J427&lt;&gt;"",SUMIFS('💰 Transaction ขาย'!$F:$F,'💰 Transaction ขาย'!$K:$K,$J427,'💰 Transaction ขาย'!$J:$J,$B$1),"")</f>
        <v/>
      </c>
      <c r="L427" s="118"/>
      <c r="M427" s="46"/>
      <c r="N427" s="46"/>
      <c r="O427" s="46"/>
      <c r="P427" s="118"/>
      <c r="Q427" s="46"/>
      <c r="R427" s="46"/>
      <c r="S427" s="46"/>
      <c r="T427" s="46"/>
      <c r="U427" s="118"/>
      <c r="V427" s="46"/>
      <c r="W427" s="88" t="str">
        <f>IF(V427&lt;&gt;"",SUMIFS('📊 รายงานสินค้าคงเหลือ'!G:G,'📊 รายงานสินค้าคงเหลือ'!D:D,V427),"")</f>
        <v/>
      </c>
      <c r="X427" s="46"/>
      <c r="Y427" s="46"/>
      <c r="Z427" s="46"/>
    </row>
    <row r="428">
      <c r="A428" s="46"/>
      <c r="B428" s="16"/>
      <c r="C428" s="118"/>
      <c r="D428" s="126"/>
      <c r="E428" s="88"/>
      <c r="F428" s="118"/>
      <c r="G428" s="46"/>
      <c r="H428" s="46"/>
      <c r="I428" s="118"/>
      <c r="J428" s="46"/>
      <c r="K428" s="16" t="str">
        <f>IF(J428&lt;&gt;"",SUMIFS('💰 Transaction ขาย'!$F:$F,'💰 Transaction ขาย'!$K:$K,$J428,'💰 Transaction ขาย'!$J:$J,$B$1),"")</f>
        <v/>
      </c>
      <c r="L428" s="118"/>
      <c r="M428" s="46"/>
      <c r="N428" s="46"/>
      <c r="O428" s="46"/>
      <c r="P428" s="118"/>
      <c r="Q428" s="46"/>
      <c r="R428" s="46"/>
      <c r="S428" s="46"/>
      <c r="T428" s="46"/>
      <c r="U428" s="118"/>
      <c r="V428" s="46"/>
      <c r="W428" s="88" t="str">
        <f>IF(V428&lt;&gt;"",SUMIFS('📊 รายงานสินค้าคงเหลือ'!G:G,'📊 รายงานสินค้าคงเหลือ'!D:D,V428),"")</f>
        <v/>
      </c>
      <c r="X428" s="46"/>
      <c r="Y428" s="46"/>
      <c r="Z428" s="46"/>
    </row>
    <row r="429">
      <c r="A429" s="46"/>
      <c r="B429" s="16"/>
      <c r="C429" s="118"/>
      <c r="D429" s="126"/>
      <c r="E429" s="88"/>
      <c r="F429" s="118"/>
      <c r="G429" s="46"/>
      <c r="H429" s="46"/>
      <c r="I429" s="118"/>
      <c r="J429" s="46"/>
      <c r="K429" s="16" t="str">
        <f>IF(J429&lt;&gt;"",SUMIFS('💰 Transaction ขาย'!$F:$F,'💰 Transaction ขาย'!$K:$K,$J429,'💰 Transaction ขาย'!$J:$J,$B$1),"")</f>
        <v/>
      </c>
      <c r="L429" s="118"/>
      <c r="M429" s="46"/>
      <c r="N429" s="46"/>
      <c r="O429" s="46"/>
      <c r="P429" s="118"/>
      <c r="Q429" s="46"/>
      <c r="R429" s="46"/>
      <c r="S429" s="46"/>
      <c r="T429" s="46"/>
      <c r="U429" s="118"/>
      <c r="V429" s="46"/>
      <c r="W429" s="88" t="str">
        <f>IF(V429&lt;&gt;"",SUMIFS('📊 รายงานสินค้าคงเหลือ'!G:G,'📊 รายงานสินค้าคงเหลือ'!D:D,V429),"")</f>
        <v/>
      </c>
      <c r="X429" s="46"/>
      <c r="Y429" s="46"/>
      <c r="Z429" s="46"/>
    </row>
    <row r="430">
      <c r="A430" s="46"/>
      <c r="B430" s="16"/>
      <c r="C430" s="118"/>
      <c r="D430" s="126"/>
      <c r="E430" s="88"/>
      <c r="F430" s="118"/>
      <c r="G430" s="46"/>
      <c r="H430" s="46"/>
      <c r="I430" s="118"/>
      <c r="J430" s="46"/>
      <c r="K430" s="16" t="str">
        <f>IF(J430&lt;&gt;"",SUMIFS('💰 Transaction ขาย'!$F:$F,'💰 Transaction ขาย'!$K:$K,$J430,'💰 Transaction ขาย'!$J:$J,$B$1),"")</f>
        <v/>
      </c>
      <c r="L430" s="118"/>
      <c r="M430" s="46"/>
      <c r="N430" s="46"/>
      <c r="O430" s="46"/>
      <c r="P430" s="118"/>
      <c r="Q430" s="46"/>
      <c r="R430" s="46"/>
      <c r="S430" s="46"/>
      <c r="T430" s="46"/>
      <c r="U430" s="118"/>
      <c r="V430" s="46"/>
      <c r="W430" s="88" t="str">
        <f>IF(V430&lt;&gt;"",SUMIFS('📊 รายงานสินค้าคงเหลือ'!G:G,'📊 รายงานสินค้าคงเหลือ'!D:D,V430),"")</f>
        <v/>
      </c>
      <c r="X430" s="46"/>
      <c r="Y430" s="46"/>
      <c r="Z430" s="46"/>
    </row>
    <row r="431">
      <c r="A431" s="46"/>
      <c r="B431" s="16"/>
      <c r="C431" s="118"/>
      <c r="D431" s="126"/>
      <c r="E431" s="88"/>
      <c r="F431" s="118"/>
      <c r="G431" s="46"/>
      <c r="H431" s="46"/>
      <c r="I431" s="118"/>
      <c r="J431" s="46"/>
      <c r="K431" s="16" t="str">
        <f>IF(J431&lt;&gt;"",SUMIFS('💰 Transaction ขาย'!$F:$F,'💰 Transaction ขาย'!$K:$K,$J431,'💰 Transaction ขาย'!$J:$J,$B$1),"")</f>
        <v/>
      </c>
      <c r="L431" s="118"/>
      <c r="M431" s="46"/>
      <c r="N431" s="46"/>
      <c r="O431" s="46"/>
      <c r="P431" s="118"/>
      <c r="Q431" s="46"/>
      <c r="R431" s="46"/>
      <c r="S431" s="46"/>
      <c r="T431" s="46"/>
      <c r="U431" s="118"/>
      <c r="V431" s="46"/>
      <c r="W431" s="88" t="str">
        <f>IF(V431&lt;&gt;"",SUMIFS('📊 รายงานสินค้าคงเหลือ'!G:G,'📊 รายงานสินค้าคงเหลือ'!D:D,V431),"")</f>
        <v/>
      </c>
      <c r="X431" s="46"/>
      <c r="Y431" s="46"/>
      <c r="Z431" s="46"/>
    </row>
    <row r="432">
      <c r="A432" s="46"/>
      <c r="B432" s="16"/>
      <c r="C432" s="118"/>
      <c r="D432" s="126"/>
      <c r="E432" s="88"/>
      <c r="F432" s="118"/>
      <c r="G432" s="46"/>
      <c r="H432" s="46"/>
      <c r="I432" s="118"/>
      <c r="J432" s="46"/>
      <c r="K432" s="16" t="str">
        <f>IF(J432&lt;&gt;"",SUMIFS('💰 Transaction ขาย'!$F:$F,'💰 Transaction ขาย'!$K:$K,$J432,'💰 Transaction ขาย'!$J:$J,$B$1),"")</f>
        <v/>
      </c>
      <c r="L432" s="118"/>
      <c r="M432" s="46"/>
      <c r="N432" s="46"/>
      <c r="O432" s="46"/>
      <c r="P432" s="118"/>
      <c r="Q432" s="46"/>
      <c r="R432" s="46"/>
      <c r="S432" s="46"/>
      <c r="T432" s="46"/>
      <c r="U432" s="118"/>
      <c r="V432" s="46"/>
      <c r="W432" s="88" t="str">
        <f>IF(V432&lt;&gt;"",SUMIFS('📊 รายงานสินค้าคงเหลือ'!G:G,'📊 รายงานสินค้าคงเหลือ'!D:D,V432),"")</f>
        <v/>
      </c>
      <c r="X432" s="46"/>
      <c r="Y432" s="46"/>
      <c r="Z432" s="46"/>
    </row>
    <row r="433">
      <c r="A433" s="46"/>
      <c r="B433" s="16"/>
      <c r="C433" s="118"/>
      <c r="D433" s="126"/>
      <c r="E433" s="88"/>
      <c r="F433" s="118"/>
      <c r="G433" s="46"/>
      <c r="H433" s="46"/>
      <c r="I433" s="118"/>
      <c r="J433" s="46"/>
      <c r="K433" s="16" t="str">
        <f>IF(J433&lt;&gt;"",SUMIFS('💰 Transaction ขาย'!$F:$F,'💰 Transaction ขาย'!$K:$K,$J433,'💰 Transaction ขาย'!$J:$J,$B$1),"")</f>
        <v/>
      </c>
      <c r="L433" s="118"/>
      <c r="M433" s="46"/>
      <c r="N433" s="46"/>
      <c r="O433" s="46"/>
      <c r="P433" s="118"/>
      <c r="Q433" s="46"/>
      <c r="R433" s="46"/>
      <c r="S433" s="46"/>
      <c r="T433" s="46"/>
      <c r="U433" s="118"/>
      <c r="V433" s="46"/>
      <c r="W433" s="88" t="str">
        <f>IF(V433&lt;&gt;"",SUMIFS('📊 รายงานสินค้าคงเหลือ'!G:G,'📊 รายงานสินค้าคงเหลือ'!D:D,V433),"")</f>
        <v/>
      </c>
      <c r="X433" s="46"/>
      <c r="Y433" s="46"/>
      <c r="Z433" s="46"/>
    </row>
    <row r="434">
      <c r="A434" s="46"/>
      <c r="B434" s="16"/>
      <c r="C434" s="118"/>
      <c r="D434" s="126"/>
      <c r="E434" s="88"/>
      <c r="F434" s="118"/>
      <c r="G434" s="46"/>
      <c r="H434" s="46"/>
      <c r="I434" s="118"/>
      <c r="J434" s="46"/>
      <c r="K434" s="16" t="str">
        <f>IF(J434&lt;&gt;"",SUMIFS('💰 Transaction ขาย'!$F:$F,'💰 Transaction ขาย'!$K:$K,$J434,'💰 Transaction ขาย'!$J:$J,$B$1),"")</f>
        <v/>
      </c>
      <c r="L434" s="118"/>
      <c r="M434" s="46"/>
      <c r="N434" s="46"/>
      <c r="O434" s="46"/>
      <c r="P434" s="118"/>
      <c r="Q434" s="46"/>
      <c r="R434" s="46"/>
      <c r="S434" s="46"/>
      <c r="T434" s="46"/>
      <c r="U434" s="118"/>
      <c r="V434" s="46"/>
      <c r="W434" s="88" t="str">
        <f>IF(V434&lt;&gt;"",SUMIFS('📊 รายงานสินค้าคงเหลือ'!G:G,'📊 รายงานสินค้าคงเหลือ'!D:D,V434),"")</f>
        <v/>
      </c>
      <c r="X434" s="46"/>
      <c r="Y434" s="46"/>
      <c r="Z434" s="46"/>
    </row>
    <row r="435">
      <c r="A435" s="46"/>
      <c r="B435" s="16"/>
      <c r="C435" s="118"/>
      <c r="D435" s="126"/>
      <c r="E435" s="88"/>
      <c r="F435" s="118"/>
      <c r="G435" s="46"/>
      <c r="H435" s="46"/>
      <c r="I435" s="118"/>
      <c r="J435" s="46"/>
      <c r="K435" s="16" t="str">
        <f>IF(J435&lt;&gt;"",SUMIFS('💰 Transaction ขาย'!$F:$F,'💰 Transaction ขาย'!$K:$K,$J435,'💰 Transaction ขาย'!$J:$J,$B$1),"")</f>
        <v/>
      </c>
      <c r="L435" s="118"/>
      <c r="M435" s="46"/>
      <c r="N435" s="46"/>
      <c r="O435" s="46"/>
      <c r="P435" s="118"/>
      <c r="Q435" s="46"/>
      <c r="R435" s="46"/>
      <c r="S435" s="46"/>
      <c r="T435" s="46"/>
      <c r="U435" s="118"/>
      <c r="V435" s="46"/>
      <c r="W435" s="88" t="str">
        <f>IF(V435&lt;&gt;"",SUMIFS('📊 รายงานสินค้าคงเหลือ'!G:G,'📊 รายงานสินค้าคงเหลือ'!D:D,V435),"")</f>
        <v/>
      </c>
      <c r="X435" s="46"/>
      <c r="Y435" s="46"/>
      <c r="Z435" s="46"/>
    </row>
    <row r="436">
      <c r="A436" s="46"/>
      <c r="B436" s="16"/>
      <c r="C436" s="118"/>
      <c r="D436" s="126"/>
      <c r="E436" s="88"/>
      <c r="F436" s="118"/>
      <c r="G436" s="46"/>
      <c r="H436" s="46"/>
      <c r="I436" s="118"/>
      <c r="J436" s="46"/>
      <c r="K436" s="16" t="str">
        <f>IF(J436&lt;&gt;"",SUMIFS('💰 Transaction ขาย'!$F:$F,'💰 Transaction ขาย'!$K:$K,$J436,'💰 Transaction ขาย'!$J:$J,$B$1),"")</f>
        <v/>
      </c>
      <c r="L436" s="118"/>
      <c r="M436" s="46"/>
      <c r="N436" s="46"/>
      <c r="O436" s="46"/>
      <c r="P436" s="118"/>
      <c r="Q436" s="46"/>
      <c r="R436" s="46"/>
      <c r="S436" s="46"/>
      <c r="T436" s="46"/>
      <c r="U436" s="118"/>
      <c r="V436" s="46"/>
      <c r="W436" s="88" t="str">
        <f>IF(V436&lt;&gt;"",SUMIFS('📊 รายงานสินค้าคงเหลือ'!G:G,'📊 รายงานสินค้าคงเหลือ'!D:D,V436),"")</f>
        <v/>
      </c>
      <c r="X436" s="46"/>
      <c r="Y436" s="46"/>
      <c r="Z436" s="46"/>
    </row>
    <row r="437">
      <c r="A437" s="46"/>
      <c r="B437" s="16"/>
      <c r="C437" s="118"/>
      <c r="D437" s="126"/>
      <c r="E437" s="88"/>
      <c r="F437" s="118"/>
      <c r="G437" s="46"/>
      <c r="H437" s="46"/>
      <c r="I437" s="118"/>
      <c r="J437" s="46"/>
      <c r="K437" s="16" t="str">
        <f>IF(J437&lt;&gt;"",SUMIFS('💰 Transaction ขาย'!$F:$F,'💰 Transaction ขาย'!$K:$K,$J437,'💰 Transaction ขาย'!$J:$J,$B$1),"")</f>
        <v/>
      </c>
      <c r="L437" s="118"/>
      <c r="M437" s="46"/>
      <c r="N437" s="46"/>
      <c r="O437" s="46"/>
      <c r="P437" s="118"/>
      <c r="Q437" s="46"/>
      <c r="R437" s="46"/>
      <c r="S437" s="46"/>
      <c r="T437" s="46"/>
      <c r="U437" s="118"/>
      <c r="V437" s="46"/>
      <c r="W437" s="88" t="str">
        <f>IF(V437&lt;&gt;"",SUMIFS('📊 รายงานสินค้าคงเหลือ'!G:G,'📊 รายงานสินค้าคงเหลือ'!D:D,V437),"")</f>
        <v/>
      </c>
      <c r="X437" s="46"/>
      <c r="Y437" s="46"/>
      <c r="Z437" s="46"/>
    </row>
    <row r="438">
      <c r="A438" s="46"/>
      <c r="B438" s="16"/>
      <c r="C438" s="118"/>
      <c r="D438" s="126"/>
      <c r="E438" s="88"/>
      <c r="F438" s="118"/>
      <c r="G438" s="46"/>
      <c r="H438" s="46"/>
      <c r="I438" s="118"/>
      <c r="J438" s="46"/>
      <c r="K438" s="16" t="str">
        <f>IF(J438&lt;&gt;"",SUMIFS('💰 Transaction ขาย'!$F:$F,'💰 Transaction ขาย'!$K:$K,$J438,'💰 Transaction ขาย'!$J:$J,$B$1),"")</f>
        <v/>
      </c>
      <c r="L438" s="118"/>
      <c r="M438" s="46"/>
      <c r="N438" s="46"/>
      <c r="O438" s="46"/>
      <c r="P438" s="118"/>
      <c r="Q438" s="46"/>
      <c r="R438" s="46"/>
      <c r="S438" s="46"/>
      <c r="T438" s="46"/>
      <c r="U438" s="118"/>
      <c r="V438" s="46"/>
      <c r="W438" s="88" t="str">
        <f>IF(V438&lt;&gt;"",SUMIFS('📊 รายงานสินค้าคงเหลือ'!G:G,'📊 รายงานสินค้าคงเหลือ'!D:D,V438),"")</f>
        <v/>
      </c>
      <c r="X438" s="46"/>
      <c r="Y438" s="46"/>
      <c r="Z438" s="46"/>
    </row>
    <row r="439">
      <c r="A439" s="46"/>
      <c r="B439" s="16"/>
      <c r="C439" s="118"/>
      <c r="D439" s="126"/>
      <c r="E439" s="88"/>
      <c r="F439" s="118"/>
      <c r="G439" s="46"/>
      <c r="H439" s="46"/>
      <c r="I439" s="118"/>
      <c r="J439" s="46"/>
      <c r="K439" s="16" t="str">
        <f>IF(J439&lt;&gt;"",SUMIFS('💰 Transaction ขาย'!$F:$F,'💰 Transaction ขาย'!$K:$K,$J439,'💰 Transaction ขาย'!$J:$J,$B$1),"")</f>
        <v/>
      </c>
      <c r="L439" s="118"/>
      <c r="M439" s="46"/>
      <c r="N439" s="46"/>
      <c r="O439" s="46"/>
      <c r="P439" s="118"/>
      <c r="Q439" s="46"/>
      <c r="R439" s="46"/>
      <c r="S439" s="46"/>
      <c r="T439" s="46"/>
      <c r="U439" s="118"/>
      <c r="V439" s="46"/>
      <c r="W439" s="88" t="str">
        <f>IF(V439&lt;&gt;"",SUMIFS('📊 รายงานสินค้าคงเหลือ'!G:G,'📊 รายงานสินค้าคงเหลือ'!D:D,V439),"")</f>
        <v/>
      </c>
      <c r="X439" s="46"/>
      <c r="Y439" s="46"/>
      <c r="Z439" s="46"/>
    </row>
    <row r="440">
      <c r="A440" s="46"/>
      <c r="B440" s="16"/>
      <c r="C440" s="118"/>
      <c r="D440" s="126"/>
      <c r="E440" s="88"/>
      <c r="F440" s="118"/>
      <c r="G440" s="46"/>
      <c r="H440" s="46"/>
      <c r="I440" s="118"/>
      <c r="J440" s="46"/>
      <c r="K440" s="16" t="str">
        <f>IF(J440&lt;&gt;"",SUMIFS('💰 Transaction ขาย'!$F:$F,'💰 Transaction ขาย'!$K:$K,$J440,'💰 Transaction ขาย'!$J:$J,$B$1),"")</f>
        <v/>
      </c>
      <c r="L440" s="118"/>
      <c r="M440" s="46"/>
      <c r="N440" s="46"/>
      <c r="O440" s="46"/>
      <c r="P440" s="118"/>
      <c r="Q440" s="46"/>
      <c r="R440" s="46"/>
      <c r="S440" s="46"/>
      <c r="T440" s="46"/>
      <c r="U440" s="118"/>
      <c r="V440" s="46"/>
      <c r="W440" s="88" t="str">
        <f>IF(V440&lt;&gt;"",SUMIFS('📊 รายงานสินค้าคงเหลือ'!G:G,'📊 รายงานสินค้าคงเหลือ'!D:D,V440),"")</f>
        <v/>
      </c>
      <c r="X440" s="46"/>
      <c r="Y440" s="46"/>
      <c r="Z440" s="46"/>
    </row>
    <row r="441">
      <c r="A441" s="46"/>
      <c r="B441" s="16"/>
      <c r="C441" s="118"/>
      <c r="D441" s="126"/>
      <c r="E441" s="88"/>
      <c r="F441" s="118"/>
      <c r="G441" s="46"/>
      <c r="H441" s="46"/>
      <c r="I441" s="118"/>
      <c r="J441" s="46"/>
      <c r="K441" s="16" t="str">
        <f>IF(J441&lt;&gt;"",SUMIFS('💰 Transaction ขาย'!$F:$F,'💰 Transaction ขาย'!$K:$K,$J441,'💰 Transaction ขาย'!$J:$J,$B$1),"")</f>
        <v/>
      </c>
      <c r="L441" s="118"/>
      <c r="M441" s="46"/>
      <c r="N441" s="46"/>
      <c r="O441" s="46"/>
      <c r="P441" s="118"/>
      <c r="Q441" s="46"/>
      <c r="R441" s="46"/>
      <c r="S441" s="46"/>
      <c r="T441" s="46"/>
      <c r="U441" s="118"/>
      <c r="V441" s="46"/>
      <c r="W441" s="88" t="str">
        <f>IF(V441&lt;&gt;"",SUMIFS('📊 รายงานสินค้าคงเหลือ'!G:G,'📊 รายงานสินค้าคงเหลือ'!D:D,V441),"")</f>
        <v/>
      </c>
      <c r="X441" s="46"/>
      <c r="Y441" s="46"/>
      <c r="Z441" s="46"/>
    </row>
    <row r="442">
      <c r="A442" s="46"/>
      <c r="B442" s="16"/>
      <c r="C442" s="118"/>
      <c r="D442" s="126"/>
      <c r="E442" s="88"/>
      <c r="F442" s="118"/>
      <c r="G442" s="46"/>
      <c r="H442" s="46"/>
      <c r="I442" s="118"/>
      <c r="J442" s="46"/>
      <c r="K442" s="16" t="str">
        <f>IF(J442&lt;&gt;"",SUMIFS('💰 Transaction ขาย'!$F:$F,'💰 Transaction ขาย'!$K:$K,$J442,'💰 Transaction ขาย'!$J:$J,$B$1),"")</f>
        <v/>
      </c>
      <c r="L442" s="118"/>
      <c r="M442" s="46"/>
      <c r="N442" s="46"/>
      <c r="O442" s="46"/>
      <c r="P442" s="118"/>
      <c r="Q442" s="46"/>
      <c r="R442" s="46"/>
      <c r="S442" s="46"/>
      <c r="T442" s="46"/>
      <c r="U442" s="118"/>
      <c r="V442" s="46"/>
      <c r="W442" s="88" t="str">
        <f>IF(V442&lt;&gt;"",SUMIFS('📊 รายงานสินค้าคงเหลือ'!G:G,'📊 รายงานสินค้าคงเหลือ'!D:D,V442),"")</f>
        <v/>
      </c>
      <c r="X442" s="46"/>
      <c r="Y442" s="46"/>
      <c r="Z442" s="46"/>
    </row>
    <row r="443">
      <c r="A443" s="46"/>
      <c r="B443" s="16"/>
      <c r="C443" s="118"/>
      <c r="D443" s="126"/>
      <c r="E443" s="88"/>
      <c r="F443" s="118"/>
      <c r="G443" s="46"/>
      <c r="H443" s="46"/>
      <c r="I443" s="118"/>
      <c r="J443" s="46"/>
      <c r="K443" s="16" t="str">
        <f>IF(J443&lt;&gt;"",SUMIFS('💰 Transaction ขาย'!$F:$F,'💰 Transaction ขาย'!$K:$K,$J443,'💰 Transaction ขาย'!$J:$J,$B$1),"")</f>
        <v/>
      </c>
      <c r="L443" s="118"/>
      <c r="M443" s="46"/>
      <c r="N443" s="46"/>
      <c r="O443" s="46"/>
      <c r="P443" s="118"/>
      <c r="Q443" s="46"/>
      <c r="R443" s="46"/>
      <c r="S443" s="46"/>
      <c r="T443" s="46"/>
      <c r="U443" s="118"/>
      <c r="V443" s="46"/>
      <c r="W443" s="88" t="str">
        <f>IF(V443&lt;&gt;"",SUMIFS('📊 รายงานสินค้าคงเหลือ'!G:G,'📊 รายงานสินค้าคงเหลือ'!D:D,V443),"")</f>
        <v/>
      </c>
      <c r="X443" s="46"/>
      <c r="Y443" s="46"/>
      <c r="Z443" s="46"/>
    </row>
    <row r="444">
      <c r="A444" s="46"/>
      <c r="B444" s="16"/>
      <c r="C444" s="118"/>
      <c r="D444" s="126"/>
      <c r="E444" s="88"/>
      <c r="F444" s="118"/>
      <c r="G444" s="46"/>
      <c r="H444" s="46"/>
      <c r="I444" s="118"/>
      <c r="J444" s="46"/>
      <c r="K444" s="16" t="str">
        <f>IF(J444&lt;&gt;"",SUMIFS('💰 Transaction ขาย'!$F:$F,'💰 Transaction ขาย'!$K:$K,$J444,'💰 Transaction ขาย'!$J:$J,$B$1),"")</f>
        <v/>
      </c>
      <c r="L444" s="118"/>
      <c r="M444" s="46"/>
      <c r="N444" s="46"/>
      <c r="O444" s="46"/>
      <c r="P444" s="118"/>
      <c r="Q444" s="46"/>
      <c r="R444" s="46"/>
      <c r="S444" s="46"/>
      <c r="T444" s="46"/>
      <c r="U444" s="118"/>
      <c r="V444" s="46"/>
      <c r="W444" s="88" t="str">
        <f>IF(V444&lt;&gt;"",SUMIFS('📊 รายงานสินค้าคงเหลือ'!G:G,'📊 รายงานสินค้าคงเหลือ'!D:D,V444),"")</f>
        <v/>
      </c>
      <c r="X444" s="46"/>
      <c r="Y444" s="46"/>
      <c r="Z444" s="46"/>
    </row>
    <row r="445">
      <c r="A445" s="46"/>
      <c r="B445" s="16"/>
      <c r="C445" s="118"/>
      <c r="D445" s="126"/>
      <c r="E445" s="88"/>
      <c r="F445" s="118"/>
      <c r="G445" s="46"/>
      <c r="H445" s="46"/>
      <c r="I445" s="118"/>
      <c r="J445" s="46"/>
      <c r="K445" s="16" t="str">
        <f>IF(J445&lt;&gt;"",SUMIFS('💰 Transaction ขาย'!$F:$F,'💰 Transaction ขาย'!$K:$K,$J445,'💰 Transaction ขาย'!$J:$J,$B$1),"")</f>
        <v/>
      </c>
      <c r="L445" s="118"/>
      <c r="M445" s="46"/>
      <c r="N445" s="46"/>
      <c r="O445" s="46"/>
      <c r="P445" s="118"/>
      <c r="Q445" s="46"/>
      <c r="R445" s="46"/>
      <c r="S445" s="46"/>
      <c r="T445" s="46"/>
      <c r="U445" s="118"/>
      <c r="V445" s="46"/>
      <c r="W445" s="88" t="str">
        <f>IF(V445&lt;&gt;"",SUMIFS('📊 รายงานสินค้าคงเหลือ'!G:G,'📊 รายงานสินค้าคงเหลือ'!D:D,V445),"")</f>
        <v/>
      </c>
      <c r="X445" s="46"/>
      <c r="Y445" s="46"/>
      <c r="Z445" s="46"/>
    </row>
    <row r="446">
      <c r="A446" s="46"/>
      <c r="B446" s="16"/>
      <c r="C446" s="118"/>
      <c r="D446" s="126"/>
      <c r="E446" s="88"/>
      <c r="F446" s="118"/>
      <c r="G446" s="46"/>
      <c r="H446" s="46"/>
      <c r="I446" s="118"/>
      <c r="J446" s="46"/>
      <c r="K446" s="16" t="str">
        <f>IF(J446&lt;&gt;"",SUMIFS('💰 Transaction ขาย'!$F:$F,'💰 Transaction ขาย'!$K:$K,$J446,'💰 Transaction ขาย'!$J:$J,$B$1),"")</f>
        <v/>
      </c>
      <c r="L446" s="118"/>
      <c r="M446" s="46"/>
      <c r="N446" s="46"/>
      <c r="O446" s="46"/>
      <c r="P446" s="118"/>
      <c r="Q446" s="46"/>
      <c r="R446" s="46"/>
      <c r="S446" s="46"/>
      <c r="T446" s="46"/>
      <c r="U446" s="118"/>
      <c r="V446" s="46"/>
      <c r="W446" s="88" t="str">
        <f>IF(V446&lt;&gt;"",SUMIFS('📊 รายงานสินค้าคงเหลือ'!G:G,'📊 รายงานสินค้าคงเหลือ'!D:D,V446),"")</f>
        <v/>
      </c>
      <c r="X446" s="46"/>
      <c r="Y446" s="46"/>
      <c r="Z446" s="46"/>
    </row>
    <row r="447">
      <c r="A447" s="46"/>
      <c r="B447" s="16"/>
      <c r="C447" s="118"/>
      <c r="D447" s="126"/>
      <c r="E447" s="88"/>
      <c r="F447" s="118"/>
      <c r="G447" s="46"/>
      <c r="H447" s="46"/>
      <c r="I447" s="118"/>
      <c r="J447" s="46"/>
      <c r="K447" s="16" t="str">
        <f>IF(J447&lt;&gt;"",SUMIFS('💰 Transaction ขาย'!$F:$F,'💰 Transaction ขาย'!$K:$K,$J447,'💰 Transaction ขาย'!$J:$J,$B$1),"")</f>
        <v/>
      </c>
      <c r="L447" s="118"/>
      <c r="M447" s="46"/>
      <c r="N447" s="46"/>
      <c r="O447" s="46"/>
      <c r="P447" s="118"/>
      <c r="Q447" s="46"/>
      <c r="R447" s="46"/>
      <c r="S447" s="46"/>
      <c r="T447" s="46"/>
      <c r="U447" s="118"/>
      <c r="V447" s="46"/>
      <c r="W447" s="88" t="str">
        <f>IF(V447&lt;&gt;"",SUMIFS('📊 รายงานสินค้าคงเหลือ'!G:G,'📊 รายงานสินค้าคงเหลือ'!D:D,V447),"")</f>
        <v/>
      </c>
      <c r="X447" s="46"/>
      <c r="Y447" s="46"/>
      <c r="Z447" s="46"/>
    </row>
    <row r="448">
      <c r="A448" s="46"/>
      <c r="B448" s="16"/>
      <c r="C448" s="118"/>
      <c r="D448" s="126"/>
      <c r="E448" s="88"/>
      <c r="F448" s="118"/>
      <c r="G448" s="46"/>
      <c r="H448" s="46"/>
      <c r="I448" s="118"/>
      <c r="J448" s="46"/>
      <c r="K448" s="16" t="str">
        <f>IF(J448&lt;&gt;"",SUMIFS('💰 Transaction ขาย'!$F:$F,'💰 Transaction ขาย'!$K:$K,$J448,'💰 Transaction ขาย'!$J:$J,$B$1),"")</f>
        <v/>
      </c>
      <c r="L448" s="118"/>
      <c r="M448" s="46"/>
      <c r="N448" s="46"/>
      <c r="O448" s="46"/>
      <c r="P448" s="118"/>
      <c r="Q448" s="46"/>
      <c r="R448" s="46"/>
      <c r="S448" s="46"/>
      <c r="T448" s="46"/>
      <c r="U448" s="118"/>
      <c r="V448" s="46"/>
      <c r="W448" s="88" t="str">
        <f>IF(V448&lt;&gt;"",SUMIFS('📊 รายงานสินค้าคงเหลือ'!G:G,'📊 รายงานสินค้าคงเหลือ'!D:D,V448),"")</f>
        <v/>
      </c>
      <c r="X448" s="46"/>
      <c r="Y448" s="46"/>
      <c r="Z448" s="46"/>
    </row>
    <row r="449">
      <c r="A449" s="46"/>
      <c r="B449" s="16"/>
      <c r="C449" s="118"/>
      <c r="D449" s="126"/>
      <c r="E449" s="88"/>
      <c r="F449" s="118"/>
      <c r="G449" s="46"/>
      <c r="H449" s="46"/>
      <c r="I449" s="118"/>
      <c r="J449" s="46"/>
      <c r="K449" s="16" t="str">
        <f>IF(J449&lt;&gt;"",SUMIFS('💰 Transaction ขาย'!$F:$F,'💰 Transaction ขาย'!$K:$K,$J449,'💰 Transaction ขาย'!$J:$J,$B$1),"")</f>
        <v/>
      </c>
      <c r="L449" s="118"/>
      <c r="M449" s="46"/>
      <c r="N449" s="46"/>
      <c r="O449" s="46"/>
      <c r="P449" s="118"/>
      <c r="Q449" s="46"/>
      <c r="R449" s="46"/>
      <c r="S449" s="46"/>
      <c r="T449" s="46"/>
      <c r="U449" s="118"/>
      <c r="V449" s="46"/>
      <c r="W449" s="88" t="str">
        <f>IF(V449&lt;&gt;"",SUMIFS('📊 รายงานสินค้าคงเหลือ'!G:G,'📊 รายงานสินค้าคงเหลือ'!D:D,V449),"")</f>
        <v/>
      </c>
      <c r="X449" s="46"/>
      <c r="Y449" s="46"/>
      <c r="Z449" s="46"/>
    </row>
    <row r="450">
      <c r="A450" s="46"/>
      <c r="B450" s="16"/>
      <c r="C450" s="118"/>
      <c r="D450" s="126"/>
      <c r="E450" s="88"/>
      <c r="F450" s="118"/>
      <c r="G450" s="46"/>
      <c r="H450" s="46"/>
      <c r="I450" s="118"/>
      <c r="J450" s="46"/>
      <c r="K450" s="16" t="str">
        <f>IF(J450&lt;&gt;"",SUMIFS('💰 Transaction ขาย'!$F:$F,'💰 Transaction ขาย'!$K:$K,$J450,'💰 Transaction ขาย'!$J:$J,$B$1),"")</f>
        <v/>
      </c>
      <c r="L450" s="118"/>
      <c r="M450" s="46"/>
      <c r="N450" s="46"/>
      <c r="O450" s="46"/>
      <c r="P450" s="118"/>
      <c r="Q450" s="46"/>
      <c r="R450" s="46"/>
      <c r="S450" s="46"/>
      <c r="T450" s="46"/>
      <c r="U450" s="118"/>
      <c r="V450" s="46"/>
      <c r="W450" s="88" t="str">
        <f>IF(V450&lt;&gt;"",SUMIFS('📊 รายงานสินค้าคงเหลือ'!G:G,'📊 รายงานสินค้าคงเหลือ'!D:D,V450),"")</f>
        <v/>
      </c>
      <c r="X450" s="46"/>
      <c r="Y450" s="46"/>
      <c r="Z450" s="46"/>
    </row>
    <row r="451">
      <c r="A451" s="46"/>
      <c r="B451" s="16"/>
      <c r="C451" s="118"/>
      <c r="D451" s="126"/>
      <c r="E451" s="88"/>
      <c r="F451" s="118"/>
      <c r="G451" s="46"/>
      <c r="H451" s="46"/>
      <c r="I451" s="118"/>
      <c r="J451" s="46"/>
      <c r="K451" s="16" t="str">
        <f>IF(J451&lt;&gt;"",SUMIFS('💰 Transaction ขาย'!$F:$F,'💰 Transaction ขาย'!$K:$K,$J451,'💰 Transaction ขาย'!$J:$J,$B$1),"")</f>
        <v/>
      </c>
      <c r="L451" s="118"/>
      <c r="M451" s="46"/>
      <c r="N451" s="46"/>
      <c r="O451" s="46"/>
      <c r="P451" s="118"/>
      <c r="Q451" s="46"/>
      <c r="R451" s="46"/>
      <c r="S451" s="46"/>
      <c r="T451" s="46"/>
      <c r="U451" s="118"/>
      <c r="V451" s="46"/>
      <c r="W451" s="88" t="str">
        <f>IF(V451&lt;&gt;"",SUMIFS('📊 รายงานสินค้าคงเหลือ'!G:G,'📊 รายงานสินค้าคงเหลือ'!D:D,V451),"")</f>
        <v/>
      </c>
      <c r="X451" s="46"/>
      <c r="Y451" s="46"/>
      <c r="Z451" s="46"/>
    </row>
    <row r="452">
      <c r="A452" s="46"/>
      <c r="B452" s="16"/>
      <c r="C452" s="118"/>
      <c r="D452" s="126"/>
      <c r="E452" s="88"/>
      <c r="F452" s="118"/>
      <c r="G452" s="46"/>
      <c r="H452" s="46"/>
      <c r="I452" s="118"/>
      <c r="J452" s="46"/>
      <c r="K452" s="16" t="str">
        <f>IF(J452&lt;&gt;"",SUMIFS('💰 Transaction ขาย'!$F:$F,'💰 Transaction ขาย'!$K:$K,$J452,'💰 Transaction ขาย'!$J:$J,$B$1),"")</f>
        <v/>
      </c>
      <c r="L452" s="118"/>
      <c r="M452" s="46"/>
      <c r="N452" s="46"/>
      <c r="O452" s="46"/>
      <c r="P452" s="118"/>
      <c r="Q452" s="46"/>
      <c r="R452" s="46"/>
      <c r="S452" s="46"/>
      <c r="T452" s="46"/>
      <c r="U452" s="118"/>
      <c r="V452" s="46"/>
      <c r="W452" s="88" t="str">
        <f>IF(V452&lt;&gt;"",SUMIFS('📊 รายงานสินค้าคงเหลือ'!G:G,'📊 รายงานสินค้าคงเหลือ'!D:D,V452),"")</f>
        <v/>
      </c>
      <c r="X452" s="46"/>
      <c r="Y452" s="46"/>
      <c r="Z452" s="46"/>
    </row>
    <row r="453">
      <c r="A453" s="46"/>
      <c r="B453" s="16"/>
      <c r="C453" s="118"/>
      <c r="D453" s="126"/>
      <c r="E453" s="88"/>
      <c r="F453" s="118"/>
      <c r="G453" s="46"/>
      <c r="H453" s="46"/>
      <c r="I453" s="118"/>
      <c r="J453" s="46"/>
      <c r="K453" s="16" t="str">
        <f>IF(J453&lt;&gt;"",SUMIFS('💰 Transaction ขาย'!$F:$F,'💰 Transaction ขาย'!$K:$K,$J453,'💰 Transaction ขาย'!$J:$J,$B$1),"")</f>
        <v/>
      </c>
      <c r="L453" s="118"/>
      <c r="M453" s="46"/>
      <c r="N453" s="46"/>
      <c r="O453" s="46"/>
      <c r="P453" s="118"/>
      <c r="Q453" s="46"/>
      <c r="R453" s="46"/>
      <c r="S453" s="46"/>
      <c r="T453" s="46"/>
      <c r="U453" s="118"/>
      <c r="V453" s="46"/>
      <c r="W453" s="88" t="str">
        <f>IF(V453&lt;&gt;"",SUMIFS('📊 รายงานสินค้าคงเหลือ'!G:G,'📊 รายงานสินค้าคงเหลือ'!D:D,V453),"")</f>
        <v/>
      </c>
      <c r="X453" s="46"/>
      <c r="Y453" s="46"/>
      <c r="Z453" s="46"/>
    </row>
    <row r="454">
      <c r="A454" s="46"/>
      <c r="B454" s="16"/>
      <c r="C454" s="118"/>
      <c r="D454" s="126"/>
      <c r="E454" s="88"/>
      <c r="F454" s="118"/>
      <c r="G454" s="46"/>
      <c r="H454" s="46"/>
      <c r="I454" s="118"/>
      <c r="J454" s="46"/>
      <c r="K454" s="16" t="str">
        <f>IF(J454&lt;&gt;"",SUMIFS('💰 Transaction ขาย'!$F:$F,'💰 Transaction ขาย'!$K:$K,$J454,'💰 Transaction ขาย'!$J:$J,$B$1),"")</f>
        <v/>
      </c>
      <c r="L454" s="118"/>
      <c r="M454" s="46"/>
      <c r="N454" s="46"/>
      <c r="O454" s="46"/>
      <c r="P454" s="118"/>
      <c r="Q454" s="46"/>
      <c r="R454" s="46"/>
      <c r="S454" s="46"/>
      <c r="T454" s="46"/>
      <c r="U454" s="118"/>
      <c r="V454" s="46"/>
      <c r="W454" s="88" t="str">
        <f>IF(V454&lt;&gt;"",SUMIFS('📊 รายงานสินค้าคงเหลือ'!G:G,'📊 รายงานสินค้าคงเหลือ'!D:D,V454),"")</f>
        <v/>
      </c>
      <c r="X454" s="46"/>
      <c r="Y454" s="46"/>
      <c r="Z454" s="46"/>
    </row>
    <row r="455">
      <c r="A455" s="46"/>
      <c r="B455" s="16"/>
      <c r="C455" s="118"/>
      <c r="D455" s="126"/>
      <c r="E455" s="88"/>
      <c r="F455" s="118"/>
      <c r="G455" s="46"/>
      <c r="H455" s="46"/>
      <c r="I455" s="118"/>
      <c r="J455" s="46"/>
      <c r="K455" s="16" t="str">
        <f>IF(J455&lt;&gt;"",SUMIFS('💰 Transaction ขาย'!$F:$F,'💰 Transaction ขาย'!$K:$K,$J455,'💰 Transaction ขาย'!$J:$J,$B$1),"")</f>
        <v/>
      </c>
      <c r="L455" s="118"/>
      <c r="M455" s="46"/>
      <c r="N455" s="46"/>
      <c r="O455" s="46"/>
      <c r="P455" s="118"/>
      <c r="Q455" s="46"/>
      <c r="R455" s="46"/>
      <c r="S455" s="46"/>
      <c r="T455" s="46"/>
      <c r="U455" s="118"/>
      <c r="V455" s="46"/>
      <c r="W455" s="88" t="str">
        <f>IF(V455&lt;&gt;"",SUMIFS('📊 รายงานสินค้าคงเหลือ'!G:G,'📊 รายงานสินค้าคงเหลือ'!D:D,V455),"")</f>
        <v/>
      </c>
      <c r="X455" s="46"/>
      <c r="Y455" s="46"/>
      <c r="Z455" s="46"/>
    </row>
    <row r="456">
      <c r="A456" s="46"/>
      <c r="B456" s="16"/>
      <c r="C456" s="118"/>
      <c r="D456" s="126"/>
      <c r="E456" s="88"/>
      <c r="F456" s="118"/>
      <c r="G456" s="46"/>
      <c r="H456" s="46"/>
      <c r="I456" s="118"/>
      <c r="J456" s="46"/>
      <c r="K456" s="16" t="str">
        <f>IF(J456&lt;&gt;"",SUMIFS('💰 Transaction ขาย'!$F:$F,'💰 Transaction ขาย'!$K:$K,$J456,'💰 Transaction ขาย'!$J:$J,$B$1),"")</f>
        <v/>
      </c>
      <c r="L456" s="118"/>
      <c r="M456" s="46"/>
      <c r="N456" s="46"/>
      <c r="O456" s="46"/>
      <c r="P456" s="118"/>
      <c r="Q456" s="46"/>
      <c r="R456" s="46"/>
      <c r="S456" s="46"/>
      <c r="T456" s="46"/>
      <c r="U456" s="118"/>
      <c r="V456" s="46"/>
      <c r="W456" s="88" t="str">
        <f>IF(V456&lt;&gt;"",SUMIFS('📊 รายงานสินค้าคงเหลือ'!G:G,'📊 รายงานสินค้าคงเหลือ'!D:D,V456),"")</f>
        <v/>
      </c>
      <c r="X456" s="46"/>
      <c r="Y456" s="46"/>
      <c r="Z456" s="46"/>
    </row>
    <row r="457">
      <c r="A457" s="46"/>
      <c r="B457" s="16"/>
      <c r="C457" s="118"/>
      <c r="D457" s="126"/>
      <c r="E457" s="88"/>
      <c r="F457" s="118"/>
      <c r="G457" s="46"/>
      <c r="H457" s="46"/>
      <c r="I457" s="118"/>
      <c r="J457" s="46"/>
      <c r="K457" s="16" t="str">
        <f>IF(J457&lt;&gt;"",SUMIFS('💰 Transaction ขาย'!$F:$F,'💰 Transaction ขาย'!$K:$K,$J457,'💰 Transaction ขาย'!$J:$J,$B$1),"")</f>
        <v/>
      </c>
      <c r="L457" s="118"/>
      <c r="M457" s="46"/>
      <c r="N457" s="46"/>
      <c r="O457" s="46"/>
      <c r="P457" s="118"/>
      <c r="Q457" s="46"/>
      <c r="R457" s="46"/>
      <c r="S457" s="46"/>
      <c r="T457" s="46"/>
      <c r="U457" s="118"/>
      <c r="V457" s="46"/>
      <c r="W457" s="88" t="str">
        <f>IF(V457&lt;&gt;"",SUMIFS('📊 รายงานสินค้าคงเหลือ'!G:G,'📊 รายงานสินค้าคงเหลือ'!D:D,V457),"")</f>
        <v/>
      </c>
      <c r="X457" s="46"/>
      <c r="Y457" s="46"/>
      <c r="Z457" s="46"/>
    </row>
    <row r="458">
      <c r="A458" s="46"/>
      <c r="B458" s="16"/>
      <c r="C458" s="118"/>
      <c r="D458" s="126"/>
      <c r="E458" s="88"/>
      <c r="F458" s="118"/>
      <c r="G458" s="46"/>
      <c r="H458" s="46"/>
      <c r="I458" s="118"/>
      <c r="J458" s="46"/>
      <c r="K458" s="16" t="str">
        <f>IF(J458&lt;&gt;"",SUMIFS('💰 Transaction ขาย'!$F:$F,'💰 Transaction ขาย'!$K:$K,$J458,'💰 Transaction ขาย'!$J:$J,$B$1),"")</f>
        <v/>
      </c>
      <c r="L458" s="118"/>
      <c r="M458" s="46"/>
      <c r="N458" s="46"/>
      <c r="O458" s="46"/>
      <c r="P458" s="118"/>
      <c r="Q458" s="46"/>
      <c r="R458" s="46"/>
      <c r="S458" s="46"/>
      <c r="T458" s="46"/>
      <c r="U458" s="118"/>
      <c r="V458" s="46"/>
      <c r="W458" s="88" t="str">
        <f>IF(V458&lt;&gt;"",SUMIFS('📊 รายงานสินค้าคงเหลือ'!G:G,'📊 รายงานสินค้าคงเหลือ'!D:D,V458),"")</f>
        <v/>
      </c>
      <c r="X458" s="46"/>
      <c r="Y458" s="46"/>
      <c r="Z458" s="46"/>
    </row>
    <row r="459">
      <c r="A459" s="46"/>
      <c r="B459" s="16"/>
      <c r="C459" s="118"/>
      <c r="D459" s="126"/>
      <c r="E459" s="88"/>
      <c r="F459" s="118"/>
      <c r="G459" s="46"/>
      <c r="H459" s="46"/>
      <c r="I459" s="118"/>
      <c r="J459" s="46"/>
      <c r="K459" s="16" t="str">
        <f>IF(J459&lt;&gt;"",SUMIFS('💰 Transaction ขาย'!$F:$F,'💰 Transaction ขาย'!$K:$K,$J459,'💰 Transaction ขาย'!$J:$J,$B$1),"")</f>
        <v/>
      </c>
      <c r="L459" s="118"/>
      <c r="M459" s="46"/>
      <c r="N459" s="46"/>
      <c r="O459" s="46"/>
      <c r="P459" s="118"/>
      <c r="Q459" s="46"/>
      <c r="R459" s="46"/>
      <c r="S459" s="46"/>
      <c r="T459" s="46"/>
      <c r="U459" s="118"/>
      <c r="V459" s="46"/>
      <c r="W459" s="88" t="str">
        <f>IF(V459&lt;&gt;"",SUMIFS('📊 รายงานสินค้าคงเหลือ'!G:G,'📊 รายงานสินค้าคงเหลือ'!D:D,V459),"")</f>
        <v/>
      </c>
      <c r="X459" s="46"/>
      <c r="Y459" s="46"/>
      <c r="Z459" s="46"/>
    </row>
    <row r="460">
      <c r="A460" s="46"/>
      <c r="B460" s="16"/>
      <c r="C460" s="118"/>
      <c r="D460" s="126"/>
      <c r="E460" s="88"/>
      <c r="F460" s="118"/>
      <c r="G460" s="46"/>
      <c r="H460" s="46"/>
      <c r="I460" s="118"/>
      <c r="J460" s="46"/>
      <c r="K460" s="16" t="str">
        <f>IF(J460&lt;&gt;"",SUMIFS('💰 Transaction ขาย'!$F:$F,'💰 Transaction ขาย'!$K:$K,$J460,'💰 Transaction ขาย'!$J:$J,$B$1),"")</f>
        <v/>
      </c>
      <c r="L460" s="118"/>
      <c r="M460" s="46"/>
      <c r="N460" s="46"/>
      <c r="O460" s="46"/>
      <c r="P460" s="118"/>
      <c r="Q460" s="46"/>
      <c r="R460" s="46"/>
      <c r="S460" s="46"/>
      <c r="T460" s="46"/>
      <c r="U460" s="118"/>
      <c r="V460" s="46"/>
      <c r="W460" s="88" t="str">
        <f>IF(V460&lt;&gt;"",SUMIFS('📊 รายงานสินค้าคงเหลือ'!G:G,'📊 รายงานสินค้าคงเหลือ'!D:D,V460),"")</f>
        <v/>
      </c>
      <c r="X460" s="46"/>
      <c r="Y460" s="46"/>
      <c r="Z460" s="46"/>
    </row>
    <row r="461">
      <c r="A461" s="46"/>
      <c r="B461" s="16"/>
      <c r="C461" s="118"/>
      <c r="D461" s="126"/>
      <c r="E461" s="88"/>
      <c r="F461" s="118"/>
      <c r="G461" s="46"/>
      <c r="H461" s="46"/>
      <c r="I461" s="118"/>
      <c r="J461" s="46"/>
      <c r="K461" s="16" t="str">
        <f>IF(J461&lt;&gt;"",SUMIFS('💰 Transaction ขาย'!$F:$F,'💰 Transaction ขาย'!$K:$K,$J461,'💰 Transaction ขาย'!$J:$J,$B$1),"")</f>
        <v/>
      </c>
      <c r="L461" s="118"/>
      <c r="M461" s="46"/>
      <c r="N461" s="46"/>
      <c r="O461" s="46"/>
      <c r="P461" s="118"/>
      <c r="Q461" s="46"/>
      <c r="R461" s="46"/>
      <c r="S461" s="46"/>
      <c r="T461" s="46"/>
      <c r="U461" s="118"/>
      <c r="V461" s="46"/>
      <c r="W461" s="88" t="str">
        <f>IF(V461&lt;&gt;"",SUMIFS('📊 รายงานสินค้าคงเหลือ'!G:G,'📊 รายงานสินค้าคงเหลือ'!D:D,V461),"")</f>
        <v/>
      </c>
      <c r="X461" s="46"/>
      <c r="Y461" s="46"/>
      <c r="Z461" s="46"/>
    </row>
    <row r="462">
      <c r="A462" s="46"/>
      <c r="B462" s="16"/>
      <c r="C462" s="118"/>
      <c r="D462" s="126"/>
      <c r="E462" s="88"/>
      <c r="F462" s="118"/>
      <c r="G462" s="46"/>
      <c r="H462" s="46"/>
      <c r="I462" s="118"/>
      <c r="J462" s="46"/>
      <c r="K462" s="16" t="str">
        <f>IF(J462&lt;&gt;"",SUMIFS('💰 Transaction ขาย'!$F:$F,'💰 Transaction ขาย'!$K:$K,$J462,'💰 Transaction ขาย'!$J:$J,$B$1),"")</f>
        <v/>
      </c>
      <c r="L462" s="118"/>
      <c r="M462" s="46"/>
      <c r="N462" s="46"/>
      <c r="O462" s="46"/>
      <c r="P462" s="118"/>
      <c r="Q462" s="46"/>
      <c r="R462" s="46"/>
      <c r="S462" s="46"/>
      <c r="T462" s="46"/>
      <c r="U462" s="118"/>
      <c r="V462" s="46"/>
      <c r="W462" s="88" t="str">
        <f>IF(V462&lt;&gt;"",SUMIFS('📊 รายงานสินค้าคงเหลือ'!G:G,'📊 รายงานสินค้าคงเหลือ'!D:D,V462),"")</f>
        <v/>
      </c>
      <c r="X462" s="46"/>
      <c r="Y462" s="46"/>
      <c r="Z462" s="46"/>
    </row>
    <row r="463">
      <c r="A463" s="46"/>
      <c r="B463" s="16"/>
      <c r="C463" s="118"/>
      <c r="D463" s="126"/>
      <c r="E463" s="88"/>
      <c r="F463" s="118"/>
      <c r="G463" s="46"/>
      <c r="H463" s="46"/>
      <c r="I463" s="118"/>
      <c r="J463" s="46"/>
      <c r="K463" s="16" t="str">
        <f>IF(J463&lt;&gt;"",SUMIFS('💰 Transaction ขาย'!$F:$F,'💰 Transaction ขาย'!$K:$K,$J463,'💰 Transaction ขาย'!$J:$J,$B$1),"")</f>
        <v/>
      </c>
      <c r="L463" s="118"/>
      <c r="M463" s="46"/>
      <c r="N463" s="46"/>
      <c r="O463" s="46"/>
      <c r="P463" s="118"/>
      <c r="Q463" s="46"/>
      <c r="R463" s="46"/>
      <c r="S463" s="46"/>
      <c r="T463" s="46"/>
      <c r="U463" s="118"/>
      <c r="V463" s="46"/>
      <c r="W463" s="88" t="str">
        <f>IF(V463&lt;&gt;"",SUMIFS('📊 รายงานสินค้าคงเหลือ'!G:G,'📊 รายงานสินค้าคงเหลือ'!D:D,V463),"")</f>
        <v/>
      </c>
      <c r="X463" s="46"/>
      <c r="Y463" s="46"/>
      <c r="Z463" s="46"/>
    </row>
    <row r="464">
      <c r="A464" s="46"/>
      <c r="B464" s="16"/>
      <c r="C464" s="118"/>
      <c r="D464" s="126"/>
      <c r="E464" s="88"/>
      <c r="F464" s="118"/>
      <c r="G464" s="46"/>
      <c r="H464" s="46"/>
      <c r="I464" s="118"/>
      <c r="J464" s="46"/>
      <c r="K464" s="16" t="str">
        <f>IF(J464&lt;&gt;"",SUMIFS('💰 Transaction ขาย'!$F:$F,'💰 Transaction ขาย'!$K:$K,$J464,'💰 Transaction ขาย'!$J:$J,$B$1),"")</f>
        <v/>
      </c>
      <c r="L464" s="118"/>
      <c r="M464" s="46"/>
      <c r="N464" s="46"/>
      <c r="O464" s="46"/>
      <c r="P464" s="118"/>
      <c r="Q464" s="46"/>
      <c r="R464" s="46"/>
      <c r="S464" s="46"/>
      <c r="T464" s="46"/>
      <c r="U464" s="118"/>
      <c r="V464" s="46"/>
      <c r="W464" s="88" t="str">
        <f>IF(V464&lt;&gt;"",SUMIFS('📊 รายงานสินค้าคงเหลือ'!G:G,'📊 รายงานสินค้าคงเหลือ'!D:D,V464),"")</f>
        <v/>
      </c>
      <c r="X464" s="46"/>
      <c r="Y464" s="46"/>
      <c r="Z464" s="46"/>
    </row>
    <row r="465">
      <c r="A465" s="46"/>
      <c r="B465" s="16"/>
      <c r="C465" s="118"/>
      <c r="D465" s="126"/>
      <c r="E465" s="88"/>
      <c r="F465" s="118"/>
      <c r="G465" s="46"/>
      <c r="H465" s="46"/>
      <c r="I465" s="118"/>
      <c r="J465" s="46"/>
      <c r="K465" s="16" t="str">
        <f>IF(J465&lt;&gt;"",SUMIFS('💰 Transaction ขาย'!$F:$F,'💰 Transaction ขาย'!$K:$K,$J465,'💰 Transaction ขาย'!$J:$J,$B$1),"")</f>
        <v/>
      </c>
      <c r="L465" s="118"/>
      <c r="M465" s="46"/>
      <c r="N465" s="46"/>
      <c r="O465" s="46"/>
      <c r="P465" s="118"/>
      <c r="Q465" s="46"/>
      <c r="R465" s="46"/>
      <c r="S465" s="46"/>
      <c r="T465" s="46"/>
      <c r="U465" s="118"/>
      <c r="V465" s="46"/>
      <c r="W465" s="88" t="str">
        <f>IF(V465&lt;&gt;"",SUMIFS('📊 รายงานสินค้าคงเหลือ'!G:G,'📊 รายงานสินค้าคงเหลือ'!D:D,V465),"")</f>
        <v/>
      </c>
      <c r="X465" s="46"/>
      <c r="Y465" s="46"/>
      <c r="Z465" s="46"/>
    </row>
    <row r="466">
      <c r="A466" s="46"/>
      <c r="B466" s="16"/>
      <c r="C466" s="118"/>
      <c r="D466" s="126"/>
      <c r="E466" s="88"/>
      <c r="F466" s="118"/>
      <c r="G466" s="46"/>
      <c r="H466" s="46"/>
      <c r="I466" s="118"/>
      <c r="J466" s="46"/>
      <c r="K466" s="16" t="str">
        <f>IF(J466&lt;&gt;"",SUMIFS('💰 Transaction ขาย'!$F:$F,'💰 Transaction ขาย'!$K:$K,$J466,'💰 Transaction ขาย'!$J:$J,$B$1),"")</f>
        <v/>
      </c>
      <c r="L466" s="118"/>
      <c r="M466" s="46"/>
      <c r="N466" s="46"/>
      <c r="O466" s="46"/>
      <c r="P466" s="118"/>
      <c r="Q466" s="46"/>
      <c r="R466" s="46"/>
      <c r="S466" s="46"/>
      <c r="T466" s="46"/>
      <c r="U466" s="118"/>
      <c r="V466" s="46"/>
      <c r="W466" s="88" t="str">
        <f>IF(V466&lt;&gt;"",SUMIFS('📊 รายงานสินค้าคงเหลือ'!G:G,'📊 รายงานสินค้าคงเหลือ'!D:D,V466),"")</f>
        <v/>
      </c>
      <c r="X466" s="46"/>
      <c r="Y466" s="46"/>
      <c r="Z466" s="46"/>
    </row>
    <row r="467">
      <c r="A467" s="46"/>
      <c r="B467" s="16"/>
      <c r="C467" s="118"/>
      <c r="D467" s="126"/>
      <c r="E467" s="88"/>
      <c r="F467" s="118"/>
      <c r="G467" s="46"/>
      <c r="H467" s="46"/>
      <c r="I467" s="118"/>
      <c r="J467" s="46"/>
      <c r="K467" s="16" t="str">
        <f>IF(J467&lt;&gt;"",SUMIFS('💰 Transaction ขาย'!$F:$F,'💰 Transaction ขาย'!$K:$K,$J467,'💰 Transaction ขาย'!$J:$J,$B$1),"")</f>
        <v/>
      </c>
      <c r="L467" s="118"/>
      <c r="M467" s="46"/>
      <c r="N467" s="46"/>
      <c r="O467" s="46"/>
      <c r="P467" s="118"/>
      <c r="Q467" s="46"/>
      <c r="R467" s="46"/>
      <c r="S467" s="46"/>
      <c r="T467" s="46"/>
      <c r="U467" s="118"/>
      <c r="V467" s="46"/>
      <c r="W467" s="88" t="str">
        <f>IF(V467&lt;&gt;"",SUMIFS('📊 รายงานสินค้าคงเหลือ'!G:G,'📊 รายงานสินค้าคงเหลือ'!D:D,V467),"")</f>
        <v/>
      </c>
      <c r="X467" s="46"/>
      <c r="Y467" s="46"/>
      <c r="Z467" s="46"/>
    </row>
    <row r="468">
      <c r="A468" s="46"/>
      <c r="B468" s="16"/>
      <c r="C468" s="118"/>
      <c r="D468" s="126"/>
      <c r="E468" s="88"/>
      <c r="F468" s="118"/>
      <c r="G468" s="46"/>
      <c r="H468" s="46"/>
      <c r="I468" s="118"/>
      <c r="J468" s="46"/>
      <c r="K468" s="16" t="str">
        <f>IF(J468&lt;&gt;"",SUMIFS('💰 Transaction ขาย'!$F:$F,'💰 Transaction ขาย'!$K:$K,$J468,'💰 Transaction ขาย'!$J:$J,$B$1),"")</f>
        <v/>
      </c>
      <c r="L468" s="118"/>
      <c r="M468" s="46"/>
      <c r="N468" s="46"/>
      <c r="O468" s="46"/>
      <c r="P468" s="118"/>
      <c r="Q468" s="46"/>
      <c r="R468" s="46"/>
      <c r="S468" s="46"/>
      <c r="T468" s="46"/>
      <c r="U468" s="118"/>
      <c r="V468" s="46"/>
      <c r="W468" s="88" t="str">
        <f>IF(V468&lt;&gt;"",SUMIFS('📊 รายงานสินค้าคงเหลือ'!G:G,'📊 รายงานสินค้าคงเหลือ'!D:D,V468),"")</f>
        <v/>
      </c>
      <c r="X468" s="46"/>
      <c r="Y468" s="46"/>
      <c r="Z468" s="46"/>
    </row>
    <row r="469">
      <c r="A469" s="46"/>
      <c r="B469" s="16"/>
      <c r="C469" s="118"/>
      <c r="D469" s="126"/>
      <c r="E469" s="88"/>
      <c r="F469" s="118"/>
      <c r="G469" s="46"/>
      <c r="H469" s="46"/>
      <c r="I469" s="118"/>
      <c r="J469" s="46"/>
      <c r="K469" s="16" t="str">
        <f>IF(J469&lt;&gt;"",SUMIFS('💰 Transaction ขาย'!$F:$F,'💰 Transaction ขาย'!$K:$K,$J469,'💰 Transaction ขาย'!$J:$J,$B$1),"")</f>
        <v/>
      </c>
      <c r="L469" s="118"/>
      <c r="M469" s="46"/>
      <c r="N469" s="46"/>
      <c r="O469" s="46"/>
      <c r="P469" s="118"/>
      <c r="Q469" s="46"/>
      <c r="R469" s="46"/>
      <c r="S469" s="46"/>
      <c r="T469" s="46"/>
      <c r="U469" s="118"/>
      <c r="V469" s="46"/>
      <c r="W469" s="88" t="str">
        <f>IF(V469&lt;&gt;"",SUMIFS('📊 รายงานสินค้าคงเหลือ'!G:G,'📊 รายงานสินค้าคงเหลือ'!D:D,V469),"")</f>
        <v/>
      </c>
      <c r="X469" s="46"/>
      <c r="Y469" s="46"/>
      <c r="Z469" s="46"/>
    </row>
    <row r="470">
      <c r="A470" s="46"/>
      <c r="B470" s="16"/>
      <c r="C470" s="118"/>
      <c r="D470" s="126"/>
      <c r="E470" s="88"/>
      <c r="F470" s="118"/>
      <c r="G470" s="46"/>
      <c r="H470" s="46"/>
      <c r="I470" s="118"/>
      <c r="J470" s="46"/>
      <c r="K470" s="16" t="str">
        <f>IF(J470&lt;&gt;"",SUMIFS('💰 Transaction ขาย'!$F:$F,'💰 Transaction ขาย'!$K:$K,$J470,'💰 Transaction ขาย'!$J:$J,$B$1),"")</f>
        <v/>
      </c>
      <c r="L470" s="118"/>
      <c r="M470" s="46"/>
      <c r="N470" s="46"/>
      <c r="O470" s="46"/>
      <c r="P470" s="118"/>
      <c r="Q470" s="46"/>
      <c r="R470" s="46"/>
      <c r="S470" s="46"/>
      <c r="T470" s="46"/>
      <c r="U470" s="118"/>
      <c r="V470" s="46"/>
      <c r="W470" s="88" t="str">
        <f>IF(V470&lt;&gt;"",SUMIFS('📊 รายงานสินค้าคงเหลือ'!G:G,'📊 รายงานสินค้าคงเหลือ'!D:D,V470),"")</f>
        <v/>
      </c>
      <c r="X470" s="46"/>
      <c r="Y470" s="46"/>
      <c r="Z470" s="46"/>
    </row>
    <row r="471">
      <c r="A471" s="46"/>
      <c r="B471" s="16"/>
      <c r="C471" s="118"/>
      <c r="D471" s="126"/>
      <c r="E471" s="88"/>
      <c r="F471" s="118"/>
      <c r="G471" s="46"/>
      <c r="H471" s="46"/>
      <c r="I471" s="118"/>
      <c r="J471" s="46"/>
      <c r="K471" s="16" t="str">
        <f>IF(J471&lt;&gt;"",SUMIFS('💰 Transaction ขาย'!$F:$F,'💰 Transaction ขาย'!$K:$K,$J471,'💰 Transaction ขาย'!$J:$J,$B$1),"")</f>
        <v/>
      </c>
      <c r="L471" s="118"/>
      <c r="M471" s="46"/>
      <c r="N471" s="46"/>
      <c r="O471" s="46"/>
      <c r="P471" s="118"/>
      <c r="Q471" s="46"/>
      <c r="R471" s="46"/>
      <c r="S471" s="46"/>
      <c r="T471" s="46"/>
      <c r="U471" s="118"/>
      <c r="V471" s="46"/>
      <c r="W471" s="88" t="str">
        <f>IF(V471&lt;&gt;"",SUMIFS('📊 รายงานสินค้าคงเหลือ'!G:G,'📊 รายงานสินค้าคงเหลือ'!D:D,V471),"")</f>
        <v/>
      </c>
      <c r="X471" s="46"/>
      <c r="Y471" s="46"/>
      <c r="Z471" s="46"/>
    </row>
    <row r="472">
      <c r="A472" s="46"/>
      <c r="B472" s="16"/>
      <c r="C472" s="118"/>
      <c r="D472" s="126"/>
      <c r="E472" s="88"/>
      <c r="F472" s="118"/>
      <c r="G472" s="46"/>
      <c r="H472" s="46"/>
      <c r="I472" s="118"/>
      <c r="J472" s="46"/>
      <c r="K472" s="16" t="str">
        <f>IF(J472&lt;&gt;"",SUMIFS('💰 Transaction ขาย'!$F:$F,'💰 Transaction ขาย'!$K:$K,$J472,'💰 Transaction ขาย'!$J:$J,$B$1),"")</f>
        <v/>
      </c>
      <c r="L472" s="118"/>
      <c r="M472" s="46"/>
      <c r="N472" s="46"/>
      <c r="O472" s="46"/>
      <c r="P472" s="118"/>
      <c r="Q472" s="46"/>
      <c r="R472" s="46"/>
      <c r="S472" s="46"/>
      <c r="T472" s="46"/>
      <c r="U472" s="118"/>
      <c r="V472" s="46"/>
      <c r="W472" s="88" t="str">
        <f>IF(V472&lt;&gt;"",SUMIFS('📊 รายงานสินค้าคงเหลือ'!G:G,'📊 รายงานสินค้าคงเหลือ'!D:D,V472),"")</f>
        <v/>
      </c>
      <c r="X472" s="46"/>
      <c r="Y472" s="46"/>
      <c r="Z472" s="46"/>
    </row>
    <row r="473">
      <c r="A473" s="46"/>
      <c r="B473" s="16"/>
      <c r="C473" s="118"/>
      <c r="D473" s="126"/>
      <c r="E473" s="88"/>
      <c r="F473" s="118"/>
      <c r="G473" s="46"/>
      <c r="H473" s="46"/>
      <c r="I473" s="118"/>
      <c r="J473" s="46"/>
      <c r="K473" s="16" t="str">
        <f>IF(J473&lt;&gt;"",SUMIFS('💰 Transaction ขาย'!$F:$F,'💰 Transaction ขาย'!$K:$K,$J473,'💰 Transaction ขาย'!$J:$J,$B$1),"")</f>
        <v/>
      </c>
      <c r="L473" s="118"/>
      <c r="M473" s="46"/>
      <c r="N473" s="46"/>
      <c r="O473" s="46"/>
      <c r="P473" s="118"/>
      <c r="Q473" s="46"/>
      <c r="R473" s="46"/>
      <c r="S473" s="46"/>
      <c r="T473" s="46"/>
      <c r="U473" s="118"/>
      <c r="V473" s="46"/>
      <c r="W473" s="88" t="str">
        <f>IF(V473&lt;&gt;"",SUMIFS('📊 รายงานสินค้าคงเหลือ'!G:G,'📊 รายงานสินค้าคงเหลือ'!D:D,V473),"")</f>
        <v/>
      </c>
      <c r="X473" s="46"/>
      <c r="Y473" s="46"/>
      <c r="Z473" s="46"/>
    </row>
    <row r="474">
      <c r="A474" s="46"/>
      <c r="B474" s="16"/>
      <c r="C474" s="118"/>
      <c r="D474" s="126"/>
      <c r="E474" s="88"/>
      <c r="F474" s="118"/>
      <c r="G474" s="46"/>
      <c r="H474" s="46"/>
      <c r="I474" s="118"/>
      <c r="J474" s="46"/>
      <c r="K474" s="16" t="str">
        <f>IF(J474&lt;&gt;"",SUMIFS('💰 Transaction ขาย'!$F:$F,'💰 Transaction ขาย'!$K:$K,$J474,'💰 Transaction ขาย'!$J:$J,$B$1),"")</f>
        <v/>
      </c>
      <c r="L474" s="118"/>
      <c r="M474" s="46"/>
      <c r="N474" s="46"/>
      <c r="O474" s="46"/>
      <c r="P474" s="118"/>
      <c r="Q474" s="46"/>
      <c r="R474" s="46"/>
      <c r="S474" s="46"/>
      <c r="T474" s="46"/>
      <c r="U474" s="118"/>
      <c r="V474" s="46"/>
      <c r="W474" s="88" t="str">
        <f>IF(V474&lt;&gt;"",SUMIFS('📊 รายงานสินค้าคงเหลือ'!G:G,'📊 รายงานสินค้าคงเหลือ'!D:D,V474),"")</f>
        <v/>
      </c>
      <c r="X474" s="46"/>
      <c r="Y474" s="46"/>
      <c r="Z474" s="46"/>
    </row>
    <row r="475">
      <c r="A475" s="46"/>
      <c r="B475" s="16"/>
      <c r="C475" s="118"/>
      <c r="D475" s="126"/>
      <c r="E475" s="88"/>
      <c r="F475" s="118"/>
      <c r="G475" s="46"/>
      <c r="H475" s="46"/>
      <c r="I475" s="118"/>
      <c r="J475" s="46"/>
      <c r="K475" s="16" t="str">
        <f>IF(J475&lt;&gt;"",SUMIFS('💰 Transaction ขาย'!$F:$F,'💰 Transaction ขาย'!$K:$K,$J475,'💰 Transaction ขาย'!$J:$J,$B$1),"")</f>
        <v/>
      </c>
      <c r="L475" s="118"/>
      <c r="M475" s="46"/>
      <c r="N475" s="46"/>
      <c r="O475" s="46"/>
      <c r="P475" s="118"/>
      <c r="Q475" s="46"/>
      <c r="R475" s="46"/>
      <c r="S475" s="46"/>
      <c r="T475" s="46"/>
      <c r="U475" s="118"/>
      <c r="V475" s="46"/>
      <c r="W475" s="88" t="str">
        <f>IF(V475&lt;&gt;"",SUMIFS('📊 รายงานสินค้าคงเหลือ'!G:G,'📊 รายงานสินค้าคงเหลือ'!D:D,V475),"")</f>
        <v/>
      </c>
      <c r="X475" s="46"/>
      <c r="Y475" s="46"/>
      <c r="Z475" s="46"/>
    </row>
    <row r="476">
      <c r="A476" s="46"/>
      <c r="B476" s="16"/>
      <c r="C476" s="118"/>
      <c r="D476" s="126"/>
      <c r="E476" s="88"/>
      <c r="F476" s="118"/>
      <c r="G476" s="46"/>
      <c r="H476" s="46"/>
      <c r="I476" s="118"/>
      <c r="J476" s="46"/>
      <c r="K476" s="16" t="str">
        <f>IF(J476&lt;&gt;"",SUMIFS('💰 Transaction ขาย'!$F:$F,'💰 Transaction ขาย'!$K:$K,$J476,'💰 Transaction ขาย'!$J:$J,$B$1),"")</f>
        <v/>
      </c>
      <c r="L476" s="118"/>
      <c r="M476" s="46"/>
      <c r="N476" s="46"/>
      <c r="O476" s="46"/>
      <c r="P476" s="118"/>
      <c r="Q476" s="46"/>
      <c r="R476" s="46"/>
      <c r="S476" s="46"/>
      <c r="T476" s="46"/>
      <c r="U476" s="118"/>
      <c r="V476" s="46"/>
      <c r="W476" s="88" t="str">
        <f>IF(V476&lt;&gt;"",SUMIFS('📊 รายงานสินค้าคงเหลือ'!G:G,'📊 รายงานสินค้าคงเหลือ'!D:D,V476),"")</f>
        <v/>
      </c>
      <c r="X476" s="46"/>
      <c r="Y476" s="46"/>
      <c r="Z476" s="46"/>
    </row>
    <row r="477">
      <c r="A477" s="46"/>
      <c r="B477" s="16"/>
      <c r="C477" s="118"/>
      <c r="D477" s="126"/>
      <c r="E477" s="88"/>
      <c r="F477" s="118"/>
      <c r="G477" s="46"/>
      <c r="H477" s="46"/>
      <c r="I477" s="118"/>
      <c r="J477" s="46"/>
      <c r="K477" s="16" t="str">
        <f>IF(J477&lt;&gt;"",SUMIFS('💰 Transaction ขาย'!$F:$F,'💰 Transaction ขาย'!$K:$K,$J477,'💰 Transaction ขาย'!$J:$J,$B$1),"")</f>
        <v/>
      </c>
      <c r="L477" s="118"/>
      <c r="M477" s="46"/>
      <c r="N477" s="46"/>
      <c r="O477" s="46"/>
      <c r="P477" s="118"/>
      <c r="Q477" s="46"/>
      <c r="R477" s="46"/>
      <c r="S477" s="46"/>
      <c r="T477" s="46"/>
      <c r="U477" s="118"/>
      <c r="V477" s="46"/>
      <c r="W477" s="88" t="str">
        <f>IF(V477&lt;&gt;"",SUMIFS('📊 รายงานสินค้าคงเหลือ'!G:G,'📊 รายงานสินค้าคงเหลือ'!D:D,V477),"")</f>
        <v/>
      </c>
      <c r="X477" s="46"/>
      <c r="Y477" s="46"/>
      <c r="Z477" s="46"/>
    </row>
    <row r="478">
      <c r="A478" s="46"/>
      <c r="B478" s="16"/>
      <c r="C478" s="118"/>
      <c r="D478" s="126"/>
      <c r="E478" s="88"/>
      <c r="F478" s="118"/>
      <c r="G478" s="46"/>
      <c r="H478" s="46"/>
      <c r="I478" s="118"/>
      <c r="J478" s="46"/>
      <c r="K478" s="16" t="str">
        <f>IF(J478&lt;&gt;"",SUMIFS('💰 Transaction ขาย'!$F:$F,'💰 Transaction ขาย'!$K:$K,$J478,'💰 Transaction ขาย'!$J:$J,$B$1),"")</f>
        <v/>
      </c>
      <c r="L478" s="118"/>
      <c r="M478" s="46"/>
      <c r="N478" s="46"/>
      <c r="O478" s="46"/>
      <c r="P478" s="118"/>
      <c r="Q478" s="46"/>
      <c r="R478" s="46"/>
      <c r="S478" s="46"/>
      <c r="T478" s="46"/>
      <c r="U478" s="118"/>
      <c r="V478" s="46"/>
      <c r="W478" s="88" t="str">
        <f>IF(V478&lt;&gt;"",SUMIFS('📊 รายงานสินค้าคงเหลือ'!G:G,'📊 รายงานสินค้าคงเหลือ'!D:D,V478),"")</f>
        <v/>
      </c>
      <c r="X478" s="46"/>
      <c r="Y478" s="46"/>
      <c r="Z478" s="46"/>
    </row>
    <row r="479">
      <c r="A479" s="46"/>
      <c r="B479" s="16"/>
      <c r="C479" s="118"/>
      <c r="D479" s="126"/>
      <c r="E479" s="88"/>
      <c r="F479" s="118"/>
      <c r="G479" s="46"/>
      <c r="H479" s="46"/>
      <c r="I479" s="118"/>
      <c r="J479" s="46"/>
      <c r="K479" s="16" t="str">
        <f>IF(J479&lt;&gt;"",SUMIFS('💰 Transaction ขาย'!$F:$F,'💰 Transaction ขาย'!$K:$K,$J479,'💰 Transaction ขาย'!$J:$J,$B$1),"")</f>
        <v/>
      </c>
      <c r="L479" s="118"/>
      <c r="M479" s="46"/>
      <c r="N479" s="46"/>
      <c r="O479" s="46"/>
      <c r="P479" s="118"/>
      <c r="Q479" s="46"/>
      <c r="R479" s="46"/>
      <c r="S479" s="46"/>
      <c r="T479" s="46"/>
      <c r="U479" s="118"/>
      <c r="V479" s="46"/>
      <c r="W479" s="88" t="str">
        <f>IF(V479&lt;&gt;"",SUMIFS('📊 รายงานสินค้าคงเหลือ'!G:G,'📊 รายงานสินค้าคงเหลือ'!D:D,V479),"")</f>
        <v/>
      </c>
      <c r="X479" s="46"/>
      <c r="Y479" s="46"/>
      <c r="Z479" s="46"/>
    </row>
    <row r="480">
      <c r="A480" s="46"/>
      <c r="B480" s="16"/>
      <c r="C480" s="118"/>
      <c r="D480" s="126"/>
      <c r="E480" s="88"/>
      <c r="F480" s="118"/>
      <c r="G480" s="46"/>
      <c r="H480" s="46"/>
      <c r="I480" s="118"/>
      <c r="J480" s="46"/>
      <c r="K480" s="16" t="str">
        <f>IF(J480&lt;&gt;"",SUMIFS('💰 Transaction ขาย'!$F:$F,'💰 Transaction ขาย'!$K:$K,$J480,'💰 Transaction ขาย'!$J:$J,$B$1),"")</f>
        <v/>
      </c>
      <c r="L480" s="118"/>
      <c r="M480" s="46"/>
      <c r="N480" s="46"/>
      <c r="O480" s="46"/>
      <c r="P480" s="118"/>
      <c r="Q480" s="46"/>
      <c r="R480" s="46"/>
      <c r="S480" s="46"/>
      <c r="T480" s="46"/>
      <c r="U480" s="118"/>
      <c r="V480" s="46"/>
      <c r="W480" s="88" t="str">
        <f>IF(V480&lt;&gt;"",SUMIFS('📊 รายงานสินค้าคงเหลือ'!G:G,'📊 รายงานสินค้าคงเหลือ'!D:D,V480),"")</f>
        <v/>
      </c>
      <c r="X480" s="46"/>
      <c r="Y480" s="46"/>
      <c r="Z480" s="46"/>
    </row>
    <row r="481">
      <c r="A481" s="46"/>
      <c r="B481" s="16"/>
      <c r="C481" s="118"/>
      <c r="D481" s="126"/>
      <c r="E481" s="88"/>
      <c r="F481" s="118"/>
      <c r="G481" s="46"/>
      <c r="H481" s="46"/>
      <c r="I481" s="118"/>
      <c r="J481" s="46"/>
      <c r="K481" s="16" t="str">
        <f>IF(J481&lt;&gt;"",SUMIFS('💰 Transaction ขาย'!$F:$F,'💰 Transaction ขาย'!$K:$K,$J481,'💰 Transaction ขาย'!$J:$J,$B$1),"")</f>
        <v/>
      </c>
      <c r="L481" s="118"/>
      <c r="M481" s="46"/>
      <c r="N481" s="46"/>
      <c r="O481" s="46"/>
      <c r="P481" s="118"/>
      <c r="Q481" s="46"/>
      <c r="R481" s="46"/>
      <c r="S481" s="46"/>
      <c r="T481" s="46"/>
      <c r="U481" s="118"/>
      <c r="V481" s="46"/>
      <c r="W481" s="88" t="str">
        <f>IF(V481&lt;&gt;"",SUMIFS('📊 รายงานสินค้าคงเหลือ'!G:G,'📊 รายงานสินค้าคงเหลือ'!D:D,V481),"")</f>
        <v/>
      </c>
      <c r="X481" s="46"/>
      <c r="Y481" s="46"/>
      <c r="Z481" s="46"/>
    </row>
    <row r="482">
      <c r="A482" s="46"/>
      <c r="B482" s="16"/>
      <c r="C482" s="118"/>
      <c r="D482" s="126"/>
      <c r="E482" s="88"/>
      <c r="F482" s="118"/>
      <c r="G482" s="46"/>
      <c r="H482" s="46"/>
      <c r="I482" s="118"/>
      <c r="J482" s="46"/>
      <c r="K482" s="16" t="str">
        <f>IF(J482&lt;&gt;"",SUMIFS('💰 Transaction ขาย'!$F:$F,'💰 Transaction ขาย'!$K:$K,$J482,'💰 Transaction ขาย'!$J:$J,$B$1),"")</f>
        <v/>
      </c>
      <c r="L482" s="118"/>
      <c r="M482" s="46"/>
      <c r="N482" s="46"/>
      <c r="O482" s="46"/>
      <c r="P482" s="118"/>
      <c r="Q482" s="46"/>
      <c r="R482" s="46"/>
      <c r="S482" s="46"/>
      <c r="T482" s="46"/>
      <c r="U482" s="118"/>
      <c r="V482" s="46"/>
      <c r="W482" s="88" t="str">
        <f>IF(V482&lt;&gt;"",SUMIFS('📊 รายงานสินค้าคงเหลือ'!G:G,'📊 รายงานสินค้าคงเหลือ'!D:D,V482),"")</f>
        <v/>
      </c>
      <c r="X482" s="46"/>
      <c r="Y482" s="46"/>
      <c r="Z482" s="46"/>
    </row>
    <row r="483">
      <c r="A483" s="46"/>
      <c r="B483" s="16"/>
      <c r="C483" s="118"/>
      <c r="D483" s="126"/>
      <c r="E483" s="88"/>
      <c r="F483" s="118"/>
      <c r="G483" s="46"/>
      <c r="H483" s="46"/>
      <c r="I483" s="118"/>
      <c r="J483" s="46"/>
      <c r="K483" s="16" t="str">
        <f>IF(J483&lt;&gt;"",SUMIFS('💰 Transaction ขาย'!$F:$F,'💰 Transaction ขาย'!$K:$K,$J483,'💰 Transaction ขาย'!$J:$J,$B$1),"")</f>
        <v/>
      </c>
      <c r="L483" s="118"/>
      <c r="M483" s="46"/>
      <c r="N483" s="46"/>
      <c r="O483" s="46"/>
      <c r="P483" s="118"/>
      <c r="Q483" s="46"/>
      <c r="R483" s="46"/>
      <c r="S483" s="46"/>
      <c r="T483" s="46"/>
      <c r="U483" s="118"/>
      <c r="V483" s="46"/>
      <c r="W483" s="88" t="str">
        <f>IF(V483&lt;&gt;"",SUMIFS('📊 รายงานสินค้าคงเหลือ'!G:G,'📊 รายงานสินค้าคงเหลือ'!D:D,V483),"")</f>
        <v/>
      </c>
      <c r="X483" s="46"/>
      <c r="Y483" s="46"/>
      <c r="Z483" s="46"/>
    </row>
    <row r="484">
      <c r="A484" s="46"/>
      <c r="B484" s="16"/>
      <c r="C484" s="118"/>
      <c r="D484" s="126"/>
      <c r="E484" s="88"/>
      <c r="F484" s="118"/>
      <c r="G484" s="46"/>
      <c r="H484" s="46"/>
      <c r="I484" s="118"/>
      <c r="J484" s="46"/>
      <c r="K484" s="16" t="str">
        <f>IF(J484&lt;&gt;"",SUMIFS('💰 Transaction ขาย'!$F:$F,'💰 Transaction ขาย'!$K:$K,$J484,'💰 Transaction ขาย'!$J:$J,$B$1),"")</f>
        <v/>
      </c>
      <c r="L484" s="118"/>
      <c r="M484" s="46"/>
      <c r="N484" s="46"/>
      <c r="O484" s="46"/>
      <c r="P484" s="118"/>
      <c r="Q484" s="46"/>
      <c r="R484" s="46"/>
      <c r="S484" s="46"/>
      <c r="T484" s="46"/>
      <c r="U484" s="118"/>
      <c r="V484" s="46"/>
      <c r="W484" s="88" t="str">
        <f>IF(V484&lt;&gt;"",SUMIFS('📊 รายงานสินค้าคงเหลือ'!G:G,'📊 รายงานสินค้าคงเหลือ'!D:D,V484),"")</f>
        <v/>
      </c>
      <c r="X484" s="46"/>
      <c r="Y484" s="46"/>
      <c r="Z484" s="46"/>
    </row>
    <row r="485">
      <c r="A485" s="46"/>
      <c r="B485" s="16"/>
      <c r="C485" s="118"/>
      <c r="D485" s="126"/>
      <c r="E485" s="88"/>
      <c r="F485" s="118"/>
      <c r="G485" s="46"/>
      <c r="H485" s="46"/>
      <c r="I485" s="118"/>
      <c r="J485" s="46"/>
      <c r="K485" s="16" t="str">
        <f>IF(J485&lt;&gt;"",SUMIFS('💰 Transaction ขาย'!$F:$F,'💰 Transaction ขาย'!$K:$K,$J485,'💰 Transaction ขาย'!$J:$J,$B$1),"")</f>
        <v/>
      </c>
      <c r="L485" s="118"/>
      <c r="M485" s="46"/>
      <c r="N485" s="46"/>
      <c r="O485" s="46"/>
      <c r="P485" s="118"/>
      <c r="Q485" s="46"/>
      <c r="R485" s="46"/>
      <c r="S485" s="46"/>
      <c r="T485" s="46"/>
      <c r="U485" s="118"/>
      <c r="V485" s="46"/>
      <c r="W485" s="88" t="str">
        <f>IF(V485&lt;&gt;"",SUMIFS('📊 รายงานสินค้าคงเหลือ'!G:G,'📊 รายงานสินค้าคงเหลือ'!D:D,V485),"")</f>
        <v/>
      </c>
      <c r="X485" s="46"/>
      <c r="Y485" s="46"/>
      <c r="Z485" s="46"/>
    </row>
    <row r="486">
      <c r="A486" s="46"/>
      <c r="B486" s="16"/>
      <c r="C486" s="118"/>
      <c r="D486" s="126"/>
      <c r="E486" s="88"/>
      <c r="F486" s="118"/>
      <c r="G486" s="46"/>
      <c r="H486" s="46"/>
      <c r="I486" s="118"/>
      <c r="J486" s="46"/>
      <c r="K486" s="16" t="str">
        <f>IF(J486&lt;&gt;"",SUMIFS('💰 Transaction ขาย'!$F:$F,'💰 Transaction ขาย'!$K:$K,$J486,'💰 Transaction ขาย'!$J:$J,$B$1),"")</f>
        <v/>
      </c>
      <c r="L486" s="118"/>
      <c r="M486" s="46"/>
      <c r="N486" s="46"/>
      <c r="O486" s="46"/>
      <c r="P486" s="118"/>
      <c r="Q486" s="46"/>
      <c r="R486" s="46"/>
      <c r="S486" s="46"/>
      <c r="T486" s="46"/>
      <c r="U486" s="118"/>
      <c r="V486" s="46"/>
      <c r="W486" s="88" t="str">
        <f>IF(V486&lt;&gt;"",SUMIFS('📊 รายงานสินค้าคงเหลือ'!G:G,'📊 รายงานสินค้าคงเหลือ'!D:D,V486),"")</f>
        <v/>
      </c>
      <c r="X486" s="46"/>
      <c r="Y486" s="46"/>
      <c r="Z486" s="46"/>
    </row>
    <row r="487">
      <c r="A487" s="46"/>
      <c r="B487" s="16"/>
      <c r="C487" s="118"/>
      <c r="D487" s="126"/>
      <c r="E487" s="88"/>
      <c r="F487" s="118"/>
      <c r="G487" s="46"/>
      <c r="H487" s="46"/>
      <c r="I487" s="118"/>
      <c r="J487" s="46"/>
      <c r="K487" s="16" t="str">
        <f>IF(J487&lt;&gt;"",SUMIFS('💰 Transaction ขาย'!$F:$F,'💰 Transaction ขาย'!$K:$K,$J487,'💰 Transaction ขาย'!$J:$J,$B$1),"")</f>
        <v/>
      </c>
      <c r="L487" s="118"/>
      <c r="M487" s="46"/>
      <c r="N487" s="46"/>
      <c r="O487" s="46"/>
      <c r="P487" s="118"/>
      <c r="Q487" s="46"/>
      <c r="R487" s="46"/>
      <c r="S487" s="46"/>
      <c r="T487" s="46"/>
      <c r="U487" s="118"/>
      <c r="V487" s="46"/>
      <c r="W487" s="88" t="str">
        <f>IF(V487&lt;&gt;"",SUMIFS('📊 รายงานสินค้าคงเหลือ'!G:G,'📊 รายงานสินค้าคงเหลือ'!D:D,V487),"")</f>
        <v/>
      </c>
      <c r="X487" s="46"/>
      <c r="Y487" s="46"/>
      <c r="Z487" s="46"/>
    </row>
    <row r="488">
      <c r="A488" s="46"/>
      <c r="B488" s="16"/>
      <c r="C488" s="118"/>
      <c r="D488" s="126"/>
      <c r="E488" s="88"/>
      <c r="F488" s="118"/>
      <c r="G488" s="46"/>
      <c r="H488" s="46"/>
      <c r="I488" s="118"/>
      <c r="J488" s="46"/>
      <c r="K488" s="16" t="str">
        <f>IF(J488&lt;&gt;"",SUMIFS('💰 Transaction ขาย'!$F:$F,'💰 Transaction ขาย'!$K:$K,$J488,'💰 Transaction ขาย'!$J:$J,$B$1),"")</f>
        <v/>
      </c>
      <c r="L488" s="118"/>
      <c r="M488" s="46"/>
      <c r="N488" s="46"/>
      <c r="O488" s="46"/>
      <c r="P488" s="118"/>
      <c r="Q488" s="46"/>
      <c r="R488" s="46"/>
      <c r="S488" s="46"/>
      <c r="T488" s="46"/>
      <c r="U488" s="118"/>
      <c r="V488" s="46"/>
      <c r="W488" s="88" t="str">
        <f>IF(V488&lt;&gt;"",SUMIFS('📊 รายงานสินค้าคงเหลือ'!G:G,'📊 รายงานสินค้าคงเหลือ'!D:D,V488),"")</f>
        <v/>
      </c>
      <c r="X488" s="46"/>
      <c r="Y488" s="46"/>
      <c r="Z488" s="46"/>
    </row>
    <row r="489">
      <c r="A489" s="46"/>
      <c r="B489" s="16"/>
      <c r="C489" s="118"/>
      <c r="D489" s="126"/>
      <c r="E489" s="88"/>
      <c r="F489" s="118"/>
      <c r="G489" s="46"/>
      <c r="H489" s="46"/>
      <c r="I489" s="118"/>
      <c r="J489" s="46"/>
      <c r="K489" s="16" t="str">
        <f>IF(J489&lt;&gt;"",SUMIFS('💰 Transaction ขาย'!$F:$F,'💰 Transaction ขาย'!$K:$K,$J489,'💰 Transaction ขาย'!$J:$J,$B$1),"")</f>
        <v/>
      </c>
      <c r="L489" s="118"/>
      <c r="M489" s="46"/>
      <c r="N489" s="46"/>
      <c r="O489" s="46"/>
      <c r="P489" s="118"/>
      <c r="Q489" s="46"/>
      <c r="R489" s="46"/>
      <c r="S489" s="46"/>
      <c r="T489" s="46"/>
      <c r="U489" s="118"/>
      <c r="V489" s="46"/>
      <c r="W489" s="88" t="str">
        <f>IF(V489&lt;&gt;"",SUMIFS('📊 รายงานสินค้าคงเหลือ'!G:G,'📊 รายงานสินค้าคงเหลือ'!D:D,V489),"")</f>
        <v/>
      </c>
      <c r="X489" s="46"/>
      <c r="Y489" s="46"/>
      <c r="Z489" s="46"/>
    </row>
    <row r="490">
      <c r="A490" s="46"/>
      <c r="B490" s="16"/>
      <c r="C490" s="118"/>
      <c r="D490" s="126"/>
      <c r="E490" s="88"/>
      <c r="F490" s="118"/>
      <c r="G490" s="46"/>
      <c r="H490" s="46"/>
      <c r="I490" s="118"/>
      <c r="J490" s="46"/>
      <c r="K490" s="16" t="str">
        <f>IF(J490&lt;&gt;"",SUMIFS('💰 Transaction ขาย'!$F:$F,'💰 Transaction ขาย'!$K:$K,$J490,'💰 Transaction ขาย'!$J:$J,$B$1),"")</f>
        <v/>
      </c>
      <c r="L490" s="118"/>
      <c r="M490" s="46"/>
      <c r="N490" s="46"/>
      <c r="O490" s="46"/>
      <c r="P490" s="118"/>
      <c r="Q490" s="46"/>
      <c r="R490" s="46"/>
      <c r="S490" s="46"/>
      <c r="T490" s="46"/>
      <c r="U490" s="118"/>
      <c r="V490" s="46"/>
      <c r="W490" s="88" t="str">
        <f>IF(V490&lt;&gt;"",SUMIFS('📊 รายงานสินค้าคงเหลือ'!G:G,'📊 รายงานสินค้าคงเหลือ'!D:D,V490),"")</f>
        <v/>
      </c>
      <c r="X490" s="46"/>
      <c r="Y490" s="46"/>
      <c r="Z490" s="46"/>
    </row>
    <row r="491">
      <c r="A491" s="46"/>
      <c r="B491" s="16"/>
      <c r="C491" s="118"/>
      <c r="D491" s="126"/>
      <c r="E491" s="88"/>
      <c r="F491" s="118"/>
      <c r="G491" s="46"/>
      <c r="H491" s="46"/>
      <c r="I491" s="118"/>
      <c r="J491" s="46"/>
      <c r="K491" s="16" t="str">
        <f>IF(J491&lt;&gt;"",SUMIFS('💰 Transaction ขาย'!$F:$F,'💰 Transaction ขาย'!$K:$K,$J491,'💰 Transaction ขาย'!$J:$J,$B$1),"")</f>
        <v/>
      </c>
      <c r="L491" s="118"/>
      <c r="M491" s="46"/>
      <c r="N491" s="46"/>
      <c r="O491" s="46"/>
      <c r="P491" s="118"/>
      <c r="Q491" s="46"/>
      <c r="R491" s="46"/>
      <c r="S491" s="46"/>
      <c r="T491" s="46"/>
      <c r="U491" s="118"/>
      <c r="V491" s="46"/>
      <c r="W491" s="88" t="str">
        <f>IF(V491&lt;&gt;"",SUMIFS('📊 รายงานสินค้าคงเหลือ'!G:G,'📊 รายงานสินค้าคงเหลือ'!D:D,V491),"")</f>
        <v/>
      </c>
      <c r="X491" s="46"/>
      <c r="Y491" s="46"/>
      <c r="Z491" s="46"/>
    </row>
    <row r="492">
      <c r="A492" s="46"/>
      <c r="B492" s="16"/>
      <c r="C492" s="118"/>
      <c r="D492" s="126"/>
      <c r="E492" s="88"/>
      <c r="F492" s="118"/>
      <c r="G492" s="46"/>
      <c r="H492" s="46"/>
      <c r="I492" s="118"/>
      <c r="J492" s="46"/>
      <c r="K492" s="16" t="str">
        <f>IF(J492&lt;&gt;"",SUMIFS('💰 Transaction ขาย'!$F:$F,'💰 Transaction ขาย'!$K:$K,$J492,'💰 Transaction ขาย'!$J:$J,$B$1),"")</f>
        <v/>
      </c>
      <c r="L492" s="118"/>
      <c r="M492" s="46"/>
      <c r="N492" s="46"/>
      <c r="O492" s="46"/>
      <c r="P492" s="118"/>
      <c r="Q492" s="46"/>
      <c r="R492" s="46"/>
      <c r="S492" s="46"/>
      <c r="T492" s="46"/>
      <c r="U492" s="118"/>
      <c r="V492" s="46"/>
      <c r="W492" s="88" t="str">
        <f>IF(V492&lt;&gt;"",SUMIFS('📊 รายงานสินค้าคงเหลือ'!G:G,'📊 รายงานสินค้าคงเหลือ'!D:D,V492),"")</f>
        <v/>
      </c>
      <c r="X492" s="46"/>
      <c r="Y492" s="46"/>
      <c r="Z492" s="46"/>
    </row>
    <row r="493">
      <c r="A493" s="46"/>
      <c r="B493" s="16"/>
      <c r="C493" s="118"/>
      <c r="D493" s="126"/>
      <c r="E493" s="88"/>
      <c r="F493" s="118"/>
      <c r="G493" s="46"/>
      <c r="H493" s="46"/>
      <c r="I493" s="118"/>
      <c r="J493" s="46"/>
      <c r="K493" s="16" t="str">
        <f>IF(J493&lt;&gt;"",SUMIFS('💰 Transaction ขาย'!$F:$F,'💰 Transaction ขาย'!$K:$K,$J493,'💰 Transaction ขาย'!$J:$J,$B$1),"")</f>
        <v/>
      </c>
      <c r="L493" s="118"/>
      <c r="M493" s="46"/>
      <c r="N493" s="46"/>
      <c r="O493" s="46"/>
      <c r="P493" s="118"/>
      <c r="Q493" s="46"/>
      <c r="R493" s="46"/>
      <c r="S493" s="46"/>
      <c r="T493" s="46"/>
      <c r="U493" s="118"/>
      <c r="V493" s="46"/>
      <c r="W493" s="88" t="str">
        <f>IF(V493&lt;&gt;"",SUMIFS('📊 รายงานสินค้าคงเหลือ'!G:G,'📊 รายงานสินค้าคงเหลือ'!D:D,V493),"")</f>
        <v/>
      </c>
      <c r="X493" s="46"/>
      <c r="Y493" s="46"/>
      <c r="Z493" s="46"/>
    </row>
    <row r="494">
      <c r="A494" s="46"/>
      <c r="B494" s="16"/>
      <c r="C494" s="118"/>
      <c r="D494" s="126"/>
      <c r="E494" s="88"/>
      <c r="F494" s="118"/>
      <c r="G494" s="46"/>
      <c r="H494" s="46"/>
      <c r="I494" s="118"/>
      <c r="J494" s="46"/>
      <c r="K494" s="16" t="str">
        <f>IF(J494&lt;&gt;"",SUMIFS('💰 Transaction ขาย'!$F:$F,'💰 Transaction ขาย'!$K:$K,$J494,'💰 Transaction ขาย'!$J:$J,$B$1),"")</f>
        <v/>
      </c>
      <c r="L494" s="118"/>
      <c r="M494" s="46"/>
      <c r="N494" s="46"/>
      <c r="O494" s="46"/>
      <c r="P494" s="118"/>
      <c r="Q494" s="46"/>
      <c r="R494" s="46"/>
      <c r="S494" s="46"/>
      <c r="T494" s="46"/>
      <c r="U494" s="118"/>
      <c r="V494" s="46"/>
      <c r="W494" s="88" t="str">
        <f>IF(V494&lt;&gt;"",SUMIFS('📊 รายงานสินค้าคงเหลือ'!G:G,'📊 รายงานสินค้าคงเหลือ'!D:D,V494),"")</f>
        <v/>
      </c>
      <c r="X494" s="46"/>
      <c r="Y494" s="46"/>
      <c r="Z494" s="46"/>
    </row>
    <row r="495">
      <c r="A495" s="46"/>
      <c r="B495" s="16"/>
      <c r="C495" s="118"/>
      <c r="D495" s="126"/>
      <c r="E495" s="88"/>
      <c r="F495" s="118"/>
      <c r="G495" s="46"/>
      <c r="H495" s="46"/>
      <c r="I495" s="118"/>
      <c r="J495" s="46"/>
      <c r="K495" s="16" t="str">
        <f>IF(J495&lt;&gt;"",SUMIFS('💰 Transaction ขาย'!$F:$F,'💰 Transaction ขาย'!$K:$K,$J495,'💰 Transaction ขาย'!$J:$J,$B$1),"")</f>
        <v/>
      </c>
      <c r="L495" s="118"/>
      <c r="M495" s="46"/>
      <c r="N495" s="46"/>
      <c r="O495" s="46"/>
      <c r="P495" s="118"/>
      <c r="Q495" s="46"/>
      <c r="R495" s="46"/>
      <c r="S495" s="46"/>
      <c r="T495" s="46"/>
      <c r="U495" s="118"/>
      <c r="V495" s="46"/>
      <c r="W495" s="88" t="str">
        <f>IF(V495&lt;&gt;"",SUMIFS('📊 รายงานสินค้าคงเหลือ'!G:G,'📊 รายงานสินค้าคงเหลือ'!D:D,V495),"")</f>
        <v/>
      </c>
      <c r="X495" s="46"/>
      <c r="Y495" s="46"/>
      <c r="Z495" s="46"/>
    </row>
    <row r="496">
      <c r="A496" s="46"/>
      <c r="B496" s="16"/>
      <c r="C496" s="118"/>
      <c r="D496" s="126"/>
      <c r="E496" s="88"/>
      <c r="F496" s="118"/>
      <c r="G496" s="46"/>
      <c r="H496" s="46"/>
      <c r="I496" s="118"/>
      <c r="J496" s="46"/>
      <c r="K496" s="16" t="str">
        <f>IF(J496&lt;&gt;"",SUMIFS('💰 Transaction ขาย'!$F:$F,'💰 Transaction ขาย'!$K:$K,$J496,'💰 Transaction ขาย'!$J:$J,$B$1),"")</f>
        <v/>
      </c>
      <c r="L496" s="118"/>
      <c r="M496" s="46"/>
      <c r="N496" s="46"/>
      <c r="O496" s="46"/>
      <c r="P496" s="118"/>
      <c r="Q496" s="46"/>
      <c r="R496" s="46"/>
      <c r="S496" s="46"/>
      <c r="T496" s="46"/>
      <c r="U496" s="118"/>
      <c r="V496" s="46"/>
      <c r="W496" s="88" t="str">
        <f>IF(V496&lt;&gt;"",SUMIFS('📊 รายงานสินค้าคงเหลือ'!G:G,'📊 รายงานสินค้าคงเหลือ'!D:D,V496),"")</f>
        <v/>
      </c>
      <c r="X496" s="46"/>
      <c r="Y496" s="46"/>
      <c r="Z496" s="46"/>
    </row>
    <row r="497">
      <c r="A497" s="46"/>
      <c r="B497" s="16"/>
      <c r="C497" s="118"/>
      <c r="D497" s="126"/>
      <c r="E497" s="88"/>
      <c r="F497" s="118"/>
      <c r="G497" s="46"/>
      <c r="H497" s="46"/>
      <c r="I497" s="118"/>
      <c r="J497" s="46"/>
      <c r="K497" s="16" t="str">
        <f>IF(J497&lt;&gt;"",SUMIFS('💰 Transaction ขาย'!$F:$F,'💰 Transaction ขาย'!$K:$K,$J497,'💰 Transaction ขาย'!$J:$J,$B$1),"")</f>
        <v/>
      </c>
      <c r="L497" s="118"/>
      <c r="M497" s="46"/>
      <c r="N497" s="46"/>
      <c r="O497" s="46"/>
      <c r="P497" s="118"/>
      <c r="Q497" s="46"/>
      <c r="R497" s="46"/>
      <c r="S497" s="46"/>
      <c r="T497" s="46"/>
      <c r="U497" s="118"/>
      <c r="V497" s="46"/>
      <c r="W497" s="88" t="str">
        <f>IF(V497&lt;&gt;"",SUMIFS('📊 รายงานสินค้าคงเหลือ'!G:G,'📊 รายงานสินค้าคงเหลือ'!D:D,V497),"")</f>
        <v/>
      </c>
      <c r="X497" s="46"/>
      <c r="Y497" s="46"/>
      <c r="Z497" s="46"/>
    </row>
    <row r="498">
      <c r="A498" s="46"/>
      <c r="B498" s="16"/>
      <c r="C498" s="118"/>
      <c r="D498" s="126"/>
      <c r="E498" s="88"/>
      <c r="F498" s="118"/>
      <c r="G498" s="46"/>
      <c r="H498" s="46"/>
      <c r="I498" s="118"/>
      <c r="J498" s="46"/>
      <c r="K498" s="16" t="str">
        <f>IF(J498&lt;&gt;"",SUMIFS('💰 Transaction ขาย'!$F:$F,'💰 Transaction ขาย'!$K:$K,$J498,'💰 Transaction ขาย'!$J:$J,$B$1),"")</f>
        <v/>
      </c>
      <c r="L498" s="118"/>
      <c r="M498" s="46"/>
      <c r="N498" s="46"/>
      <c r="O498" s="46"/>
      <c r="P498" s="118"/>
      <c r="Q498" s="46"/>
      <c r="R498" s="46"/>
      <c r="S498" s="46"/>
      <c r="T498" s="46"/>
      <c r="U498" s="118"/>
      <c r="V498" s="46"/>
      <c r="W498" s="88" t="str">
        <f>IF(V498&lt;&gt;"",SUMIFS('📊 รายงานสินค้าคงเหลือ'!G:G,'📊 รายงานสินค้าคงเหลือ'!D:D,V498),"")</f>
        <v/>
      </c>
      <c r="X498" s="46"/>
      <c r="Y498" s="46"/>
      <c r="Z498" s="46"/>
    </row>
    <row r="499">
      <c r="A499" s="46"/>
      <c r="B499" s="16"/>
      <c r="C499" s="118"/>
      <c r="D499" s="126"/>
      <c r="E499" s="88"/>
      <c r="F499" s="118"/>
      <c r="G499" s="46"/>
      <c r="H499" s="46"/>
      <c r="I499" s="118"/>
      <c r="J499" s="46"/>
      <c r="K499" s="16" t="str">
        <f>IF(J499&lt;&gt;"",SUMIFS('💰 Transaction ขาย'!$F:$F,'💰 Transaction ขาย'!$K:$K,$J499,'💰 Transaction ขาย'!$J:$J,$B$1),"")</f>
        <v/>
      </c>
      <c r="L499" s="118"/>
      <c r="M499" s="46"/>
      <c r="N499" s="46"/>
      <c r="O499" s="46"/>
      <c r="P499" s="118"/>
      <c r="Q499" s="46"/>
      <c r="R499" s="46"/>
      <c r="S499" s="46"/>
      <c r="T499" s="46"/>
      <c r="U499" s="118"/>
      <c r="V499" s="46"/>
      <c r="W499" s="88" t="str">
        <f>IF(V499&lt;&gt;"",SUMIFS('📊 รายงานสินค้าคงเหลือ'!G:G,'📊 รายงานสินค้าคงเหลือ'!D:D,V499),"")</f>
        <v/>
      </c>
      <c r="X499" s="46"/>
      <c r="Y499" s="46"/>
      <c r="Z499" s="46"/>
    </row>
    <row r="500">
      <c r="A500" s="46"/>
      <c r="B500" s="16"/>
      <c r="C500" s="118"/>
      <c r="D500" s="126"/>
      <c r="E500" s="88"/>
      <c r="F500" s="118"/>
      <c r="G500" s="46"/>
      <c r="H500" s="46"/>
      <c r="I500" s="118"/>
      <c r="J500" s="46"/>
      <c r="K500" s="16" t="str">
        <f>IF(J500&lt;&gt;"",SUMIFS('💰 Transaction ขาย'!$F:$F,'💰 Transaction ขาย'!$K:$K,$J500,'💰 Transaction ขาย'!$J:$J,$B$1),"")</f>
        <v/>
      </c>
      <c r="L500" s="118"/>
      <c r="M500" s="46"/>
      <c r="N500" s="46"/>
      <c r="O500" s="46"/>
      <c r="P500" s="118"/>
      <c r="Q500" s="46"/>
      <c r="R500" s="46"/>
      <c r="S500" s="46"/>
      <c r="T500" s="46"/>
      <c r="U500" s="118"/>
      <c r="V500" s="46"/>
      <c r="W500" s="88" t="str">
        <f>IF(V500&lt;&gt;"",SUMIFS('📊 รายงานสินค้าคงเหลือ'!G:G,'📊 รายงานสินค้าคงเหลือ'!D:D,V500),"")</f>
        <v/>
      </c>
      <c r="X500" s="46"/>
      <c r="Y500" s="46"/>
      <c r="Z500" s="46"/>
    </row>
    <row r="501">
      <c r="A501" s="46"/>
      <c r="B501" s="16"/>
      <c r="C501" s="118"/>
      <c r="D501" s="126"/>
      <c r="E501" s="88"/>
      <c r="F501" s="118"/>
      <c r="G501" s="46"/>
      <c r="H501" s="46"/>
      <c r="I501" s="118"/>
      <c r="J501" s="46"/>
      <c r="K501" s="16" t="str">
        <f>IF(J501&lt;&gt;"",SUMIFS('💰 Transaction ขาย'!$F:$F,'💰 Transaction ขาย'!$K:$K,$J501,'💰 Transaction ขาย'!$J:$J,$B$1),"")</f>
        <v/>
      </c>
      <c r="L501" s="118"/>
      <c r="M501" s="46"/>
      <c r="N501" s="46"/>
      <c r="O501" s="46"/>
      <c r="P501" s="118"/>
      <c r="Q501" s="46"/>
      <c r="R501" s="46"/>
      <c r="S501" s="46"/>
      <c r="T501" s="46"/>
      <c r="U501" s="118"/>
      <c r="V501" s="46"/>
      <c r="W501" s="88" t="str">
        <f>IF(V501&lt;&gt;"",SUMIFS('📊 รายงานสินค้าคงเหลือ'!G:G,'📊 รายงานสินค้าคงเหลือ'!D:D,V501),"")</f>
        <v/>
      </c>
      <c r="X501" s="46"/>
      <c r="Y501" s="46"/>
      <c r="Z501" s="46"/>
    </row>
    <row r="502">
      <c r="A502" s="46"/>
      <c r="B502" s="16"/>
      <c r="C502" s="118"/>
      <c r="D502" s="126"/>
      <c r="E502" s="88"/>
      <c r="F502" s="118"/>
      <c r="G502" s="46"/>
      <c r="H502" s="46"/>
      <c r="I502" s="118"/>
      <c r="J502" s="46"/>
      <c r="K502" s="16" t="str">
        <f>IF(J502&lt;&gt;"",SUMIFS('💰 Transaction ขาย'!$F:$F,'💰 Transaction ขาย'!$K:$K,$J502,'💰 Transaction ขาย'!$J:$J,$B$1),"")</f>
        <v/>
      </c>
      <c r="L502" s="118"/>
      <c r="M502" s="46"/>
      <c r="N502" s="46"/>
      <c r="O502" s="46"/>
      <c r="P502" s="118"/>
      <c r="Q502" s="46"/>
      <c r="R502" s="46"/>
      <c r="S502" s="46"/>
      <c r="T502" s="46"/>
      <c r="U502" s="118"/>
      <c r="V502" s="46"/>
      <c r="W502" s="88" t="str">
        <f>IF(V502&lt;&gt;"",SUMIFS('📊 รายงานสินค้าคงเหลือ'!G:G,'📊 รายงานสินค้าคงเหลือ'!D:D,V502),"")</f>
        <v/>
      </c>
      <c r="X502" s="46"/>
      <c r="Y502" s="46"/>
      <c r="Z502" s="46"/>
    </row>
    <row r="503">
      <c r="A503" s="46"/>
      <c r="B503" s="16"/>
      <c r="C503" s="118"/>
      <c r="D503" s="126"/>
      <c r="E503" s="88"/>
      <c r="F503" s="118"/>
      <c r="G503" s="46"/>
      <c r="H503" s="46"/>
      <c r="I503" s="118"/>
      <c r="J503" s="46"/>
      <c r="K503" s="16" t="str">
        <f>IF(J503&lt;&gt;"",SUMIFS('💰 Transaction ขาย'!$F:$F,'💰 Transaction ขาย'!$K:$K,$J503,'💰 Transaction ขาย'!$J:$J,$B$1),"")</f>
        <v/>
      </c>
      <c r="L503" s="118"/>
      <c r="M503" s="46"/>
      <c r="N503" s="46"/>
      <c r="O503" s="46"/>
      <c r="P503" s="118"/>
      <c r="Q503" s="46"/>
      <c r="R503" s="46"/>
      <c r="S503" s="46"/>
      <c r="T503" s="46"/>
      <c r="U503" s="118"/>
      <c r="V503" s="46"/>
      <c r="W503" s="88" t="str">
        <f>IF(V503&lt;&gt;"",SUMIFS('📊 รายงานสินค้าคงเหลือ'!G:G,'📊 รายงานสินค้าคงเหลือ'!D:D,V503),"")</f>
        <v/>
      </c>
      <c r="X503" s="46"/>
      <c r="Y503" s="46"/>
      <c r="Z503" s="46"/>
    </row>
    <row r="504">
      <c r="A504" s="46"/>
      <c r="B504" s="16"/>
      <c r="C504" s="118"/>
      <c r="D504" s="126"/>
      <c r="E504" s="88"/>
      <c r="F504" s="118"/>
      <c r="G504" s="46"/>
      <c r="H504" s="46"/>
      <c r="I504" s="118"/>
      <c r="J504" s="46"/>
      <c r="K504" s="16" t="str">
        <f>IF(J504&lt;&gt;"",SUMIFS('💰 Transaction ขาย'!$F:$F,'💰 Transaction ขาย'!$K:$K,$J504,'💰 Transaction ขาย'!$J:$J,$B$1),"")</f>
        <v/>
      </c>
      <c r="L504" s="118"/>
      <c r="M504" s="46"/>
      <c r="N504" s="46"/>
      <c r="O504" s="46"/>
      <c r="P504" s="118"/>
      <c r="Q504" s="46"/>
      <c r="R504" s="46"/>
      <c r="S504" s="46"/>
      <c r="T504" s="46"/>
      <c r="U504" s="118"/>
      <c r="V504" s="46"/>
      <c r="W504" s="88" t="str">
        <f>IF(V504&lt;&gt;"",SUMIFS('📊 รายงานสินค้าคงเหลือ'!G:G,'📊 รายงานสินค้าคงเหลือ'!D:D,V504),"")</f>
        <v/>
      </c>
      <c r="X504" s="46"/>
      <c r="Y504" s="46"/>
      <c r="Z504" s="46"/>
    </row>
    <row r="505">
      <c r="A505" s="46"/>
      <c r="B505" s="16"/>
      <c r="C505" s="118"/>
      <c r="D505" s="126"/>
      <c r="E505" s="88"/>
      <c r="F505" s="118"/>
      <c r="G505" s="46"/>
      <c r="H505" s="46"/>
      <c r="I505" s="118"/>
      <c r="J505" s="46"/>
      <c r="K505" s="16" t="str">
        <f>IF(J505&lt;&gt;"",SUMIFS('💰 Transaction ขาย'!$F:$F,'💰 Transaction ขาย'!$K:$K,$J505,'💰 Transaction ขาย'!$J:$J,$B$1),"")</f>
        <v/>
      </c>
      <c r="L505" s="118"/>
      <c r="M505" s="46"/>
      <c r="N505" s="46"/>
      <c r="O505" s="46"/>
      <c r="P505" s="118"/>
      <c r="Q505" s="46"/>
      <c r="R505" s="46"/>
      <c r="S505" s="46"/>
      <c r="T505" s="46"/>
      <c r="U505" s="118"/>
      <c r="V505" s="46"/>
      <c r="W505" s="88" t="str">
        <f>IF(V505&lt;&gt;"",SUMIFS('📊 รายงานสินค้าคงเหลือ'!G:G,'📊 รายงานสินค้าคงเหลือ'!D:D,V505),"")</f>
        <v/>
      </c>
      <c r="X505" s="46"/>
      <c r="Y505" s="46"/>
      <c r="Z505" s="46"/>
    </row>
    <row r="506">
      <c r="A506" s="46"/>
      <c r="B506" s="16"/>
      <c r="C506" s="118"/>
      <c r="D506" s="126"/>
      <c r="E506" s="88"/>
      <c r="F506" s="118"/>
      <c r="G506" s="46"/>
      <c r="H506" s="46"/>
      <c r="I506" s="118"/>
      <c r="J506" s="46"/>
      <c r="K506" s="16" t="str">
        <f>IF(J506&lt;&gt;"",SUMIFS('💰 Transaction ขาย'!$F:$F,'💰 Transaction ขาย'!$K:$K,$J506,'💰 Transaction ขาย'!$J:$J,$B$1),"")</f>
        <v/>
      </c>
      <c r="L506" s="118"/>
      <c r="M506" s="46"/>
      <c r="N506" s="46"/>
      <c r="O506" s="46"/>
      <c r="P506" s="118"/>
      <c r="Q506" s="46"/>
      <c r="R506" s="46"/>
      <c r="S506" s="46"/>
      <c r="T506" s="46"/>
      <c r="U506" s="118"/>
      <c r="V506" s="46"/>
      <c r="W506" s="88" t="str">
        <f>IF(V506&lt;&gt;"",SUMIFS('📊 รายงานสินค้าคงเหลือ'!G:G,'📊 รายงานสินค้าคงเหลือ'!D:D,V506),"")</f>
        <v/>
      </c>
      <c r="X506" s="46"/>
      <c r="Y506" s="46"/>
      <c r="Z506" s="46"/>
    </row>
    <row r="507">
      <c r="A507" s="46"/>
      <c r="B507" s="16"/>
      <c r="C507" s="118"/>
      <c r="D507" s="126"/>
      <c r="E507" s="88"/>
      <c r="F507" s="118"/>
      <c r="G507" s="46"/>
      <c r="H507" s="46"/>
      <c r="I507" s="118"/>
      <c r="J507" s="46"/>
      <c r="K507" s="16" t="str">
        <f>IF(J507&lt;&gt;"",SUMIFS('💰 Transaction ขาย'!$F:$F,'💰 Transaction ขาย'!$K:$K,$J507,'💰 Transaction ขาย'!$J:$J,$B$1),"")</f>
        <v/>
      </c>
      <c r="L507" s="118"/>
      <c r="M507" s="46"/>
      <c r="N507" s="46"/>
      <c r="O507" s="46"/>
      <c r="P507" s="118"/>
      <c r="Q507" s="46"/>
      <c r="R507" s="46"/>
      <c r="S507" s="46"/>
      <c r="T507" s="46"/>
      <c r="U507" s="118"/>
      <c r="V507" s="46"/>
      <c r="W507" s="88" t="str">
        <f>IF(V507&lt;&gt;"",SUMIFS('📊 รายงานสินค้าคงเหลือ'!G:G,'📊 รายงานสินค้าคงเหลือ'!D:D,V507),"")</f>
        <v/>
      </c>
      <c r="X507" s="46"/>
      <c r="Y507" s="46"/>
      <c r="Z507" s="46"/>
    </row>
    <row r="508">
      <c r="A508" s="46"/>
      <c r="B508" s="16"/>
      <c r="C508" s="118"/>
      <c r="D508" s="126"/>
      <c r="E508" s="88"/>
      <c r="F508" s="118"/>
      <c r="G508" s="46"/>
      <c r="H508" s="46"/>
      <c r="I508" s="118"/>
      <c r="J508" s="46"/>
      <c r="K508" s="16" t="str">
        <f>IF(J508&lt;&gt;"",SUMIFS('💰 Transaction ขาย'!$F:$F,'💰 Transaction ขาย'!$K:$K,$J508,'💰 Transaction ขาย'!$J:$J,$B$1),"")</f>
        <v/>
      </c>
      <c r="L508" s="118"/>
      <c r="M508" s="46"/>
      <c r="N508" s="46"/>
      <c r="O508" s="46"/>
      <c r="P508" s="118"/>
      <c r="Q508" s="46"/>
      <c r="R508" s="46"/>
      <c r="S508" s="46"/>
      <c r="T508" s="46"/>
      <c r="U508" s="118"/>
      <c r="V508" s="46"/>
      <c r="W508" s="88" t="str">
        <f>IF(V508&lt;&gt;"",SUMIFS('📊 รายงานสินค้าคงเหลือ'!G:G,'📊 รายงานสินค้าคงเหลือ'!D:D,V508),"")</f>
        <v/>
      </c>
      <c r="X508" s="46"/>
      <c r="Y508" s="46"/>
      <c r="Z508" s="46"/>
    </row>
    <row r="509">
      <c r="A509" s="46"/>
      <c r="B509" s="16"/>
      <c r="C509" s="118"/>
      <c r="D509" s="126"/>
      <c r="E509" s="88"/>
      <c r="F509" s="118"/>
      <c r="G509" s="46"/>
      <c r="H509" s="46"/>
      <c r="I509" s="118"/>
      <c r="J509" s="46"/>
      <c r="K509" s="16" t="str">
        <f>IF(J509&lt;&gt;"",SUMIFS('💰 Transaction ขาย'!$F:$F,'💰 Transaction ขาย'!$K:$K,$J509,'💰 Transaction ขาย'!$J:$J,$B$1),"")</f>
        <v/>
      </c>
      <c r="L509" s="118"/>
      <c r="M509" s="46"/>
      <c r="N509" s="46"/>
      <c r="O509" s="46"/>
      <c r="P509" s="118"/>
      <c r="Q509" s="46"/>
      <c r="R509" s="46"/>
      <c r="S509" s="46"/>
      <c r="T509" s="46"/>
      <c r="U509" s="118"/>
      <c r="V509" s="46"/>
      <c r="W509" s="88" t="str">
        <f>IF(V509&lt;&gt;"",SUMIFS('📊 รายงานสินค้าคงเหลือ'!G:G,'📊 รายงานสินค้าคงเหลือ'!D:D,V509),"")</f>
        <v/>
      </c>
      <c r="X509" s="46"/>
      <c r="Y509" s="46"/>
      <c r="Z509" s="46"/>
    </row>
    <row r="510">
      <c r="A510" s="46"/>
      <c r="B510" s="16"/>
      <c r="C510" s="118"/>
      <c r="D510" s="126"/>
      <c r="E510" s="88"/>
      <c r="F510" s="118"/>
      <c r="G510" s="46"/>
      <c r="H510" s="46"/>
      <c r="I510" s="118"/>
      <c r="J510" s="46"/>
      <c r="K510" s="16" t="str">
        <f>IF(J510&lt;&gt;"",SUMIFS('💰 Transaction ขาย'!$F:$F,'💰 Transaction ขาย'!$K:$K,$J510,'💰 Transaction ขาย'!$J:$J,$B$1),"")</f>
        <v/>
      </c>
      <c r="L510" s="118"/>
      <c r="M510" s="46"/>
      <c r="N510" s="46"/>
      <c r="O510" s="46"/>
      <c r="P510" s="118"/>
      <c r="Q510" s="46"/>
      <c r="R510" s="46"/>
      <c r="S510" s="46"/>
      <c r="T510" s="46"/>
      <c r="U510" s="118"/>
      <c r="V510" s="46"/>
      <c r="W510" s="88" t="str">
        <f>IF(V510&lt;&gt;"",SUMIFS('📊 รายงานสินค้าคงเหลือ'!G:G,'📊 รายงานสินค้าคงเหลือ'!D:D,V510),"")</f>
        <v/>
      </c>
      <c r="X510" s="46"/>
      <c r="Y510" s="46"/>
      <c r="Z510" s="46"/>
    </row>
    <row r="511">
      <c r="A511" s="46"/>
      <c r="B511" s="16"/>
      <c r="C511" s="118"/>
      <c r="D511" s="126"/>
      <c r="E511" s="88"/>
      <c r="F511" s="118"/>
      <c r="G511" s="46"/>
      <c r="H511" s="46"/>
      <c r="I511" s="118"/>
      <c r="J511" s="46"/>
      <c r="K511" s="16" t="str">
        <f>IF(J511&lt;&gt;"",SUMIFS('💰 Transaction ขาย'!$F:$F,'💰 Transaction ขาย'!$K:$K,$J511,'💰 Transaction ขาย'!$J:$J,$B$1),"")</f>
        <v/>
      </c>
      <c r="L511" s="118"/>
      <c r="M511" s="46"/>
      <c r="N511" s="46"/>
      <c r="O511" s="46"/>
      <c r="P511" s="118"/>
      <c r="Q511" s="46"/>
      <c r="R511" s="46"/>
      <c r="S511" s="46"/>
      <c r="T511" s="46"/>
      <c r="U511" s="118"/>
      <c r="V511" s="46"/>
      <c r="W511" s="88" t="str">
        <f>IF(V511&lt;&gt;"",SUMIFS('📊 รายงานสินค้าคงเหลือ'!G:G,'📊 รายงานสินค้าคงเหลือ'!D:D,V511),"")</f>
        <v/>
      </c>
      <c r="X511" s="46"/>
      <c r="Y511" s="46"/>
      <c r="Z511" s="46"/>
    </row>
    <row r="512">
      <c r="A512" s="46"/>
      <c r="B512" s="16"/>
      <c r="C512" s="118"/>
      <c r="D512" s="126"/>
      <c r="E512" s="88"/>
      <c r="F512" s="118"/>
      <c r="G512" s="46"/>
      <c r="H512" s="46"/>
      <c r="I512" s="118"/>
      <c r="J512" s="46"/>
      <c r="K512" s="16" t="str">
        <f>IF(J512&lt;&gt;"",SUMIFS('💰 Transaction ขาย'!$F:$F,'💰 Transaction ขาย'!$K:$K,$J512,'💰 Transaction ขาย'!$J:$J,$B$1),"")</f>
        <v/>
      </c>
      <c r="L512" s="118"/>
      <c r="M512" s="46"/>
      <c r="N512" s="46"/>
      <c r="O512" s="46"/>
      <c r="P512" s="118"/>
      <c r="Q512" s="46"/>
      <c r="R512" s="46"/>
      <c r="S512" s="46"/>
      <c r="T512" s="46"/>
      <c r="U512" s="118"/>
      <c r="V512" s="46"/>
      <c r="W512" s="88" t="str">
        <f>IF(V512&lt;&gt;"",SUMIFS('📊 รายงานสินค้าคงเหลือ'!G:G,'📊 รายงานสินค้าคงเหลือ'!D:D,V512),"")</f>
        <v/>
      </c>
      <c r="X512" s="46"/>
      <c r="Y512" s="46"/>
      <c r="Z512" s="46"/>
    </row>
    <row r="513">
      <c r="A513" s="46"/>
      <c r="B513" s="16"/>
      <c r="C513" s="118"/>
      <c r="D513" s="126"/>
      <c r="E513" s="88"/>
      <c r="F513" s="118"/>
      <c r="G513" s="46"/>
      <c r="H513" s="46"/>
      <c r="I513" s="118"/>
      <c r="J513" s="46"/>
      <c r="K513" s="16" t="str">
        <f>IF(J513&lt;&gt;"",SUMIFS('💰 Transaction ขาย'!$F:$F,'💰 Transaction ขาย'!$K:$K,$J513,'💰 Transaction ขาย'!$J:$J,$B$1),"")</f>
        <v/>
      </c>
      <c r="L513" s="118"/>
      <c r="M513" s="46"/>
      <c r="N513" s="46"/>
      <c r="O513" s="46"/>
      <c r="P513" s="118"/>
      <c r="Q513" s="46"/>
      <c r="R513" s="46"/>
      <c r="S513" s="46"/>
      <c r="T513" s="46"/>
      <c r="U513" s="118"/>
      <c r="V513" s="46"/>
      <c r="W513" s="88" t="str">
        <f>IF(V513&lt;&gt;"",SUMIFS('📊 รายงานสินค้าคงเหลือ'!G:G,'📊 รายงานสินค้าคงเหลือ'!D:D,V513),"")</f>
        <v/>
      </c>
      <c r="X513" s="46"/>
      <c r="Y513" s="46"/>
      <c r="Z513" s="46"/>
    </row>
    <row r="514">
      <c r="A514" s="46"/>
      <c r="B514" s="16"/>
      <c r="C514" s="118"/>
      <c r="D514" s="126"/>
      <c r="E514" s="88"/>
      <c r="F514" s="118"/>
      <c r="G514" s="46"/>
      <c r="H514" s="46"/>
      <c r="I514" s="118"/>
      <c r="J514" s="46"/>
      <c r="K514" s="16" t="str">
        <f>IF(J514&lt;&gt;"",SUMIFS('💰 Transaction ขาย'!$F:$F,'💰 Transaction ขาย'!$K:$K,$J514,'💰 Transaction ขาย'!$J:$J,$B$1),"")</f>
        <v/>
      </c>
      <c r="L514" s="118"/>
      <c r="M514" s="46"/>
      <c r="N514" s="46"/>
      <c r="O514" s="46"/>
      <c r="P514" s="118"/>
      <c r="Q514" s="46"/>
      <c r="R514" s="46"/>
      <c r="S514" s="46"/>
      <c r="T514" s="46"/>
      <c r="U514" s="118"/>
      <c r="V514" s="46"/>
      <c r="W514" s="88" t="str">
        <f>IF(V514&lt;&gt;"",SUMIFS('📊 รายงานสินค้าคงเหลือ'!G:G,'📊 รายงานสินค้าคงเหลือ'!D:D,V514),"")</f>
        <v/>
      </c>
      <c r="X514" s="46"/>
      <c r="Y514" s="46"/>
      <c r="Z514" s="46"/>
    </row>
    <row r="515">
      <c r="A515" s="46"/>
      <c r="B515" s="16"/>
      <c r="C515" s="118"/>
      <c r="D515" s="126"/>
      <c r="E515" s="88"/>
      <c r="F515" s="118"/>
      <c r="G515" s="46"/>
      <c r="H515" s="46"/>
      <c r="I515" s="118"/>
      <c r="J515" s="46"/>
      <c r="K515" s="16" t="str">
        <f>IF(J515&lt;&gt;"",SUMIFS('💰 Transaction ขาย'!$F:$F,'💰 Transaction ขาย'!$K:$K,$J515,'💰 Transaction ขาย'!$J:$J,$B$1),"")</f>
        <v/>
      </c>
      <c r="L515" s="118"/>
      <c r="M515" s="46"/>
      <c r="N515" s="46"/>
      <c r="O515" s="46"/>
      <c r="P515" s="118"/>
      <c r="Q515" s="46"/>
      <c r="R515" s="46"/>
      <c r="S515" s="46"/>
      <c r="T515" s="46"/>
      <c r="U515" s="118"/>
      <c r="V515" s="46"/>
      <c r="W515" s="88" t="str">
        <f>IF(V515&lt;&gt;"",SUMIFS('📊 รายงานสินค้าคงเหลือ'!G:G,'📊 รายงานสินค้าคงเหลือ'!D:D,V515),"")</f>
        <v/>
      </c>
      <c r="X515" s="46"/>
      <c r="Y515" s="46"/>
      <c r="Z515" s="46"/>
    </row>
    <row r="516">
      <c r="A516" s="46"/>
      <c r="B516" s="16"/>
      <c r="C516" s="118"/>
      <c r="D516" s="126"/>
      <c r="E516" s="88"/>
      <c r="F516" s="118"/>
      <c r="G516" s="46"/>
      <c r="H516" s="46"/>
      <c r="I516" s="118"/>
      <c r="J516" s="46"/>
      <c r="K516" s="16" t="str">
        <f>IF(J516&lt;&gt;"",SUMIFS('💰 Transaction ขาย'!$F:$F,'💰 Transaction ขาย'!$K:$K,$J516,'💰 Transaction ขาย'!$J:$J,$B$1),"")</f>
        <v/>
      </c>
      <c r="L516" s="118"/>
      <c r="M516" s="46"/>
      <c r="N516" s="46"/>
      <c r="O516" s="46"/>
      <c r="P516" s="118"/>
      <c r="Q516" s="46"/>
      <c r="R516" s="46"/>
      <c r="S516" s="46"/>
      <c r="T516" s="46"/>
      <c r="U516" s="118"/>
      <c r="V516" s="46"/>
      <c r="W516" s="88" t="str">
        <f>IF(V516&lt;&gt;"",SUMIFS('📊 รายงานสินค้าคงเหลือ'!G:G,'📊 รายงานสินค้าคงเหลือ'!D:D,V516),"")</f>
        <v/>
      </c>
      <c r="X516" s="46"/>
      <c r="Y516" s="46"/>
      <c r="Z516" s="46"/>
    </row>
    <row r="517">
      <c r="A517" s="46"/>
      <c r="B517" s="16"/>
      <c r="C517" s="118"/>
      <c r="D517" s="126"/>
      <c r="E517" s="88"/>
      <c r="F517" s="118"/>
      <c r="G517" s="46"/>
      <c r="H517" s="46"/>
      <c r="I517" s="118"/>
      <c r="J517" s="46"/>
      <c r="K517" s="16" t="str">
        <f>IF(J517&lt;&gt;"",SUMIFS('💰 Transaction ขาย'!$F:$F,'💰 Transaction ขาย'!$K:$K,$J517,'💰 Transaction ขาย'!$J:$J,$B$1),"")</f>
        <v/>
      </c>
      <c r="L517" s="118"/>
      <c r="M517" s="46"/>
      <c r="N517" s="46"/>
      <c r="O517" s="46"/>
      <c r="P517" s="118"/>
      <c r="Q517" s="46"/>
      <c r="R517" s="46"/>
      <c r="S517" s="46"/>
      <c r="T517" s="46"/>
      <c r="U517" s="118"/>
      <c r="V517" s="46"/>
      <c r="W517" s="88" t="str">
        <f>IF(V517&lt;&gt;"",SUMIFS('📊 รายงานสินค้าคงเหลือ'!G:G,'📊 รายงานสินค้าคงเหลือ'!D:D,V517),"")</f>
        <v/>
      </c>
      <c r="X517" s="46"/>
      <c r="Y517" s="46"/>
      <c r="Z517" s="46"/>
    </row>
    <row r="518">
      <c r="A518" s="46"/>
      <c r="B518" s="16"/>
      <c r="C518" s="118"/>
      <c r="D518" s="126"/>
      <c r="E518" s="88"/>
      <c r="F518" s="118"/>
      <c r="G518" s="46"/>
      <c r="H518" s="46"/>
      <c r="I518" s="118"/>
      <c r="J518" s="46"/>
      <c r="K518" s="16" t="str">
        <f>IF(J518&lt;&gt;"",SUMIFS('💰 Transaction ขาย'!$F:$F,'💰 Transaction ขาย'!$K:$K,$J518,'💰 Transaction ขาย'!$J:$J,$B$1),"")</f>
        <v/>
      </c>
      <c r="L518" s="118"/>
      <c r="M518" s="46"/>
      <c r="N518" s="46"/>
      <c r="O518" s="46"/>
      <c r="P518" s="118"/>
      <c r="Q518" s="46"/>
      <c r="R518" s="46"/>
      <c r="S518" s="46"/>
      <c r="T518" s="46"/>
      <c r="U518" s="118"/>
      <c r="V518" s="46"/>
      <c r="W518" s="88" t="str">
        <f>IF(V518&lt;&gt;"",SUMIFS('📊 รายงานสินค้าคงเหลือ'!G:G,'📊 รายงานสินค้าคงเหลือ'!D:D,V518),"")</f>
        <v/>
      </c>
      <c r="X518" s="46"/>
      <c r="Y518" s="46"/>
      <c r="Z518" s="46"/>
    </row>
    <row r="519">
      <c r="A519" s="46"/>
      <c r="B519" s="16"/>
      <c r="C519" s="118"/>
      <c r="D519" s="126"/>
      <c r="E519" s="88"/>
      <c r="F519" s="118"/>
      <c r="G519" s="46"/>
      <c r="H519" s="46"/>
      <c r="I519" s="118"/>
      <c r="J519" s="46"/>
      <c r="K519" s="16" t="str">
        <f>IF(J519&lt;&gt;"",SUMIFS('💰 Transaction ขาย'!$F:$F,'💰 Transaction ขาย'!$K:$K,$J519,'💰 Transaction ขาย'!$J:$J,$B$1),"")</f>
        <v/>
      </c>
      <c r="L519" s="118"/>
      <c r="M519" s="46"/>
      <c r="N519" s="46"/>
      <c r="O519" s="46"/>
      <c r="P519" s="118"/>
      <c r="Q519" s="46"/>
      <c r="R519" s="46"/>
      <c r="S519" s="46"/>
      <c r="T519" s="46"/>
      <c r="U519" s="118"/>
      <c r="V519" s="46"/>
      <c r="W519" s="88" t="str">
        <f>IF(V519&lt;&gt;"",SUMIFS('📊 รายงานสินค้าคงเหลือ'!G:G,'📊 รายงานสินค้าคงเหลือ'!D:D,V519),"")</f>
        <v/>
      </c>
      <c r="X519" s="46"/>
      <c r="Y519" s="46"/>
      <c r="Z519" s="46"/>
    </row>
    <row r="520">
      <c r="A520" s="46"/>
      <c r="B520" s="16"/>
      <c r="C520" s="118"/>
      <c r="D520" s="126"/>
      <c r="E520" s="88"/>
      <c r="F520" s="118"/>
      <c r="G520" s="46"/>
      <c r="H520" s="46"/>
      <c r="I520" s="118"/>
      <c r="J520" s="46"/>
      <c r="K520" s="16" t="str">
        <f>IF(J520&lt;&gt;"",SUMIFS('💰 Transaction ขาย'!$F:$F,'💰 Transaction ขาย'!$K:$K,$J520,'💰 Transaction ขาย'!$J:$J,$B$1),"")</f>
        <v/>
      </c>
      <c r="L520" s="118"/>
      <c r="M520" s="46"/>
      <c r="N520" s="46"/>
      <c r="O520" s="46"/>
      <c r="P520" s="118"/>
      <c r="Q520" s="46"/>
      <c r="R520" s="46"/>
      <c r="S520" s="46"/>
      <c r="T520" s="46"/>
      <c r="U520" s="118"/>
      <c r="V520" s="46"/>
      <c r="W520" s="88" t="str">
        <f>IF(V520&lt;&gt;"",SUMIFS('📊 รายงานสินค้าคงเหลือ'!G:G,'📊 รายงานสินค้าคงเหลือ'!D:D,V520),"")</f>
        <v/>
      </c>
      <c r="X520" s="46"/>
      <c r="Y520" s="46"/>
      <c r="Z520" s="46"/>
    </row>
    <row r="521">
      <c r="A521" s="46"/>
      <c r="B521" s="16"/>
      <c r="C521" s="118"/>
      <c r="D521" s="126"/>
      <c r="E521" s="88"/>
      <c r="F521" s="118"/>
      <c r="G521" s="46"/>
      <c r="H521" s="46"/>
      <c r="I521" s="118"/>
      <c r="J521" s="46"/>
      <c r="K521" s="16" t="str">
        <f>IF(J521&lt;&gt;"",SUMIFS('💰 Transaction ขาย'!$F:$F,'💰 Transaction ขาย'!$K:$K,$J521,'💰 Transaction ขาย'!$J:$J,$B$1),"")</f>
        <v/>
      </c>
      <c r="L521" s="118"/>
      <c r="M521" s="46"/>
      <c r="N521" s="46"/>
      <c r="O521" s="46"/>
      <c r="P521" s="118"/>
      <c r="Q521" s="46"/>
      <c r="R521" s="46"/>
      <c r="S521" s="46"/>
      <c r="T521" s="46"/>
      <c r="U521" s="118"/>
      <c r="V521" s="46"/>
      <c r="W521" s="88" t="str">
        <f>IF(V521&lt;&gt;"",SUMIFS('📊 รายงานสินค้าคงเหลือ'!G:G,'📊 รายงานสินค้าคงเหลือ'!D:D,V521),"")</f>
        <v/>
      </c>
      <c r="X521" s="46"/>
      <c r="Y521" s="46"/>
      <c r="Z521" s="46"/>
    </row>
    <row r="522">
      <c r="A522" s="46"/>
      <c r="B522" s="16"/>
      <c r="C522" s="118"/>
      <c r="D522" s="126"/>
      <c r="E522" s="88"/>
      <c r="F522" s="118"/>
      <c r="G522" s="46"/>
      <c r="H522" s="46"/>
      <c r="I522" s="118"/>
      <c r="J522" s="46"/>
      <c r="K522" s="16" t="str">
        <f>IF(J522&lt;&gt;"",SUMIFS('💰 Transaction ขาย'!$F:$F,'💰 Transaction ขาย'!$K:$K,$J522,'💰 Transaction ขาย'!$J:$J,$B$1),"")</f>
        <v/>
      </c>
      <c r="L522" s="118"/>
      <c r="M522" s="46"/>
      <c r="N522" s="46"/>
      <c r="O522" s="46"/>
      <c r="P522" s="118"/>
      <c r="Q522" s="46"/>
      <c r="R522" s="46"/>
      <c r="S522" s="46"/>
      <c r="T522" s="46"/>
      <c r="U522" s="118"/>
      <c r="V522" s="46"/>
      <c r="W522" s="88" t="str">
        <f>IF(V522&lt;&gt;"",SUMIFS('📊 รายงานสินค้าคงเหลือ'!G:G,'📊 รายงานสินค้าคงเหลือ'!D:D,V522),"")</f>
        <v/>
      </c>
      <c r="X522" s="46"/>
      <c r="Y522" s="46"/>
      <c r="Z522" s="46"/>
    </row>
    <row r="523">
      <c r="A523" s="46"/>
      <c r="B523" s="16"/>
      <c r="C523" s="118"/>
      <c r="D523" s="126"/>
      <c r="E523" s="88"/>
      <c r="F523" s="118"/>
      <c r="G523" s="46"/>
      <c r="H523" s="46"/>
      <c r="I523" s="118"/>
      <c r="J523" s="46"/>
      <c r="K523" s="16" t="str">
        <f>IF(J523&lt;&gt;"",SUMIFS('💰 Transaction ขาย'!$F:$F,'💰 Transaction ขาย'!$K:$K,$J523,'💰 Transaction ขาย'!$J:$J,$B$1),"")</f>
        <v/>
      </c>
      <c r="L523" s="118"/>
      <c r="M523" s="46"/>
      <c r="N523" s="46"/>
      <c r="O523" s="46"/>
      <c r="P523" s="118"/>
      <c r="Q523" s="46"/>
      <c r="R523" s="46"/>
      <c r="S523" s="46"/>
      <c r="T523" s="46"/>
      <c r="U523" s="118"/>
      <c r="V523" s="46"/>
      <c r="W523" s="88" t="str">
        <f>IF(V523&lt;&gt;"",SUMIFS('📊 รายงานสินค้าคงเหลือ'!G:G,'📊 รายงานสินค้าคงเหลือ'!D:D,V523),"")</f>
        <v/>
      </c>
      <c r="X523" s="46"/>
      <c r="Y523" s="46"/>
      <c r="Z523" s="46"/>
    </row>
    <row r="524">
      <c r="A524" s="46"/>
      <c r="B524" s="16"/>
      <c r="C524" s="118"/>
      <c r="D524" s="126"/>
      <c r="E524" s="88"/>
      <c r="F524" s="118"/>
      <c r="G524" s="46"/>
      <c r="H524" s="46"/>
      <c r="I524" s="118"/>
      <c r="J524" s="46"/>
      <c r="K524" s="16" t="str">
        <f>IF(J524&lt;&gt;"",SUMIFS('💰 Transaction ขาย'!$F:$F,'💰 Transaction ขาย'!$K:$K,$J524,'💰 Transaction ขาย'!$J:$J,$B$1),"")</f>
        <v/>
      </c>
      <c r="L524" s="118"/>
      <c r="M524" s="46"/>
      <c r="N524" s="46"/>
      <c r="O524" s="46"/>
      <c r="P524" s="118"/>
      <c r="Q524" s="46"/>
      <c r="R524" s="46"/>
      <c r="S524" s="46"/>
      <c r="T524" s="46"/>
      <c r="U524" s="118"/>
      <c r="V524" s="46"/>
      <c r="W524" s="88" t="str">
        <f>IF(V524&lt;&gt;"",SUMIFS('📊 รายงานสินค้าคงเหลือ'!G:G,'📊 รายงานสินค้าคงเหลือ'!D:D,V524),"")</f>
        <v/>
      </c>
      <c r="X524" s="46"/>
      <c r="Y524" s="46"/>
      <c r="Z524" s="46"/>
    </row>
    <row r="525">
      <c r="A525" s="46"/>
      <c r="B525" s="16"/>
      <c r="C525" s="118"/>
      <c r="D525" s="126"/>
      <c r="E525" s="88"/>
      <c r="F525" s="118"/>
      <c r="G525" s="46"/>
      <c r="H525" s="46"/>
      <c r="I525" s="118"/>
      <c r="J525" s="46"/>
      <c r="K525" s="16" t="str">
        <f>IF(J525&lt;&gt;"",SUMIFS('💰 Transaction ขาย'!$F:$F,'💰 Transaction ขาย'!$K:$K,$J525,'💰 Transaction ขาย'!$J:$J,$B$1),"")</f>
        <v/>
      </c>
      <c r="L525" s="118"/>
      <c r="M525" s="46"/>
      <c r="N525" s="46"/>
      <c r="O525" s="46"/>
      <c r="P525" s="118"/>
      <c r="Q525" s="46"/>
      <c r="R525" s="46"/>
      <c r="S525" s="46"/>
      <c r="T525" s="46"/>
      <c r="U525" s="118"/>
      <c r="V525" s="46"/>
      <c r="W525" s="88" t="str">
        <f>IF(V525&lt;&gt;"",SUMIFS('📊 รายงานสินค้าคงเหลือ'!G:G,'📊 รายงานสินค้าคงเหลือ'!D:D,V525),"")</f>
        <v/>
      </c>
      <c r="X525" s="46"/>
      <c r="Y525" s="46"/>
      <c r="Z525" s="46"/>
    </row>
    <row r="526">
      <c r="A526" s="46"/>
      <c r="B526" s="16"/>
      <c r="C526" s="118"/>
      <c r="D526" s="126"/>
      <c r="E526" s="88"/>
      <c r="F526" s="118"/>
      <c r="G526" s="46"/>
      <c r="H526" s="46"/>
      <c r="I526" s="118"/>
      <c r="J526" s="46"/>
      <c r="K526" s="16" t="str">
        <f>IF(J526&lt;&gt;"",SUMIFS('💰 Transaction ขาย'!$F:$F,'💰 Transaction ขาย'!$K:$K,$J526,'💰 Transaction ขาย'!$J:$J,$B$1),"")</f>
        <v/>
      </c>
      <c r="L526" s="118"/>
      <c r="M526" s="46"/>
      <c r="N526" s="46"/>
      <c r="O526" s="46"/>
      <c r="P526" s="118"/>
      <c r="Q526" s="46"/>
      <c r="R526" s="46"/>
      <c r="S526" s="46"/>
      <c r="T526" s="46"/>
      <c r="U526" s="118"/>
      <c r="V526" s="46"/>
      <c r="W526" s="88" t="str">
        <f>IF(V526&lt;&gt;"",SUMIFS('📊 รายงานสินค้าคงเหลือ'!G:G,'📊 รายงานสินค้าคงเหลือ'!D:D,V526),"")</f>
        <v/>
      </c>
      <c r="X526" s="46"/>
      <c r="Y526" s="46"/>
      <c r="Z526" s="46"/>
    </row>
    <row r="527">
      <c r="A527" s="46"/>
      <c r="B527" s="16"/>
      <c r="C527" s="118"/>
      <c r="D527" s="126"/>
      <c r="E527" s="88"/>
      <c r="F527" s="118"/>
      <c r="G527" s="46"/>
      <c r="H527" s="46"/>
      <c r="I527" s="118"/>
      <c r="J527" s="46"/>
      <c r="K527" s="16" t="str">
        <f>IF(J527&lt;&gt;"",SUMIFS('💰 Transaction ขาย'!$F:$F,'💰 Transaction ขาย'!$K:$K,$J527,'💰 Transaction ขาย'!$J:$J,$B$1),"")</f>
        <v/>
      </c>
      <c r="L527" s="118"/>
      <c r="M527" s="46"/>
      <c r="N527" s="46"/>
      <c r="O527" s="46"/>
      <c r="P527" s="118"/>
      <c r="Q527" s="46"/>
      <c r="R527" s="46"/>
      <c r="S527" s="46"/>
      <c r="T527" s="46"/>
      <c r="U527" s="118"/>
      <c r="V527" s="46"/>
      <c r="W527" s="88" t="str">
        <f>IF(V527&lt;&gt;"",SUMIFS('📊 รายงานสินค้าคงเหลือ'!G:G,'📊 รายงานสินค้าคงเหลือ'!D:D,V527),"")</f>
        <v/>
      </c>
      <c r="X527" s="46"/>
      <c r="Y527" s="46"/>
      <c r="Z527" s="46"/>
    </row>
    <row r="528">
      <c r="A528" s="46"/>
      <c r="B528" s="16"/>
      <c r="C528" s="118"/>
      <c r="D528" s="126"/>
      <c r="E528" s="88"/>
      <c r="F528" s="118"/>
      <c r="G528" s="46"/>
      <c r="H528" s="46"/>
      <c r="I528" s="118"/>
      <c r="J528" s="46"/>
      <c r="K528" s="16" t="str">
        <f>IF(J528&lt;&gt;"",SUMIFS('💰 Transaction ขาย'!$F:$F,'💰 Transaction ขาย'!$K:$K,$J528,'💰 Transaction ขาย'!$J:$J,$B$1),"")</f>
        <v/>
      </c>
      <c r="L528" s="118"/>
      <c r="M528" s="46"/>
      <c r="N528" s="46"/>
      <c r="O528" s="46"/>
      <c r="P528" s="118"/>
      <c r="Q528" s="46"/>
      <c r="R528" s="46"/>
      <c r="S528" s="46"/>
      <c r="T528" s="46"/>
      <c r="U528" s="118"/>
      <c r="V528" s="46"/>
      <c r="W528" s="88" t="str">
        <f>IF(V528&lt;&gt;"",SUMIFS('📊 รายงานสินค้าคงเหลือ'!G:G,'📊 รายงานสินค้าคงเหลือ'!D:D,V528),"")</f>
        <v/>
      </c>
      <c r="X528" s="46"/>
      <c r="Y528" s="46"/>
      <c r="Z528" s="46"/>
    </row>
    <row r="529">
      <c r="A529" s="46"/>
      <c r="B529" s="16"/>
      <c r="C529" s="118"/>
      <c r="D529" s="126"/>
      <c r="E529" s="88"/>
      <c r="F529" s="118"/>
      <c r="G529" s="46"/>
      <c r="H529" s="46"/>
      <c r="I529" s="118"/>
      <c r="J529" s="46"/>
      <c r="K529" s="16" t="str">
        <f>IF(J529&lt;&gt;"",SUMIFS('💰 Transaction ขาย'!$F:$F,'💰 Transaction ขาย'!$K:$K,$J529,'💰 Transaction ขาย'!$J:$J,$B$1),"")</f>
        <v/>
      </c>
      <c r="L529" s="118"/>
      <c r="M529" s="46"/>
      <c r="N529" s="46"/>
      <c r="O529" s="46"/>
      <c r="P529" s="118"/>
      <c r="Q529" s="46"/>
      <c r="R529" s="46"/>
      <c r="S529" s="46"/>
      <c r="T529" s="46"/>
      <c r="U529" s="118"/>
      <c r="V529" s="46"/>
      <c r="W529" s="88" t="str">
        <f>IF(V529&lt;&gt;"",SUMIFS('📊 รายงานสินค้าคงเหลือ'!G:G,'📊 รายงานสินค้าคงเหลือ'!D:D,V529),"")</f>
        <v/>
      </c>
      <c r="X529" s="46"/>
      <c r="Y529" s="46"/>
      <c r="Z529" s="46"/>
    </row>
    <row r="530">
      <c r="A530" s="46"/>
      <c r="B530" s="16"/>
      <c r="C530" s="118"/>
      <c r="D530" s="126"/>
      <c r="E530" s="88"/>
      <c r="F530" s="118"/>
      <c r="G530" s="46"/>
      <c r="H530" s="46"/>
      <c r="I530" s="118"/>
      <c r="J530" s="46"/>
      <c r="K530" s="16" t="str">
        <f>IF(J530&lt;&gt;"",SUMIFS('💰 Transaction ขาย'!$F:$F,'💰 Transaction ขาย'!$K:$K,$J530,'💰 Transaction ขาย'!$J:$J,$B$1),"")</f>
        <v/>
      </c>
      <c r="L530" s="118"/>
      <c r="M530" s="46"/>
      <c r="N530" s="46"/>
      <c r="O530" s="46"/>
      <c r="P530" s="118"/>
      <c r="Q530" s="46"/>
      <c r="R530" s="46"/>
      <c r="S530" s="46"/>
      <c r="T530" s="46"/>
      <c r="U530" s="118"/>
      <c r="V530" s="46"/>
      <c r="W530" s="88" t="str">
        <f>IF(V530&lt;&gt;"",SUMIFS('📊 รายงานสินค้าคงเหลือ'!G:G,'📊 รายงานสินค้าคงเหลือ'!D:D,V530),"")</f>
        <v/>
      </c>
      <c r="X530" s="46"/>
      <c r="Y530" s="46"/>
      <c r="Z530" s="46"/>
    </row>
    <row r="531">
      <c r="A531" s="46"/>
      <c r="B531" s="16"/>
      <c r="C531" s="118"/>
      <c r="D531" s="126"/>
      <c r="E531" s="88"/>
      <c r="F531" s="118"/>
      <c r="G531" s="46"/>
      <c r="H531" s="46"/>
      <c r="I531" s="118"/>
      <c r="J531" s="46"/>
      <c r="K531" s="16" t="str">
        <f>IF(J531&lt;&gt;"",SUMIFS('💰 Transaction ขาย'!$F:$F,'💰 Transaction ขาย'!$K:$K,$J531,'💰 Transaction ขาย'!$J:$J,$B$1),"")</f>
        <v/>
      </c>
      <c r="L531" s="118"/>
      <c r="M531" s="46"/>
      <c r="N531" s="46"/>
      <c r="O531" s="46"/>
      <c r="P531" s="118"/>
      <c r="Q531" s="46"/>
      <c r="R531" s="46"/>
      <c r="S531" s="46"/>
      <c r="T531" s="46"/>
      <c r="U531" s="118"/>
      <c r="V531" s="46"/>
      <c r="W531" s="88" t="str">
        <f>IF(V531&lt;&gt;"",SUMIFS('📊 รายงานสินค้าคงเหลือ'!G:G,'📊 รายงานสินค้าคงเหลือ'!D:D,V531),"")</f>
        <v/>
      </c>
      <c r="X531" s="46"/>
      <c r="Y531" s="46"/>
      <c r="Z531" s="46"/>
    </row>
    <row r="532">
      <c r="A532" s="46"/>
      <c r="B532" s="16"/>
      <c r="C532" s="118"/>
      <c r="D532" s="126"/>
      <c r="E532" s="88"/>
      <c r="F532" s="118"/>
      <c r="G532" s="46"/>
      <c r="H532" s="46"/>
      <c r="I532" s="118"/>
      <c r="J532" s="46"/>
      <c r="K532" s="16" t="str">
        <f>IF(J532&lt;&gt;"",SUMIFS('💰 Transaction ขาย'!$F:$F,'💰 Transaction ขาย'!$K:$K,$J532,'💰 Transaction ขาย'!$J:$J,$B$1),"")</f>
        <v/>
      </c>
      <c r="L532" s="118"/>
      <c r="M532" s="46"/>
      <c r="N532" s="46"/>
      <c r="O532" s="46"/>
      <c r="P532" s="118"/>
      <c r="Q532" s="46"/>
      <c r="R532" s="46"/>
      <c r="S532" s="46"/>
      <c r="T532" s="46"/>
      <c r="U532" s="118"/>
      <c r="V532" s="46"/>
      <c r="W532" s="88" t="str">
        <f>IF(V532&lt;&gt;"",SUMIFS('📊 รายงานสินค้าคงเหลือ'!G:G,'📊 รายงานสินค้าคงเหลือ'!D:D,V532),"")</f>
        <v/>
      </c>
      <c r="X532" s="46"/>
      <c r="Y532" s="46"/>
      <c r="Z532" s="46"/>
    </row>
    <row r="533">
      <c r="A533" s="46"/>
      <c r="B533" s="16"/>
      <c r="C533" s="118"/>
      <c r="D533" s="126"/>
      <c r="E533" s="88"/>
      <c r="F533" s="118"/>
      <c r="G533" s="46"/>
      <c r="H533" s="46"/>
      <c r="I533" s="118"/>
      <c r="J533" s="46"/>
      <c r="K533" s="16" t="str">
        <f>IF(J533&lt;&gt;"",SUMIFS('💰 Transaction ขาย'!$F:$F,'💰 Transaction ขาย'!$K:$K,$J533,'💰 Transaction ขาย'!$J:$J,$B$1),"")</f>
        <v/>
      </c>
      <c r="L533" s="118"/>
      <c r="M533" s="46"/>
      <c r="N533" s="46"/>
      <c r="O533" s="46"/>
      <c r="P533" s="118"/>
      <c r="Q533" s="46"/>
      <c r="R533" s="46"/>
      <c r="S533" s="46"/>
      <c r="T533" s="46"/>
      <c r="U533" s="118"/>
      <c r="V533" s="46"/>
      <c r="W533" s="88" t="str">
        <f>IF(V533&lt;&gt;"",SUMIFS('📊 รายงานสินค้าคงเหลือ'!G:G,'📊 รายงานสินค้าคงเหลือ'!D:D,V533),"")</f>
        <v/>
      </c>
      <c r="X533" s="46"/>
      <c r="Y533" s="46"/>
      <c r="Z533" s="46"/>
    </row>
    <row r="534">
      <c r="A534" s="46"/>
      <c r="B534" s="16"/>
      <c r="C534" s="118"/>
      <c r="D534" s="126"/>
      <c r="E534" s="88"/>
      <c r="F534" s="118"/>
      <c r="G534" s="46"/>
      <c r="H534" s="46"/>
      <c r="I534" s="118"/>
      <c r="J534" s="46"/>
      <c r="K534" s="16" t="str">
        <f>IF(J534&lt;&gt;"",SUMIFS('💰 Transaction ขาย'!$F:$F,'💰 Transaction ขาย'!$K:$K,$J534,'💰 Transaction ขาย'!$J:$J,$B$1),"")</f>
        <v/>
      </c>
      <c r="L534" s="118"/>
      <c r="M534" s="46"/>
      <c r="N534" s="46"/>
      <c r="O534" s="46"/>
      <c r="P534" s="118"/>
      <c r="Q534" s="46"/>
      <c r="R534" s="46"/>
      <c r="S534" s="46"/>
      <c r="T534" s="46"/>
      <c r="U534" s="118"/>
      <c r="V534" s="46"/>
      <c r="W534" s="88" t="str">
        <f>IF(V534&lt;&gt;"",SUMIFS('📊 รายงานสินค้าคงเหลือ'!G:G,'📊 รายงานสินค้าคงเหลือ'!D:D,V534),"")</f>
        <v/>
      </c>
      <c r="X534" s="46"/>
      <c r="Y534" s="46"/>
      <c r="Z534" s="46"/>
    </row>
    <row r="535">
      <c r="A535" s="46"/>
      <c r="B535" s="16"/>
      <c r="C535" s="118"/>
      <c r="D535" s="126"/>
      <c r="E535" s="88"/>
      <c r="F535" s="118"/>
      <c r="G535" s="46"/>
      <c r="H535" s="46"/>
      <c r="I535" s="118"/>
      <c r="J535" s="46"/>
      <c r="K535" s="16" t="str">
        <f>IF(J535&lt;&gt;"",SUMIFS('💰 Transaction ขาย'!$F:$F,'💰 Transaction ขาย'!$K:$K,$J535,'💰 Transaction ขาย'!$J:$J,$B$1),"")</f>
        <v/>
      </c>
      <c r="L535" s="118"/>
      <c r="M535" s="46"/>
      <c r="N535" s="46"/>
      <c r="O535" s="46"/>
      <c r="P535" s="118"/>
      <c r="Q535" s="46"/>
      <c r="R535" s="46"/>
      <c r="S535" s="46"/>
      <c r="T535" s="46"/>
      <c r="U535" s="118"/>
      <c r="V535" s="46"/>
      <c r="W535" s="88" t="str">
        <f>IF(V535&lt;&gt;"",SUMIFS('📊 รายงานสินค้าคงเหลือ'!G:G,'📊 รายงานสินค้าคงเหลือ'!D:D,V535),"")</f>
        <v/>
      </c>
      <c r="X535" s="46"/>
      <c r="Y535" s="46"/>
      <c r="Z535" s="46"/>
    </row>
    <row r="536">
      <c r="A536" s="46"/>
      <c r="B536" s="16"/>
      <c r="C536" s="118"/>
      <c r="D536" s="126"/>
      <c r="E536" s="88"/>
      <c r="F536" s="118"/>
      <c r="G536" s="46"/>
      <c r="H536" s="46"/>
      <c r="I536" s="118"/>
      <c r="J536" s="46"/>
      <c r="K536" s="16" t="str">
        <f>IF(J536&lt;&gt;"",SUMIFS('💰 Transaction ขาย'!$F:$F,'💰 Transaction ขาย'!$K:$K,$J536,'💰 Transaction ขาย'!$J:$J,$B$1),"")</f>
        <v/>
      </c>
      <c r="L536" s="118"/>
      <c r="M536" s="46"/>
      <c r="N536" s="46"/>
      <c r="O536" s="46"/>
      <c r="P536" s="118"/>
      <c r="Q536" s="46"/>
      <c r="R536" s="46"/>
      <c r="S536" s="46"/>
      <c r="T536" s="46"/>
      <c r="U536" s="118"/>
      <c r="V536" s="46"/>
      <c r="W536" s="88" t="str">
        <f>IF(V536&lt;&gt;"",SUMIFS('📊 รายงานสินค้าคงเหลือ'!G:G,'📊 รายงานสินค้าคงเหลือ'!D:D,V536),"")</f>
        <v/>
      </c>
      <c r="X536" s="46"/>
      <c r="Y536" s="46"/>
      <c r="Z536" s="46"/>
    </row>
    <row r="537">
      <c r="A537" s="46"/>
      <c r="B537" s="16"/>
      <c r="C537" s="118"/>
      <c r="D537" s="126"/>
      <c r="E537" s="88"/>
      <c r="F537" s="118"/>
      <c r="G537" s="46"/>
      <c r="H537" s="46"/>
      <c r="I537" s="118"/>
      <c r="J537" s="46"/>
      <c r="K537" s="16" t="str">
        <f>IF(J537&lt;&gt;"",SUMIFS('💰 Transaction ขาย'!$F:$F,'💰 Transaction ขาย'!$K:$K,$J537,'💰 Transaction ขาย'!$J:$J,$B$1),"")</f>
        <v/>
      </c>
      <c r="L537" s="118"/>
      <c r="M537" s="46"/>
      <c r="N537" s="46"/>
      <c r="O537" s="46"/>
      <c r="P537" s="118"/>
      <c r="Q537" s="46"/>
      <c r="R537" s="46"/>
      <c r="S537" s="46"/>
      <c r="T537" s="46"/>
      <c r="U537" s="118"/>
      <c r="V537" s="46"/>
      <c r="W537" s="88" t="str">
        <f>IF(V537&lt;&gt;"",SUMIFS('📊 รายงานสินค้าคงเหลือ'!G:G,'📊 รายงานสินค้าคงเหลือ'!D:D,V537),"")</f>
        <v/>
      </c>
      <c r="X537" s="46"/>
      <c r="Y537" s="46"/>
      <c r="Z537" s="46"/>
    </row>
    <row r="538">
      <c r="A538" s="46"/>
      <c r="B538" s="16"/>
      <c r="C538" s="118"/>
      <c r="D538" s="126"/>
      <c r="E538" s="88"/>
      <c r="F538" s="118"/>
      <c r="G538" s="46"/>
      <c r="H538" s="46"/>
      <c r="I538" s="118"/>
      <c r="J538" s="46"/>
      <c r="K538" s="16" t="str">
        <f>IF(J538&lt;&gt;"",SUMIFS('💰 Transaction ขาย'!$F:$F,'💰 Transaction ขาย'!$K:$K,$J538,'💰 Transaction ขาย'!$J:$J,$B$1),"")</f>
        <v/>
      </c>
      <c r="L538" s="118"/>
      <c r="M538" s="46"/>
      <c r="N538" s="46"/>
      <c r="O538" s="46"/>
      <c r="P538" s="118"/>
      <c r="Q538" s="46"/>
      <c r="R538" s="46"/>
      <c r="S538" s="46"/>
      <c r="T538" s="46"/>
      <c r="U538" s="118"/>
      <c r="V538" s="46"/>
      <c r="W538" s="88" t="str">
        <f>IF(V538&lt;&gt;"",SUMIFS('📊 รายงานสินค้าคงเหลือ'!G:G,'📊 รายงานสินค้าคงเหลือ'!D:D,V538),"")</f>
        <v/>
      </c>
      <c r="X538" s="46"/>
      <c r="Y538" s="46"/>
      <c r="Z538" s="46"/>
    </row>
    <row r="539">
      <c r="A539" s="46"/>
      <c r="B539" s="16"/>
      <c r="C539" s="118"/>
      <c r="D539" s="126"/>
      <c r="E539" s="88"/>
      <c r="F539" s="118"/>
      <c r="G539" s="46"/>
      <c r="H539" s="46"/>
      <c r="I539" s="118"/>
      <c r="J539" s="46"/>
      <c r="K539" s="16" t="str">
        <f>IF(J539&lt;&gt;"",SUMIFS('💰 Transaction ขาย'!$F:$F,'💰 Transaction ขาย'!$K:$K,$J539,'💰 Transaction ขาย'!$J:$J,$B$1),"")</f>
        <v/>
      </c>
      <c r="L539" s="118"/>
      <c r="M539" s="46"/>
      <c r="N539" s="46"/>
      <c r="O539" s="46"/>
      <c r="P539" s="118"/>
      <c r="Q539" s="46"/>
      <c r="R539" s="46"/>
      <c r="S539" s="46"/>
      <c r="T539" s="46"/>
      <c r="U539" s="118"/>
      <c r="V539" s="46"/>
      <c r="W539" s="88" t="str">
        <f>IF(V539&lt;&gt;"",SUMIFS('📊 รายงานสินค้าคงเหลือ'!G:G,'📊 รายงานสินค้าคงเหลือ'!D:D,V539),"")</f>
        <v/>
      </c>
      <c r="X539" s="46"/>
      <c r="Y539" s="46"/>
      <c r="Z539" s="46"/>
    </row>
    <row r="540">
      <c r="A540" s="46"/>
      <c r="B540" s="16"/>
      <c r="C540" s="118"/>
      <c r="D540" s="126"/>
      <c r="E540" s="88"/>
      <c r="F540" s="118"/>
      <c r="G540" s="46"/>
      <c r="H540" s="46"/>
      <c r="I540" s="118"/>
      <c r="J540" s="46"/>
      <c r="K540" s="16" t="str">
        <f>IF(J540&lt;&gt;"",SUMIFS('💰 Transaction ขาย'!$F:$F,'💰 Transaction ขาย'!$K:$K,$J540,'💰 Transaction ขาย'!$J:$J,$B$1),"")</f>
        <v/>
      </c>
      <c r="L540" s="118"/>
      <c r="M540" s="46"/>
      <c r="N540" s="46"/>
      <c r="O540" s="46"/>
      <c r="P540" s="118"/>
      <c r="Q540" s="46"/>
      <c r="R540" s="46"/>
      <c r="S540" s="46"/>
      <c r="T540" s="46"/>
      <c r="U540" s="118"/>
      <c r="V540" s="46"/>
      <c r="W540" s="88" t="str">
        <f>IF(V540&lt;&gt;"",SUMIFS('📊 รายงานสินค้าคงเหลือ'!G:G,'📊 รายงานสินค้าคงเหลือ'!D:D,V540),"")</f>
        <v/>
      </c>
      <c r="X540" s="46"/>
      <c r="Y540" s="46"/>
      <c r="Z540" s="46"/>
    </row>
    <row r="541">
      <c r="A541" s="46"/>
      <c r="B541" s="16"/>
      <c r="C541" s="118"/>
      <c r="D541" s="126"/>
      <c r="E541" s="88"/>
      <c r="F541" s="118"/>
      <c r="G541" s="46"/>
      <c r="H541" s="46"/>
      <c r="I541" s="118"/>
      <c r="J541" s="46"/>
      <c r="K541" s="16" t="str">
        <f>IF(J541&lt;&gt;"",SUMIFS('💰 Transaction ขาย'!$F:$F,'💰 Transaction ขาย'!$K:$K,$J541,'💰 Transaction ขาย'!$J:$J,$B$1),"")</f>
        <v/>
      </c>
      <c r="L541" s="118"/>
      <c r="M541" s="46"/>
      <c r="N541" s="46"/>
      <c r="O541" s="46"/>
      <c r="P541" s="118"/>
      <c r="Q541" s="46"/>
      <c r="R541" s="46"/>
      <c r="S541" s="46"/>
      <c r="T541" s="46"/>
      <c r="U541" s="118"/>
      <c r="V541" s="46"/>
      <c r="W541" s="88" t="str">
        <f>IF(V541&lt;&gt;"",SUMIFS('📊 รายงานสินค้าคงเหลือ'!G:G,'📊 รายงานสินค้าคงเหลือ'!D:D,V541),"")</f>
        <v/>
      </c>
      <c r="X541" s="46"/>
      <c r="Y541" s="46"/>
      <c r="Z541" s="46"/>
    </row>
    <row r="542">
      <c r="A542" s="46"/>
      <c r="B542" s="16"/>
      <c r="C542" s="118"/>
      <c r="D542" s="126"/>
      <c r="E542" s="88"/>
      <c r="F542" s="118"/>
      <c r="G542" s="46"/>
      <c r="H542" s="46"/>
      <c r="I542" s="118"/>
      <c r="J542" s="46"/>
      <c r="K542" s="16" t="str">
        <f>IF(J542&lt;&gt;"",SUMIFS('💰 Transaction ขาย'!$F:$F,'💰 Transaction ขาย'!$K:$K,$J542,'💰 Transaction ขาย'!$J:$J,$B$1),"")</f>
        <v/>
      </c>
      <c r="L542" s="118"/>
      <c r="M542" s="46"/>
      <c r="N542" s="46"/>
      <c r="O542" s="46"/>
      <c r="P542" s="118"/>
      <c r="Q542" s="46"/>
      <c r="R542" s="46"/>
      <c r="S542" s="46"/>
      <c r="T542" s="46"/>
      <c r="U542" s="118"/>
      <c r="V542" s="46"/>
      <c r="W542" s="88" t="str">
        <f>IF(V542&lt;&gt;"",SUMIFS('📊 รายงานสินค้าคงเหลือ'!G:G,'📊 รายงานสินค้าคงเหลือ'!D:D,V542),"")</f>
        <v/>
      </c>
      <c r="X542" s="46"/>
      <c r="Y542" s="46"/>
      <c r="Z542" s="46"/>
    </row>
    <row r="543">
      <c r="A543" s="46"/>
      <c r="B543" s="16"/>
      <c r="C543" s="118"/>
      <c r="D543" s="126"/>
      <c r="E543" s="88"/>
      <c r="F543" s="118"/>
      <c r="G543" s="46"/>
      <c r="H543" s="46"/>
      <c r="I543" s="118"/>
      <c r="J543" s="46"/>
      <c r="K543" s="16" t="str">
        <f>IF(J543&lt;&gt;"",SUMIFS('💰 Transaction ขาย'!$F:$F,'💰 Transaction ขาย'!$K:$K,$J543,'💰 Transaction ขาย'!$J:$J,$B$1),"")</f>
        <v/>
      </c>
      <c r="L543" s="118"/>
      <c r="M543" s="46"/>
      <c r="N543" s="46"/>
      <c r="O543" s="46"/>
      <c r="P543" s="118"/>
      <c r="Q543" s="46"/>
      <c r="R543" s="46"/>
      <c r="S543" s="46"/>
      <c r="T543" s="46"/>
      <c r="U543" s="118"/>
      <c r="V543" s="46"/>
      <c r="W543" s="88" t="str">
        <f>IF(V543&lt;&gt;"",SUMIFS('📊 รายงานสินค้าคงเหลือ'!G:G,'📊 รายงานสินค้าคงเหลือ'!D:D,V543),"")</f>
        <v/>
      </c>
      <c r="X543" s="46"/>
      <c r="Y543" s="46"/>
      <c r="Z543" s="46"/>
    </row>
    <row r="544">
      <c r="A544" s="46"/>
      <c r="B544" s="16"/>
      <c r="C544" s="118"/>
      <c r="D544" s="126"/>
      <c r="E544" s="88"/>
      <c r="F544" s="118"/>
      <c r="G544" s="46"/>
      <c r="H544" s="46"/>
      <c r="I544" s="118"/>
      <c r="J544" s="46"/>
      <c r="K544" s="16" t="str">
        <f>IF(J544&lt;&gt;"",SUMIFS('💰 Transaction ขาย'!$F:$F,'💰 Transaction ขาย'!$K:$K,$J544,'💰 Transaction ขาย'!$J:$J,$B$1),"")</f>
        <v/>
      </c>
      <c r="L544" s="118"/>
      <c r="M544" s="46"/>
      <c r="N544" s="46"/>
      <c r="O544" s="46"/>
      <c r="P544" s="118"/>
      <c r="Q544" s="46"/>
      <c r="R544" s="46"/>
      <c r="S544" s="46"/>
      <c r="T544" s="46"/>
      <c r="U544" s="118"/>
      <c r="V544" s="46"/>
      <c r="W544" s="88" t="str">
        <f>IF(V544&lt;&gt;"",SUMIFS('📊 รายงานสินค้าคงเหลือ'!G:G,'📊 รายงานสินค้าคงเหลือ'!D:D,V544),"")</f>
        <v/>
      </c>
      <c r="X544" s="46"/>
      <c r="Y544" s="46"/>
      <c r="Z544" s="46"/>
    </row>
    <row r="545">
      <c r="A545" s="46"/>
      <c r="B545" s="16"/>
      <c r="C545" s="118"/>
      <c r="D545" s="126"/>
      <c r="E545" s="88"/>
      <c r="F545" s="118"/>
      <c r="G545" s="46"/>
      <c r="H545" s="46"/>
      <c r="I545" s="118"/>
      <c r="J545" s="46"/>
      <c r="K545" s="16" t="str">
        <f>IF(J545&lt;&gt;"",SUMIFS('💰 Transaction ขาย'!$F:$F,'💰 Transaction ขาย'!$K:$K,$J545,'💰 Transaction ขาย'!$J:$J,$B$1),"")</f>
        <v/>
      </c>
      <c r="L545" s="118"/>
      <c r="M545" s="46"/>
      <c r="N545" s="46"/>
      <c r="O545" s="46"/>
      <c r="P545" s="118"/>
      <c r="Q545" s="46"/>
      <c r="R545" s="46"/>
      <c r="S545" s="46"/>
      <c r="T545" s="46"/>
      <c r="U545" s="118"/>
      <c r="V545" s="46"/>
      <c r="W545" s="88" t="str">
        <f>IF(V545&lt;&gt;"",SUMIFS('📊 รายงานสินค้าคงเหลือ'!G:G,'📊 รายงานสินค้าคงเหลือ'!D:D,V545),"")</f>
        <v/>
      </c>
      <c r="X545" s="46"/>
      <c r="Y545" s="46"/>
      <c r="Z545" s="46"/>
    </row>
    <row r="546">
      <c r="A546" s="46"/>
      <c r="B546" s="16"/>
      <c r="C546" s="118"/>
      <c r="D546" s="126"/>
      <c r="E546" s="88"/>
      <c r="F546" s="118"/>
      <c r="G546" s="46"/>
      <c r="H546" s="46"/>
      <c r="I546" s="118"/>
      <c r="J546" s="46"/>
      <c r="K546" s="16" t="str">
        <f>IF(J546&lt;&gt;"",SUMIFS('💰 Transaction ขาย'!$F:$F,'💰 Transaction ขาย'!$K:$K,$J546,'💰 Transaction ขาย'!$J:$J,$B$1),"")</f>
        <v/>
      </c>
      <c r="L546" s="118"/>
      <c r="M546" s="46"/>
      <c r="N546" s="46"/>
      <c r="O546" s="46"/>
      <c r="P546" s="118"/>
      <c r="Q546" s="46"/>
      <c r="R546" s="46"/>
      <c r="S546" s="46"/>
      <c r="T546" s="46"/>
      <c r="U546" s="118"/>
      <c r="V546" s="46"/>
      <c r="W546" s="88" t="str">
        <f>IF(V546&lt;&gt;"",SUMIFS('📊 รายงานสินค้าคงเหลือ'!G:G,'📊 รายงานสินค้าคงเหลือ'!D:D,V546),"")</f>
        <v/>
      </c>
      <c r="X546" s="46"/>
      <c r="Y546" s="46"/>
      <c r="Z546" s="46"/>
    </row>
    <row r="547">
      <c r="A547" s="46"/>
      <c r="B547" s="16"/>
      <c r="C547" s="118"/>
      <c r="D547" s="126"/>
      <c r="E547" s="88"/>
      <c r="F547" s="118"/>
      <c r="G547" s="46"/>
      <c r="H547" s="46"/>
      <c r="I547" s="118"/>
      <c r="J547" s="46"/>
      <c r="K547" s="16" t="str">
        <f>IF(J547&lt;&gt;"",SUMIFS('💰 Transaction ขาย'!$F:$F,'💰 Transaction ขาย'!$K:$K,$J547,'💰 Transaction ขาย'!$J:$J,$B$1),"")</f>
        <v/>
      </c>
      <c r="L547" s="118"/>
      <c r="M547" s="46"/>
      <c r="N547" s="46"/>
      <c r="O547" s="46"/>
      <c r="P547" s="118"/>
      <c r="Q547" s="46"/>
      <c r="R547" s="46"/>
      <c r="S547" s="46"/>
      <c r="T547" s="46"/>
      <c r="U547" s="118"/>
      <c r="V547" s="46"/>
      <c r="W547" s="88" t="str">
        <f>IF(V547&lt;&gt;"",SUMIFS('📊 รายงานสินค้าคงเหลือ'!G:G,'📊 รายงานสินค้าคงเหลือ'!D:D,V547),"")</f>
        <v/>
      </c>
      <c r="X547" s="46"/>
      <c r="Y547" s="46"/>
      <c r="Z547" s="46"/>
    </row>
    <row r="548">
      <c r="A548" s="46"/>
      <c r="B548" s="16"/>
      <c r="C548" s="118"/>
      <c r="D548" s="126"/>
      <c r="E548" s="88"/>
      <c r="F548" s="118"/>
      <c r="G548" s="46"/>
      <c r="H548" s="46"/>
      <c r="I548" s="118"/>
      <c r="J548" s="46"/>
      <c r="K548" s="16" t="str">
        <f>IF(J548&lt;&gt;"",SUMIFS('💰 Transaction ขาย'!$F:$F,'💰 Transaction ขาย'!$K:$K,$J548,'💰 Transaction ขาย'!$J:$J,$B$1),"")</f>
        <v/>
      </c>
      <c r="L548" s="118"/>
      <c r="M548" s="46"/>
      <c r="N548" s="46"/>
      <c r="O548" s="46"/>
      <c r="P548" s="118"/>
      <c r="Q548" s="46"/>
      <c r="R548" s="46"/>
      <c r="S548" s="46"/>
      <c r="T548" s="46"/>
      <c r="U548" s="118"/>
      <c r="V548" s="46"/>
      <c r="W548" s="88" t="str">
        <f>IF(V548&lt;&gt;"",SUMIFS('📊 รายงานสินค้าคงเหลือ'!G:G,'📊 รายงานสินค้าคงเหลือ'!D:D,V548),"")</f>
        <v/>
      </c>
      <c r="X548" s="46"/>
      <c r="Y548" s="46"/>
      <c r="Z548" s="46"/>
    </row>
    <row r="549">
      <c r="A549" s="46"/>
      <c r="B549" s="16"/>
      <c r="C549" s="118"/>
      <c r="D549" s="126"/>
      <c r="E549" s="88"/>
      <c r="F549" s="118"/>
      <c r="G549" s="46"/>
      <c r="H549" s="46"/>
      <c r="I549" s="118"/>
      <c r="J549" s="46"/>
      <c r="K549" s="16" t="str">
        <f>IF(J549&lt;&gt;"",SUMIFS('💰 Transaction ขาย'!$F:$F,'💰 Transaction ขาย'!$K:$K,$J549,'💰 Transaction ขาย'!$J:$J,$B$1),"")</f>
        <v/>
      </c>
      <c r="L549" s="118"/>
      <c r="M549" s="46"/>
      <c r="N549" s="46"/>
      <c r="O549" s="46"/>
      <c r="P549" s="118"/>
      <c r="Q549" s="46"/>
      <c r="R549" s="46"/>
      <c r="S549" s="46"/>
      <c r="T549" s="46"/>
      <c r="U549" s="118"/>
      <c r="V549" s="46"/>
      <c r="W549" s="88" t="str">
        <f>IF(V549&lt;&gt;"",SUMIFS('📊 รายงานสินค้าคงเหลือ'!G:G,'📊 รายงานสินค้าคงเหลือ'!D:D,V549),"")</f>
        <v/>
      </c>
      <c r="X549" s="46"/>
      <c r="Y549" s="46"/>
      <c r="Z549" s="46"/>
    </row>
    <row r="550">
      <c r="A550" s="46"/>
      <c r="B550" s="16"/>
      <c r="C550" s="118"/>
      <c r="D550" s="126"/>
      <c r="E550" s="88"/>
      <c r="F550" s="118"/>
      <c r="G550" s="46"/>
      <c r="H550" s="46"/>
      <c r="I550" s="118"/>
      <c r="J550" s="46"/>
      <c r="K550" s="16" t="str">
        <f>IF(J550&lt;&gt;"",SUMIFS('💰 Transaction ขาย'!$F:$F,'💰 Transaction ขาย'!$K:$K,$J550,'💰 Transaction ขาย'!$J:$J,$B$1),"")</f>
        <v/>
      </c>
      <c r="L550" s="118"/>
      <c r="M550" s="46"/>
      <c r="N550" s="46"/>
      <c r="O550" s="46"/>
      <c r="P550" s="118"/>
      <c r="Q550" s="46"/>
      <c r="R550" s="46"/>
      <c r="S550" s="46"/>
      <c r="T550" s="46"/>
      <c r="U550" s="118"/>
      <c r="V550" s="46"/>
      <c r="W550" s="88" t="str">
        <f>IF(V550&lt;&gt;"",SUMIFS('📊 รายงานสินค้าคงเหลือ'!G:G,'📊 รายงานสินค้าคงเหลือ'!D:D,V550),"")</f>
        <v/>
      </c>
      <c r="X550" s="46"/>
      <c r="Y550" s="46"/>
      <c r="Z550" s="46"/>
    </row>
    <row r="551">
      <c r="A551" s="46"/>
      <c r="B551" s="16"/>
      <c r="C551" s="118"/>
      <c r="D551" s="126"/>
      <c r="E551" s="88"/>
      <c r="F551" s="118"/>
      <c r="G551" s="46"/>
      <c r="H551" s="46"/>
      <c r="I551" s="118"/>
      <c r="J551" s="46"/>
      <c r="K551" s="16" t="str">
        <f>IF(J551&lt;&gt;"",SUMIFS('💰 Transaction ขาย'!$F:$F,'💰 Transaction ขาย'!$K:$K,$J551,'💰 Transaction ขาย'!$J:$J,$B$1),"")</f>
        <v/>
      </c>
      <c r="L551" s="118"/>
      <c r="M551" s="46"/>
      <c r="N551" s="46"/>
      <c r="O551" s="46"/>
      <c r="P551" s="118"/>
      <c r="Q551" s="46"/>
      <c r="R551" s="46"/>
      <c r="S551" s="46"/>
      <c r="T551" s="46"/>
      <c r="U551" s="118"/>
      <c r="V551" s="46"/>
      <c r="W551" s="88" t="str">
        <f>IF(V551&lt;&gt;"",SUMIFS('📊 รายงานสินค้าคงเหลือ'!G:G,'📊 รายงานสินค้าคงเหลือ'!D:D,V551),"")</f>
        <v/>
      </c>
      <c r="X551" s="46"/>
      <c r="Y551" s="46"/>
      <c r="Z551" s="46"/>
    </row>
    <row r="552">
      <c r="A552" s="46"/>
      <c r="B552" s="16"/>
      <c r="C552" s="118"/>
      <c r="D552" s="126"/>
      <c r="E552" s="88"/>
      <c r="F552" s="118"/>
      <c r="G552" s="46"/>
      <c r="H552" s="46"/>
      <c r="I552" s="118"/>
      <c r="J552" s="46"/>
      <c r="K552" s="16" t="str">
        <f>IF(J552&lt;&gt;"",SUMIFS('💰 Transaction ขาย'!$F:$F,'💰 Transaction ขาย'!$K:$K,$J552,'💰 Transaction ขาย'!$J:$J,$B$1),"")</f>
        <v/>
      </c>
      <c r="L552" s="118"/>
      <c r="M552" s="46"/>
      <c r="N552" s="46"/>
      <c r="O552" s="46"/>
      <c r="P552" s="118"/>
      <c r="Q552" s="46"/>
      <c r="R552" s="46"/>
      <c r="S552" s="46"/>
      <c r="T552" s="46"/>
      <c r="U552" s="118"/>
      <c r="V552" s="46"/>
      <c r="W552" s="88" t="str">
        <f>IF(V552&lt;&gt;"",SUMIFS('📊 รายงานสินค้าคงเหลือ'!G:G,'📊 รายงานสินค้าคงเหลือ'!D:D,V552),"")</f>
        <v/>
      </c>
      <c r="X552" s="46"/>
      <c r="Y552" s="46"/>
      <c r="Z552" s="46"/>
    </row>
    <row r="553">
      <c r="A553" s="46"/>
      <c r="B553" s="16"/>
      <c r="C553" s="118"/>
      <c r="D553" s="126"/>
      <c r="E553" s="88"/>
      <c r="F553" s="118"/>
      <c r="G553" s="46"/>
      <c r="H553" s="46"/>
      <c r="I553" s="118"/>
      <c r="J553" s="46"/>
      <c r="K553" s="16" t="str">
        <f>IF(J553&lt;&gt;"",SUMIFS('💰 Transaction ขาย'!$F:$F,'💰 Transaction ขาย'!$K:$K,$J553,'💰 Transaction ขาย'!$J:$J,$B$1),"")</f>
        <v/>
      </c>
      <c r="L553" s="118"/>
      <c r="M553" s="46"/>
      <c r="N553" s="46"/>
      <c r="O553" s="46"/>
      <c r="P553" s="118"/>
      <c r="Q553" s="46"/>
      <c r="R553" s="46"/>
      <c r="S553" s="46"/>
      <c r="T553" s="46"/>
      <c r="U553" s="118"/>
      <c r="V553" s="46"/>
      <c r="W553" s="88" t="str">
        <f>IF(V553&lt;&gt;"",SUMIFS('📊 รายงานสินค้าคงเหลือ'!G:G,'📊 รายงานสินค้าคงเหลือ'!D:D,V553),"")</f>
        <v/>
      </c>
      <c r="X553" s="46"/>
      <c r="Y553" s="46"/>
      <c r="Z553" s="46"/>
    </row>
    <row r="554">
      <c r="A554" s="46"/>
      <c r="B554" s="16"/>
      <c r="C554" s="118"/>
      <c r="D554" s="126"/>
      <c r="E554" s="88"/>
      <c r="F554" s="118"/>
      <c r="G554" s="46"/>
      <c r="H554" s="46"/>
      <c r="I554" s="118"/>
      <c r="J554" s="46"/>
      <c r="K554" s="16" t="str">
        <f>IF(J554&lt;&gt;"",SUMIFS('💰 Transaction ขาย'!$F:$F,'💰 Transaction ขาย'!$K:$K,$J554,'💰 Transaction ขาย'!$J:$J,$B$1),"")</f>
        <v/>
      </c>
      <c r="L554" s="118"/>
      <c r="M554" s="46"/>
      <c r="N554" s="46"/>
      <c r="O554" s="46"/>
      <c r="P554" s="118"/>
      <c r="Q554" s="46"/>
      <c r="R554" s="46"/>
      <c r="S554" s="46"/>
      <c r="T554" s="46"/>
      <c r="U554" s="118"/>
      <c r="V554" s="46"/>
      <c r="W554" s="88" t="str">
        <f>IF(V554&lt;&gt;"",SUMIFS('📊 รายงานสินค้าคงเหลือ'!G:G,'📊 รายงานสินค้าคงเหลือ'!D:D,V554),"")</f>
        <v/>
      </c>
      <c r="X554" s="46"/>
      <c r="Y554" s="46"/>
      <c r="Z554" s="46"/>
    </row>
    <row r="555">
      <c r="A555" s="46"/>
      <c r="B555" s="16"/>
      <c r="C555" s="118"/>
      <c r="D555" s="126"/>
      <c r="E555" s="88"/>
      <c r="F555" s="118"/>
      <c r="G555" s="46"/>
      <c r="H555" s="46"/>
      <c r="I555" s="118"/>
      <c r="J555" s="46"/>
      <c r="K555" s="16" t="str">
        <f>IF(J555&lt;&gt;"",SUMIFS('💰 Transaction ขาย'!$F:$F,'💰 Transaction ขาย'!$K:$K,$J555,'💰 Transaction ขาย'!$J:$J,$B$1),"")</f>
        <v/>
      </c>
      <c r="L555" s="118"/>
      <c r="M555" s="46"/>
      <c r="N555" s="46"/>
      <c r="O555" s="46"/>
      <c r="P555" s="118"/>
      <c r="Q555" s="46"/>
      <c r="R555" s="46"/>
      <c r="S555" s="46"/>
      <c r="T555" s="46"/>
      <c r="U555" s="118"/>
      <c r="V555" s="46"/>
      <c r="W555" s="88" t="str">
        <f>IF(V555&lt;&gt;"",SUMIFS('📊 รายงานสินค้าคงเหลือ'!G:G,'📊 รายงานสินค้าคงเหลือ'!D:D,V555),"")</f>
        <v/>
      </c>
      <c r="X555" s="46"/>
      <c r="Y555" s="46"/>
      <c r="Z555" s="46"/>
    </row>
    <row r="556">
      <c r="A556" s="46"/>
      <c r="B556" s="16"/>
      <c r="C556" s="118"/>
      <c r="D556" s="126"/>
      <c r="E556" s="88"/>
      <c r="F556" s="118"/>
      <c r="G556" s="46"/>
      <c r="H556" s="46"/>
      <c r="I556" s="118"/>
      <c r="J556" s="46"/>
      <c r="K556" s="16" t="str">
        <f>IF(J556&lt;&gt;"",SUMIFS('💰 Transaction ขาย'!$F:$F,'💰 Transaction ขาย'!$K:$K,$J556,'💰 Transaction ขาย'!$J:$J,$B$1),"")</f>
        <v/>
      </c>
      <c r="L556" s="118"/>
      <c r="M556" s="46"/>
      <c r="N556" s="46"/>
      <c r="O556" s="46"/>
      <c r="P556" s="118"/>
      <c r="Q556" s="46"/>
      <c r="R556" s="46"/>
      <c r="S556" s="46"/>
      <c r="T556" s="46"/>
      <c r="U556" s="118"/>
      <c r="V556" s="46"/>
      <c r="W556" s="88" t="str">
        <f>IF(V556&lt;&gt;"",SUMIFS('📊 รายงานสินค้าคงเหลือ'!G:G,'📊 รายงานสินค้าคงเหลือ'!D:D,V556),"")</f>
        <v/>
      </c>
      <c r="X556" s="46"/>
      <c r="Y556" s="46"/>
      <c r="Z556" s="46"/>
    </row>
    <row r="557">
      <c r="A557" s="46"/>
      <c r="B557" s="16"/>
      <c r="C557" s="118"/>
      <c r="D557" s="126"/>
      <c r="E557" s="88"/>
      <c r="F557" s="118"/>
      <c r="G557" s="46"/>
      <c r="H557" s="46"/>
      <c r="I557" s="118"/>
      <c r="J557" s="46"/>
      <c r="K557" s="16" t="str">
        <f>IF(J557&lt;&gt;"",SUMIFS('💰 Transaction ขาย'!$F:$F,'💰 Transaction ขาย'!$K:$K,$J557,'💰 Transaction ขาย'!$J:$J,$B$1),"")</f>
        <v/>
      </c>
      <c r="L557" s="118"/>
      <c r="M557" s="46"/>
      <c r="N557" s="46"/>
      <c r="O557" s="46"/>
      <c r="P557" s="118"/>
      <c r="Q557" s="46"/>
      <c r="R557" s="46"/>
      <c r="S557" s="46"/>
      <c r="T557" s="46"/>
      <c r="U557" s="118"/>
      <c r="V557" s="46"/>
      <c r="W557" s="88" t="str">
        <f>IF(V557&lt;&gt;"",SUMIFS('📊 รายงานสินค้าคงเหลือ'!G:G,'📊 รายงานสินค้าคงเหลือ'!D:D,V557),"")</f>
        <v/>
      </c>
      <c r="X557" s="46"/>
      <c r="Y557" s="46"/>
      <c r="Z557" s="46"/>
    </row>
    <row r="558">
      <c r="A558" s="46"/>
      <c r="B558" s="16"/>
      <c r="C558" s="118"/>
      <c r="D558" s="126"/>
      <c r="E558" s="88"/>
      <c r="F558" s="118"/>
      <c r="G558" s="46"/>
      <c r="H558" s="46"/>
      <c r="I558" s="118"/>
      <c r="J558" s="46"/>
      <c r="K558" s="16" t="str">
        <f>IF(J558&lt;&gt;"",SUMIFS('💰 Transaction ขาย'!$F:$F,'💰 Transaction ขาย'!$K:$K,$J558,'💰 Transaction ขาย'!$J:$J,$B$1),"")</f>
        <v/>
      </c>
      <c r="L558" s="118"/>
      <c r="M558" s="46"/>
      <c r="N558" s="46"/>
      <c r="O558" s="46"/>
      <c r="P558" s="118"/>
      <c r="Q558" s="46"/>
      <c r="R558" s="46"/>
      <c r="S558" s="46"/>
      <c r="T558" s="46"/>
      <c r="U558" s="118"/>
      <c r="V558" s="46"/>
      <c r="W558" s="88" t="str">
        <f>IF(V558&lt;&gt;"",SUMIFS('📊 รายงานสินค้าคงเหลือ'!G:G,'📊 รายงานสินค้าคงเหลือ'!D:D,V558),"")</f>
        <v/>
      </c>
      <c r="X558" s="46"/>
      <c r="Y558" s="46"/>
      <c r="Z558" s="46"/>
    </row>
    <row r="559">
      <c r="A559" s="46"/>
      <c r="B559" s="16"/>
      <c r="C559" s="118"/>
      <c r="D559" s="126"/>
      <c r="E559" s="88"/>
      <c r="F559" s="118"/>
      <c r="G559" s="46"/>
      <c r="H559" s="46"/>
      <c r="I559" s="118"/>
      <c r="J559" s="46"/>
      <c r="K559" s="16" t="str">
        <f>IF(J559&lt;&gt;"",SUMIFS('💰 Transaction ขาย'!$F:$F,'💰 Transaction ขาย'!$K:$K,$J559,'💰 Transaction ขาย'!$J:$J,$B$1),"")</f>
        <v/>
      </c>
      <c r="L559" s="118"/>
      <c r="M559" s="46"/>
      <c r="N559" s="46"/>
      <c r="O559" s="46"/>
      <c r="P559" s="118"/>
      <c r="Q559" s="46"/>
      <c r="R559" s="46"/>
      <c r="S559" s="46"/>
      <c r="T559" s="46"/>
      <c r="U559" s="118"/>
      <c r="V559" s="46"/>
      <c r="W559" s="88" t="str">
        <f>IF(V559&lt;&gt;"",SUMIFS('📊 รายงานสินค้าคงเหลือ'!G:G,'📊 รายงานสินค้าคงเหลือ'!D:D,V559),"")</f>
        <v/>
      </c>
      <c r="X559" s="46"/>
      <c r="Y559" s="46"/>
      <c r="Z559" s="46"/>
    </row>
    <row r="560">
      <c r="A560" s="46"/>
      <c r="B560" s="16"/>
      <c r="C560" s="118"/>
      <c r="D560" s="126"/>
      <c r="E560" s="88"/>
      <c r="F560" s="118"/>
      <c r="G560" s="46"/>
      <c r="H560" s="46"/>
      <c r="I560" s="118"/>
      <c r="J560" s="46"/>
      <c r="K560" s="16" t="str">
        <f>IF(J560&lt;&gt;"",SUMIFS('💰 Transaction ขาย'!$F:$F,'💰 Transaction ขาย'!$K:$K,$J560,'💰 Transaction ขาย'!$J:$J,$B$1),"")</f>
        <v/>
      </c>
      <c r="L560" s="118"/>
      <c r="M560" s="46"/>
      <c r="N560" s="46"/>
      <c r="O560" s="46"/>
      <c r="P560" s="118"/>
      <c r="Q560" s="46"/>
      <c r="R560" s="46"/>
      <c r="S560" s="46"/>
      <c r="T560" s="46"/>
      <c r="U560" s="118"/>
      <c r="V560" s="46"/>
      <c r="W560" s="88" t="str">
        <f>IF(V560&lt;&gt;"",SUMIFS('📊 รายงานสินค้าคงเหลือ'!G:G,'📊 รายงานสินค้าคงเหลือ'!D:D,V560),"")</f>
        <v/>
      </c>
      <c r="X560" s="46"/>
      <c r="Y560" s="46"/>
      <c r="Z560" s="46"/>
    </row>
    <row r="561">
      <c r="A561" s="46"/>
      <c r="B561" s="16"/>
      <c r="C561" s="118"/>
      <c r="D561" s="126"/>
      <c r="E561" s="88"/>
      <c r="F561" s="118"/>
      <c r="G561" s="46"/>
      <c r="H561" s="46"/>
      <c r="I561" s="118"/>
      <c r="J561" s="46"/>
      <c r="K561" s="16" t="str">
        <f>IF(J561&lt;&gt;"",SUMIFS('💰 Transaction ขาย'!$F:$F,'💰 Transaction ขาย'!$K:$K,$J561,'💰 Transaction ขาย'!$J:$J,$B$1),"")</f>
        <v/>
      </c>
      <c r="L561" s="118"/>
      <c r="M561" s="46"/>
      <c r="N561" s="46"/>
      <c r="O561" s="46"/>
      <c r="P561" s="118"/>
      <c r="Q561" s="46"/>
      <c r="R561" s="46"/>
      <c r="S561" s="46"/>
      <c r="T561" s="46"/>
      <c r="U561" s="118"/>
      <c r="V561" s="46"/>
      <c r="W561" s="88" t="str">
        <f>IF(V561&lt;&gt;"",SUMIFS('📊 รายงานสินค้าคงเหลือ'!G:G,'📊 รายงานสินค้าคงเหลือ'!D:D,V561),"")</f>
        <v/>
      </c>
      <c r="X561" s="46"/>
      <c r="Y561" s="46"/>
      <c r="Z561" s="46"/>
    </row>
    <row r="562">
      <c r="A562" s="46"/>
      <c r="B562" s="16"/>
      <c r="C562" s="118"/>
      <c r="D562" s="126"/>
      <c r="E562" s="88"/>
      <c r="F562" s="118"/>
      <c r="G562" s="46"/>
      <c r="H562" s="46"/>
      <c r="I562" s="118"/>
      <c r="J562" s="46"/>
      <c r="K562" s="16" t="str">
        <f>IF(J562&lt;&gt;"",SUMIFS('💰 Transaction ขาย'!$F:$F,'💰 Transaction ขาย'!$K:$K,$J562,'💰 Transaction ขาย'!$J:$J,$B$1),"")</f>
        <v/>
      </c>
      <c r="L562" s="118"/>
      <c r="M562" s="46"/>
      <c r="N562" s="46"/>
      <c r="O562" s="46"/>
      <c r="P562" s="118"/>
      <c r="Q562" s="46"/>
      <c r="R562" s="46"/>
      <c r="S562" s="46"/>
      <c r="T562" s="46"/>
      <c r="U562" s="118"/>
      <c r="V562" s="46"/>
      <c r="W562" s="88" t="str">
        <f>IF(V562&lt;&gt;"",SUMIFS('📊 รายงานสินค้าคงเหลือ'!G:G,'📊 รายงานสินค้าคงเหลือ'!D:D,V562),"")</f>
        <v/>
      </c>
      <c r="X562" s="46"/>
      <c r="Y562" s="46"/>
      <c r="Z562" s="46"/>
    </row>
    <row r="563">
      <c r="A563" s="46"/>
      <c r="B563" s="16"/>
      <c r="C563" s="118"/>
      <c r="D563" s="126"/>
      <c r="E563" s="88"/>
      <c r="F563" s="118"/>
      <c r="G563" s="46"/>
      <c r="H563" s="46"/>
      <c r="I563" s="118"/>
      <c r="J563" s="46"/>
      <c r="K563" s="16" t="str">
        <f>IF(J563&lt;&gt;"",SUMIFS('💰 Transaction ขาย'!$F:$F,'💰 Transaction ขาย'!$K:$K,$J563,'💰 Transaction ขาย'!$J:$J,$B$1),"")</f>
        <v/>
      </c>
      <c r="L563" s="118"/>
      <c r="M563" s="46"/>
      <c r="N563" s="46"/>
      <c r="O563" s="46"/>
      <c r="P563" s="118"/>
      <c r="Q563" s="46"/>
      <c r="R563" s="46"/>
      <c r="S563" s="46"/>
      <c r="T563" s="46"/>
      <c r="U563" s="118"/>
      <c r="V563" s="46"/>
      <c r="W563" s="88" t="str">
        <f>IF(V563&lt;&gt;"",SUMIFS('📊 รายงานสินค้าคงเหลือ'!G:G,'📊 รายงานสินค้าคงเหลือ'!D:D,V563),"")</f>
        <v/>
      </c>
      <c r="X563" s="46"/>
      <c r="Y563" s="46"/>
      <c r="Z563" s="46"/>
    </row>
    <row r="564">
      <c r="A564" s="46"/>
      <c r="B564" s="16"/>
      <c r="C564" s="118"/>
      <c r="D564" s="126"/>
      <c r="E564" s="88"/>
      <c r="F564" s="118"/>
      <c r="G564" s="46"/>
      <c r="H564" s="46"/>
      <c r="I564" s="118"/>
      <c r="J564" s="46"/>
      <c r="K564" s="16" t="str">
        <f>IF(J564&lt;&gt;"",SUMIFS('💰 Transaction ขาย'!$F:$F,'💰 Transaction ขาย'!$K:$K,$J564,'💰 Transaction ขาย'!$J:$J,$B$1),"")</f>
        <v/>
      </c>
      <c r="L564" s="118"/>
      <c r="M564" s="46"/>
      <c r="N564" s="46"/>
      <c r="O564" s="46"/>
      <c r="P564" s="118"/>
      <c r="Q564" s="46"/>
      <c r="R564" s="46"/>
      <c r="S564" s="46"/>
      <c r="T564" s="46"/>
      <c r="U564" s="118"/>
      <c r="V564" s="46"/>
      <c r="W564" s="88" t="str">
        <f>IF(V564&lt;&gt;"",SUMIFS('📊 รายงานสินค้าคงเหลือ'!G:G,'📊 รายงานสินค้าคงเหลือ'!D:D,V564),"")</f>
        <v/>
      </c>
      <c r="X564" s="46"/>
      <c r="Y564" s="46"/>
      <c r="Z564" s="46"/>
    </row>
    <row r="565">
      <c r="A565" s="46"/>
      <c r="B565" s="16"/>
      <c r="C565" s="118"/>
      <c r="D565" s="126"/>
      <c r="E565" s="88"/>
      <c r="F565" s="118"/>
      <c r="G565" s="46"/>
      <c r="H565" s="46"/>
      <c r="I565" s="118"/>
      <c r="J565" s="46"/>
      <c r="K565" s="16" t="str">
        <f>IF(J565&lt;&gt;"",SUMIFS('💰 Transaction ขาย'!$F:$F,'💰 Transaction ขาย'!$K:$K,$J565,'💰 Transaction ขาย'!$J:$J,$B$1),"")</f>
        <v/>
      </c>
      <c r="L565" s="118"/>
      <c r="M565" s="46"/>
      <c r="N565" s="46"/>
      <c r="O565" s="46"/>
      <c r="P565" s="118"/>
      <c r="Q565" s="46"/>
      <c r="R565" s="46"/>
      <c r="S565" s="46"/>
      <c r="T565" s="46"/>
      <c r="U565" s="118"/>
      <c r="V565" s="46"/>
      <c r="W565" s="88" t="str">
        <f>IF(V565&lt;&gt;"",SUMIFS('📊 รายงานสินค้าคงเหลือ'!G:G,'📊 รายงานสินค้าคงเหลือ'!D:D,V565),"")</f>
        <v/>
      </c>
      <c r="X565" s="46"/>
      <c r="Y565" s="46"/>
      <c r="Z565" s="46"/>
    </row>
    <row r="566">
      <c r="A566" s="46"/>
      <c r="B566" s="16"/>
      <c r="C566" s="118"/>
      <c r="D566" s="126"/>
      <c r="E566" s="88"/>
      <c r="F566" s="118"/>
      <c r="G566" s="46"/>
      <c r="H566" s="46"/>
      <c r="I566" s="118"/>
      <c r="J566" s="46"/>
      <c r="K566" s="16" t="str">
        <f>IF(J566&lt;&gt;"",SUMIFS('💰 Transaction ขาย'!$F:$F,'💰 Transaction ขาย'!$K:$K,$J566,'💰 Transaction ขาย'!$J:$J,$B$1),"")</f>
        <v/>
      </c>
      <c r="L566" s="118"/>
      <c r="M566" s="46"/>
      <c r="N566" s="46"/>
      <c r="O566" s="46"/>
      <c r="P566" s="118"/>
      <c r="Q566" s="46"/>
      <c r="R566" s="46"/>
      <c r="S566" s="46"/>
      <c r="T566" s="46"/>
      <c r="U566" s="118"/>
      <c r="V566" s="46"/>
      <c r="W566" s="88" t="str">
        <f>IF(V566&lt;&gt;"",SUMIFS('📊 รายงานสินค้าคงเหลือ'!G:G,'📊 รายงานสินค้าคงเหลือ'!D:D,V566),"")</f>
        <v/>
      </c>
      <c r="X566" s="46"/>
      <c r="Y566" s="46"/>
      <c r="Z566" s="46"/>
    </row>
    <row r="567">
      <c r="A567" s="46"/>
      <c r="B567" s="16"/>
      <c r="C567" s="118"/>
      <c r="D567" s="126"/>
      <c r="E567" s="88"/>
      <c r="F567" s="118"/>
      <c r="G567" s="46"/>
      <c r="H567" s="46"/>
      <c r="I567" s="118"/>
      <c r="J567" s="46"/>
      <c r="K567" s="16" t="str">
        <f>IF(J567&lt;&gt;"",SUMIFS('💰 Transaction ขาย'!$F:$F,'💰 Transaction ขาย'!$K:$K,$J567,'💰 Transaction ขาย'!$J:$J,$B$1),"")</f>
        <v/>
      </c>
      <c r="L567" s="118"/>
      <c r="M567" s="46"/>
      <c r="N567" s="46"/>
      <c r="O567" s="46"/>
      <c r="P567" s="118"/>
      <c r="Q567" s="46"/>
      <c r="R567" s="46"/>
      <c r="S567" s="46"/>
      <c r="T567" s="46"/>
      <c r="U567" s="118"/>
      <c r="V567" s="46"/>
      <c r="W567" s="88" t="str">
        <f>IF(V567&lt;&gt;"",SUMIFS('📊 รายงานสินค้าคงเหลือ'!G:G,'📊 รายงานสินค้าคงเหลือ'!D:D,V567),"")</f>
        <v/>
      </c>
      <c r="X567" s="46"/>
      <c r="Y567" s="46"/>
      <c r="Z567" s="46"/>
    </row>
    <row r="568">
      <c r="A568" s="46"/>
      <c r="B568" s="16"/>
      <c r="C568" s="118"/>
      <c r="D568" s="126"/>
      <c r="E568" s="88"/>
      <c r="F568" s="118"/>
      <c r="G568" s="46"/>
      <c r="H568" s="46"/>
      <c r="I568" s="118"/>
      <c r="J568" s="46"/>
      <c r="K568" s="16" t="str">
        <f>IF(J568&lt;&gt;"",SUMIFS('💰 Transaction ขาย'!$F:$F,'💰 Transaction ขาย'!$K:$K,$J568,'💰 Transaction ขาย'!$J:$J,$B$1),"")</f>
        <v/>
      </c>
      <c r="L568" s="118"/>
      <c r="M568" s="46"/>
      <c r="N568" s="46"/>
      <c r="O568" s="46"/>
      <c r="P568" s="118"/>
      <c r="Q568" s="46"/>
      <c r="R568" s="46"/>
      <c r="S568" s="46"/>
      <c r="T568" s="46"/>
      <c r="U568" s="118"/>
      <c r="V568" s="46"/>
      <c r="W568" s="88" t="str">
        <f>IF(V568&lt;&gt;"",SUMIFS('📊 รายงานสินค้าคงเหลือ'!G:G,'📊 รายงานสินค้าคงเหลือ'!D:D,V568),"")</f>
        <v/>
      </c>
      <c r="X568" s="46"/>
      <c r="Y568" s="46"/>
      <c r="Z568" s="46"/>
    </row>
    <row r="569">
      <c r="A569" s="46"/>
      <c r="B569" s="16"/>
      <c r="C569" s="118"/>
      <c r="D569" s="126"/>
      <c r="E569" s="88"/>
      <c r="F569" s="118"/>
      <c r="G569" s="46"/>
      <c r="H569" s="46"/>
      <c r="I569" s="118"/>
      <c r="J569" s="46"/>
      <c r="K569" s="16" t="str">
        <f>IF(J569&lt;&gt;"",SUMIFS('💰 Transaction ขาย'!$F:$F,'💰 Transaction ขาย'!$K:$K,$J569,'💰 Transaction ขาย'!$J:$J,$B$1),"")</f>
        <v/>
      </c>
      <c r="L569" s="118"/>
      <c r="M569" s="46"/>
      <c r="N569" s="46"/>
      <c r="O569" s="46"/>
      <c r="P569" s="118"/>
      <c r="Q569" s="46"/>
      <c r="R569" s="46"/>
      <c r="S569" s="46"/>
      <c r="T569" s="46"/>
      <c r="U569" s="118"/>
      <c r="V569" s="46"/>
      <c r="W569" s="88" t="str">
        <f>IF(V569&lt;&gt;"",SUMIFS('📊 รายงานสินค้าคงเหลือ'!G:G,'📊 รายงานสินค้าคงเหลือ'!D:D,V569),"")</f>
        <v/>
      </c>
      <c r="X569" s="46"/>
      <c r="Y569" s="46"/>
      <c r="Z569" s="46"/>
    </row>
    <row r="570">
      <c r="A570" s="46"/>
      <c r="B570" s="16"/>
      <c r="C570" s="118"/>
      <c r="D570" s="126"/>
      <c r="E570" s="88"/>
      <c r="F570" s="118"/>
      <c r="G570" s="46"/>
      <c r="H570" s="46"/>
      <c r="I570" s="118"/>
      <c r="J570" s="46"/>
      <c r="K570" s="16" t="str">
        <f>IF(J570&lt;&gt;"",SUMIFS('💰 Transaction ขาย'!$F:$F,'💰 Transaction ขาย'!$K:$K,$J570,'💰 Transaction ขาย'!$J:$J,$B$1),"")</f>
        <v/>
      </c>
      <c r="L570" s="118"/>
      <c r="M570" s="46"/>
      <c r="N570" s="46"/>
      <c r="O570" s="46"/>
      <c r="P570" s="118"/>
      <c r="Q570" s="46"/>
      <c r="R570" s="46"/>
      <c r="S570" s="46"/>
      <c r="T570" s="46"/>
      <c r="U570" s="118"/>
      <c r="V570" s="46"/>
      <c r="W570" s="88" t="str">
        <f>IF(V570&lt;&gt;"",SUMIFS('📊 รายงานสินค้าคงเหลือ'!G:G,'📊 รายงานสินค้าคงเหลือ'!D:D,V570),"")</f>
        <v/>
      </c>
      <c r="X570" s="46"/>
      <c r="Y570" s="46"/>
      <c r="Z570" s="46"/>
    </row>
    <row r="571">
      <c r="A571" s="46"/>
      <c r="B571" s="16"/>
      <c r="C571" s="118"/>
      <c r="D571" s="126"/>
      <c r="E571" s="88"/>
      <c r="F571" s="118"/>
      <c r="G571" s="46"/>
      <c r="H571" s="46"/>
      <c r="I571" s="118"/>
      <c r="J571" s="46"/>
      <c r="K571" s="16" t="str">
        <f>IF(J571&lt;&gt;"",SUMIFS('💰 Transaction ขาย'!$F:$F,'💰 Transaction ขาย'!$K:$K,$J571,'💰 Transaction ขาย'!$J:$J,$B$1),"")</f>
        <v/>
      </c>
      <c r="L571" s="118"/>
      <c r="M571" s="46"/>
      <c r="N571" s="46"/>
      <c r="O571" s="46"/>
      <c r="P571" s="118"/>
      <c r="Q571" s="46"/>
      <c r="R571" s="46"/>
      <c r="S571" s="46"/>
      <c r="T571" s="46"/>
      <c r="U571" s="118"/>
      <c r="V571" s="46"/>
      <c r="W571" s="88" t="str">
        <f>IF(V571&lt;&gt;"",SUMIFS('📊 รายงานสินค้าคงเหลือ'!G:G,'📊 รายงานสินค้าคงเหลือ'!D:D,V571),"")</f>
        <v/>
      </c>
      <c r="X571" s="46"/>
      <c r="Y571" s="46"/>
      <c r="Z571" s="46"/>
    </row>
    <row r="572">
      <c r="A572" s="46"/>
      <c r="B572" s="16"/>
      <c r="C572" s="118"/>
      <c r="D572" s="126"/>
      <c r="E572" s="88"/>
      <c r="F572" s="118"/>
      <c r="G572" s="46"/>
      <c r="H572" s="46"/>
      <c r="I572" s="118"/>
      <c r="J572" s="46"/>
      <c r="K572" s="16" t="str">
        <f>IF(J572&lt;&gt;"",SUMIFS('💰 Transaction ขาย'!$F:$F,'💰 Transaction ขาย'!$K:$K,$J572,'💰 Transaction ขาย'!$J:$J,$B$1),"")</f>
        <v/>
      </c>
      <c r="L572" s="118"/>
      <c r="M572" s="46"/>
      <c r="N572" s="46"/>
      <c r="O572" s="46"/>
      <c r="P572" s="118"/>
      <c r="Q572" s="46"/>
      <c r="R572" s="46"/>
      <c r="S572" s="46"/>
      <c r="T572" s="46"/>
      <c r="U572" s="118"/>
      <c r="V572" s="46"/>
      <c r="W572" s="88" t="str">
        <f>IF(V572&lt;&gt;"",SUMIFS('📊 รายงานสินค้าคงเหลือ'!G:G,'📊 รายงานสินค้าคงเหลือ'!D:D,V572),"")</f>
        <v/>
      </c>
      <c r="X572" s="46"/>
      <c r="Y572" s="46"/>
      <c r="Z572" s="46"/>
    </row>
    <row r="573">
      <c r="A573" s="46"/>
      <c r="B573" s="16"/>
      <c r="C573" s="118"/>
      <c r="D573" s="126"/>
      <c r="E573" s="88"/>
      <c r="F573" s="118"/>
      <c r="G573" s="46"/>
      <c r="H573" s="46"/>
      <c r="I573" s="118"/>
      <c r="J573" s="46"/>
      <c r="K573" s="16" t="str">
        <f>IF(J573&lt;&gt;"",SUMIFS('💰 Transaction ขาย'!$F:$F,'💰 Transaction ขาย'!$K:$K,$J573,'💰 Transaction ขาย'!$J:$J,$B$1),"")</f>
        <v/>
      </c>
      <c r="L573" s="118"/>
      <c r="M573" s="46"/>
      <c r="N573" s="46"/>
      <c r="O573" s="46"/>
      <c r="P573" s="118"/>
      <c r="Q573" s="46"/>
      <c r="R573" s="46"/>
      <c r="S573" s="46"/>
      <c r="T573" s="46"/>
      <c r="U573" s="118"/>
      <c r="V573" s="46"/>
      <c r="W573" s="88" t="str">
        <f>IF(V573&lt;&gt;"",SUMIFS('📊 รายงานสินค้าคงเหลือ'!G:G,'📊 รายงานสินค้าคงเหลือ'!D:D,V573),"")</f>
        <v/>
      </c>
      <c r="X573" s="46"/>
      <c r="Y573" s="46"/>
      <c r="Z573" s="46"/>
    </row>
    <row r="574">
      <c r="A574" s="46"/>
      <c r="B574" s="16"/>
      <c r="C574" s="118"/>
      <c r="D574" s="126"/>
      <c r="E574" s="88"/>
      <c r="F574" s="118"/>
      <c r="G574" s="46"/>
      <c r="H574" s="46"/>
      <c r="I574" s="118"/>
      <c r="J574" s="46"/>
      <c r="K574" s="16" t="str">
        <f>IF(J574&lt;&gt;"",SUMIFS('💰 Transaction ขาย'!$F:$F,'💰 Transaction ขาย'!$K:$K,$J574,'💰 Transaction ขาย'!$J:$J,$B$1),"")</f>
        <v/>
      </c>
      <c r="L574" s="118"/>
      <c r="M574" s="46"/>
      <c r="N574" s="46"/>
      <c r="O574" s="46"/>
      <c r="P574" s="118"/>
      <c r="Q574" s="46"/>
      <c r="R574" s="46"/>
      <c r="S574" s="46"/>
      <c r="T574" s="46"/>
      <c r="U574" s="118"/>
      <c r="V574" s="46"/>
      <c r="W574" s="88" t="str">
        <f>IF(V574&lt;&gt;"",SUMIFS('📊 รายงานสินค้าคงเหลือ'!G:G,'📊 รายงานสินค้าคงเหลือ'!D:D,V574),"")</f>
        <v/>
      </c>
      <c r="X574" s="46"/>
      <c r="Y574" s="46"/>
      <c r="Z574" s="46"/>
    </row>
    <row r="575">
      <c r="A575" s="46"/>
      <c r="B575" s="16"/>
      <c r="C575" s="118"/>
      <c r="D575" s="126"/>
      <c r="E575" s="88"/>
      <c r="F575" s="118"/>
      <c r="G575" s="46"/>
      <c r="H575" s="46"/>
      <c r="I575" s="118"/>
      <c r="J575" s="46"/>
      <c r="K575" s="16" t="str">
        <f>IF(J575&lt;&gt;"",SUMIFS('💰 Transaction ขาย'!$F:$F,'💰 Transaction ขาย'!$K:$K,$J575,'💰 Transaction ขาย'!$J:$J,$B$1),"")</f>
        <v/>
      </c>
      <c r="L575" s="118"/>
      <c r="M575" s="46"/>
      <c r="N575" s="46"/>
      <c r="O575" s="46"/>
      <c r="P575" s="118"/>
      <c r="Q575" s="46"/>
      <c r="R575" s="46"/>
      <c r="S575" s="46"/>
      <c r="T575" s="46"/>
      <c r="U575" s="118"/>
      <c r="V575" s="46"/>
      <c r="W575" s="88" t="str">
        <f>IF(V575&lt;&gt;"",SUMIFS('📊 รายงานสินค้าคงเหลือ'!G:G,'📊 รายงานสินค้าคงเหลือ'!D:D,V575),"")</f>
        <v/>
      </c>
      <c r="X575" s="46"/>
      <c r="Y575" s="46"/>
      <c r="Z575" s="46"/>
    </row>
    <row r="576">
      <c r="A576" s="46"/>
      <c r="B576" s="16"/>
      <c r="C576" s="118"/>
      <c r="D576" s="126"/>
      <c r="E576" s="88"/>
      <c r="F576" s="118"/>
      <c r="G576" s="46"/>
      <c r="H576" s="46"/>
      <c r="I576" s="118"/>
      <c r="J576" s="46"/>
      <c r="K576" s="16" t="str">
        <f>IF(J576&lt;&gt;"",SUMIFS('💰 Transaction ขาย'!$F:$F,'💰 Transaction ขาย'!$K:$K,$J576,'💰 Transaction ขาย'!$J:$J,$B$1),"")</f>
        <v/>
      </c>
      <c r="L576" s="118"/>
      <c r="M576" s="46"/>
      <c r="N576" s="46"/>
      <c r="O576" s="46"/>
      <c r="P576" s="118"/>
      <c r="Q576" s="46"/>
      <c r="R576" s="46"/>
      <c r="S576" s="46"/>
      <c r="T576" s="46"/>
      <c r="U576" s="118"/>
      <c r="V576" s="46"/>
      <c r="W576" s="88" t="str">
        <f>IF(V576&lt;&gt;"",SUMIFS('📊 รายงานสินค้าคงเหลือ'!G:G,'📊 รายงานสินค้าคงเหลือ'!D:D,V576),"")</f>
        <v/>
      </c>
      <c r="X576" s="46"/>
      <c r="Y576" s="46"/>
      <c r="Z576" s="46"/>
    </row>
    <row r="577">
      <c r="A577" s="46"/>
      <c r="B577" s="16"/>
      <c r="C577" s="118"/>
      <c r="D577" s="126"/>
      <c r="E577" s="88"/>
      <c r="F577" s="118"/>
      <c r="G577" s="46"/>
      <c r="H577" s="46"/>
      <c r="I577" s="118"/>
      <c r="J577" s="46"/>
      <c r="K577" s="16" t="str">
        <f>IF(J577&lt;&gt;"",SUMIFS('💰 Transaction ขาย'!$F:$F,'💰 Transaction ขาย'!$K:$K,$J577,'💰 Transaction ขาย'!$J:$J,$B$1),"")</f>
        <v/>
      </c>
      <c r="L577" s="118"/>
      <c r="M577" s="46"/>
      <c r="N577" s="46"/>
      <c r="O577" s="46"/>
      <c r="P577" s="118"/>
      <c r="Q577" s="46"/>
      <c r="R577" s="46"/>
      <c r="S577" s="46"/>
      <c r="T577" s="46"/>
      <c r="U577" s="118"/>
      <c r="V577" s="46"/>
      <c r="W577" s="88" t="str">
        <f>IF(V577&lt;&gt;"",SUMIFS('📊 รายงานสินค้าคงเหลือ'!G:G,'📊 รายงานสินค้าคงเหลือ'!D:D,V577),"")</f>
        <v/>
      </c>
      <c r="X577" s="46"/>
      <c r="Y577" s="46"/>
      <c r="Z577" s="46"/>
    </row>
    <row r="578">
      <c r="A578" s="46"/>
      <c r="B578" s="16"/>
      <c r="C578" s="118"/>
      <c r="D578" s="126"/>
      <c r="E578" s="88"/>
      <c r="F578" s="118"/>
      <c r="G578" s="46"/>
      <c r="H578" s="46"/>
      <c r="I578" s="118"/>
      <c r="J578" s="46"/>
      <c r="K578" s="16" t="str">
        <f>IF(J578&lt;&gt;"",SUMIFS('💰 Transaction ขาย'!$F:$F,'💰 Transaction ขาย'!$K:$K,$J578,'💰 Transaction ขาย'!$J:$J,$B$1),"")</f>
        <v/>
      </c>
      <c r="L578" s="118"/>
      <c r="M578" s="46"/>
      <c r="N578" s="46"/>
      <c r="O578" s="46"/>
      <c r="P578" s="118"/>
      <c r="Q578" s="46"/>
      <c r="R578" s="46"/>
      <c r="S578" s="46"/>
      <c r="T578" s="46"/>
      <c r="U578" s="118"/>
      <c r="V578" s="46"/>
      <c r="W578" s="88" t="str">
        <f>IF(V578&lt;&gt;"",SUMIFS('📊 รายงานสินค้าคงเหลือ'!G:G,'📊 รายงานสินค้าคงเหลือ'!D:D,V578),"")</f>
        <v/>
      </c>
      <c r="X578" s="46"/>
      <c r="Y578" s="46"/>
      <c r="Z578" s="46"/>
    </row>
    <row r="579">
      <c r="A579" s="46"/>
      <c r="B579" s="16"/>
      <c r="C579" s="118"/>
      <c r="D579" s="126"/>
      <c r="E579" s="88"/>
      <c r="F579" s="118"/>
      <c r="G579" s="46"/>
      <c r="H579" s="46"/>
      <c r="I579" s="118"/>
      <c r="J579" s="46"/>
      <c r="K579" s="16" t="str">
        <f>IF(J579&lt;&gt;"",SUMIFS('💰 Transaction ขาย'!$F:$F,'💰 Transaction ขาย'!$K:$K,$J579,'💰 Transaction ขาย'!$J:$J,$B$1),"")</f>
        <v/>
      </c>
      <c r="L579" s="118"/>
      <c r="M579" s="46"/>
      <c r="N579" s="46"/>
      <c r="O579" s="46"/>
      <c r="P579" s="118"/>
      <c r="Q579" s="46"/>
      <c r="R579" s="46"/>
      <c r="S579" s="46"/>
      <c r="T579" s="46"/>
      <c r="U579" s="118"/>
      <c r="V579" s="46"/>
      <c r="W579" s="88" t="str">
        <f>IF(V579&lt;&gt;"",SUMIFS('📊 รายงานสินค้าคงเหลือ'!G:G,'📊 รายงานสินค้าคงเหลือ'!D:D,V579),"")</f>
        <v/>
      </c>
      <c r="X579" s="46"/>
      <c r="Y579" s="46"/>
      <c r="Z579" s="46"/>
    </row>
    <row r="580">
      <c r="A580" s="46"/>
      <c r="B580" s="16"/>
      <c r="C580" s="118"/>
      <c r="D580" s="126"/>
      <c r="E580" s="88"/>
      <c r="F580" s="118"/>
      <c r="G580" s="46"/>
      <c r="H580" s="46"/>
      <c r="I580" s="118"/>
      <c r="J580" s="46"/>
      <c r="K580" s="16" t="str">
        <f>IF(J580&lt;&gt;"",SUMIFS('💰 Transaction ขาย'!$F:$F,'💰 Transaction ขาย'!$K:$K,$J580,'💰 Transaction ขาย'!$J:$J,$B$1),"")</f>
        <v/>
      </c>
      <c r="L580" s="118"/>
      <c r="M580" s="46"/>
      <c r="N580" s="46"/>
      <c r="O580" s="46"/>
      <c r="P580" s="118"/>
      <c r="Q580" s="46"/>
      <c r="R580" s="46"/>
      <c r="S580" s="46"/>
      <c r="T580" s="46"/>
      <c r="U580" s="118"/>
      <c r="V580" s="46"/>
      <c r="W580" s="88" t="str">
        <f>IF(V580&lt;&gt;"",SUMIFS('📊 รายงานสินค้าคงเหลือ'!G:G,'📊 รายงานสินค้าคงเหลือ'!D:D,V580),"")</f>
        <v/>
      </c>
      <c r="X580" s="46"/>
      <c r="Y580" s="46"/>
      <c r="Z580" s="46"/>
    </row>
    <row r="581">
      <c r="A581" s="46"/>
      <c r="B581" s="16"/>
      <c r="C581" s="118"/>
      <c r="D581" s="126"/>
      <c r="E581" s="88"/>
      <c r="F581" s="118"/>
      <c r="G581" s="46"/>
      <c r="H581" s="46"/>
      <c r="I581" s="118"/>
      <c r="J581" s="46"/>
      <c r="K581" s="16" t="str">
        <f>IF(J581&lt;&gt;"",SUMIFS('💰 Transaction ขาย'!$F:$F,'💰 Transaction ขาย'!$K:$K,$J581,'💰 Transaction ขาย'!$J:$J,$B$1),"")</f>
        <v/>
      </c>
      <c r="L581" s="118"/>
      <c r="M581" s="46"/>
      <c r="N581" s="46"/>
      <c r="O581" s="46"/>
      <c r="P581" s="118"/>
      <c r="Q581" s="46"/>
      <c r="R581" s="46"/>
      <c r="S581" s="46"/>
      <c r="T581" s="46"/>
      <c r="U581" s="118"/>
      <c r="V581" s="46"/>
      <c r="W581" s="88" t="str">
        <f>IF(V581&lt;&gt;"",SUMIFS('📊 รายงานสินค้าคงเหลือ'!G:G,'📊 รายงานสินค้าคงเหลือ'!D:D,V581),"")</f>
        <v/>
      </c>
      <c r="X581" s="46"/>
      <c r="Y581" s="46"/>
      <c r="Z581" s="46"/>
    </row>
    <row r="582">
      <c r="A582" s="46"/>
      <c r="B582" s="16"/>
      <c r="C582" s="118"/>
      <c r="D582" s="126"/>
      <c r="E582" s="88"/>
      <c r="F582" s="118"/>
      <c r="G582" s="46"/>
      <c r="H582" s="46"/>
      <c r="I582" s="118"/>
      <c r="J582" s="46"/>
      <c r="K582" s="16" t="str">
        <f>IF(J582&lt;&gt;"",SUMIFS('💰 Transaction ขาย'!$F:$F,'💰 Transaction ขาย'!$K:$K,$J582,'💰 Transaction ขาย'!$J:$J,$B$1),"")</f>
        <v/>
      </c>
      <c r="L582" s="118"/>
      <c r="M582" s="46"/>
      <c r="N582" s="46"/>
      <c r="O582" s="46"/>
      <c r="P582" s="118"/>
      <c r="Q582" s="46"/>
      <c r="R582" s="46"/>
      <c r="S582" s="46"/>
      <c r="T582" s="46"/>
      <c r="U582" s="118"/>
      <c r="V582" s="46"/>
      <c r="W582" s="88" t="str">
        <f>IF(V582&lt;&gt;"",SUMIFS('📊 รายงานสินค้าคงเหลือ'!G:G,'📊 รายงานสินค้าคงเหลือ'!D:D,V582),"")</f>
        <v/>
      </c>
      <c r="X582" s="46"/>
      <c r="Y582" s="46"/>
      <c r="Z582" s="46"/>
    </row>
    <row r="583">
      <c r="A583" s="46"/>
      <c r="B583" s="16"/>
      <c r="C583" s="118"/>
      <c r="D583" s="126"/>
      <c r="E583" s="88"/>
      <c r="F583" s="118"/>
      <c r="G583" s="46"/>
      <c r="H583" s="46"/>
      <c r="I583" s="118"/>
      <c r="J583" s="46"/>
      <c r="K583" s="16" t="str">
        <f>IF(J583&lt;&gt;"",SUMIFS('💰 Transaction ขาย'!$F:$F,'💰 Transaction ขาย'!$K:$K,$J583,'💰 Transaction ขาย'!$J:$J,$B$1),"")</f>
        <v/>
      </c>
      <c r="L583" s="118"/>
      <c r="M583" s="46"/>
      <c r="N583" s="46"/>
      <c r="O583" s="46"/>
      <c r="P583" s="118"/>
      <c r="Q583" s="46"/>
      <c r="R583" s="46"/>
      <c r="S583" s="46"/>
      <c r="T583" s="46"/>
      <c r="U583" s="118"/>
      <c r="V583" s="46"/>
      <c r="W583" s="88" t="str">
        <f>IF(V583&lt;&gt;"",SUMIFS('📊 รายงานสินค้าคงเหลือ'!G:G,'📊 รายงานสินค้าคงเหลือ'!D:D,V583),"")</f>
        <v/>
      </c>
      <c r="X583" s="46"/>
      <c r="Y583" s="46"/>
      <c r="Z583" s="46"/>
    </row>
    <row r="584">
      <c r="A584" s="46"/>
      <c r="B584" s="16"/>
      <c r="C584" s="118"/>
      <c r="D584" s="126"/>
      <c r="E584" s="88"/>
      <c r="F584" s="118"/>
      <c r="G584" s="46"/>
      <c r="H584" s="46"/>
      <c r="I584" s="118"/>
      <c r="J584" s="46"/>
      <c r="K584" s="16" t="str">
        <f>IF(J584&lt;&gt;"",SUMIFS('💰 Transaction ขาย'!$F:$F,'💰 Transaction ขาย'!$K:$K,$J584,'💰 Transaction ขาย'!$J:$J,$B$1),"")</f>
        <v/>
      </c>
      <c r="L584" s="118"/>
      <c r="M584" s="46"/>
      <c r="N584" s="46"/>
      <c r="O584" s="46"/>
      <c r="P584" s="118"/>
      <c r="Q584" s="46"/>
      <c r="R584" s="46"/>
      <c r="S584" s="46"/>
      <c r="T584" s="46"/>
      <c r="U584" s="118"/>
      <c r="V584" s="46"/>
      <c r="W584" s="88" t="str">
        <f>IF(V584&lt;&gt;"",SUMIFS('📊 รายงานสินค้าคงเหลือ'!G:G,'📊 รายงานสินค้าคงเหลือ'!D:D,V584),"")</f>
        <v/>
      </c>
      <c r="X584" s="46"/>
      <c r="Y584" s="46"/>
      <c r="Z584" s="46"/>
    </row>
    <row r="585">
      <c r="A585" s="46"/>
      <c r="B585" s="16"/>
      <c r="C585" s="118"/>
      <c r="D585" s="126"/>
      <c r="E585" s="88"/>
      <c r="F585" s="118"/>
      <c r="G585" s="46"/>
      <c r="H585" s="46"/>
      <c r="I585" s="118"/>
      <c r="J585" s="46"/>
      <c r="K585" s="16" t="str">
        <f>IF(J585&lt;&gt;"",SUMIFS('💰 Transaction ขาย'!$F:$F,'💰 Transaction ขาย'!$K:$K,$J585,'💰 Transaction ขาย'!$J:$J,$B$1),"")</f>
        <v/>
      </c>
      <c r="L585" s="118"/>
      <c r="M585" s="46"/>
      <c r="N585" s="46"/>
      <c r="O585" s="46"/>
      <c r="P585" s="118"/>
      <c r="Q585" s="46"/>
      <c r="R585" s="46"/>
      <c r="S585" s="46"/>
      <c r="T585" s="46"/>
      <c r="U585" s="118"/>
      <c r="V585" s="46"/>
      <c r="W585" s="88" t="str">
        <f>IF(V585&lt;&gt;"",SUMIFS('📊 รายงานสินค้าคงเหลือ'!G:G,'📊 รายงานสินค้าคงเหลือ'!D:D,V585),"")</f>
        <v/>
      </c>
      <c r="X585" s="46"/>
      <c r="Y585" s="46"/>
      <c r="Z585" s="46"/>
    </row>
    <row r="586">
      <c r="A586" s="46"/>
      <c r="B586" s="16"/>
      <c r="C586" s="118"/>
      <c r="D586" s="126"/>
      <c r="E586" s="88"/>
      <c r="F586" s="118"/>
      <c r="G586" s="46"/>
      <c r="H586" s="46"/>
      <c r="I586" s="118"/>
      <c r="J586" s="46"/>
      <c r="K586" s="16" t="str">
        <f>IF(J586&lt;&gt;"",SUMIFS('💰 Transaction ขาย'!$F:$F,'💰 Transaction ขาย'!$K:$K,$J586,'💰 Transaction ขาย'!$J:$J,$B$1),"")</f>
        <v/>
      </c>
      <c r="L586" s="118"/>
      <c r="M586" s="46"/>
      <c r="N586" s="46"/>
      <c r="O586" s="46"/>
      <c r="P586" s="118"/>
      <c r="Q586" s="46"/>
      <c r="R586" s="46"/>
      <c r="S586" s="46"/>
      <c r="T586" s="46"/>
      <c r="U586" s="118"/>
      <c r="V586" s="46"/>
      <c r="W586" s="88" t="str">
        <f>IF(V586&lt;&gt;"",SUMIFS('📊 รายงานสินค้าคงเหลือ'!G:G,'📊 รายงานสินค้าคงเหลือ'!D:D,V586),"")</f>
        <v/>
      </c>
      <c r="X586" s="46"/>
      <c r="Y586" s="46"/>
      <c r="Z586" s="46"/>
    </row>
    <row r="587">
      <c r="A587" s="46"/>
      <c r="B587" s="16"/>
      <c r="C587" s="118"/>
      <c r="D587" s="126"/>
      <c r="E587" s="88"/>
      <c r="F587" s="118"/>
      <c r="G587" s="46"/>
      <c r="H587" s="46"/>
      <c r="I587" s="118"/>
      <c r="J587" s="46"/>
      <c r="K587" s="16" t="str">
        <f>IF(J587&lt;&gt;"",SUMIFS('💰 Transaction ขาย'!$F:$F,'💰 Transaction ขาย'!$K:$K,$J587,'💰 Transaction ขาย'!$J:$J,$B$1),"")</f>
        <v/>
      </c>
      <c r="L587" s="118"/>
      <c r="M587" s="46"/>
      <c r="N587" s="46"/>
      <c r="O587" s="46"/>
      <c r="P587" s="118"/>
      <c r="Q587" s="46"/>
      <c r="R587" s="46"/>
      <c r="S587" s="46"/>
      <c r="T587" s="46"/>
      <c r="U587" s="118"/>
      <c r="V587" s="46"/>
      <c r="W587" s="88" t="str">
        <f>IF(V587&lt;&gt;"",SUMIFS('📊 รายงานสินค้าคงเหลือ'!G:G,'📊 รายงานสินค้าคงเหลือ'!D:D,V587),"")</f>
        <v/>
      </c>
      <c r="X587" s="46"/>
      <c r="Y587" s="46"/>
      <c r="Z587" s="46"/>
    </row>
    <row r="588">
      <c r="A588" s="46"/>
      <c r="B588" s="16"/>
      <c r="C588" s="118"/>
      <c r="D588" s="126"/>
      <c r="E588" s="88"/>
      <c r="F588" s="118"/>
      <c r="G588" s="46"/>
      <c r="H588" s="46"/>
      <c r="I588" s="118"/>
      <c r="J588" s="46"/>
      <c r="K588" s="16" t="str">
        <f>IF(J588&lt;&gt;"",SUMIFS('💰 Transaction ขาย'!$F:$F,'💰 Transaction ขาย'!$K:$K,$J588,'💰 Transaction ขาย'!$J:$J,$B$1),"")</f>
        <v/>
      </c>
      <c r="L588" s="118"/>
      <c r="M588" s="46"/>
      <c r="N588" s="46"/>
      <c r="O588" s="46"/>
      <c r="P588" s="118"/>
      <c r="Q588" s="46"/>
      <c r="R588" s="46"/>
      <c r="S588" s="46"/>
      <c r="T588" s="46"/>
      <c r="U588" s="118"/>
      <c r="V588" s="46"/>
      <c r="W588" s="88" t="str">
        <f>IF(V588&lt;&gt;"",SUMIFS('📊 รายงานสินค้าคงเหลือ'!G:G,'📊 รายงานสินค้าคงเหลือ'!D:D,V588),"")</f>
        <v/>
      </c>
      <c r="X588" s="46"/>
      <c r="Y588" s="46"/>
      <c r="Z588" s="46"/>
    </row>
    <row r="589">
      <c r="A589" s="46"/>
      <c r="B589" s="16"/>
      <c r="C589" s="118"/>
      <c r="D589" s="126"/>
      <c r="E589" s="88"/>
      <c r="F589" s="118"/>
      <c r="G589" s="46"/>
      <c r="H589" s="46"/>
      <c r="I589" s="118"/>
      <c r="J589" s="46"/>
      <c r="K589" s="16" t="str">
        <f>IF(J589&lt;&gt;"",SUMIFS('💰 Transaction ขาย'!$F:$F,'💰 Transaction ขาย'!$K:$K,$J589,'💰 Transaction ขาย'!$J:$J,$B$1),"")</f>
        <v/>
      </c>
      <c r="L589" s="118"/>
      <c r="M589" s="46"/>
      <c r="N589" s="46"/>
      <c r="O589" s="46"/>
      <c r="P589" s="118"/>
      <c r="Q589" s="46"/>
      <c r="R589" s="46"/>
      <c r="S589" s="46"/>
      <c r="T589" s="46"/>
      <c r="U589" s="118"/>
      <c r="V589" s="46"/>
      <c r="W589" s="88" t="str">
        <f>IF(V589&lt;&gt;"",SUMIFS('📊 รายงานสินค้าคงเหลือ'!G:G,'📊 รายงานสินค้าคงเหลือ'!D:D,V589),"")</f>
        <v/>
      </c>
      <c r="X589" s="46"/>
      <c r="Y589" s="46"/>
      <c r="Z589" s="46"/>
    </row>
    <row r="590">
      <c r="A590" s="46"/>
      <c r="B590" s="16"/>
      <c r="C590" s="118"/>
      <c r="D590" s="126"/>
      <c r="E590" s="88"/>
      <c r="F590" s="118"/>
      <c r="G590" s="46"/>
      <c r="H590" s="46"/>
      <c r="I590" s="118"/>
      <c r="J590" s="46"/>
      <c r="K590" s="16" t="str">
        <f>IF(J590&lt;&gt;"",SUMIFS('💰 Transaction ขาย'!$F:$F,'💰 Transaction ขาย'!$K:$K,$J590,'💰 Transaction ขาย'!$J:$J,$B$1),"")</f>
        <v/>
      </c>
      <c r="L590" s="118"/>
      <c r="M590" s="46"/>
      <c r="N590" s="46"/>
      <c r="O590" s="46"/>
      <c r="P590" s="118"/>
      <c r="Q590" s="46"/>
      <c r="R590" s="46"/>
      <c r="S590" s="46"/>
      <c r="T590" s="46"/>
      <c r="U590" s="118"/>
      <c r="V590" s="46"/>
      <c r="W590" s="88" t="str">
        <f>IF(V590&lt;&gt;"",SUMIFS('📊 รายงานสินค้าคงเหลือ'!G:G,'📊 รายงานสินค้าคงเหลือ'!D:D,V590),"")</f>
        <v/>
      </c>
      <c r="X590" s="46"/>
      <c r="Y590" s="46"/>
      <c r="Z590" s="46"/>
    </row>
    <row r="591">
      <c r="A591" s="46"/>
      <c r="B591" s="16"/>
      <c r="C591" s="118"/>
      <c r="D591" s="126"/>
      <c r="E591" s="88"/>
      <c r="F591" s="118"/>
      <c r="G591" s="46"/>
      <c r="H591" s="46"/>
      <c r="I591" s="118"/>
      <c r="J591" s="46"/>
      <c r="K591" s="16" t="str">
        <f>IF(J591&lt;&gt;"",SUMIFS('💰 Transaction ขาย'!$F:$F,'💰 Transaction ขาย'!$K:$K,$J591,'💰 Transaction ขาย'!$J:$J,$B$1),"")</f>
        <v/>
      </c>
      <c r="L591" s="118"/>
      <c r="M591" s="46"/>
      <c r="N591" s="46"/>
      <c r="O591" s="46"/>
      <c r="P591" s="118"/>
      <c r="Q591" s="46"/>
      <c r="R591" s="46"/>
      <c r="S591" s="46"/>
      <c r="T591" s="46"/>
      <c r="U591" s="118"/>
      <c r="V591" s="46"/>
      <c r="W591" s="88" t="str">
        <f>IF(V591&lt;&gt;"",SUMIFS('📊 รายงานสินค้าคงเหลือ'!G:G,'📊 รายงานสินค้าคงเหลือ'!D:D,V591),"")</f>
        <v/>
      </c>
      <c r="X591" s="46"/>
      <c r="Y591" s="46"/>
      <c r="Z591" s="46"/>
    </row>
    <row r="592">
      <c r="A592" s="46"/>
      <c r="B592" s="16"/>
      <c r="C592" s="118"/>
      <c r="D592" s="126"/>
      <c r="E592" s="88"/>
      <c r="F592" s="118"/>
      <c r="G592" s="46"/>
      <c r="H592" s="46"/>
      <c r="I592" s="118"/>
      <c r="J592" s="46"/>
      <c r="K592" s="16" t="str">
        <f>IF(J592&lt;&gt;"",SUMIFS('💰 Transaction ขาย'!$F:$F,'💰 Transaction ขาย'!$K:$K,$J592,'💰 Transaction ขาย'!$J:$J,$B$1),"")</f>
        <v/>
      </c>
      <c r="L592" s="118"/>
      <c r="M592" s="46"/>
      <c r="N592" s="46"/>
      <c r="O592" s="46"/>
      <c r="P592" s="118"/>
      <c r="Q592" s="46"/>
      <c r="R592" s="46"/>
      <c r="S592" s="46"/>
      <c r="T592" s="46"/>
      <c r="U592" s="118"/>
      <c r="V592" s="46"/>
      <c r="W592" s="88" t="str">
        <f>IF(V592&lt;&gt;"",SUMIFS('📊 รายงานสินค้าคงเหลือ'!G:G,'📊 รายงานสินค้าคงเหลือ'!D:D,V592),"")</f>
        <v/>
      </c>
      <c r="X592" s="46"/>
      <c r="Y592" s="46"/>
      <c r="Z592" s="46"/>
    </row>
    <row r="593">
      <c r="A593" s="46"/>
      <c r="B593" s="16"/>
      <c r="C593" s="118"/>
      <c r="D593" s="126"/>
      <c r="E593" s="88"/>
      <c r="F593" s="118"/>
      <c r="G593" s="46"/>
      <c r="H593" s="46"/>
      <c r="I593" s="118"/>
      <c r="J593" s="46"/>
      <c r="K593" s="16" t="str">
        <f>IF(J593&lt;&gt;"",SUMIFS('💰 Transaction ขาย'!$F:$F,'💰 Transaction ขาย'!$K:$K,$J593,'💰 Transaction ขาย'!$J:$J,$B$1),"")</f>
        <v/>
      </c>
      <c r="L593" s="118"/>
      <c r="M593" s="46"/>
      <c r="N593" s="46"/>
      <c r="O593" s="46"/>
      <c r="P593" s="118"/>
      <c r="Q593" s="46"/>
      <c r="R593" s="46"/>
      <c r="S593" s="46"/>
      <c r="T593" s="46"/>
      <c r="U593" s="118"/>
      <c r="V593" s="46"/>
      <c r="W593" s="88" t="str">
        <f>IF(V593&lt;&gt;"",SUMIFS('📊 รายงานสินค้าคงเหลือ'!G:G,'📊 รายงานสินค้าคงเหลือ'!D:D,V593),"")</f>
        <v/>
      </c>
      <c r="X593" s="46"/>
      <c r="Y593" s="46"/>
      <c r="Z593" s="46"/>
    </row>
    <row r="594">
      <c r="A594" s="46"/>
      <c r="B594" s="16"/>
      <c r="C594" s="118"/>
      <c r="D594" s="126"/>
      <c r="E594" s="88"/>
      <c r="F594" s="118"/>
      <c r="G594" s="46"/>
      <c r="H594" s="46"/>
      <c r="I594" s="118"/>
      <c r="J594" s="46"/>
      <c r="K594" s="16" t="str">
        <f>IF(J594&lt;&gt;"",SUMIFS('💰 Transaction ขาย'!$F:$F,'💰 Transaction ขาย'!$K:$K,$J594,'💰 Transaction ขาย'!$J:$J,$B$1),"")</f>
        <v/>
      </c>
      <c r="L594" s="118"/>
      <c r="M594" s="46"/>
      <c r="N594" s="46"/>
      <c r="O594" s="46"/>
      <c r="P594" s="118"/>
      <c r="Q594" s="46"/>
      <c r="R594" s="46"/>
      <c r="S594" s="46"/>
      <c r="T594" s="46"/>
      <c r="U594" s="118"/>
      <c r="V594" s="46"/>
      <c r="W594" s="88" t="str">
        <f>IF(V594&lt;&gt;"",SUMIFS('📊 รายงานสินค้าคงเหลือ'!G:G,'📊 รายงานสินค้าคงเหลือ'!D:D,V594),"")</f>
        <v/>
      </c>
      <c r="X594" s="46"/>
      <c r="Y594" s="46"/>
      <c r="Z594" s="46"/>
    </row>
    <row r="595">
      <c r="A595" s="46"/>
      <c r="B595" s="16"/>
      <c r="C595" s="118"/>
      <c r="D595" s="126"/>
      <c r="E595" s="88"/>
      <c r="F595" s="118"/>
      <c r="G595" s="46"/>
      <c r="H595" s="46"/>
      <c r="I595" s="118"/>
      <c r="J595" s="46"/>
      <c r="K595" s="16" t="str">
        <f>IF(J595&lt;&gt;"",SUMIFS('💰 Transaction ขาย'!$F:$F,'💰 Transaction ขาย'!$K:$K,$J595,'💰 Transaction ขาย'!$J:$J,$B$1),"")</f>
        <v/>
      </c>
      <c r="L595" s="118"/>
      <c r="M595" s="46"/>
      <c r="N595" s="46"/>
      <c r="O595" s="46"/>
      <c r="P595" s="118"/>
      <c r="Q595" s="46"/>
      <c r="R595" s="46"/>
      <c r="S595" s="46"/>
      <c r="T595" s="46"/>
      <c r="U595" s="118"/>
      <c r="V595" s="46"/>
      <c r="W595" s="88" t="str">
        <f>IF(V595&lt;&gt;"",SUMIFS('📊 รายงานสินค้าคงเหลือ'!G:G,'📊 รายงานสินค้าคงเหลือ'!D:D,V595),"")</f>
        <v/>
      </c>
      <c r="X595" s="46"/>
      <c r="Y595" s="46"/>
      <c r="Z595" s="46"/>
    </row>
    <row r="596">
      <c r="A596" s="46"/>
      <c r="B596" s="16"/>
      <c r="C596" s="118"/>
      <c r="D596" s="126"/>
      <c r="E596" s="88"/>
      <c r="F596" s="118"/>
      <c r="G596" s="46"/>
      <c r="H596" s="46"/>
      <c r="I596" s="118"/>
      <c r="J596" s="46"/>
      <c r="K596" s="16" t="str">
        <f>IF(J596&lt;&gt;"",SUMIFS('💰 Transaction ขาย'!$F:$F,'💰 Transaction ขาย'!$K:$K,$J596,'💰 Transaction ขาย'!$J:$J,$B$1),"")</f>
        <v/>
      </c>
      <c r="L596" s="118"/>
      <c r="M596" s="46"/>
      <c r="N596" s="46"/>
      <c r="O596" s="46"/>
      <c r="P596" s="118"/>
      <c r="Q596" s="46"/>
      <c r="R596" s="46"/>
      <c r="S596" s="46"/>
      <c r="T596" s="46"/>
      <c r="U596" s="118"/>
      <c r="V596" s="46"/>
      <c r="W596" s="88" t="str">
        <f>IF(V596&lt;&gt;"",SUMIFS('📊 รายงานสินค้าคงเหลือ'!G:G,'📊 รายงานสินค้าคงเหลือ'!D:D,V596),"")</f>
        <v/>
      </c>
      <c r="X596" s="46"/>
      <c r="Y596" s="46"/>
      <c r="Z596" s="46"/>
    </row>
    <row r="597">
      <c r="A597" s="46"/>
      <c r="B597" s="16"/>
      <c r="C597" s="118"/>
      <c r="D597" s="126"/>
      <c r="E597" s="88"/>
      <c r="F597" s="118"/>
      <c r="G597" s="46"/>
      <c r="H597" s="46"/>
      <c r="I597" s="118"/>
      <c r="J597" s="46"/>
      <c r="K597" s="16" t="str">
        <f>IF(J597&lt;&gt;"",SUMIFS('💰 Transaction ขาย'!$F:$F,'💰 Transaction ขาย'!$K:$K,$J597,'💰 Transaction ขาย'!$J:$J,$B$1),"")</f>
        <v/>
      </c>
      <c r="L597" s="118"/>
      <c r="M597" s="46"/>
      <c r="N597" s="46"/>
      <c r="O597" s="46"/>
      <c r="P597" s="118"/>
      <c r="Q597" s="46"/>
      <c r="R597" s="46"/>
      <c r="S597" s="46"/>
      <c r="T597" s="46"/>
      <c r="U597" s="118"/>
      <c r="V597" s="46"/>
      <c r="W597" s="88" t="str">
        <f>IF(V597&lt;&gt;"",SUMIFS('📊 รายงานสินค้าคงเหลือ'!G:G,'📊 รายงานสินค้าคงเหลือ'!D:D,V597),"")</f>
        <v/>
      </c>
      <c r="X597" s="46"/>
      <c r="Y597" s="46"/>
      <c r="Z597" s="46"/>
    </row>
    <row r="598">
      <c r="A598" s="46"/>
      <c r="B598" s="16"/>
      <c r="C598" s="118"/>
      <c r="D598" s="126"/>
      <c r="E598" s="88"/>
      <c r="F598" s="118"/>
      <c r="G598" s="46"/>
      <c r="H598" s="46"/>
      <c r="I598" s="118"/>
      <c r="J598" s="46"/>
      <c r="K598" s="16" t="str">
        <f>IF(J598&lt;&gt;"",SUMIFS('💰 Transaction ขาย'!$F:$F,'💰 Transaction ขาย'!$K:$K,$J598,'💰 Transaction ขาย'!$J:$J,$B$1),"")</f>
        <v/>
      </c>
      <c r="L598" s="118"/>
      <c r="M598" s="46"/>
      <c r="N598" s="46"/>
      <c r="O598" s="46"/>
      <c r="P598" s="118"/>
      <c r="Q598" s="46"/>
      <c r="R598" s="46"/>
      <c r="S598" s="46"/>
      <c r="T598" s="46"/>
      <c r="U598" s="118"/>
      <c r="V598" s="46"/>
      <c r="W598" s="88" t="str">
        <f>IF(V598&lt;&gt;"",SUMIFS('📊 รายงานสินค้าคงเหลือ'!G:G,'📊 รายงานสินค้าคงเหลือ'!D:D,V598),"")</f>
        <v/>
      </c>
      <c r="X598" s="46"/>
      <c r="Y598" s="46"/>
      <c r="Z598" s="46"/>
    </row>
    <row r="599">
      <c r="A599" s="46"/>
      <c r="B599" s="16"/>
      <c r="C599" s="118"/>
      <c r="D599" s="126"/>
      <c r="E599" s="88"/>
      <c r="F599" s="118"/>
      <c r="G599" s="46"/>
      <c r="H599" s="46"/>
      <c r="I599" s="118"/>
      <c r="J599" s="46"/>
      <c r="K599" s="16" t="str">
        <f>IF(J599&lt;&gt;"",SUMIFS('💰 Transaction ขาย'!$F:$F,'💰 Transaction ขาย'!$K:$K,$J599,'💰 Transaction ขาย'!$J:$J,$B$1),"")</f>
        <v/>
      </c>
      <c r="L599" s="118"/>
      <c r="M599" s="46"/>
      <c r="N599" s="46"/>
      <c r="O599" s="46"/>
      <c r="P599" s="118"/>
      <c r="Q599" s="46"/>
      <c r="R599" s="46"/>
      <c r="S599" s="46"/>
      <c r="T599" s="46"/>
      <c r="U599" s="118"/>
      <c r="V599" s="46"/>
      <c r="W599" s="88" t="str">
        <f>IF(V599&lt;&gt;"",SUMIFS('📊 รายงานสินค้าคงเหลือ'!G:G,'📊 รายงานสินค้าคงเหลือ'!D:D,V599),"")</f>
        <v/>
      </c>
      <c r="X599" s="46"/>
      <c r="Y599" s="46"/>
      <c r="Z599" s="46"/>
    </row>
    <row r="600">
      <c r="A600" s="46"/>
      <c r="B600" s="16"/>
      <c r="C600" s="118"/>
      <c r="D600" s="126"/>
      <c r="E600" s="88"/>
      <c r="F600" s="118"/>
      <c r="G600" s="46"/>
      <c r="H600" s="46"/>
      <c r="I600" s="118"/>
      <c r="J600" s="46"/>
      <c r="K600" s="16" t="str">
        <f>IF(J600&lt;&gt;"",SUMIFS('💰 Transaction ขาย'!$F:$F,'💰 Transaction ขาย'!$K:$K,$J600,'💰 Transaction ขาย'!$J:$J,$B$1),"")</f>
        <v/>
      </c>
      <c r="L600" s="118"/>
      <c r="M600" s="46"/>
      <c r="N600" s="46"/>
      <c r="O600" s="46"/>
      <c r="P600" s="118"/>
      <c r="Q600" s="46"/>
      <c r="R600" s="46"/>
      <c r="S600" s="46"/>
      <c r="T600" s="46"/>
      <c r="U600" s="118"/>
      <c r="V600" s="46"/>
      <c r="W600" s="88" t="str">
        <f>IF(V600&lt;&gt;"",SUMIFS('📊 รายงานสินค้าคงเหลือ'!G:G,'📊 รายงานสินค้าคงเหลือ'!D:D,V600),"")</f>
        <v/>
      </c>
      <c r="X600" s="46"/>
      <c r="Y600" s="46"/>
      <c r="Z600" s="46"/>
    </row>
    <row r="601">
      <c r="A601" s="46"/>
      <c r="B601" s="16"/>
      <c r="C601" s="118"/>
      <c r="D601" s="126"/>
      <c r="E601" s="88"/>
      <c r="F601" s="118"/>
      <c r="G601" s="46"/>
      <c r="H601" s="46"/>
      <c r="I601" s="118"/>
      <c r="J601" s="46"/>
      <c r="K601" s="16" t="str">
        <f>IF(J601&lt;&gt;"",SUMIFS('💰 Transaction ขาย'!$F:$F,'💰 Transaction ขาย'!$K:$K,$J601,'💰 Transaction ขาย'!$J:$J,$B$1),"")</f>
        <v/>
      </c>
      <c r="L601" s="118"/>
      <c r="M601" s="46"/>
      <c r="N601" s="46"/>
      <c r="O601" s="46"/>
      <c r="P601" s="118"/>
      <c r="Q601" s="46"/>
      <c r="R601" s="46"/>
      <c r="S601" s="46"/>
      <c r="T601" s="46"/>
      <c r="U601" s="118"/>
      <c r="V601" s="46"/>
      <c r="W601" s="88" t="str">
        <f>IF(V601&lt;&gt;"",SUMIFS('📊 รายงานสินค้าคงเหลือ'!G:G,'📊 รายงานสินค้าคงเหลือ'!D:D,V601),"")</f>
        <v/>
      </c>
      <c r="X601" s="46"/>
      <c r="Y601" s="46"/>
      <c r="Z601" s="46"/>
    </row>
    <row r="602">
      <c r="A602" s="46"/>
      <c r="B602" s="16"/>
      <c r="C602" s="118"/>
      <c r="D602" s="126"/>
      <c r="E602" s="88"/>
      <c r="F602" s="118"/>
      <c r="G602" s="46"/>
      <c r="H602" s="46"/>
      <c r="I602" s="118"/>
      <c r="J602" s="46"/>
      <c r="K602" s="16" t="str">
        <f>IF(J602&lt;&gt;"",SUMIFS('💰 Transaction ขาย'!$F:$F,'💰 Transaction ขาย'!$K:$K,$J602,'💰 Transaction ขาย'!$J:$J,$B$1),"")</f>
        <v/>
      </c>
      <c r="L602" s="118"/>
      <c r="M602" s="46"/>
      <c r="N602" s="46"/>
      <c r="O602" s="46"/>
      <c r="P602" s="118"/>
      <c r="Q602" s="46"/>
      <c r="R602" s="46"/>
      <c r="S602" s="46"/>
      <c r="T602" s="46"/>
      <c r="U602" s="118"/>
      <c r="V602" s="46"/>
      <c r="W602" s="88" t="str">
        <f>IF(V602&lt;&gt;"",SUMIFS('📊 รายงานสินค้าคงเหลือ'!G:G,'📊 รายงานสินค้าคงเหลือ'!D:D,V602),"")</f>
        <v/>
      </c>
      <c r="X602" s="46"/>
      <c r="Y602" s="46"/>
      <c r="Z602" s="46"/>
    </row>
    <row r="603">
      <c r="A603" s="46"/>
      <c r="B603" s="16"/>
      <c r="C603" s="118"/>
      <c r="D603" s="126"/>
      <c r="E603" s="88"/>
      <c r="F603" s="118"/>
      <c r="G603" s="46"/>
      <c r="H603" s="46"/>
      <c r="I603" s="118"/>
      <c r="J603" s="46"/>
      <c r="K603" s="16" t="str">
        <f>IF(J603&lt;&gt;"",SUMIFS('💰 Transaction ขาย'!$F:$F,'💰 Transaction ขาย'!$K:$K,$J603,'💰 Transaction ขาย'!$J:$J,$B$1),"")</f>
        <v/>
      </c>
      <c r="L603" s="118"/>
      <c r="M603" s="46"/>
      <c r="N603" s="46"/>
      <c r="O603" s="46"/>
      <c r="P603" s="118"/>
      <c r="Q603" s="46"/>
      <c r="R603" s="46"/>
      <c r="S603" s="46"/>
      <c r="T603" s="46"/>
      <c r="U603" s="118"/>
      <c r="V603" s="46"/>
      <c r="W603" s="88" t="str">
        <f>IF(V603&lt;&gt;"",SUMIFS('📊 รายงานสินค้าคงเหลือ'!G:G,'📊 รายงานสินค้าคงเหลือ'!D:D,V603),"")</f>
        <v/>
      </c>
      <c r="X603" s="46"/>
      <c r="Y603" s="46"/>
      <c r="Z603" s="46"/>
    </row>
    <row r="604">
      <c r="A604" s="46"/>
      <c r="B604" s="16"/>
      <c r="C604" s="118"/>
      <c r="D604" s="126"/>
      <c r="E604" s="88"/>
      <c r="F604" s="118"/>
      <c r="G604" s="46"/>
      <c r="H604" s="46"/>
      <c r="I604" s="118"/>
      <c r="J604" s="46"/>
      <c r="K604" s="16" t="str">
        <f>IF(J604&lt;&gt;"",SUMIFS('💰 Transaction ขาย'!$F:$F,'💰 Transaction ขาย'!$K:$K,$J604,'💰 Transaction ขาย'!$J:$J,$B$1),"")</f>
        <v/>
      </c>
      <c r="L604" s="118"/>
      <c r="M604" s="46"/>
      <c r="N604" s="46"/>
      <c r="O604" s="46"/>
      <c r="P604" s="118"/>
      <c r="Q604" s="46"/>
      <c r="R604" s="46"/>
      <c r="S604" s="46"/>
      <c r="T604" s="46"/>
      <c r="U604" s="118"/>
      <c r="V604" s="46"/>
      <c r="W604" s="88" t="str">
        <f>IF(V604&lt;&gt;"",SUMIFS('📊 รายงานสินค้าคงเหลือ'!G:G,'📊 รายงานสินค้าคงเหลือ'!D:D,V604),"")</f>
        <v/>
      </c>
      <c r="X604" s="46"/>
      <c r="Y604" s="46"/>
      <c r="Z604" s="46"/>
    </row>
    <row r="605">
      <c r="A605" s="46"/>
      <c r="B605" s="16"/>
      <c r="C605" s="118"/>
      <c r="D605" s="126"/>
      <c r="E605" s="88"/>
      <c r="F605" s="118"/>
      <c r="G605" s="46"/>
      <c r="H605" s="46"/>
      <c r="I605" s="118"/>
      <c r="J605" s="46"/>
      <c r="K605" s="16" t="str">
        <f>IF(J605&lt;&gt;"",SUMIFS('💰 Transaction ขาย'!$F:$F,'💰 Transaction ขาย'!$K:$K,$J605,'💰 Transaction ขาย'!$J:$J,$B$1),"")</f>
        <v/>
      </c>
      <c r="L605" s="118"/>
      <c r="M605" s="46"/>
      <c r="N605" s="46"/>
      <c r="O605" s="46"/>
      <c r="P605" s="118"/>
      <c r="Q605" s="46"/>
      <c r="R605" s="46"/>
      <c r="S605" s="46"/>
      <c r="T605" s="46"/>
      <c r="U605" s="118"/>
      <c r="V605" s="46"/>
      <c r="W605" s="88" t="str">
        <f>IF(V605&lt;&gt;"",SUMIFS('📊 รายงานสินค้าคงเหลือ'!G:G,'📊 รายงานสินค้าคงเหลือ'!D:D,V605),"")</f>
        <v/>
      </c>
      <c r="X605" s="46"/>
      <c r="Y605" s="46"/>
      <c r="Z605" s="46"/>
    </row>
    <row r="606">
      <c r="A606" s="46"/>
      <c r="B606" s="16"/>
      <c r="C606" s="118"/>
      <c r="D606" s="126"/>
      <c r="E606" s="88"/>
      <c r="F606" s="118"/>
      <c r="G606" s="46"/>
      <c r="H606" s="46"/>
      <c r="I606" s="118"/>
      <c r="J606" s="46"/>
      <c r="K606" s="16" t="str">
        <f>IF(J606&lt;&gt;"",SUMIFS('💰 Transaction ขาย'!$F:$F,'💰 Transaction ขาย'!$K:$K,$J606,'💰 Transaction ขาย'!$J:$J,$B$1),"")</f>
        <v/>
      </c>
      <c r="L606" s="118"/>
      <c r="M606" s="46"/>
      <c r="N606" s="46"/>
      <c r="O606" s="46"/>
      <c r="P606" s="118"/>
      <c r="Q606" s="46"/>
      <c r="R606" s="46"/>
      <c r="S606" s="46"/>
      <c r="T606" s="46"/>
      <c r="U606" s="118"/>
      <c r="V606" s="46"/>
      <c r="W606" s="88" t="str">
        <f>IF(V606&lt;&gt;"",SUMIFS('📊 รายงานสินค้าคงเหลือ'!G:G,'📊 รายงานสินค้าคงเหลือ'!D:D,V606),"")</f>
        <v/>
      </c>
      <c r="X606" s="46"/>
      <c r="Y606" s="46"/>
      <c r="Z606" s="46"/>
    </row>
    <row r="607">
      <c r="A607" s="46"/>
      <c r="B607" s="16"/>
      <c r="C607" s="118"/>
      <c r="D607" s="126"/>
      <c r="E607" s="88"/>
      <c r="F607" s="118"/>
      <c r="G607" s="46"/>
      <c r="H607" s="46"/>
      <c r="I607" s="118"/>
      <c r="J607" s="46"/>
      <c r="K607" s="16" t="str">
        <f>IF(J607&lt;&gt;"",SUMIFS('💰 Transaction ขาย'!$F:$F,'💰 Transaction ขาย'!$K:$K,$J607,'💰 Transaction ขาย'!$J:$J,$B$1),"")</f>
        <v/>
      </c>
      <c r="L607" s="118"/>
      <c r="M607" s="46"/>
      <c r="N607" s="46"/>
      <c r="O607" s="46"/>
      <c r="P607" s="118"/>
      <c r="Q607" s="46"/>
      <c r="R607" s="46"/>
      <c r="S607" s="46"/>
      <c r="T607" s="46"/>
      <c r="U607" s="118"/>
      <c r="V607" s="46"/>
      <c r="W607" s="88" t="str">
        <f>IF(V607&lt;&gt;"",SUMIFS('📊 รายงานสินค้าคงเหลือ'!G:G,'📊 รายงานสินค้าคงเหลือ'!D:D,V607),"")</f>
        <v/>
      </c>
      <c r="X607" s="46"/>
      <c r="Y607" s="46"/>
      <c r="Z607" s="46"/>
    </row>
    <row r="608">
      <c r="A608" s="46"/>
      <c r="B608" s="16"/>
      <c r="C608" s="118"/>
      <c r="D608" s="126"/>
      <c r="E608" s="88"/>
      <c r="F608" s="118"/>
      <c r="G608" s="46"/>
      <c r="H608" s="46"/>
      <c r="I608" s="118"/>
      <c r="J608" s="46"/>
      <c r="K608" s="16" t="str">
        <f>IF(J608&lt;&gt;"",SUMIFS('💰 Transaction ขาย'!$F:$F,'💰 Transaction ขาย'!$K:$K,$J608,'💰 Transaction ขาย'!$J:$J,$B$1),"")</f>
        <v/>
      </c>
      <c r="L608" s="118"/>
      <c r="M608" s="46"/>
      <c r="N608" s="46"/>
      <c r="O608" s="46"/>
      <c r="P608" s="118"/>
      <c r="Q608" s="46"/>
      <c r="R608" s="46"/>
      <c r="S608" s="46"/>
      <c r="T608" s="46"/>
      <c r="U608" s="118"/>
      <c r="V608" s="46"/>
      <c r="W608" s="88" t="str">
        <f>IF(V608&lt;&gt;"",SUMIFS('📊 รายงานสินค้าคงเหลือ'!G:G,'📊 รายงานสินค้าคงเหลือ'!D:D,V608),"")</f>
        <v/>
      </c>
      <c r="X608" s="46"/>
      <c r="Y608" s="46"/>
      <c r="Z608" s="46"/>
    </row>
    <row r="609">
      <c r="A609" s="46"/>
      <c r="B609" s="16"/>
      <c r="C609" s="118"/>
      <c r="D609" s="126"/>
      <c r="E609" s="88"/>
      <c r="F609" s="118"/>
      <c r="G609" s="46"/>
      <c r="H609" s="46"/>
      <c r="I609" s="118"/>
      <c r="J609" s="46"/>
      <c r="K609" s="16" t="str">
        <f>IF(J609&lt;&gt;"",SUMIFS('💰 Transaction ขาย'!$F:$F,'💰 Transaction ขาย'!$K:$K,$J609,'💰 Transaction ขาย'!$J:$J,$B$1),"")</f>
        <v/>
      </c>
      <c r="L609" s="118"/>
      <c r="M609" s="46"/>
      <c r="N609" s="46"/>
      <c r="O609" s="46"/>
      <c r="P609" s="118"/>
      <c r="Q609" s="46"/>
      <c r="R609" s="46"/>
      <c r="S609" s="46"/>
      <c r="T609" s="46"/>
      <c r="U609" s="118"/>
      <c r="V609" s="46"/>
      <c r="W609" s="88" t="str">
        <f>IF(V609&lt;&gt;"",SUMIFS('📊 รายงานสินค้าคงเหลือ'!G:G,'📊 รายงานสินค้าคงเหลือ'!D:D,V609),"")</f>
        <v/>
      </c>
      <c r="X609" s="46"/>
      <c r="Y609" s="46"/>
      <c r="Z609" s="46"/>
    </row>
    <row r="610">
      <c r="A610" s="46"/>
      <c r="B610" s="16"/>
      <c r="C610" s="118"/>
      <c r="D610" s="126"/>
      <c r="E610" s="88"/>
      <c r="F610" s="118"/>
      <c r="G610" s="46"/>
      <c r="H610" s="46"/>
      <c r="I610" s="118"/>
      <c r="J610" s="46"/>
      <c r="K610" s="16" t="str">
        <f>IF(J610&lt;&gt;"",SUMIFS('💰 Transaction ขาย'!$F:$F,'💰 Transaction ขาย'!$K:$K,$J610,'💰 Transaction ขาย'!$J:$J,$B$1),"")</f>
        <v/>
      </c>
      <c r="L610" s="118"/>
      <c r="M610" s="46"/>
      <c r="N610" s="46"/>
      <c r="O610" s="46"/>
      <c r="P610" s="118"/>
      <c r="Q610" s="46"/>
      <c r="R610" s="46"/>
      <c r="S610" s="46"/>
      <c r="T610" s="46"/>
      <c r="U610" s="118"/>
      <c r="V610" s="46"/>
      <c r="W610" s="88" t="str">
        <f>IF(V610&lt;&gt;"",SUMIFS('📊 รายงานสินค้าคงเหลือ'!G:G,'📊 รายงานสินค้าคงเหลือ'!D:D,V610),"")</f>
        <v/>
      </c>
      <c r="X610" s="46"/>
      <c r="Y610" s="46"/>
      <c r="Z610" s="46"/>
    </row>
    <row r="611">
      <c r="A611" s="46"/>
      <c r="B611" s="16"/>
      <c r="C611" s="118"/>
      <c r="D611" s="126"/>
      <c r="E611" s="88"/>
      <c r="F611" s="118"/>
      <c r="G611" s="46"/>
      <c r="H611" s="46"/>
      <c r="I611" s="118"/>
      <c r="J611" s="46"/>
      <c r="K611" s="16" t="str">
        <f>IF(J611&lt;&gt;"",SUMIFS('💰 Transaction ขาย'!$F:$F,'💰 Transaction ขาย'!$K:$K,$J611,'💰 Transaction ขาย'!$J:$J,$B$1),"")</f>
        <v/>
      </c>
      <c r="L611" s="118"/>
      <c r="M611" s="46"/>
      <c r="N611" s="46"/>
      <c r="O611" s="46"/>
      <c r="P611" s="118"/>
      <c r="Q611" s="46"/>
      <c r="R611" s="46"/>
      <c r="S611" s="46"/>
      <c r="T611" s="46"/>
      <c r="U611" s="118"/>
      <c r="V611" s="46"/>
      <c r="W611" s="88" t="str">
        <f>IF(V611&lt;&gt;"",SUMIFS('📊 รายงานสินค้าคงเหลือ'!G:G,'📊 รายงานสินค้าคงเหลือ'!D:D,V611),"")</f>
        <v/>
      </c>
      <c r="X611" s="46"/>
      <c r="Y611" s="46"/>
      <c r="Z611" s="46"/>
    </row>
    <row r="612">
      <c r="A612" s="46"/>
      <c r="B612" s="16"/>
      <c r="C612" s="118"/>
      <c r="D612" s="126"/>
      <c r="E612" s="88"/>
      <c r="F612" s="118"/>
      <c r="G612" s="46"/>
      <c r="H612" s="46"/>
      <c r="I612" s="118"/>
      <c r="J612" s="46"/>
      <c r="K612" s="16" t="str">
        <f>IF(J612&lt;&gt;"",SUMIFS('💰 Transaction ขาย'!$F:$F,'💰 Transaction ขาย'!$K:$K,$J612,'💰 Transaction ขาย'!$J:$J,$B$1),"")</f>
        <v/>
      </c>
      <c r="L612" s="118"/>
      <c r="M612" s="46"/>
      <c r="N612" s="46"/>
      <c r="O612" s="46"/>
      <c r="P612" s="118"/>
      <c r="Q612" s="46"/>
      <c r="R612" s="46"/>
      <c r="S612" s="46"/>
      <c r="T612" s="46"/>
      <c r="U612" s="118"/>
      <c r="V612" s="46"/>
      <c r="W612" s="88" t="str">
        <f>IF(V612&lt;&gt;"",SUMIFS('📊 รายงานสินค้าคงเหลือ'!G:G,'📊 รายงานสินค้าคงเหลือ'!D:D,V612),"")</f>
        <v/>
      </c>
      <c r="X612" s="46"/>
      <c r="Y612" s="46"/>
      <c r="Z612" s="46"/>
    </row>
    <row r="613">
      <c r="A613" s="46"/>
      <c r="B613" s="16"/>
      <c r="C613" s="118"/>
      <c r="D613" s="126"/>
      <c r="E613" s="88"/>
      <c r="F613" s="118"/>
      <c r="G613" s="46"/>
      <c r="H613" s="46"/>
      <c r="I613" s="118"/>
      <c r="J613" s="46"/>
      <c r="K613" s="16" t="str">
        <f>IF(J613&lt;&gt;"",SUMIFS('💰 Transaction ขาย'!$F:$F,'💰 Transaction ขาย'!$K:$K,$J613,'💰 Transaction ขาย'!$J:$J,$B$1),"")</f>
        <v/>
      </c>
      <c r="L613" s="118"/>
      <c r="M613" s="46"/>
      <c r="N613" s="46"/>
      <c r="O613" s="46"/>
      <c r="P613" s="118"/>
      <c r="Q613" s="46"/>
      <c r="R613" s="46"/>
      <c r="S613" s="46"/>
      <c r="T613" s="46"/>
      <c r="U613" s="118"/>
      <c r="V613" s="46"/>
      <c r="W613" s="88" t="str">
        <f>IF(V613&lt;&gt;"",SUMIFS('📊 รายงานสินค้าคงเหลือ'!G:G,'📊 รายงานสินค้าคงเหลือ'!D:D,V613),"")</f>
        <v/>
      </c>
      <c r="X613" s="46"/>
      <c r="Y613" s="46"/>
      <c r="Z613" s="46"/>
    </row>
    <row r="614">
      <c r="A614" s="46"/>
      <c r="B614" s="16"/>
      <c r="C614" s="118"/>
      <c r="D614" s="126"/>
      <c r="E614" s="88"/>
      <c r="F614" s="118"/>
      <c r="G614" s="46"/>
      <c r="H614" s="46"/>
      <c r="I614" s="118"/>
      <c r="J614" s="46"/>
      <c r="K614" s="16" t="str">
        <f>IF(J614&lt;&gt;"",SUMIFS('💰 Transaction ขาย'!$F:$F,'💰 Transaction ขาย'!$K:$K,$J614,'💰 Transaction ขาย'!$J:$J,$B$1),"")</f>
        <v/>
      </c>
      <c r="L614" s="118"/>
      <c r="M614" s="46"/>
      <c r="N614" s="46"/>
      <c r="O614" s="46"/>
      <c r="P614" s="118"/>
      <c r="Q614" s="46"/>
      <c r="R614" s="46"/>
      <c r="S614" s="46"/>
      <c r="T614" s="46"/>
      <c r="U614" s="118"/>
      <c r="V614" s="46"/>
      <c r="W614" s="88" t="str">
        <f>IF(V614&lt;&gt;"",SUMIFS('📊 รายงานสินค้าคงเหลือ'!G:G,'📊 รายงานสินค้าคงเหลือ'!D:D,V614),"")</f>
        <v/>
      </c>
      <c r="X614" s="46"/>
      <c r="Y614" s="46"/>
      <c r="Z614" s="46"/>
    </row>
    <row r="615">
      <c r="A615" s="46"/>
      <c r="B615" s="16"/>
      <c r="C615" s="118"/>
      <c r="D615" s="126"/>
      <c r="E615" s="88"/>
      <c r="F615" s="118"/>
      <c r="G615" s="46"/>
      <c r="H615" s="46"/>
      <c r="I615" s="118"/>
      <c r="J615" s="46"/>
      <c r="K615" s="16" t="str">
        <f>IF(J615&lt;&gt;"",SUMIFS('💰 Transaction ขาย'!$F:$F,'💰 Transaction ขาย'!$K:$K,$J615,'💰 Transaction ขาย'!$J:$J,$B$1),"")</f>
        <v/>
      </c>
      <c r="L615" s="118"/>
      <c r="M615" s="46"/>
      <c r="N615" s="46"/>
      <c r="O615" s="46"/>
      <c r="P615" s="118"/>
      <c r="Q615" s="46"/>
      <c r="R615" s="46"/>
      <c r="S615" s="46"/>
      <c r="T615" s="46"/>
      <c r="U615" s="118"/>
      <c r="V615" s="46"/>
      <c r="W615" s="88" t="str">
        <f>IF(V615&lt;&gt;"",SUMIFS('📊 รายงานสินค้าคงเหลือ'!G:G,'📊 รายงานสินค้าคงเหลือ'!D:D,V615),"")</f>
        <v/>
      </c>
      <c r="X615" s="46"/>
      <c r="Y615" s="46"/>
      <c r="Z615" s="46"/>
    </row>
    <row r="616">
      <c r="A616" s="46"/>
      <c r="B616" s="16"/>
      <c r="C616" s="118"/>
      <c r="D616" s="126"/>
      <c r="E616" s="88"/>
      <c r="F616" s="118"/>
      <c r="G616" s="46"/>
      <c r="H616" s="46"/>
      <c r="I616" s="118"/>
      <c r="J616" s="46"/>
      <c r="K616" s="16" t="str">
        <f>IF(J616&lt;&gt;"",SUMIFS('💰 Transaction ขาย'!$F:$F,'💰 Transaction ขาย'!$K:$K,$J616,'💰 Transaction ขาย'!$J:$J,$B$1),"")</f>
        <v/>
      </c>
      <c r="L616" s="118"/>
      <c r="M616" s="46"/>
      <c r="N616" s="46"/>
      <c r="O616" s="46"/>
      <c r="P616" s="118"/>
      <c r="Q616" s="46"/>
      <c r="R616" s="46"/>
      <c r="S616" s="46"/>
      <c r="T616" s="46"/>
      <c r="U616" s="118"/>
      <c r="V616" s="46"/>
      <c r="W616" s="88" t="str">
        <f>IF(V616&lt;&gt;"",SUMIFS('📊 รายงานสินค้าคงเหลือ'!G:G,'📊 รายงานสินค้าคงเหลือ'!D:D,V616),"")</f>
        <v/>
      </c>
      <c r="X616" s="46"/>
      <c r="Y616" s="46"/>
      <c r="Z616" s="46"/>
    </row>
    <row r="617">
      <c r="A617" s="46"/>
      <c r="B617" s="16"/>
      <c r="C617" s="118"/>
      <c r="D617" s="126"/>
      <c r="E617" s="88"/>
      <c r="F617" s="118"/>
      <c r="G617" s="46"/>
      <c r="H617" s="46"/>
      <c r="I617" s="118"/>
      <c r="J617" s="46"/>
      <c r="K617" s="16" t="str">
        <f>IF(J617&lt;&gt;"",SUMIFS('💰 Transaction ขาย'!$F:$F,'💰 Transaction ขาย'!$K:$K,$J617,'💰 Transaction ขาย'!$J:$J,$B$1),"")</f>
        <v/>
      </c>
      <c r="L617" s="118"/>
      <c r="M617" s="46"/>
      <c r="N617" s="46"/>
      <c r="O617" s="46"/>
      <c r="P617" s="118"/>
      <c r="Q617" s="46"/>
      <c r="R617" s="46"/>
      <c r="S617" s="46"/>
      <c r="T617" s="46"/>
      <c r="U617" s="118"/>
      <c r="V617" s="46"/>
      <c r="W617" s="88" t="str">
        <f>IF(V617&lt;&gt;"",SUMIFS('📊 รายงานสินค้าคงเหลือ'!G:G,'📊 รายงานสินค้าคงเหลือ'!D:D,V617),"")</f>
        <v/>
      </c>
      <c r="X617" s="46"/>
      <c r="Y617" s="46"/>
      <c r="Z617" s="46"/>
    </row>
    <row r="618">
      <c r="A618" s="46"/>
      <c r="B618" s="16"/>
      <c r="C618" s="118"/>
      <c r="D618" s="126"/>
      <c r="E618" s="88"/>
      <c r="F618" s="118"/>
      <c r="G618" s="46"/>
      <c r="H618" s="46"/>
      <c r="I618" s="118"/>
      <c r="J618" s="46"/>
      <c r="K618" s="16" t="str">
        <f>IF(J618&lt;&gt;"",SUMIFS('💰 Transaction ขาย'!$F:$F,'💰 Transaction ขาย'!$K:$K,$J618,'💰 Transaction ขาย'!$J:$J,$B$1),"")</f>
        <v/>
      </c>
      <c r="L618" s="118"/>
      <c r="M618" s="46"/>
      <c r="N618" s="46"/>
      <c r="O618" s="46"/>
      <c r="P618" s="118"/>
      <c r="Q618" s="46"/>
      <c r="R618" s="46"/>
      <c r="S618" s="46"/>
      <c r="T618" s="46"/>
      <c r="U618" s="118"/>
      <c r="V618" s="46"/>
      <c r="W618" s="88" t="str">
        <f>IF(V618&lt;&gt;"",SUMIFS('📊 รายงานสินค้าคงเหลือ'!G:G,'📊 รายงานสินค้าคงเหลือ'!D:D,V618),"")</f>
        <v/>
      </c>
      <c r="X618" s="46"/>
      <c r="Y618" s="46"/>
      <c r="Z618" s="46"/>
    </row>
    <row r="619">
      <c r="A619" s="46"/>
      <c r="B619" s="16"/>
      <c r="C619" s="118"/>
      <c r="D619" s="126"/>
      <c r="E619" s="88"/>
      <c r="F619" s="118"/>
      <c r="G619" s="46"/>
      <c r="H619" s="46"/>
      <c r="I619" s="118"/>
      <c r="J619" s="46"/>
      <c r="K619" s="16" t="str">
        <f>IF(J619&lt;&gt;"",SUMIFS('💰 Transaction ขาย'!$F:$F,'💰 Transaction ขาย'!$K:$K,$J619,'💰 Transaction ขาย'!$J:$J,$B$1),"")</f>
        <v/>
      </c>
      <c r="L619" s="118"/>
      <c r="M619" s="46"/>
      <c r="N619" s="46"/>
      <c r="O619" s="46"/>
      <c r="P619" s="118"/>
      <c r="Q619" s="46"/>
      <c r="R619" s="46"/>
      <c r="S619" s="46"/>
      <c r="T619" s="46"/>
      <c r="U619" s="118"/>
      <c r="V619" s="46"/>
      <c r="W619" s="88" t="str">
        <f>IF(V619&lt;&gt;"",SUMIFS('📊 รายงานสินค้าคงเหลือ'!G:G,'📊 รายงานสินค้าคงเหลือ'!D:D,V619),"")</f>
        <v/>
      </c>
      <c r="X619" s="46"/>
      <c r="Y619" s="46"/>
      <c r="Z619" s="46"/>
    </row>
    <row r="620">
      <c r="A620" s="46"/>
      <c r="B620" s="16"/>
      <c r="C620" s="118"/>
      <c r="D620" s="126"/>
      <c r="E620" s="88"/>
      <c r="F620" s="118"/>
      <c r="G620" s="46"/>
      <c r="H620" s="46"/>
      <c r="I620" s="118"/>
      <c r="J620" s="46"/>
      <c r="K620" s="16" t="str">
        <f>IF(J620&lt;&gt;"",SUMIFS('💰 Transaction ขาย'!$F:$F,'💰 Transaction ขาย'!$K:$K,$J620,'💰 Transaction ขาย'!$J:$J,$B$1),"")</f>
        <v/>
      </c>
      <c r="L620" s="118"/>
      <c r="M620" s="46"/>
      <c r="N620" s="46"/>
      <c r="O620" s="46"/>
      <c r="P620" s="118"/>
      <c r="Q620" s="46"/>
      <c r="R620" s="46"/>
      <c r="S620" s="46"/>
      <c r="T620" s="46"/>
      <c r="U620" s="118"/>
      <c r="V620" s="46"/>
      <c r="W620" s="88" t="str">
        <f>IF(V620&lt;&gt;"",SUMIFS('📊 รายงานสินค้าคงเหลือ'!G:G,'📊 รายงานสินค้าคงเหลือ'!D:D,V620),"")</f>
        <v/>
      </c>
      <c r="X620" s="46"/>
      <c r="Y620" s="46"/>
      <c r="Z620" s="46"/>
    </row>
    <row r="621">
      <c r="A621" s="46"/>
      <c r="B621" s="16"/>
      <c r="C621" s="118"/>
      <c r="D621" s="126"/>
      <c r="E621" s="88"/>
      <c r="F621" s="118"/>
      <c r="G621" s="46"/>
      <c r="H621" s="46"/>
      <c r="I621" s="118"/>
      <c r="J621" s="46"/>
      <c r="K621" s="16" t="str">
        <f>IF(J621&lt;&gt;"",SUMIFS('💰 Transaction ขาย'!$F:$F,'💰 Transaction ขาย'!$K:$K,$J621,'💰 Transaction ขาย'!$J:$J,$B$1),"")</f>
        <v/>
      </c>
      <c r="L621" s="118"/>
      <c r="M621" s="46"/>
      <c r="N621" s="46"/>
      <c r="O621" s="46"/>
      <c r="P621" s="118"/>
      <c r="Q621" s="46"/>
      <c r="R621" s="46"/>
      <c r="S621" s="46"/>
      <c r="T621" s="46"/>
      <c r="U621" s="118"/>
      <c r="V621" s="46"/>
      <c r="W621" s="88" t="str">
        <f>IF(V621&lt;&gt;"",SUMIFS('📊 รายงานสินค้าคงเหลือ'!G:G,'📊 รายงานสินค้าคงเหลือ'!D:D,V621),"")</f>
        <v/>
      </c>
      <c r="X621" s="46"/>
      <c r="Y621" s="46"/>
      <c r="Z621" s="46"/>
    </row>
    <row r="622">
      <c r="A622" s="46"/>
      <c r="B622" s="16"/>
      <c r="C622" s="118"/>
      <c r="D622" s="126"/>
      <c r="E622" s="88"/>
      <c r="F622" s="118"/>
      <c r="G622" s="46"/>
      <c r="H622" s="46"/>
      <c r="I622" s="118"/>
      <c r="J622" s="46"/>
      <c r="K622" s="16" t="str">
        <f>IF(J622&lt;&gt;"",SUMIFS('💰 Transaction ขาย'!$F:$F,'💰 Transaction ขาย'!$K:$K,$J622,'💰 Transaction ขาย'!$J:$J,$B$1),"")</f>
        <v/>
      </c>
      <c r="L622" s="118"/>
      <c r="M622" s="46"/>
      <c r="N622" s="46"/>
      <c r="O622" s="46"/>
      <c r="P622" s="118"/>
      <c r="Q622" s="46"/>
      <c r="R622" s="46"/>
      <c r="S622" s="46"/>
      <c r="T622" s="46"/>
      <c r="U622" s="118"/>
      <c r="V622" s="46"/>
      <c r="W622" s="88" t="str">
        <f>IF(V622&lt;&gt;"",SUMIFS('📊 รายงานสินค้าคงเหลือ'!G:G,'📊 รายงานสินค้าคงเหลือ'!D:D,V622),"")</f>
        <v/>
      </c>
      <c r="X622" s="46"/>
      <c r="Y622" s="46"/>
      <c r="Z622" s="46"/>
    </row>
    <row r="623">
      <c r="A623" s="46"/>
      <c r="B623" s="16"/>
      <c r="C623" s="118"/>
      <c r="D623" s="126"/>
      <c r="E623" s="88"/>
      <c r="F623" s="118"/>
      <c r="G623" s="46"/>
      <c r="H623" s="46"/>
      <c r="I623" s="118"/>
      <c r="J623" s="46"/>
      <c r="K623" s="16" t="str">
        <f>IF(J623&lt;&gt;"",SUMIFS('💰 Transaction ขาย'!$F:$F,'💰 Transaction ขาย'!$K:$K,$J623,'💰 Transaction ขาย'!$J:$J,$B$1),"")</f>
        <v/>
      </c>
      <c r="L623" s="118"/>
      <c r="M623" s="46"/>
      <c r="N623" s="46"/>
      <c r="O623" s="46"/>
      <c r="P623" s="118"/>
      <c r="Q623" s="46"/>
      <c r="R623" s="46"/>
      <c r="S623" s="46"/>
      <c r="T623" s="46"/>
      <c r="U623" s="118"/>
      <c r="V623" s="46"/>
      <c r="W623" s="88" t="str">
        <f>IF(V623&lt;&gt;"",SUMIFS('📊 รายงานสินค้าคงเหลือ'!G:G,'📊 รายงานสินค้าคงเหลือ'!D:D,V623),"")</f>
        <v/>
      </c>
      <c r="X623" s="46"/>
      <c r="Y623" s="46"/>
      <c r="Z623" s="46"/>
    </row>
    <row r="624">
      <c r="A624" s="46"/>
      <c r="B624" s="16"/>
      <c r="C624" s="118"/>
      <c r="D624" s="126"/>
      <c r="E624" s="88"/>
      <c r="F624" s="118"/>
      <c r="G624" s="46"/>
      <c r="H624" s="46"/>
      <c r="I624" s="118"/>
      <c r="J624" s="46"/>
      <c r="K624" s="16" t="str">
        <f>IF(J624&lt;&gt;"",SUMIFS('💰 Transaction ขาย'!$F:$F,'💰 Transaction ขาย'!$K:$K,$J624,'💰 Transaction ขาย'!$J:$J,$B$1),"")</f>
        <v/>
      </c>
      <c r="L624" s="118"/>
      <c r="M624" s="46"/>
      <c r="N624" s="46"/>
      <c r="O624" s="46"/>
      <c r="P624" s="118"/>
      <c r="Q624" s="46"/>
      <c r="R624" s="46"/>
      <c r="S624" s="46"/>
      <c r="T624" s="46"/>
      <c r="U624" s="118"/>
      <c r="V624" s="46"/>
      <c r="W624" s="88" t="str">
        <f>IF(V624&lt;&gt;"",SUMIFS('📊 รายงานสินค้าคงเหลือ'!G:G,'📊 รายงานสินค้าคงเหลือ'!D:D,V624),"")</f>
        <v/>
      </c>
      <c r="X624" s="46"/>
      <c r="Y624" s="46"/>
      <c r="Z624" s="46"/>
    </row>
    <row r="625">
      <c r="A625" s="46"/>
      <c r="B625" s="16"/>
      <c r="C625" s="118"/>
      <c r="D625" s="126"/>
      <c r="E625" s="88"/>
      <c r="F625" s="118"/>
      <c r="G625" s="46"/>
      <c r="H625" s="46"/>
      <c r="I625" s="118"/>
      <c r="J625" s="46"/>
      <c r="K625" s="16" t="str">
        <f>IF(J625&lt;&gt;"",SUMIFS('💰 Transaction ขาย'!$F:$F,'💰 Transaction ขาย'!$K:$K,$J625,'💰 Transaction ขาย'!$J:$J,$B$1),"")</f>
        <v/>
      </c>
      <c r="L625" s="118"/>
      <c r="M625" s="46"/>
      <c r="N625" s="46"/>
      <c r="O625" s="46"/>
      <c r="P625" s="118"/>
      <c r="Q625" s="46"/>
      <c r="R625" s="46"/>
      <c r="S625" s="46"/>
      <c r="T625" s="46"/>
      <c r="U625" s="118"/>
      <c r="V625" s="46"/>
      <c r="W625" s="88" t="str">
        <f>IF(V625&lt;&gt;"",SUMIFS('📊 รายงานสินค้าคงเหลือ'!G:G,'📊 รายงานสินค้าคงเหลือ'!D:D,V625),"")</f>
        <v/>
      </c>
      <c r="X625" s="46"/>
      <c r="Y625" s="46"/>
      <c r="Z625" s="46"/>
    </row>
    <row r="626">
      <c r="A626" s="46"/>
      <c r="B626" s="16"/>
      <c r="C626" s="118"/>
      <c r="D626" s="126"/>
      <c r="E626" s="88"/>
      <c r="F626" s="118"/>
      <c r="G626" s="46"/>
      <c r="H626" s="46"/>
      <c r="I626" s="118"/>
      <c r="J626" s="46"/>
      <c r="K626" s="16" t="str">
        <f>IF(J626&lt;&gt;"",SUMIFS('💰 Transaction ขาย'!$F:$F,'💰 Transaction ขาย'!$K:$K,$J626,'💰 Transaction ขาย'!$J:$J,$B$1),"")</f>
        <v/>
      </c>
      <c r="L626" s="118"/>
      <c r="M626" s="46"/>
      <c r="N626" s="46"/>
      <c r="O626" s="46"/>
      <c r="P626" s="118"/>
      <c r="Q626" s="46"/>
      <c r="R626" s="46"/>
      <c r="S626" s="46"/>
      <c r="T626" s="46"/>
      <c r="U626" s="118"/>
      <c r="V626" s="46"/>
      <c r="W626" s="88" t="str">
        <f>IF(V626&lt;&gt;"",SUMIFS('📊 รายงานสินค้าคงเหลือ'!G:G,'📊 รายงานสินค้าคงเหลือ'!D:D,V626),"")</f>
        <v/>
      </c>
      <c r="X626" s="46"/>
      <c r="Y626" s="46"/>
      <c r="Z626" s="46"/>
    </row>
    <row r="627">
      <c r="A627" s="46"/>
      <c r="B627" s="16"/>
      <c r="C627" s="118"/>
      <c r="D627" s="126"/>
      <c r="E627" s="88"/>
      <c r="F627" s="118"/>
      <c r="G627" s="46"/>
      <c r="H627" s="46"/>
      <c r="I627" s="118"/>
      <c r="J627" s="46"/>
      <c r="K627" s="16" t="str">
        <f>IF(J627&lt;&gt;"",SUMIFS('💰 Transaction ขาย'!$F:$F,'💰 Transaction ขาย'!$K:$K,$J627,'💰 Transaction ขาย'!$J:$J,$B$1),"")</f>
        <v/>
      </c>
      <c r="L627" s="118"/>
      <c r="M627" s="46"/>
      <c r="N627" s="46"/>
      <c r="O627" s="46"/>
      <c r="P627" s="118"/>
      <c r="Q627" s="46"/>
      <c r="R627" s="46"/>
      <c r="S627" s="46"/>
      <c r="T627" s="46"/>
      <c r="U627" s="118"/>
      <c r="V627" s="46"/>
      <c r="W627" s="88" t="str">
        <f>IF(V627&lt;&gt;"",SUMIFS('📊 รายงานสินค้าคงเหลือ'!G:G,'📊 รายงานสินค้าคงเหลือ'!D:D,V627),"")</f>
        <v/>
      </c>
      <c r="X627" s="46"/>
      <c r="Y627" s="46"/>
      <c r="Z627" s="46"/>
    </row>
    <row r="628">
      <c r="A628" s="46"/>
      <c r="B628" s="16"/>
      <c r="C628" s="118"/>
      <c r="D628" s="126"/>
      <c r="E628" s="88"/>
      <c r="F628" s="118"/>
      <c r="G628" s="46"/>
      <c r="H628" s="46"/>
      <c r="I628" s="118"/>
      <c r="J628" s="46"/>
      <c r="K628" s="16" t="str">
        <f>IF(J628&lt;&gt;"",SUMIFS('💰 Transaction ขาย'!$F:$F,'💰 Transaction ขาย'!$K:$K,$J628,'💰 Transaction ขาย'!$J:$J,$B$1),"")</f>
        <v/>
      </c>
      <c r="L628" s="118"/>
      <c r="M628" s="46"/>
      <c r="N628" s="46"/>
      <c r="O628" s="46"/>
      <c r="P628" s="118"/>
      <c r="Q628" s="46"/>
      <c r="R628" s="46"/>
      <c r="S628" s="46"/>
      <c r="T628" s="46"/>
      <c r="U628" s="118"/>
      <c r="V628" s="46"/>
      <c r="W628" s="88" t="str">
        <f>IF(V628&lt;&gt;"",SUMIFS('📊 รายงานสินค้าคงเหลือ'!G:G,'📊 รายงานสินค้าคงเหลือ'!D:D,V628),"")</f>
        <v/>
      </c>
      <c r="X628" s="46"/>
      <c r="Y628" s="46"/>
      <c r="Z628" s="46"/>
    </row>
    <row r="629">
      <c r="A629" s="46"/>
      <c r="B629" s="16"/>
      <c r="C629" s="118"/>
      <c r="D629" s="126"/>
      <c r="E629" s="88"/>
      <c r="F629" s="118"/>
      <c r="G629" s="46"/>
      <c r="H629" s="46"/>
      <c r="I629" s="118"/>
      <c r="J629" s="46"/>
      <c r="K629" s="16" t="str">
        <f>IF(J629&lt;&gt;"",SUMIFS('💰 Transaction ขาย'!$F:$F,'💰 Transaction ขาย'!$K:$K,$J629,'💰 Transaction ขาย'!$J:$J,$B$1),"")</f>
        <v/>
      </c>
      <c r="L629" s="118"/>
      <c r="M629" s="46"/>
      <c r="N629" s="46"/>
      <c r="O629" s="46"/>
      <c r="P629" s="118"/>
      <c r="Q629" s="46"/>
      <c r="R629" s="46"/>
      <c r="S629" s="46"/>
      <c r="T629" s="46"/>
      <c r="U629" s="118"/>
      <c r="V629" s="46"/>
      <c r="W629" s="88" t="str">
        <f>IF(V629&lt;&gt;"",SUMIFS('📊 รายงานสินค้าคงเหลือ'!G:G,'📊 รายงานสินค้าคงเหลือ'!D:D,V629),"")</f>
        <v/>
      </c>
      <c r="X629" s="46"/>
      <c r="Y629" s="46"/>
      <c r="Z629" s="46"/>
    </row>
    <row r="630">
      <c r="A630" s="46"/>
      <c r="B630" s="16"/>
      <c r="C630" s="118"/>
      <c r="D630" s="126"/>
      <c r="E630" s="88"/>
      <c r="F630" s="118"/>
      <c r="G630" s="46"/>
      <c r="H630" s="46"/>
      <c r="I630" s="118"/>
      <c r="J630" s="46"/>
      <c r="K630" s="16" t="str">
        <f>IF(J630&lt;&gt;"",SUMIFS('💰 Transaction ขาย'!$F:$F,'💰 Transaction ขาย'!$K:$K,$J630,'💰 Transaction ขาย'!$J:$J,$B$1),"")</f>
        <v/>
      </c>
      <c r="L630" s="118"/>
      <c r="M630" s="46"/>
      <c r="N630" s="46"/>
      <c r="O630" s="46"/>
      <c r="P630" s="118"/>
      <c r="Q630" s="46"/>
      <c r="R630" s="46"/>
      <c r="S630" s="46"/>
      <c r="T630" s="46"/>
      <c r="U630" s="118"/>
      <c r="V630" s="46"/>
      <c r="W630" s="88" t="str">
        <f>IF(V630&lt;&gt;"",SUMIFS('📊 รายงานสินค้าคงเหลือ'!G:G,'📊 รายงานสินค้าคงเหลือ'!D:D,V630),"")</f>
        <v/>
      </c>
      <c r="X630" s="46"/>
      <c r="Y630" s="46"/>
      <c r="Z630" s="46"/>
    </row>
    <row r="631">
      <c r="A631" s="46"/>
      <c r="B631" s="16"/>
      <c r="C631" s="118"/>
      <c r="D631" s="126"/>
      <c r="E631" s="88"/>
      <c r="F631" s="118"/>
      <c r="G631" s="46"/>
      <c r="H631" s="46"/>
      <c r="I631" s="118"/>
      <c r="J631" s="46"/>
      <c r="K631" s="16" t="str">
        <f>IF(J631&lt;&gt;"",SUMIFS('💰 Transaction ขาย'!$F:$F,'💰 Transaction ขาย'!$K:$K,$J631,'💰 Transaction ขาย'!$J:$J,$B$1),"")</f>
        <v/>
      </c>
      <c r="L631" s="118"/>
      <c r="M631" s="46"/>
      <c r="N631" s="46"/>
      <c r="O631" s="46"/>
      <c r="P631" s="118"/>
      <c r="Q631" s="46"/>
      <c r="R631" s="46"/>
      <c r="S631" s="46"/>
      <c r="T631" s="46"/>
      <c r="U631" s="118"/>
      <c r="V631" s="46"/>
      <c r="W631" s="88" t="str">
        <f>IF(V631&lt;&gt;"",SUMIFS('📊 รายงานสินค้าคงเหลือ'!G:G,'📊 รายงานสินค้าคงเหลือ'!D:D,V631),"")</f>
        <v/>
      </c>
      <c r="X631" s="46"/>
      <c r="Y631" s="46"/>
      <c r="Z631" s="46"/>
    </row>
    <row r="632">
      <c r="A632" s="46"/>
      <c r="B632" s="16"/>
      <c r="C632" s="118"/>
      <c r="D632" s="126"/>
      <c r="E632" s="88"/>
      <c r="F632" s="118"/>
      <c r="G632" s="46"/>
      <c r="H632" s="46"/>
      <c r="I632" s="118"/>
      <c r="J632" s="46"/>
      <c r="K632" s="16" t="str">
        <f>IF(J632&lt;&gt;"",SUMIFS('💰 Transaction ขาย'!$F:$F,'💰 Transaction ขาย'!$K:$K,$J632,'💰 Transaction ขาย'!$J:$J,$B$1),"")</f>
        <v/>
      </c>
      <c r="L632" s="118"/>
      <c r="M632" s="46"/>
      <c r="N632" s="46"/>
      <c r="O632" s="46"/>
      <c r="P632" s="118"/>
      <c r="Q632" s="46"/>
      <c r="R632" s="46"/>
      <c r="S632" s="46"/>
      <c r="T632" s="46"/>
      <c r="U632" s="118"/>
      <c r="V632" s="46"/>
      <c r="W632" s="88" t="str">
        <f>IF(V632&lt;&gt;"",SUMIFS('📊 รายงานสินค้าคงเหลือ'!G:G,'📊 รายงานสินค้าคงเหลือ'!D:D,V632),"")</f>
        <v/>
      </c>
      <c r="X632" s="46"/>
      <c r="Y632" s="46"/>
      <c r="Z632" s="46"/>
    </row>
    <row r="633">
      <c r="A633" s="46"/>
      <c r="B633" s="16"/>
      <c r="C633" s="118"/>
      <c r="D633" s="126"/>
      <c r="E633" s="88"/>
      <c r="F633" s="118"/>
      <c r="G633" s="46"/>
      <c r="H633" s="46"/>
      <c r="I633" s="118"/>
      <c r="J633" s="46"/>
      <c r="K633" s="16" t="str">
        <f>IF(J633&lt;&gt;"",SUMIFS('💰 Transaction ขาย'!$F:$F,'💰 Transaction ขาย'!$K:$K,$J633,'💰 Transaction ขาย'!$J:$J,$B$1),"")</f>
        <v/>
      </c>
      <c r="L633" s="118"/>
      <c r="M633" s="46"/>
      <c r="N633" s="46"/>
      <c r="O633" s="46"/>
      <c r="P633" s="118"/>
      <c r="Q633" s="46"/>
      <c r="R633" s="46"/>
      <c r="S633" s="46"/>
      <c r="T633" s="46"/>
      <c r="U633" s="118"/>
      <c r="V633" s="46"/>
      <c r="W633" s="88" t="str">
        <f>IF(V633&lt;&gt;"",SUMIFS('📊 รายงานสินค้าคงเหลือ'!G:G,'📊 รายงานสินค้าคงเหลือ'!D:D,V633),"")</f>
        <v/>
      </c>
      <c r="X633" s="46"/>
      <c r="Y633" s="46"/>
      <c r="Z633" s="46"/>
    </row>
    <row r="634">
      <c r="A634" s="46"/>
      <c r="B634" s="16"/>
      <c r="C634" s="118"/>
      <c r="D634" s="126"/>
      <c r="E634" s="88"/>
      <c r="F634" s="118"/>
      <c r="G634" s="46"/>
      <c r="H634" s="46"/>
      <c r="I634" s="118"/>
      <c r="J634" s="46"/>
      <c r="K634" s="16" t="str">
        <f>IF(J634&lt;&gt;"",SUMIFS('💰 Transaction ขาย'!$F:$F,'💰 Transaction ขาย'!$K:$K,$J634,'💰 Transaction ขาย'!$J:$J,$B$1),"")</f>
        <v/>
      </c>
      <c r="L634" s="118"/>
      <c r="M634" s="46"/>
      <c r="N634" s="46"/>
      <c r="O634" s="46"/>
      <c r="P634" s="118"/>
      <c r="Q634" s="46"/>
      <c r="R634" s="46"/>
      <c r="S634" s="46"/>
      <c r="T634" s="46"/>
      <c r="U634" s="118"/>
      <c r="V634" s="46"/>
      <c r="W634" s="88" t="str">
        <f>IF(V634&lt;&gt;"",SUMIFS('📊 รายงานสินค้าคงเหลือ'!G:G,'📊 รายงานสินค้าคงเหลือ'!D:D,V634),"")</f>
        <v/>
      </c>
      <c r="X634" s="46"/>
      <c r="Y634" s="46"/>
      <c r="Z634" s="46"/>
    </row>
    <row r="635">
      <c r="A635" s="46"/>
      <c r="B635" s="16"/>
      <c r="C635" s="118"/>
      <c r="D635" s="126"/>
      <c r="E635" s="88"/>
      <c r="F635" s="118"/>
      <c r="G635" s="46"/>
      <c r="H635" s="46"/>
      <c r="I635" s="118"/>
      <c r="J635" s="46"/>
      <c r="K635" s="16" t="str">
        <f>IF(J635&lt;&gt;"",SUMIFS('💰 Transaction ขาย'!$F:$F,'💰 Transaction ขาย'!$K:$K,$J635,'💰 Transaction ขาย'!$J:$J,$B$1),"")</f>
        <v/>
      </c>
      <c r="L635" s="118"/>
      <c r="M635" s="46"/>
      <c r="N635" s="46"/>
      <c r="O635" s="46"/>
      <c r="P635" s="118"/>
      <c r="Q635" s="46"/>
      <c r="R635" s="46"/>
      <c r="S635" s="46"/>
      <c r="T635" s="46"/>
      <c r="U635" s="118"/>
      <c r="V635" s="46"/>
      <c r="W635" s="88" t="str">
        <f>IF(V635&lt;&gt;"",SUMIFS('📊 รายงานสินค้าคงเหลือ'!G:G,'📊 รายงานสินค้าคงเหลือ'!D:D,V635),"")</f>
        <v/>
      </c>
      <c r="X635" s="46"/>
      <c r="Y635" s="46"/>
      <c r="Z635" s="46"/>
    </row>
    <row r="636">
      <c r="A636" s="46"/>
      <c r="B636" s="16"/>
      <c r="C636" s="118"/>
      <c r="D636" s="126"/>
      <c r="E636" s="88"/>
      <c r="F636" s="118"/>
      <c r="G636" s="46"/>
      <c r="H636" s="46"/>
      <c r="I636" s="118"/>
      <c r="J636" s="46"/>
      <c r="K636" s="16" t="str">
        <f>IF(J636&lt;&gt;"",SUMIFS('💰 Transaction ขาย'!$F:$F,'💰 Transaction ขาย'!$K:$K,$J636,'💰 Transaction ขาย'!$J:$J,$B$1),"")</f>
        <v/>
      </c>
      <c r="L636" s="118"/>
      <c r="M636" s="46"/>
      <c r="N636" s="46"/>
      <c r="O636" s="46"/>
      <c r="P636" s="118"/>
      <c r="Q636" s="46"/>
      <c r="R636" s="46"/>
      <c r="S636" s="46"/>
      <c r="T636" s="46"/>
      <c r="U636" s="118"/>
      <c r="V636" s="46"/>
      <c r="W636" s="88" t="str">
        <f>IF(V636&lt;&gt;"",SUMIFS('📊 รายงานสินค้าคงเหลือ'!G:G,'📊 รายงานสินค้าคงเหลือ'!D:D,V636),"")</f>
        <v/>
      </c>
      <c r="X636" s="46"/>
      <c r="Y636" s="46"/>
      <c r="Z636" s="46"/>
    </row>
    <row r="637">
      <c r="A637" s="46"/>
      <c r="B637" s="16"/>
      <c r="C637" s="118"/>
      <c r="D637" s="126"/>
      <c r="E637" s="88"/>
      <c r="F637" s="118"/>
      <c r="G637" s="46"/>
      <c r="H637" s="46"/>
      <c r="I637" s="118"/>
      <c r="J637" s="46"/>
      <c r="K637" s="16" t="str">
        <f>IF(J637&lt;&gt;"",SUMIFS('💰 Transaction ขาย'!$F:$F,'💰 Transaction ขาย'!$K:$K,$J637,'💰 Transaction ขาย'!$J:$J,$B$1),"")</f>
        <v/>
      </c>
      <c r="L637" s="118"/>
      <c r="M637" s="46"/>
      <c r="N637" s="46"/>
      <c r="O637" s="46"/>
      <c r="P637" s="118"/>
      <c r="Q637" s="46"/>
      <c r="R637" s="46"/>
      <c r="S637" s="46"/>
      <c r="T637" s="46"/>
      <c r="U637" s="118"/>
      <c r="V637" s="46"/>
      <c r="W637" s="88" t="str">
        <f>IF(V637&lt;&gt;"",SUMIFS('📊 รายงานสินค้าคงเหลือ'!G:G,'📊 รายงานสินค้าคงเหลือ'!D:D,V637),"")</f>
        <v/>
      </c>
      <c r="X637" s="46"/>
      <c r="Y637" s="46"/>
      <c r="Z637" s="46"/>
    </row>
    <row r="638">
      <c r="A638" s="46"/>
      <c r="B638" s="16"/>
      <c r="C638" s="118"/>
      <c r="D638" s="126"/>
      <c r="E638" s="88"/>
      <c r="F638" s="118"/>
      <c r="G638" s="46"/>
      <c r="H638" s="46"/>
      <c r="I638" s="118"/>
      <c r="J638" s="46"/>
      <c r="K638" s="16" t="str">
        <f>IF(J638&lt;&gt;"",SUMIFS('💰 Transaction ขาย'!$F:$F,'💰 Transaction ขาย'!$K:$K,$J638,'💰 Transaction ขาย'!$J:$J,$B$1),"")</f>
        <v/>
      </c>
      <c r="L638" s="118"/>
      <c r="M638" s="46"/>
      <c r="N638" s="46"/>
      <c r="O638" s="46"/>
      <c r="P638" s="118"/>
      <c r="Q638" s="46"/>
      <c r="R638" s="46"/>
      <c r="S638" s="46"/>
      <c r="T638" s="46"/>
      <c r="U638" s="118"/>
      <c r="V638" s="46"/>
      <c r="W638" s="88" t="str">
        <f>IF(V638&lt;&gt;"",SUMIFS('📊 รายงานสินค้าคงเหลือ'!G:G,'📊 รายงานสินค้าคงเหลือ'!D:D,V638),"")</f>
        <v/>
      </c>
      <c r="X638" s="46"/>
      <c r="Y638" s="46"/>
      <c r="Z638" s="46"/>
    </row>
    <row r="639">
      <c r="A639" s="46"/>
      <c r="B639" s="16"/>
      <c r="C639" s="118"/>
      <c r="D639" s="126"/>
      <c r="E639" s="88"/>
      <c r="F639" s="118"/>
      <c r="G639" s="46"/>
      <c r="H639" s="46"/>
      <c r="I639" s="118"/>
      <c r="J639" s="46"/>
      <c r="K639" s="16" t="str">
        <f>IF(J639&lt;&gt;"",SUMIFS('💰 Transaction ขาย'!$F:$F,'💰 Transaction ขาย'!$K:$K,$J639,'💰 Transaction ขาย'!$J:$J,$B$1),"")</f>
        <v/>
      </c>
      <c r="L639" s="118"/>
      <c r="M639" s="46"/>
      <c r="N639" s="46"/>
      <c r="O639" s="46"/>
      <c r="P639" s="118"/>
      <c r="Q639" s="46"/>
      <c r="R639" s="46"/>
      <c r="S639" s="46"/>
      <c r="T639" s="46"/>
      <c r="U639" s="118"/>
      <c r="V639" s="46"/>
      <c r="W639" s="88" t="str">
        <f>IF(V639&lt;&gt;"",SUMIFS('📊 รายงานสินค้าคงเหลือ'!G:G,'📊 รายงานสินค้าคงเหลือ'!D:D,V639),"")</f>
        <v/>
      </c>
      <c r="X639" s="46"/>
      <c r="Y639" s="46"/>
      <c r="Z639" s="46"/>
    </row>
    <row r="640">
      <c r="A640" s="46"/>
      <c r="B640" s="16"/>
      <c r="C640" s="118"/>
      <c r="D640" s="126"/>
      <c r="E640" s="88"/>
      <c r="F640" s="118"/>
      <c r="G640" s="46"/>
      <c r="H640" s="46"/>
      <c r="I640" s="118"/>
      <c r="J640" s="46"/>
      <c r="K640" s="16" t="str">
        <f>IF(J640&lt;&gt;"",SUMIFS('💰 Transaction ขาย'!$F:$F,'💰 Transaction ขาย'!$K:$K,$J640,'💰 Transaction ขาย'!$J:$J,$B$1),"")</f>
        <v/>
      </c>
      <c r="L640" s="118"/>
      <c r="M640" s="46"/>
      <c r="N640" s="46"/>
      <c r="O640" s="46"/>
      <c r="P640" s="118"/>
      <c r="Q640" s="46"/>
      <c r="R640" s="46"/>
      <c r="S640" s="46"/>
      <c r="T640" s="46"/>
      <c r="U640" s="118"/>
      <c r="V640" s="46"/>
      <c r="W640" s="88" t="str">
        <f>IF(V640&lt;&gt;"",SUMIFS('📊 รายงานสินค้าคงเหลือ'!G:G,'📊 รายงานสินค้าคงเหลือ'!D:D,V640),"")</f>
        <v/>
      </c>
      <c r="X640" s="46"/>
      <c r="Y640" s="46"/>
      <c r="Z640" s="46"/>
    </row>
    <row r="641">
      <c r="A641" s="46"/>
      <c r="B641" s="16"/>
      <c r="C641" s="118"/>
      <c r="D641" s="126"/>
      <c r="E641" s="88"/>
      <c r="F641" s="118"/>
      <c r="G641" s="46"/>
      <c r="H641" s="46"/>
      <c r="I641" s="118"/>
      <c r="J641" s="46"/>
      <c r="K641" s="16" t="str">
        <f>IF(J641&lt;&gt;"",SUMIFS('💰 Transaction ขาย'!$F:$F,'💰 Transaction ขาย'!$K:$K,$J641,'💰 Transaction ขาย'!$J:$J,$B$1),"")</f>
        <v/>
      </c>
      <c r="L641" s="118"/>
      <c r="M641" s="46"/>
      <c r="N641" s="46"/>
      <c r="O641" s="46"/>
      <c r="P641" s="118"/>
      <c r="Q641" s="46"/>
      <c r="R641" s="46"/>
      <c r="S641" s="46"/>
      <c r="T641" s="46"/>
      <c r="U641" s="118"/>
      <c r="V641" s="46"/>
      <c r="W641" s="88" t="str">
        <f>IF(V641&lt;&gt;"",SUMIFS('📊 รายงานสินค้าคงเหลือ'!G:G,'📊 รายงานสินค้าคงเหลือ'!D:D,V641),"")</f>
        <v/>
      </c>
      <c r="X641" s="46"/>
      <c r="Y641" s="46"/>
      <c r="Z641" s="46"/>
    </row>
    <row r="642">
      <c r="A642" s="46"/>
      <c r="B642" s="16"/>
      <c r="C642" s="118"/>
      <c r="D642" s="126"/>
      <c r="E642" s="88"/>
      <c r="F642" s="118"/>
      <c r="G642" s="46"/>
      <c r="H642" s="46"/>
      <c r="I642" s="118"/>
      <c r="J642" s="46"/>
      <c r="K642" s="16" t="str">
        <f>IF(J642&lt;&gt;"",SUMIFS('💰 Transaction ขาย'!$F:$F,'💰 Transaction ขาย'!$K:$K,$J642,'💰 Transaction ขาย'!$J:$J,$B$1),"")</f>
        <v/>
      </c>
      <c r="L642" s="118"/>
      <c r="M642" s="46"/>
      <c r="N642" s="46"/>
      <c r="O642" s="46"/>
      <c r="P642" s="118"/>
      <c r="Q642" s="46"/>
      <c r="R642" s="46"/>
      <c r="S642" s="46"/>
      <c r="T642" s="46"/>
      <c r="U642" s="118"/>
      <c r="V642" s="46"/>
      <c r="W642" s="88" t="str">
        <f>IF(V642&lt;&gt;"",SUMIFS('📊 รายงานสินค้าคงเหลือ'!G:G,'📊 รายงานสินค้าคงเหลือ'!D:D,V642),"")</f>
        <v/>
      </c>
      <c r="X642" s="46"/>
      <c r="Y642" s="46"/>
      <c r="Z642" s="46"/>
    </row>
    <row r="643">
      <c r="A643" s="46"/>
      <c r="B643" s="16"/>
      <c r="C643" s="118"/>
      <c r="D643" s="126"/>
      <c r="E643" s="88"/>
      <c r="F643" s="118"/>
      <c r="G643" s="46"/>
      <c r="H643" s="46"/>
      <c r="I643" s="118"/>
      <c r="J643" s="46"/>
      <c r="K643" s="16" t="str">
        <f>IF(J643&lt;&gt;"",SUMIFS('💰 Transaction ขาย'!$F:$F,'💰 Transaction ขาย'!$K:$K,$J643,'💰 Transaction ขาย'!$J:$J,$B$1),"")</f>
        <v/>
      </c>
      <c r="L643" s="118"/>
      <c r="M643" s="46"/>
      <c r="N643" s="46"/>
      <c r="O643" s="46"/>
      <c r="P643" s="118"/>
      <c r="Q643" s="46"/>
      <c r="R643" s="46"/>
      <c r="S643" s="46"/>
      <c r="T643" s="46"/>
      <c r="U643" s="118"/>
      <c r="V643" s="46"/>
      <c r="W643" s="88" t="str">
        <f>IF(V643&lt;&gt;"",SUMIFS('📊 รายงานสินค้าคงเหลือ'!G:G,'📊 รายงานสินค้าคงเหลือ'!D:D,V643),"")</f>
        <v/>
      </c>
      <c r="X643" s="46"/>
      <c r="Y643" s="46"/>
      <c r="Z643" s="46"/>
    </row>
    <row r="644">
      <c r="A644" s="46"/>
      <c r="B644" s="16"/>
      <c r="C644" s="118"/>
      <c r="D644" s="126"/>
      <c r="E644" s="88"/>
      <c r="F644" s="118"/>
      <c r="G644" s="46"/>
      <c r="H644" s="46"/>
      <c r="I644" s="118"/>
      <c r="J644" s="46"/>
      <c r="K644" s="16" t="str">
        <f>IF(J644&lt;&gt;"",SUMIFS('💰 Transaction ขาย'!$F:$F,'💰 Transaction ขาย'!$K:$K,$J644,'💰 Transaction ขาย'!$J:$J,$B$1),"")</f>
        <v/>
      </c>
      <c r="L644" s="118"/>
      <c r="M644" s="46"/>
      <c r="N644" s="46"/>
      <c r="O644" s="46"/>
      <c r="P644" s="118"/>
      <c r="Q644" s="46"/>
      <c r="R644" s="46"/>
      <c r="S644" s="46"/>
      <c r="T644" s="46"/>
      <c r="U644" s="118"/>
      <c r="V644" s="46"/>
      <c r="W644" s="88" t="str">
        <f>IF(V644&lt;&gt;"",SUMIFS('📊 รายงานสินค้าคงเหลือ'!G:G,'📊 รายงานสินค้าคงเหลือ'!D:D,V644),"")</f>
        <v/>
      </c>
      <c r="X644" s="46"/>
      <c r="Y644" s="46"/>
      <c r="Z644" s="46"/>
    </row>
    <row r="645">
      <c r="A645" s="46"/>
      <c r="B645" s="16"/>
      <c r="C645" s="118"/>
      <c r="D645" s="126"/>
      <c r="E645" s="88"/>
      <c r="F645" s="118"/>
      <c r="G645" s="46"/>
      <c r="H645" s="46"/>
      <c r="I645" s="118"/>
      <c r="J645" s="46"/>
      <c r="K645" s="16" t="str">
        <f>IF(J645&lt;&gt;"",SUMIFS('💰 Transaction ขาย'!$F:$F,'💰 Transaction ขาย'!$K:$K,$J645,'💰 Transaction ขาย'!$J:$J,$B$1),"")</f>
        <v/>
      </c>
      <c r="L645" s="118"/>
      <c r="M645" s="46"/>
      <c r="N645" s="46"/>
      <c r="O645" s="46"/>
      <c r="P645" s="118"/>
      <c r="Q645" s="46"/>
      <c r="R645" s="46"/>
      <c r="S645" s="46"/>
      <c r="T645" s="46"/>
      <c r="U645" s="118"/>
      <c r="V645" s="46"/>
      <c r="W645" s="88" t="str">
        <f>IF(V645&lt;&gt;"",SUMIFS('📊 รายงานสินค้าคงเหลือ'!G:G,'📊 รายงานสินค้าคงเหลือ'!D:D,V645),"")</f>
        <v/>
      </c>
      <c r="X645" s="46"/>
      <c r="Y645" s="46"/>
      <c r="Z645" s="46"/>
    </row>
    <row r="646">
      <c r="A646" s="46"/>
      <c r="B646" s="16"/>
      <c r="C646" s="118"/>
      <c r="D646" s="126"/>
      <c r="E646" s="88"/>
      <c r="F646" s="118"/>
      <c r="G646" s="46"/>
      <c r="H646" s="46"/>
      <c r="I646" s="118"/>
      <c r="J646" s="46"/>
      <c r="K646" s="16" t="str">
        <f>IF(J646&lt;&gt;"",SUMIFS('💰 Transaction ขาย'!$F:$F,'💰 Transaction ขาย'!$K:$K,$J646,'💰 Transaction ขาย'!$J:$J,$B$1),"")</f>
        <v/>
      </c>
      <c r="L646" s="118"/>
      <c r="M646" s="46"/>
      <c r="N646" s="46"/>
      <c r="O646" s="46"/>
      <c r="P646" s="118"/>
      <c r="Q646" s="46"/>
      <c r="R646" s="46"/>
      <c r="S646" s="46"/>
      <c r="T646" s="46"/>
      <c r="U646" s="118"/>
      <c r="V646" s="46"/>
      <c r="W646" s="88" t="str">
        <f>IF(V646&lt;&gt;"",SUMIFS('📊 รายงานสินค้าคงเหลือ'!G:G,'📊 รายงานสินค้าคงเหลือ'!D:D,V646),"")</f>
        <v/>
      </c>
      <c r="X646" s="46"/>
      <c r="Y646" s="46"/>
      <c r="Z646" s="46"/>
    </row>
    <row r="647">
      <c r="A647" s="46"/>
      <c r="B647" s="16"/>
      <c r="C647" s="118"/>
      <c r="D647" s="126"/>
      <c r="E647" s="88"/>
      <c r="F647" s="118"/>
      <c r="G647" s="46"/>
      <c r="H647" s="46"/>
      <c r="I647" s="118"/>
      <c r="J647" s="46"/>
      <c r="K647" s="16" t="str">
        <f>IF(J647&lt;&gt;"",SUMIFS('💰 Transaction ขาย'!$F:$F,'💰 Transaction ขาย'!$K:$K,$J647,'💰 Transaction ขาย'!$J:$J,$B$1),"")</f>
        <v/>
      </c>
      <c r="L647" s="118"/>
      <c r="M647" s="46"/>
      <c r="N647" s="46"/>
      <c r="O647" s="46"/>
      <c r="P647" s="118"/>
      <c r="Q647" s="46"/>
      <c r="R647" s="46"/>
      <c r="S647" s="46"/>
      <c r="T647" s="46"/>
      <c r="U647" s="118"/>
      <c r="V647" s="46"/>
      <c r="W647" s="88" t="str">
        <f>IF(V647&lt;&gt;"",SUMIFS('📊 รายงานสินค้าคงเหลือ'!G:G,'📊 รายงานสินค้าคงเหลือ'!D:D,V647),"")</f>
        <v/>
      </c>
      <c r="X647" s="46"/>
      <c r="Y647" s="46"/>
      <c r="Z647" s="46"/>
    </row>
    <row r="648">
      <c r="A648" s="46"/>
      <c r="B648" s="16"/>
      <c r="C648" s="118"/>
      <c r="D648" s="126"/>
      <c r="E648" s="88"/>
      <c r="F648" s="118"/>
      <c r="G648" s="46"/>
      <c r="H648" s="46"/>
      <c r="I648" s="118"/>
      <c r="J648" s="46"/>
      <c r="K648" s="16" t="str">
        <f>IF(J648&lt;&gt;"",SUMIFS('💰 Transaction ขาย'!$F:$F,'💰 Transaction ขาย'!$K:$K,$J648,'💰 Transaction ขาย'!$J:$J,$B$1),"")</f>
        <v/>
      </c>
      <c r="L648" s="118"/>
      <c r="M648" s="46"/>
      <c r="N648" s="46"/>
      <c r="O648" s="46"/>
      <c r="P648" s="118"/>
      <c r="Q648" s="46"/>
      <c r="R648" s="46"/>
      <c r="S648" s="46"/>
      <c r="T648" s="46"/>
      <c r="U648" s="118"/>
      <c r="V648" s="46"/>
      <c r="W648" s="88" t="str">
        <f>IF(V648&lt;&gt;"",SUMIFS('📊 รายงานสินค้าคงเหลือ'!G:G,'📊 รายงานสินค้าคงเหลือ'!D:D,V648),"")</f>
        <v/>
      </c>
      <c r="X648" s="46"/>
      <c r="Y648" s="46"/>
      <c r="Z648" s="46"/>
    </row>
    <row r="649">
      <c r="A649" s="46"/>
      <c r="B649" s="16"/>
      <c r="C649" s="118"/>
      <c r="D649" s="126"/>
      <c r="E649" s="88"/>
      <c r="F649" s="118"/>
      <c r="G649" s="46"/>
      <c r="H649" s="46"/>
      <c r="I649" s="118"/>
      <c r="J649" s="46"/>
      <c r="K649" s="16" t="str">
        <f>IF(J649&lt;&gt;"",SUMIFS('💰 Transaction ขาย'!$F:$F,'💰 Transaction ขาย'!$K:$K,$J649,'💰 Transaction ขาย'!$J:$J,$B$1),"")</f>
        <v/>
      </c>
      <c r="L649" s="118"/>
      <c r="M649" s="46"/>
      <c r="N649" s="46"/>
      <c r="O649" s="46"/>
      <c r="P649" s="118"/>
      <c r="Q649" s="46"/>
      <c r="R649" s="46"/>
      <c r="S649" s="46"/>
      <c r="T649" s="46"/>
      <c r="U649" s="118"/>
      <c r="V649" s="46"/>
      <c r="W649" s="88" t="str">
        <f>IF(V649&lt;&gt;"",SUMIFS('📊 รายงานสินค้าคงเหลือ'!G:G,'📊 รายงานสินค้าคงเหลือ'!D:D,V649),"")</f>
        <v/>
      </c>
      <c r="X649" s="46"/>
      <c r="Y649" s="46"/>
      <c r="Z649" s="46"/>
    </row>
    <row r="650">
      <c r="A650" s="46"/>
      <c r="B650" s="16"/>
      <c r="C650" s="118"/>
      <c r="D650" s="126"/>
      <c r="E650" s="88"/>
      <c r="F650" s="118"/>
      <c r="G650" s="46"/>
      <c r="H650" s="46"/>
      <c r="I650" s="118"/>
      <c r="J650" s="46"/>
      <c r="K650" s="16" t="str">
        <f>IF(J650&lt;&gt;"",SUMIFS('💰 Transaction ขาย'!$F:$F,'💰 Transaction ขาย'!$K:$K,$J650,'💰 Transaction ขาย'!$J:$J,$B$1),"")</f>
        <v/>
      </c>
      <c r="L650" s="118"/>
      <c r="M650" s="46"/>
      <c r="N650" s="46"/>
      <c r="O650" s="46"/>
      <c r="P650" s="118"/>
      <c r="Q650" s="46"/>
      <c r="R650" s="46"/>
      <c r="S650" s="46"/>
      <c r="T650" s="46"/>
      <c r="U650" s="118"/>
      <c r="V650" s="46"/>
      <c r="W650" s="88" t="str">
        <f>IF(V650&lt;&gt;"",SUMIFS('📊 รายงานสินค้าคงเหลือ'!G:G,'📊 รายงานสินค้าคงเหลือ'!D:D,V650),"")</f>
        <v/>
      </c>
      <c r="X650" s="46"/>
      <c r="Y650" s="46"/>
      <c r="Z650" s="46"/>
    </row>
    <row r="651">
      <c r="A651" s="46"/>
      <c r="B651" s="16"/>
      <c r="C651" s="118"/>
      <c r="D651" s="126"/>
      <c r="E651" s="88"/>
      <c r="F651" s="118"/>
      <c r="G651" s="46"/>
      <c r="H651" s="46"/>
      <c r="I651" s="118"/>
      <c r="J651" s="46"/>
      <c r="K651" s="16" t="str">
        <f>IF(J651&lt;&gt;"",SUMIFS('💰 Transaction ขาย'!$F:$F,'💰 Transaction ขาย'!$K:$K,$J651,'💰 Transaction ขาย'!$J:$J,$B$1),"")</f>
        <v/>
      </c>
      <c r="L651" s="118"/>
      <c r="M651" s="46"/>
      <c r="N651" s="46"/>
      <c r="O651" s="46"/>
      <c r="P651" s="118"/>
      <c r="Q651" s="46"/>
      <c r="R651" s="46"/>
      <c r="S651" s="46"/>
      <c r="T651" s="46"/>
      <c r="U651" s="118"/>
      <c r="V651" s="46"/>
      <c r="W651" s="88" t="str">
        <f>IF(V651&lt;&gt;"",SUMIFS('📊 รายงานสินค้าคงเหลือ'!G:G,'📊 รายงานสินค้าคงเหลือ'!D:D,V651),"")</f>
        <v/>
      </c>
      <c r="X651" s="46"/>
      <c r="Y651" s="46"/>
      <c r="Z651" s="46"/>
    </row>
    <row r="652">
      <c r="A652" s="46"/>
      <c r="B652" s="16"/>
      <c r="C652" s="118"/>
      <c r="D652" s="126"/>
      <c r="E652" s="88"/>
      <c r="F652" s="118"/>
      <c r="G652" s="46"/>
      <c r="H652" s="46"/>
      <c r="I652" s="118"/>
      <c r="J652" s="46"/>
      <c r="K652" s="16" t="str">
        <f>IF(J652&lt;&gt;"",SUMIFS('💰 Transaction ขาย'!$F:$F,'💰 Transaction ขาย'!$K:$K,$J652,'💰 Transaction ขาย'!$J:$J,$B$1),"")</f>
        <v/>
      </c>
      <c r="L652" s="118"/>
      <c r="M652" s="46"/>
      <c r="N652" s="46"/>
      <c r="O652" s="46"/>
      <c r="P652" s="118"/>
      <c r="Q652" s="46"/>
      <c r="R652" s="46"/>
      <c r="S652" s="46"/>
      <c r="T652" s="46"/>
      <c r="U652" s="118"/>
      <c r="V652" s="46"/>
      <c r="W652" s="88" t="str">
        <f>IF(V652&lt;&gt;"",SUMIFS('📊 รายงานสินค้าคงเหลือ'!G:G,'📊 รายงานสินค้าคงเหลือ'!D:D,V652),"")</f>
        <v/>
      </c>
      <c r="X652" s="46"/>
      <c r="Y652" s="46"/>
      <c r="Z652" s="46"/>
    </row>
    <row r="653">
      <c r="A653" s="46"/>
      <c r="B653" s="16"/>
      <c r="C653" s="118"/>
      <c r="D653" s="126"/>
      <c r="E653" s="88"/>
      <c r="F653" s="118"/>
      <c r="G653" s="46"/>
      <c r="H653" s="46"/>
      <c r="I653" s="118"/>
      <c r="J653" s="46"/>
      <c r="K653" s="16" t="str">
        <f>IF(J653&lt;&gt;"",SUMIFS('💰 Transaction ขาย'!$F:$F,'💰 Transaction ขาย'!$K:$K,$J653,'💰 Transaction ขาย'!$J:$J,$B$1),"")</f>
        <v/>
      </c>
      <c r="L653" s="118"/>
      <c r="M653" s="46"/>
      <c r="N653" s="46"/>
      <c r="O653" s="46"/>
      <c r="P653" s="118"/>
      <c r="Q653" s="46"/>
      <c r="R653" s="46"/>
      <c r="S653" s="46"/>
      <c r="T653" s="46"/>
      <c r="U653" s="118"/>
      <c r="V653" s="46"/>
      <c r="W653" s="88" t="str">
        <f>IF(V653&lt;&gt;"",SUMIFS('📊 รายงานสินค้าคงเหลือ'!G:G,'📊 รายงานสินค้าคงเหลือ'!D:D,V653),"")</f>
        <v/>
      </c>
      <c r="X653" s="46"/>
      <c r="Y653" s="46"/>
      <c r="Z653" s="46"/>
    </row>
    <row r="654">
      <c r="A654" s="46"/>
      <c r="B654" s="16"/>
      <c r="C654" s="118"/>
      <c r="D654" s="126"/>
      <c r="E654" s="88"/>
      <c r="F654" s="118"/>
      <c r="G654" s="46"/>
      <c r="H654" s="46"/>
      <c r="I654" s="118"/>
      <c r="J654" s="46"/>
      <c r="K654" s="16" t="str">
        <f>IF(J654&lt;&gt;"",SUMIFS('💰 Transaction ขาย'!$F:$F,'💰 Transaction ขาย'!$K:$K,$J654,'💰 Transaction ขาย'!$J:$J,$B$1),"")</f>
        <v/>
      </c>
      <c r="L654" s="118"/>
      <c r="M654" s="46"/>
      <c r="N654" s="46"/>
      <c r="O654" s="46"/>
      <c r="P654" s="118"/>
      <c r="Q654" s="46"/>
      <c r="R654" s="46"/>
      <c r="S654" s="46"/>
      <c r="T654" s="46"/>
      <c r="U654" s="118"/>
      <c r="V654" s="46"/>
      <c r="W654" s="88" t="str">
        <f>IF(V654&lt;&gt;"",SUMIFS('📊 รายงานสินค้าคงเหลือ'!G:G,'📊 รายงานสินค้าคงเหลือ'!D:D,V654),"")</f>
        <v/>
      </c>
      <c r="X654" s="46"/>
      <c r="Y654" s="46"/>
      <c r="Z654" s="46"/>
    </row>
    <row r="655">
      <c r="A655" s="46"/>
      <c r="B655" s="16"/>
      <c r="C655" s="118"/>
      <c r="D655" s="126"/>
      <c r="E655" s="88"/>
      <c r="F655" s="118"/>
      <c r="G655" s="46"/>
      <c r="H655" s="46"/>
      <c r="I655" s="118"/>
      <c r="J655" s="46"/>
      <c r="K655" s="16" t="str">
        <f>IF(J655&lt;&gt;"",SUMIFS('💰 Transaction ขาย'!$F:$F,'💰 Transaction ขาย'!$K:$K,$J655,'💰 Transaction ขาย'!$J:$J,$B$1),"")</f>
        <v/>
      </c>
      <c r="L655" s="118"/>
      <c r="M655" s="46"/>
      <c r="N655" s="46"/>
      <c r="O655" s="46"/>
      <c r="P655" s="118"/>
      <c r="Q655" s="46"/>
      <c r="R655" s="46"/>
      <c r="S655" s="46"/>
      <c r="T655" s="46"/>
      <c r="U655" s="118"/>
      <c r="V655" s="46"/>
      <c r="W655" s="88" t="str">
        <f>IF(V655&lt;&gt;"",SUMIFS('📊 รายงานสินค้าคงเหลือ'!G:G,'📊 รายงานสินค้าคงเหลือ'!D:D,V655),"")</f>
        <v/>
      </c>
      <c r="X655" s="46"/>
      <c r="Y655" s="46"/>
      <c r="Z655" s="46"/>
    </row>
    <row r="656">
      <c r="A656" s="46"/>
      <c r="B656" s="16"/>
      <c r="C656" s="118"/>
      <c r="D656" s="126"/>
      <c r="E656" s="88"/>
      <c r="F656" s="118"/>
      <c r="G656" s="46"/>
      <c r="H656" s="46"/>
      <c r="I656" s="118"/>
      <c r="J656" s="46"/>
      <c r="K656" s="16" t="str">
        <f>IF(J656&lt;&gt;"",SUMIFS('💰 Transaction ขาย'!$F:$F,'💰 Transaction ขาย'!$K:$K,$J656,'💰 Transaction ขาย'!$J:$J,$B$1),"")</f>
        <v/>
      </c>
      <c r="L656" s="118"/>
      <c r="M656" s="46"/>
      <c r="N656" s="46"/>
      <c r="O656" s="46"/>
      <c r="P656" s="118"/>
      <c r="Q656" s="46"/>
      <c r="R656" s="46"/>
      <c r="S656" s="46"/>
      <c r="T656" s="46"/>
      <c r="U656" s="118"/>
      <c r="V656" s="46"/>
      <c r="W656" s="88" t="str">
        <f>IF(V656&lt;&gt;"",SUMIFS('📊 รายงานสินค้าคงเหลือ'!G:G,'📊 รายงานสินค้าคงเหลือ'!D:D,V656),"")</f>
        <v/>
      </c>
      <c r="X656" s="46"/>
      <c r="Y656" s="46"/>
      <c r="Z656" s="46"/>
    </row>
    <row r="657">
      <c r="A657" s="46"/>
      <c r="B657" s="16"/>
      <c r="C657" s="118"/>
      <c r="D657" s="126"/>
      <c r="E657" s="88"/>
      <c r="F657" s="118"/>
      <c r="G657" s="46"/>
      <c r="H657" s="46"/>
      <c r="I657" s="118"/>
      <c r="J657" s="46"/>
      <c r="K657" s="16" t="str">
        <f>IF(J657&lt;&gt;"",SUMIFS('💰 Transaction ขาย'!$F:$F,'💰 Transaction ขาย'!$K:$K,$J657,'💰 Transaction ขาย'!$J:$J,$B$1),"")</f>
        <v/>
      </c>
      <c r="L657" s="118"/>
      <c r="M657" s="46"/>
      <c r="N657" s="46"/>
      <c r="O657" s="46"/>
      <c r="P657" s="118"/>
      <c r="Q657" s="46"/>
      <c r="R657" s="46"/>
      <c r="S657" s="46"/>
      <c r="T657" s="46"/>
      <c r="U657" s="118"/>
      <c r="V657" s="46"/>
      <c r="W657" s="88" t="str">
        <f>IF(V657&lt;&gt;"",SUMIFS('📊 รายงานสินค้าคงเหลือ'!G:G,'📊 รายงานสินค้าคงเหลือ'!D:D,V657),"")</f>
        <v/>
      </c>
      <c r="X657" s="46"/>
      <c r="Y657" s="46"/>
      <c r="Z657" s="46"/>
    </row>
    <row r="658">
      <c r="A658" s="46"/>
      <c r="B658" s="16"/>
      <c r="C658" s="118"/>
      <c r="D658" s="126"/>
      <c r="E658" s="88"/>
      <c r="F658" s="118"/>
      <c r="G658" s="46"/>
      <c r="H658" s="46"/>
      <c r="I658" s="118"/>
      <c r="J658" s="46"/>
      <c r="K658" s="16" t="str">
        <f>IF(J658&lt;&gt;"",SUMIFS('💰 Transaction ขาย'!$F:$F,'💰 Transaction ขาย'!$K:$K,$J658,'💰 Transaction ขาย'!$J:$J,$B$1),"")</f>
        <v/>
      </c>
      <c r="L658" s="118"/>
      <c r="M658" s="46"/>
      <c r="N658" s="46"/>
      <c r="O658" s="46"/>
      <c r="P658" s="118"/>
      <c r="Q658" s="46"/>
      <c r="R658" s="46"/>
      <c r="S658" s="46"/>
      <c r="T658" s="46"/>
      <c r="U658" s="118"/>
      <c r="V658" s="46"/>
      <c r="W658" s="88" t="str">
        <f>IF(V658&lt;&gt;"",SUMIFS('📊 รายงานสินค้าคงเหลือ'!G:G,'📊 รายงานสินค้าคงเหลือ'!D:D,V658),"")</f>
        <v/>
      </c>
      <c r="X658" s="46"/>
      <c r="Y658" s="46"/>
      <c r="Z658" s="46"/>
    </row>
    <row r="659">
      <c r="A659" s="46"/>
      <c r="B659" s="16"/>
      <c r="C659" s="118"/>
      <c r="D659" s="126"/>
      <c r="E659" s="88"/>
      <c r="F659" s="118"/>
      <c r="G659" s="46"/>
      <c r="H659" s="46"/>
      <c r="I659" s="118"/>
      <c r="J659" s="46"/>
      <c r="K659" s="16" t="str">
        <f>IF(J659&lt;&gt;"",SUMIFS('💰 Transaction ขาย'!$F:$F,'💰 Transaction ขาย'!$K:$K,$J659,'💰 Transaction ขาย'!$J:$J,$B$1),"")</f>
        <v/>
      </c>
      <c r="L659" s="118"/>
      <c r="M659" s="46"/>
      <c r="N659" s="46"/>
      <c r="O659" s="46"/>
      <c r="P659" s="118"/>
      <c r="Q659" s="46"/>
      <c r="R659" s="46"/>
      <c r="S659" s="46"/>
      <c r="T659" s="46"/>
      <c r="U659" s="118"/>
      <c r="V659" s="46"/>
      <c r="W659" s="88" t="str">
        <f>IF(V659&lt;&gt;"",SUMIFS('📊 รายงานสินค้าคงเหลือ'!G:G,'📊 รายงานสินค้าคงเหลือ'!D:D,V659),"")</f>
        <v/>
      </c>
      <c r="X659" s="46"/>
      <c r="Y659" s="46"/>
      <c r="Z659" s="46"/>
    </row>
    <row r="660">
      <c r="A660" s="46"/>
      <c r="B660" s="16"/>
      <c r="C660" s="118"/>
      <c r="D660" s="126"/>
      <c r="E660" s="88"/>
      <c r="F660" s="118"/>
      <c r="G660" s="46"/>
      <c r="H660" s="46"/>
      <c r="I660" s="118"/>
      <c r="J660" s="46"/>
      <c r="K660" s="16" t="str">
        <f>IF(J660&lt;&gt;"",SUMIFS('💰 Transaction ขาย'!$F:$F,'💰 Transaction ขาย'!$K:$K,$J660,'💰 Transaction ขาย'!$J:$J,$B$1),"")</f>
        <v/>
      </c>
      <c r="L660" s="118"/>
      <c r="M660" s="46"/>
      <c r="N660" s="46"/>
      <c r="O660" s="46"/>
      <c r="P660" s="118"/>
      <c r="Q660" s="46"/>
      <c r="R660" s="46"/>
      <c r="S660" s="46"/>
      <c r="T660" s="46"/>
      <c r="U660" s="118"/>
      <c r="V660" s="46"/>
      <c r="W660" s="88" t="str">
        <f>IF(V660&lt;&gt;"",SUMIFS('📊 รายงานสินค้าคงเหลือ'!G:G,'📊 รายงานสินค้าคงเหลือ'!D:D,V660),"")</f>
        <v/>
      </c>
      <c r="X660" s="46"/>
      <c r="Y660" s="46"/>
      <c r="Z660" s="46"/>
    </row>
    <row r="661">
      <c r="A661" s="46"/>
      <c r="B661" s="16"/>
      <c r="C661" s="118"/>
      <c r="D661" s="126"/>
      <c r="E661" s="88"/>
      <c r="F661" s="118"/>
      <c r="G661" s="46"/>
      <c r="H661" s="46"/>
      <c r="I661" s="118"/>
      <c r="J661" s="46"/>
      <c r="K661" s="16" t="str">
        <f>IF(J661&lt;&gt;"",SUMIFS('💰 Transaction ขาย'!$F:$F,'💰 Transaction ขาย'!$K:$K,$J661,'💰 Transaction ขาย'!$J:$J,$B$1),"")</f>
        <v/>
      </c>
      <c r="L661" s="118"/>
      <c r="M661" s="46"/>
      <c r="N661" s="46"/>
      <c r="O661" s="46"/>
      <c r="P661" s="118"/>
      <c r="Q661" s="46"/>
      <c r="R661" s="46"/>
      <c r="S661" s="46"/>
      <c r="T661" s="46"/>
      <c r="U661" s="118"/>
      <c r="V661" s="46"/>
      <c r="W661" s="88" t="str">
        <f>IF(V661&lt;&gt;"",SUMIFS('📊 รายงานสินค้าคงเหลือ'!G:G,'📊 รายงานสินค้าคงเหลือ'!D:D,V661),"")</f>
        <v/>
      </c>
      <c r="X661" s="46"/>
      <c r="Y661" s="46"/>
      <c r="Z661" s="46"/>
    </row>
    <row r="662">
      <c r="A662" s="46"/>
      <c r="B662" s="16"/>
      <c r="C662" s="118"/>
      <c r="D662" s="126"/>
      <c r="E662" s="88"/>
      <c r="F662" s="118"/>
      <c r="G662" s="46"/>
      <c r="H662" s="46"/>
      <c r="I662" s="118"/>
      <c r="J662" s="46"/>
      <c r="K662" s="16" t="str">
        <f>IF(J662&lt;&gt;"",SUMIFS('💰 Transaction ขาย'!$F:$F,'💰 Transaction ขาย'!$K:$K,$J662,'💰 Transaction ขาย'!$J:$J,$B$1),"")</f>
        <v/>
      </c>
      <c r="L662" s="118"/>
      <c r="M662" s="46"/>
      <c r="N662" s="46"/>
      <c r="O662" s="46"/>
      <c r="P662" s="118"/>
      <c r="Q662" s="46"/>
      <c r="R662" s="46"/>
      <c r="S662" s="46"/>
      <c r="T662" s="46"/>
      <c r="U662" s="118"/>
      <c r="V662" s="46"/>
      <c r="W662" s="88" t="str">
        <f>IF(V662&lt;&gt;"",SUMIFS('📊 รายงานสินค้าคงเหลือ'!G:G,'📊 รายงานสินค้าคงเหลือ'!D:D,V662),"")</f>
        <v/>
      </c>
      <c r="X662" s="46"/>
      <c r="Y662" s="46"/>
      <c r="Z662" s="46"/>
    </row>
    <row r="663">
      <c r="A663" s="46"/>
      <c r="B663" s="16"/>
      <c r="C663" s="118"/>
      <c r="D663" s="126"/>
      <c r="E663" s="88"/>
      <c r="F663" s="118"/>
      <c r="G663" s="46"/>
      <c r="H663" s="46"/>
      <c r="I663" s="118"/>
      <c r="J663" s="46"/>
      <c r="K663" s="16" t="str">
        <f>IF(J663&lt;&gt;"",SUMIFS('💰 Transaction ขาย'!$F:$F,'💰 Transaction ขาย'!$K:$K,$J663,'💰 Transaction ขาย'!$J:$J,$B$1),"")</f>
        <v/>
      </c>
      <c r="L663" s="118"/>
      <c r="M663" s="46"/>
      <c r="N663" s="46"/>
      <c r="O663" s="46"/>
      <c r="P663" s="118"/>
      <c r="Q663" s="46"/>
      <c r="R663" s="46"/>
      <c r="S663" s="46"/>
      <c r="T663" s="46"/>
      <c r="U663" s="118"/>
      <c r="V663" s="46"/>
      <c r="W663" s="88" t="str">
        <f>IF(V663&lt;&gt;"",SUMIFS('📊 รายงานสินค้าคงเหลือ'!G:G,'📊 รายงานสินค้าคงเหลือ'!D:D,V663),"")</f>
        <v/>
      </c>
      <c r="X663" s="46"/>
      <c r="Y663" s="46"/>
      <c r="Z663" s="46"/>
    </row>
    <row r="664">
      <c r="A664" s="46"/>
      <c r="B664" s="16"/>
      <c r="C664" s="118"/>
      <c r="D664" s="126"/>
      <c r="E664" s="88"/>
      <c r="F664" s="118"/>
      <c r="G664" s="46"/>
      <c r="H664" s="46"/>
      <c r="I664" s="118"/>
      <c r="J664" s="46"/>
      <c r="K664" s="16" t="str">
        <f>IF(J664&lt;&gt;"",SUMIFS('💰 Transaction ขาย'!$F:$F,'💰 Transaction ขาย'!$K:$K,$J664,'💰 Transaction ขาย'!$J:$J,$B$1),"")</f>
        <v/>
      </c>
      <c r="L664" s="118"/>
      <c r="M664" s="46"/>
      <c r="N664" s="46"/>
      <c r="O664" s="46"/>
      <c r="P664" s="118"/>
      <c r="Q664" s="46"/>
      <c r="R664" s="46"/>
      <c r="S664" s="46"/>
      <c r="T664" s="46"/>
      <c r="U664" s="118"/>
      <c r="V664" s="46"/>
      <c r="W664" s="88" t="str">
        <f>IF(V664&lt;&gt;"",SUMIFS('📊 รายงานสินค้าคงเหลือ'!G:G,'📊 รายงานสินค้าคงเหลือ'!D:D,V664),"")</f>
        <v/>
      </c>
      <c r="X664" s="46"/>
      <c r="Y664" s="46"/>
      <c r="Z664" s="46"/>
    </row>
    <row r="665">
      <c r="A665" s="46"/>
      <c r="B665" s="16"/>
      <c r="C665" s="118"/>
      <c r="D665" s="126"/>
      <c r="E665" s="88"/>
      <c r="F665" s="118"/>
      <c r="G665" s="46"/>
      <c r="H665" s="46"/>
      <c r="I665" s="118"/>
      <c r="J665" s="46"/>
      <c r="K665" s="16" t="str">
        <f>IF(J665&lt;&gt;"",SUMIFS('💰 Transaction ขาย'!$F:$F,'💰 Transaction ขาย'!$K:$K,$J665,'💰 Transaction ขาย'!$J:$J,$B$1),"")</f>
        <v/>
      </c>
      <c r="L665" s="118"/>
      <c r="M665" s="46"/>
      <c r="N665" s="46"/>
      <c r="O665" s="46"/>
      <c r="P665" s="118"/>
      <c r="Q665" s="46"/>
      <c r="R665" s="46"/>
      <c r="S665" s="46"/>
      <c r="T665" s="46"/>
      <c r="U665" s="118"/>
      <c r="V665" s="46"/>
      <c r="W665" s="88" t="str">
        <f>IF(V665&lt;&gt;"",SUMIFS('📊 รายงานสินค้าคงเหลือ'!G:G,'📊 รายงานสินค้าคงเหลือ'!D:D,V665),"")</f>
        <v/>
      </c>
      <c r="X665" s="46"/>
      <c r="Y665" s="46"/>
      <c r="Z665" s="46"/>
    </row>
    <row r="666">
      <c r="A666" s="46"/>
      <c r="B666" s="16"/>
      <c r="C666" s="118"/>
      <c r="D666" s="126"/>
      <c r="E666" s="88"/>
      <c r="F666" s="118"/>
      <c r="G666" s="46"/>
      <c r="H666" s="46"/>
      <c r="I666" s="118"/>
      <c r="J666" s="46"/>
      <c r="K666" s="16" t="str">
        <f>IF(J666&lt;&gt;"",SUMIFS('💰 Transaction ขาย'!$F:$F,'💰 Transaction ขาย'!$K:$K,$J666,'💰 Transaction ขาย'!$J:$J,$B$1),"")</f>
        <v/>
      </c>
      <c r="L666" s="118"/>
      <c r="M666" s="46"/>
      <c r="N666" s="46"/>
      <c r="O666" s="46"/>
      <c r="P666" s="118"/>
      <c r="Q666" s="46"/>
      <c r="R666" s="46"/>
      <c r="S666" s="46"/>
      <c r="T666" s="46"/>
      <c r="U666" s="118"/>
      <c r="V666" s="46"/>
      <c r="W666" s="88" t="str">
        <f>IF(V666&lt;&gt;"",SUMIFS('📊 รายงานสินค้าคงเหลือ'!G:G,'📊 รายงานสินค้าคงเหลือ'!D:D,V666),"")</f>
        <v/>
      </c>
      <c r="X666" s="46"/>
      <c r="Y666" s="46"/>
      <c r="Z666" s="46"/>
    </row>
    <row r="667">
      <c r="A667" s="46"/>
      <c r="B667" s="16"/>
      <c r="C667" s="118"/>
      <c r="D667" s="126"/>
      <c r="E667" s="88"/>
      <c r="F667" s="118"/>
      <c r="G667" s="46"/>
      <c r="H667" s="46"/>
      <c r="I667" s="118"/>
      <c r="J667" s="46"/>
      <c r="K667" s="16" t="str">
        <f>IF(J667&lt;&gt;"",SUMIFS('💰 Transaction ขาย'!$F:$F,'💰 Transaction ขาย'!$K:$K,$J667,'💰 Transaction ขาย'!$J:$J,$B$1),"")</f>
        <v/>
      </c>
      <c r="L667" s="118"/>
      <c r="M667" s="46"/>
      <c r="N667" s="46"/>
      <c r="O667" s="46"/>
      <c r="P667" s="118"/>
      <c r="Q667" s="46"/>
      <c r="R667" s="46"/>
      <c r="S667" s="46"/>
      <c r="T667" s="46"/>
      <c r="U667" s="118"/>
      <c r="V667" s="46"/>
      <c r="W667" s="88" t="str">
        <f>IF(V667&lt;&gt;"",SUMIFS('📊 รายงานสินค้าคงเหลือ'!G:G,'📊 รายงานสินค้าคงเหลือ'!D:D,V667),"")</f>
        <v/>
      </c>
      <c r="X667" s="46"/>
      <c r="Y667" s="46"/>
      <c r="Z667" s="46"/>
    </row>
    <row r="668">
      <c r="A668" s="46"/>
      <c r="B668" s="16"/>
      <c r="C668" s="118"/>
      <c r="D668" s="126"/>
      <c r="E668" s="88"/>
      <c r="F668" s="118"/>
      <c r="G668" s="46"/>
      <c r="H668" s="46"/>
      <c r="I668" s="118"/>
      <c r="J668" s="46"/>
      <c r="K668" s="16" t="str">
        <f>IF(J668&lt;&gt;"",SUMIFS('💰 Transaction ขาย'!$F:$F,'💰 Transaction ขาย'!$K:$K,$J668,'💰 Transaction ขาย'!$J:$J,$B$1),"")</f>
        <v/>
      </c>
      <c r="L668" s="118"/>
      <c r="M668" s="46"/>
      <c r="N668" s="46"/>
      <c r="O668" s="46"/>
      <c r="P668" s="118"/>
      <c r="Q668" s="46"/>
      <c r="R668" s="46"/>
      <c r="S668" s="46"/>
      <c r="T668" s="46"/>
      <c r="U668" s="118"/>
      <c r="V668" s="46"/>
      <c r="W668" s="88" t="str">
        <f>IF(V668&lt;&gt;"",SUMIFS('📊 รายงานสินค้าคงเหลือ'!G:G,'📊 รายงานสินค้าคงเหลือ'!D:D,V668),"")</f>
        <v/>
      </c>
      <c r="X668" s="46"/>
      <c r="Y668" s="46"/>
      <c r="Z668" s="46"/>
    </row>
    <row r="669">
      <c r="A669" s="46"/>
      <c r="B669" s="16"/>
      <c r="C669" s="118"/>
      <c r="D669" s="126"/>
      <c r="E669" s="88"/>
      <c r="F669" s="118"/>
      <c r="G669" s="46"/>
      <c r="H669" s="46"/>
      <c r="I669" s="118"/>
      <c r="J669" s="46"/>
      <c r="K669" s="16" t="str">
        <f>IF(J669&lt;&gt;"",SUMIFS('💰 Transaction ขาย'!$F:$F,'💰 Transaction ขาย'!$K:$K,$J669,'💰 Transaction ขาย'!$J:$J,$B$1),"")</f>
        <v/>
      </c>
      <c r="L669" s="118"/>
      <c r="M669" s="46"/>
      <c r="N669" s="46"/>
      <c r="O669" s="46"/>
      <c r="P669" s="118"/>
      <c r="Q669" s="46"/>
      <c r="R669" s="46"/>
      <c r="S669" s="46"/>
      <c r="T669" s="46"/>
      <c r="U669" s="118"/>
      <c r="V669" s="46"/>
      <c r="W669" s="88" t="str">
        <f>IF(V669&lt;&gt;"",SUMIFS('📊 รายงานสินค้าคงเหลือ'!G:G,'📊 รายงานสินค้าคงเหลือ'!D:D,V669),"")</f>
        <v/>
      </c>
      <c r="X669" s="46"/>
      <c r="Y669" s="46"/>
      <c r="Z669" s="46"/>
    </row>
    <row r="670">
      <c r="A670" s="46"/>
      <c r="B670" s="16"/>
      <c r="C670" s="118"/>
      <c r="D670" s="126"/>
      <c r="E670" s="88"/>
      <c r="F670" s="118"/>
      <c r="G670" s="46"/>
      <c r="H670" s="46"/>
      <c r="I670" s="118"/>
      <c r="J670" s="46"/>
      <c r="K670" s="16" t="str">
        <f>IF(J670&lt;&gt;"",SUMIFS('💰 Transaction ขาย'!$F:$F,'💰 Transaction ขาย'!$K:$K,$J670,'💰 Transaction ขาย'!$J:$J,$B$1),"")</f>
        <v/>
      </c>
      <c r="L670" s="118"/>
      <c r="M670" s="46"/>
      <c r="N670" s="46"/>
      <c r="O670" s="46"/>
      <c r="P670" s="118"/>
      <c r="Q670" s="46"/>
      <c r="R670" s="46"/>
      <c r="S670" s="46"/>
      <c r="T670" s="46"/>
      <c r="U670" s="118"/>
      <c r="V670" s="46"/>
      <c r="W670" s="88" t="str">
        <f>IF(V670&lt;&gt;"",SUMIFS('📊 รายงานสินค้าคงเหลือ'!G:G,'📊 รายงานสินค้าคงเหลือ'!D:D,V670),"")</f>
        <v/>
      </c>
      <c r="X670" s="46"/>
      <c r="Y670" s="46"/>
      <c r="Z670" s="46"/>
    </row>
    <row r="671">
      <c r="A671" s="46"/>
      <c r="B671" s="16"/>
      <c r="C671" s="118"/>
      <c r="D671" s="126"/>
      <c r="E671" s="88"/>
      <c r="F671" s="118"/>
      <c r="G671" s="46"/>
      <c r="H671" s="46"/>
      <c r="I671" s="118"/>
      <c r="J671" s="46"/>
      <c r="K671" s="16" t="str">
        <f>IF(J671&lt;&gt;"",SUMIFS('💰 Transaction ขาย'!$F:$F,'💰 Transaction ขาย'!$K:$K,$J671,'💰 Transaction ขาย'!$J:$J,$B$1),"")</f>
        <v/>
      </c>
      <c r="L671" s="118"/>
      <c r="M671" s="46"/>
      <c r="N671" s="46"/>
      <c r="O671" s="46"/>
      <c r="P671" s="118"/>
      <c r="Q671" s="46"/>
      <c r="R671" s="46"/>
      <c r="S671" s="46"/>
      <c r="T671" s="46"/>
      <c r="U671" s="118"/>
      <c r="V671" s="46"/>
      <c r="W671" s="88" t="str">
        <f>IF(V671&lt;&gt;"",SUMIFS('📊 รายงานสินค้าคงเหลือ'!G:G,'📊 รายงานสินค้าคงเหลือ'!D:D,V671),"")</f>
        <v/>
      </c>
      <c r="X671" s="46"/>
      <c r="Y671" s="46"/>
      <c r="Z671" s="46"/>
    </row>
    <row r="672">
      <c r="A672" s="46"/>
      <c r="B672" s="16"/>
      <c r="C672" s="118"/>
      <c r="D672" s="126"/>
      <c r="E672" s="88"/>
      <c r="F672" s="118"/>
      <c r="G672" s="46"/>
      <c r="H672" s="46"/>
      <c r="I672" s="118"/>
      <c r="J672" s="46"/>
      <c r="K672" s="16" t="str">
        <f>IF(J672&lt;&gt;"",SUMIFS('💰 Transaction ขาย'!$F:$F,'💰 Transaction ขาย'!$K:$K,$J672,'💰 Transaction ขาย'!$J:$J,$B$1),"")</f>
        <v/>
      </c>
      <c r="L672" s="118"/>
      <c r="M672" s="46"/>
      <c r="N672" s="46"/>
      <c r="O672" s="46"/>
      <c r="P672" s="118"/>
      <c r="Q672" s="46"/>
      <c r="R672" s="46"/>
      <c r="S672" s="46"/>
      <c r="T672" s="46"/>
      <c r="U672" s="118"/>
      <c r="V672" s="46"/>
      <c r="W672" s="88" t="str">
        <f>IF(V672&lt;&gt;"",SUMIFS('📊 รายงานสินค้าคงเหลือ'!G:G,'📊 รายงานสินค้าคงเหลือ'!D:D,V672),"")</f>
        <v/>
      </c>
      <c r="X672" s="46"/>
      <c r="Y672" s="46"/>
      <c r="Z672" s="46"/>
    </row>
    <row r="673">
      <c r="A673" s="46"/>
      <c r="B673" s="16"/>
      <c r="C673" s="118"/>
      <c r="D673" s="126"/>
      <c r="E673" s="88"/>
      <c r="F673" s="118"/>
      <c r="G673" s="46"/>
      <c r="H673" s="46"/>
      <c r="I673" s="118"/>
      <c r="J673" s="46"/>
      <c r="K673" s="16" t="str">
        <f>IF(J673&lt;&gt;"",SUMIFS('💰 Transaction ขาย'!$F:$F,'💰 Transaction ขาย'!$K:$K,$J673,'💰 Transaction ขาย'!$J:$J,$B$1),"")</f>
        <v/>
      </c>
      <c r="L673" s="118"/>
      <c r="M673" s="46"/>
      <c r="N673" s="46"/>
      <c r="O673" s="46"/>
      <c r="P673" s="118"/>
      <c r="Q673" s="46"/>
      <c r="R673" s="46"/>
      <c r="S673" s="46"/>
      <c r="T673" s="46"/>
      <c r="U673" s="118"/>
      <c r="V673" s="46"/>
      <c r="W673" s="88" t="str">
        <f>IF(V673&lt;&gt;"",SUMIFS('📊 รายงานสินค้าคงเหลือ'!G:G,'📊 รายงานสินค้าคงเหลือ'!D:D,V673),"")</f>
        <v/>
      </c>
      <c r="X673" s="46"/>
      <c r="Y673" s="46"/>
      <c r="Z673" s="46"/>
    </row>
    <row r="674">
      <c r="A674" s="46"/>
      <c r="B674" s="16"/>
      <c r="C674" s="118"/>
      <c r="D674" s="126"/>
      <c r="E674" s="88"/>
      <c r="F674" s="118"/>
      <c r="G674" s="46"/>
      <c r="H674" s="46"/>
      <c r="I674" s="118"/>
      <c r="J674" s="46"/>
      <c r="K674" s="16" t="str">
        <f>IF(J674&lt;&gt;"",SUMIFS('💰 Transaction ขาย'!$F:$F,'💰 Transaction ขาย'!$K:$K,$J674,'💰 Transaction ขาย'!$J:$J,$B$1),"")</f>
        <v/>
      </c>
      <c r="L674" s="118"/>
      <c r="M674" s="46"/>
      <c r="N674" s="46"/>
      <c r="O674" s="46"/>
      <c r="P674" s="118"/>
      <c r="Q674" s="46"/>
      <c r="R674" s="46"/>
      <c r="S674" s="46"/>
      <c r="T674" s="46"/>
      <c r="U674" s="118"/>
      <c r="V674" s="46"/>
      <c r="W674" s="88" t="str">
        <f>IF(V674&lt;&gt;"",SUMIFS('📊 รายงานสินค้าคงเหลือ'!G:G,'📊 รายงานสินค้าคงเหลือ'!D:D,V674),"")</f>
        <v/>
      </c>
      <c r="X674" s="46"/>
      <c r="Y674" s="46"/>
      <c r="Z674" s="46"/>
    </row>
    <row r="675">
      <c r="A675" s="46"/>
      <c r="B675" s="16"/>
      <c r="C675" s="118"/>
      <c r="D675" s="126"/>
      <c r="E675" s="88"/>
      <c r="F675" s="118"/>
      <c r="G675" s="46"/>
      <c r="H675" s="46"/>
      <c r="I675" s="118"/>
      <c r="J675" s="46"/>
      <c r="K675" s="16" t="str">
        <f>IF(J675&lt;&gt;"",SUMIFS('💰 Transaction ขาย'!$F:$F,'💰 Transaction ขาย'!$K:$K,$J675,'💰 Transaction ขาย'!$J:$J,$B$1),"")</f>
        <v/>
      </c>
      <c r="L675" s="118"/>
      <c r="M675" s="46"/>
      <c r="N675" s="46"/>
      <c r="O675" s="46"/>
      <c r="P675" s="118"/>
      <c r="Q675" s="46"/>
      <c r="R675" s="46"/>
      <c r="S675" s="46"/>
      <c r="T675" s="46"/>
      <c r="U675" s="118"/>
      <c r="V675" s="46"/>
      <c r="W675" s="88" t="str">
        <f>IF(V675&lt;&gt;"",SUMIFS('📊 รายงานสินค้าคงเหลือ'!G:G,'📊 รายงานสินค้าคงเหลือ'!D:D,V675),"")</f>
        <v/>
      </c>
      <c r="X675" s="46"/>
      <c r="Y675" s="46"/>
      <c r="Z675" s="46"/>
    </row>
    <row r="676">
      <c r="A676" s="46"/>
      <c r="B676" s="16"/>
      <c r="C676" s="118"/>
      <c r="D676" s="126"/>
      <c r="E676" s="88"/>
      <c r="F676" s="118"/>
      <c r="G676" s="46"/>
      <c r="H676" s="46"/>
      <c r="I676" s="118"/>
      <c r="J676" s="46"/>
      <c r="K676" s="16" t="str">
        <f>IF(J676&lt;&gt;"",SUMIFS('💰 Transaction ขาย'!$F:$F,'💰 Transaction ขาย'!$K:$K,$J676,'💰 Transaction ขาย'!$J:$J,$B$1),"")</f>
        <v/>
      </c>
      <c r="L676" s="118"/>
      <c r="M676" s="46"/>
      <c r="N676" s="46"/>
      <c r="O676" s="46"/>
      <c r="P676" s="118"/>
      <c r="Q676" s="46"/>
      <c r="R676" s="46"/>
      <c r="S676" s="46"/>
      <c r="T676" s="46"/>
      <c r="U676" s="118"/>
      <c r="V676" s="46"/>
      <c r="W676" s="88" t="str">
        <f>IF(V676&lt;&gt;"",SUMIFS('📊 รายงานสินค้าคงเหลือ'!G:G,'📊 รายงานสินค้าคงเหลือ'!D:D,V676),"")</f>
        <v/>
      </c>
      <c r="X676" s="46"/>
      <c r="Y676" s="46"/>
      <c r="Z676" s="46"/>
    </row>
    <row r="677">
      <c r="A677" s="46"/>
      <c r="B677" s="16"/>
      <c r="C677" s="118"/>
      <c r="D677" s="126"/>
      <c r="E677" s="88"/>
      <c r="F677" s="118"/>
      <c r="G677" s="46"/>
      <c r="H677" s="46"/>
      <c r="I677" s="118"/>
      <c r="J677" s="46"/>
      <c r="K677" s="16" t="str">
        <f>IF(J677&lt;&gt;"",SUMIFS('💰 Transaction ขาย'!$F:$F,'💰 Transaction ขาย'!$K:$K,$J677,'💰 Transaction ขาย'!$J:$J,$B$1),"")</f>
        <v/>
      </c>
      <c r="L677" s="118"/>
      <c r="M677" s="46"/>
      <c r="N677" s="46"/>
      <c r="O677" s="46"/>
      <c r="P677" s="118"/>
      <c r="Q677" s="46"/>
      <c r="R677" s="46"/>
      <c r="S677" s="46"/>
      <c r="T677" s="46"/>
      <c r="U677" s="118"/>
      <c r="V677" s="46"/>
      <c r="W677" s="88" t="str">
        <f>IF(V677&lt;&gt;"",SUMIFS('📊 รายงานสินค้าคงเหลือ'!G:G,'📊 รายงานสินค้าคงเหลือ'!D:D,V677),"")</f>
        <v/>
      </c>
      <c r="X677" s="46"/>
      <c r="Y677" s="46"/>
      <c r="Z677" s="46"/>
    </row>
    <row r="678">
      <c r="A678" s="46"/>
      <c r="B678" s="16"/>
      <c r="C678" s="118"/>
      <c r="D678" s="126"/>
      <c r="E678" s="88"/>
      <c r="F678" s="118"/>
      <c r="G678" s="46"/>
      <c r="H678" s="46"/>
      <c r="I678" s="118"/>
      <c r="J678" s="46"/>
      <c r="K678" s="16" t="str">
        <f>IF(J678&lt;&gt;"",SUMIFS('💰 Transaction ขาย'!$F:$F,'💰 Transaction ขาย'!$K:$K,$J678,'💰 Transaction ขาย'!$J:$J,$B$1),"")</f>
        <v/>
      </c>
      <c r="L678" s="118"/>
      <c r="M678" s="46"/>
      <c r="N678" s="46"/>
      <c r="O678" s="46"/>
      <c r="P678" s="118"/>
      <c r="Q678" s="46"/>
      <c r="R678" s="46"/>
      <c r="S678" s="46"/>
      <c r="T678" s="46"/>
      <c r="U678" s="118"/>
      <c r="V678" s="46"/>
      <c r="W678" s="88" t="str">
        <f>IF(V678&lt;&gt;"",SUMIFS('📊 รายงานสินค้าคงเหลือ'!G:G,'📊 รายงานสินค้าคงเหลือ'!D:D,V678),"")</f>
        <v/>
      </c>
      <c r="X678" s="46"/>
      <c r="Y678" s="46"/>
      <c r="Z678" s="46"/>
    </row>
    <row r="679">
      <c r="A679" s="46"/>
      <c r="B679" s="16"/>
      <c r="C679" s="118"/>
      <c r="D679" s="126"/>
      <c r="E679" s="88"/>
      <c r="F679" s="118"/>
      <c r="G679" s="46"/>
      <c r="H679" s="46"/>
      <c r="I679" s="118"/>
      <c r="J679" s="46"/>
      <c r="K679" s="16" t="str">
        <f>IF(J679&lt;&gt;"",SUMIFS('💰 Transaction ขาย'!$F:$F,'💰 Transaction ขาย'!$K:$K,$J679,'💰 Transaction ขาย'!$J:$J,$B$1),"")</f>
        <v/>
      </c>
      <c r="L679" s="118"/>
      <c r="M679" s="46"/>
      <c r="N679" s="46"/>
      <c r="O679" s="46"/>
      <c r="P679" s="118"/>
      <c r="Q679" s="46"/>
      <c r="R679" s="46"/>
      <c r="S679" s="46"/>
      <c r="T679" s="46"/>
      <c r="U679" s="118"/>
      <c r="V679" s="46"/>
      <c r="W679" s="88" t="str">
        <f>IF(V679&lt;&gt;"",SUMIFS('📊 รายงานสินค้าคงเหลือ'!G:G,'📊 รายงานสินค้าคงเหลือ'!D:D,V679),"")</f>
        <v/>
      </c>
      <c r="X679" s="46"/>
      <c r="Y679" s="46"/>
      <c r="Z679" s="46"/>
    </row>
    <row r="680">
      <c r="A680" s="46"/>
      <c r="B680" s="16"/>
      <c r="C680" s="118"/>
      <c r="D680" s="126"/>
      <c r="E680" s="88"/>
      <c r="F680" s="118"/>
      <c r="G680" s="46"/>
      <c r="H680" s="46"/>
      <c r="I680" s="118"/>
      <c r="J680" s="46"/>
      <c r="K680" s="16" t="str">
        <f>IF(J680&lt;&gt;"",SUMIFS('💰 Transaction ขาย'!$F:$F,'💰 Transaction ขาย'!$K:$K,$J680,'💰 Transaction ขาย'!$J:$J,$B$1),"")</f>
        <v/>
      </c>
      <c r="L680" s="118"/>
      <c r="M680" s="46"/>
      <c r="N680" s="46"/>
      <c r="O680" s="46"/>
      <c r="P680" s="118"/>
      <c r="Q680" s="46"/>
      <c r="R680" s="46"/>
      <c r="S680" s="46"/>
      <c r="T680" s="46"/>
      <c r="U680" s="118"/>
      <c r="V680" s="46"/>
      <c r="W680" s="88" t="str">
        <f>IF(V680&lt;&gt;"",SUMIFS('📊 รายงานสินค้าคงเหลือ'!G:G,'📊 รายงานสินค้าคงเหลือ'!D:D,V680),"")</f>
        <v/>
      </c>
      <c r="X680" s="46"/>
      <c r="Y680" s="46"/>
      <c r="Z680" s="46"/>
    </row>
    <row r="681">
      <c r="A681" s="46"/>
      <c r="B681" s="16"/>
      <c r="C681" s="118"/>
      <c r="D681" s="126"/>
      <c r="E681" s="88"/>
      <c r="F681" s="118"/>
      <c r="G681" s="46"/>
      <c r="H681" s="46"/>
      <c r="I681" s="118"/>
      <c r="J681" s="46"/>
      <c r="K681" s="16" t="str">
        <f>IF(J681&lt;&gt;"",SUMIFS('💰 Transaction ขาย'!$F:$F,'💰 Transaction ขาย'!$K:$K,$J681,'💰 Transaction ขาย'!$J:$J,$B$1),"")</f>
        <v/>
      </c>
      <c r="L681" s="118"/>
      <c r="M681" s="46"/>
      <c r="N681" s="46"/>
      <c r="O681" s="46"/>
      <c r="P681" s="118"/>
      <c r="Q681" s="46"/>
      <c r="R681" s="46"/>
      <c r="S681" s="46"/>
      <c r="T681" s="46"/>
      <c r="U681" s="118"/>
      <c r="V681" s="46"/>
      <c r="W681" s="88" t="str">
        <f>IF(V681&lt;&gt;"",SUMIFS('📊 รายงานสินค้าคงเหลือ'!G:G,'📊 รายงานสินค้าคงเหลือ'!D:D,V681),"")</f>
        <v/>
      </c>
      <c r="X681" s="46"/>
      <c r="Y681" s="46"/>
      <c r="Z681" s="46"/>
    </row>
    <row r="682">
      <c r="A682" s="46"/>
      <c r="B682" s="16"/>
      <c r="C682" s="118"/>
      <c r="D682" s="126"/>
      <c r="E682" s="88"/>
      <c r="F682" s="118"/>
      <c r="G682" s="46"/>
      <c r="H682" s="46"/>
      <c r="I682" s="118"/>
      <c r="J682" s="46"/>
      <c r="K682" s="16" t="str">
        <f>IF(J682&lt;&gt;"",SUMIFS('💰 Transaction ขาย'!$F:$F,'💰 Transaction ขาย'!$K:$K,$J682,'💰 Transaction ขาย'!$J:$J,$B$1),"")</f>
        <v/>
      </c>
      <c r="L682" s="118"/>
      <c r="M682" s="46"/>
      <c r="N682" s="46"/>
      <c r="O682" s="46"/>
      <c r="P682" s="118"/>
      <c r="Q682" s="46"/>
      <c r="R682" s="46"/>
      <c r="S682" s="46"/>
      <c r="T682" s="46"/>
      <c r="U682" s="118"/>
      <c r="V682" s="46"/>
      <c r="W682" s="88" t="str">
        <f>IF(V682&lt;&gt;"",SUMIFS('📊 รายงานสินค้าคงเหลือ'!G:G,'📊 รายงานสินค้าคงเหลือ'!D:D,V682),"")</f>
        <v/>
      </c>
      <c r="X682" s="46"/>
      <c r="Y682" s="46"/>
      <c r="Z682" s="46"/>
    </row>
    <row r="683">
      <c r="A683" s="46"/>
      <c r="B683" s="16"/>
      <c r="C683" s="118"/>
      <c r="D683" s="126"/>
      <c r="E683" s="88"/>
      <c r="F683" s="118"/>
      <c r="G683" s="46"/>
      <c r="H683" s="46"/>
      <c r="I683" s="118"/>
      <c r="J683" s="46"/>
      <c r="K683" s="16" t="str">
        <f>IF(J683&lt;&gt;"",SUMIFS('💰 Transaction ขาย'!$F:$F,'💰 Transaction ขาย'!$K:$K,$J683,'💰 Transaction ขาย'!$J:$J,$B$1),"")</f>
        <v/>
      </c>
      <c r="L683" s="118"/>
      <c r="M683" s="46"/>
      <c r="N683" s="46"/>
      <c r="O683" s="46"/>
      <c r="P683" s="118"/>
      <c r="Q683" s="46"/>
      <c r="R683" s="46"/>
      <c r="S683" s="46"/>
      <c r="T683" s="46"/>
      <c r="U683" s="118"/>
      <c r="V683" s="46"/>
      <c r="W683" s="88" t="str">
        <f>IF(V683&lt;&gt;"",SUMIFS('📊 รายงานสินค้าคงเหลือ'!G:G,'📊 รายงานสินค้าคงเหลือ'!D:D,V683),"")</f>
        <v/>
      </c>
      <c r="X683" s="46"/>
      <c r="Y683" s="46"/>
      <c r="Z683" s="46"/>
    </row>
    <row r="684">
      <c r="A684" s="46"/>
      <c r="B684" s="16"/>
      <c r="C684" s="118"/>
      <c r="D684" s="126"/>
      <c r="E684" s="88"/>
      <c r="F684" s="118"/>
      <c r="G684" s="46"/>
      <c r="H684" s="46"/>
      <c r="I684" s="118"/>
      <c r="J684" s="46"/>
      <c r="K684" s="16" t="str">
        <f>IF(J684&lt;&gt;"",SUMIFS('💰 Transaction ขาย'!$F:$F,'💰 Transaction ขาย'!$K:$K,$J684,'💰 Transaction ขาย'!$J:$J,$B$1),"")</f>
        <v/>
      </c>
      <c r="L684" s="118"/>
      <c r="M684" s="46"/>
      <c r="N684" s="46"/>
      <c r="O684" s="46"/>
      <c r="P684" s="118"/>
      <c r="Q684" s="46"/>
      <c r="R684" s="46"/>
      <c r="S684" s="46"/>
      <c r="T684" s="46"/>
      <c r="U684" s="118"/>
      <c r="V684" s="46"/>
      <c r="W684" s="88" t="str">
        <f>IF(V684&lt;&gt;"",SUMIFS('📊 รายงานสินค้าคงเหลือ'!G:G,'📊 รายงานสินค้าคงเหลือ'!D:D,V684),"")</f>
        <v/>
      </c>
      <c r="X684" s="46"/>
      <c r="Y684" s="46"/>
      <c r="Z684" s="46"/>
    </row>
    <row r="685">
      <c r="A685" s="46"/>
      <c r="B685" s="16"/>
      <c r="C685" s="118"/>
      <c r="D685" s="126"/>
      <c r="E685" s="88"/>
      <c r="F685" s="118"/>
      <c r="G685" s="46"/>
      <c r="H685" s="46"/>
      <c r="I685" s="118"/>
      <c r="J685" s="46"/>
      <c r="K685" s="16" t="str">
        <f>IF(J685&lt;&gt;"",SUMIFS('💰 Transaction ขาย'!$F:$F,'💰 Transaction ขาย'!$K:$K,$J685,'💰 Transaction ขาย'!$J:$J,$B$1),"")</f>
        <v/>
      </c>
      <c r="L685" s="118"/>
      <c r="M685" s="46"/>
      <c r="N685" s="46"/>
      <c r="O685" s="46"/>
      <c r="P685" s="118"/>
      <c r="Q685" s="46"/>
      <c r="R685" s="46"/>
      <c r="S685" s="46"/>
      <c r="T685" s="46"/>
      <c r="U685" s="118"/>
      <c r="V685" s="46"/>
      <c r="W685" s="88" t="str">
        <f>IF(V685&lt;&gt;"",SUMIFS('📊 รายงานสินค้าคงเหลือ'!G:G,'📊 รายงานสินค้าคงเหลือ'!D:D,V685),"")</f>
        <v/>
      </c>
      <c r="X685" s="46"/>
      <c r="Y685" s="46"/>
      <c r="Z685" s="46"/>
    </row>
    <row r="686">
      <c r="A686" s="46"/>
      <c r="B686" s="16"/>
      <c r="C686" s="118"/>
      <c r="D686" s="126"/>
      <c r="E686" s="88"/>
      <c r="F686" s="118"/>
      <c r="G686" s="46"/>
      <c r="H686" s="46"/>
      <c r="I686" s="118"/>
      <c r="J686" s="46"/>
      <c r="K686" s="16" t="str">
        <f>IF(J686&lt;&gt;"",SUMIFS('💰 Transaction ขาย'!$F:$F,'💰 Transaction ขาย'!$K:$K,$J686,'💰 Transaction ขาย'!$J:$J,$B$1),"")</f>
        <v/>
      </c>
      <c r="L686" s="118"/>
      <c r="M686" s="46"/>
      <c r="N686" s="46"/>
      <c r="O686" s="46"/>
      <c r="P686" s="118"/>
      <c r="Q686" s="46"/>
      <c r="R686" s="46"/>
      <c r="S686" s="46"/>
      <c r="T686" s="46"/>
      <c r="U686" s="118"/>
      <c r="V686" s="46"/>
      <c r="W686" s="88" t="str">
        <f>IF(V686&lt;&gt;"",SUMIFS('📊 รายงานสินค้าคงเหลือ'!G:G,'📊 รายงานสินค้าคงเหลือ'!D:D,V686),"")</f>
        <v/>
      </c>
      <c r="X686" s="46"/>
      <c r="Y686" s="46"/>
      <c r="Z686" s="46"/>
    </row>
    <row r="687">
      <c r="A687" s="46"/>
      <c r="B687" s="16"/>
      <c r="C687" s="118"/>
      <c r="D687" s="126"/>
      <c r="E687" s="88"/>
      <c r="F687" s="118"/>
      <c r="G687" s="46"/>
      <c r="H687" s="46"/>
      <c r="I687" s="118"/>
      <c r="J687" s="46"/>
      <c r="K687" s="16" t="str">
        <f>IF(J687&lt;&gt;"",SUMIFS('💰 Transaction ขาย'!$F:$F,'💰 Transaction ขาย'!$K:$K,$J687,'💰 Transaction ขาย'!$J:$J,$B$1),"")</f>
        <v/>
      </c>
      <c r="L687" s="118"/>
      <c r="M687" s="46"/>
      <c r="N687" s="46"/>
      <c r="O687" s="46"/>
      <c r="P687" s="118"/>
      <c r="Q687" s="46"/>
      <c r="R687" s="46"/>
      <c r="S687" s="46"/>
      <c r="T687" s="46"/>
      <c r="U687" s="118"/>
      <c r="V687" s="46"/>
      <c r="W687" s="88" t="str">
        <f>IF(V687&lt;&gt;"",SUMIFS('📊 รายงานสินค้าคงเหลือ'!G:G,'📊 รายงานสินค้าคงเหลือ'!D:D,V687),"")</f>
        <v/>
      </c>
      <c r="X687" s="46"/>
      <c r="Y687" s="46"/>
      <c r="Z687" s="46"/>
    </row>
    <row r="688">
      <c r="A688" s="46"/>
      <c r="B688" s="16"/>
      <c r="C688" s="118"/>
      <c r="D688" s="126"/>
      <c r="E688" s="88"/>
      <c r="F688" s="118"/>
      <c r="G688" s="46"/>
      <c r="H688" s="46"/>
      <c r="I688" s="118"/>
      <c r="J688" s="46"/>
      <c r="K688" s="16" t="str">
        <f>IF(J688&lt;&gt;"",SUMIFS('💰 Transaction ขาย'!$F:$F,'💰 Transaction ขาย'!$K:$K,$J688,'💰 Transaction ขาย'!$J:$J,$B$1),"")</f>
        <v/>
      </c>
      <c r="L688" s="118"/>
      <c r="M688" s="46"/>
      <c r="N688" s="46"/>
      <c r="O688" s="46"/>
      <c r="P688" s="118"/>
      <c r="Q688" s="46"/>
      <c r="R688" s="46"/>
      <c r="S688" s="46"/>
      <c r="T688" s="46"/>
      <c r="U688" s="118"/>
      <c r="V688" s="46"/>
      <c r="W688" s="88" t="str">
        <f>IF(V688&lt;&gt;"",SUMIFS('📊 รายงานสินค้าคงเหลือ'!G:G,'📊 รายงานสินค้าคงเหลือ'!D:D,V688),"")</f>
        <v/>
      </c>
      <c r="X688" s="46"/>
      <c r="Y688" s="46"/>
      <c r="Z688" s="46"/>
    </row>
    <row r="689">
      <c r="A689" s="46"/>
      <c r="B689" s="16"/>
      <c r="C689" s="118"/>
      <c r="D689" s="126"/>
      <c r="E689" s="88"/>
      <c r="F689" s="118"/>
      <c r="G689" s="46"/>
      <c r="H689" s="46"/>
      <c r="I689" s="118"/>
      <c r="J689" s="46"/>
      <c r="K689" s="16" t="str">
        <f>IF(J689&lt;&gt;"",SUMIFS('💰 Transaction ขาย'!$F:$F,'💰 Transaction ขาย'!$K:$K,$J689,'💰 Transaction ขาย'!$J:$J,$B$1),"")</f>
        <v/>
      </c>
      <c r="L689" s="118"/>
      <c r="M689" s="46"/>
      <c r="N689" s="46"/>
      <c r="O689" s="46"/>
      <c r="P689" s="118"/>
      <c r="Q689" s="46"/>
      <c r="R689" s="46"/>
      <c r="S689" s="46"/>
      <c r="T689" s="46"/>
      <c r="U689" s="118"/>
      <c r="V689" s="46"/>
      <c r="W689" s="88" t="str">
        <f>IF(V689&lt;&gt;"",SUMIFS('📊 รายงานสินค้าคงเหลือ'!G:G,'📊 รายงานสินค้าคงเหลือ'!D:D,V689),"")</f>
        <v/>
      </c>
      <c r="X689" s="46"/>
      <c r="Y689" s="46"/>
      <c r="Z689" s="46"/>
    </row>
    <row r="690">
      <c r="A690" s="46"/>
      <c r="B690" s="16"/>
      <c r="C690" s="118"/>
      <c r="D690" s="126"/>
      <c r="E690" s="88"/>
      <c r="F690" s="118"/>
      <c r="G690" s="46"/>
      <c r="H690" s="46"/>
      <c r="I690" s="118"/>
      <c r="J690" s="46"/>
      <c r="K690" s="16" t="str">
        <f>IF(J690&lt;&gt;"",SUMIFS('💰 Transaction ขาย'!$F:$F,'💰 Transaction ขาย'!$K:$K,$J690,'💰 Transaction ขาย'!$J:$J,$B$1),"")</f>
        <v/>
      </c>
      <c r="L690" s="118"/>
      <c r="M690" s="46"/>
      <c r="N690" s="46"/>
      <c r="O690" s="46"/>
      <c r="P690" s="118"/>
      <c r="Q690" s="46"/>
      <c r="R690" s="46"/>
      <c r="S690" s="46"/>
      <c r="T690" s="46"/>
      <c r="U690" s="118"/>
      <c r="V690" s="46"/>
      <c r="W690" s="88" t="str">
        <f>IF(V690&lt;&gt;"",SUMIFS('📊 รายงานสินค้าคงเหลือ'!G:G,'📊 รายงานสินค้าคงเหลือ'!D:D,V690),"")</f>
        <v/>
      </c>
      <c r="X690" s="46"/>
      <c r="Y690" s="46"/>
      <c r="Z690" s="46"/>
    </row>
    <row r="691">
      <c r="A691" s="46"/>
      <c r="B691" s="16"/>
      <c r="C691" s="118"/>
      <c r="D691" s="126"/>
      <c r="E691" s="88"/>
      <c r="F691" s="118"/>
      <c r="G691" s="46"/>
      <c r="H691" s="46"/>
      <c r="I691" s="118"/>
      <c r="J691" s="46"/>
      <c r="K691" s="16" t="str">
        <f>IF(J691&lt;&gt;"",SUMIFS('💰 Transaction ขาย'!$F:$F,'💰 Transaction ขาย'!$K:$K,$J691,'💰 Transaction ขาย'!$J:$J,$B$1),"")</f>
        <v/>
      </c>
      <c r="L691" s="118"/>
      <c r="M691" s="46"/>
      <c r="N691" s="46"/>
      <c r="O691" s="46"/>
      <c r="P691" s="118"/>
      <c r="Q691" s="46"/>
      <c r="R691" s="46"/>
      <c r="S691" s="46"/>
      <c r="T691" s="46"/>
      <c r="U691" s="118"/>
      <c r="V691" s="46"/>
      <c r="W691" s="88" t="str">
        <f>IF(V691&lt;&gt;"",SUMIFS('📊 รายงานสินค้าคงเหลือ'!G:G,'📊 รายงานสินค้าคงเหลือ'!D:D,V691),"")</f>
        <v/>
      </c>
      <c r="X691" s="46"/>
      <c r="Y691" s="46"/>
      <c r="Z691" s="46"/>
    </row>
    <row r="692">
      <c r="A692" s="46"/>
      <c r="B692" s="16"/>
      <c r="C692" s="118"/>
      <c r="D692" s="126"/>
      <c r="E692" s="88"/>
      <c r="F692" s="118"/>
      <c r="G692" s="46"/>
      <c r="H692" s="46"/>
      <c r="I692" s="118"/>
      <c r="J692" s="46"/>
      <c r="K692" s="16" t="str">
        <f>IF(J692&lt;&gt;"",SUMIFS('💰 Transaction ขาย'!$F:$F,'💰 Transaction ขาย'!$K:$K,$J692,'💰 Transaction ขาย'!$J:$J,$B$1),"")</f>
        <v/>
      </c>
      <c r="L692" s="118"/>
      <c r="M692" s="46"/>
      <c r="N692" s="46"/>
      <c r="O692" s="46"/>
      <c r="P692" s="118"/>
      <c r="Q692" s="46"/>
      <c r="R692" s="46"/>
      <c r="S692" s="46"/>
      <c r="T692" s="46"/>
      <c r="U692" s="118"/>
      <c r="V692" s="46"/>
      <c r="W692" s="88" t="str">
        <f>IF(V692&lt;&gt;"",SUMIFS('📊 รายงานสินค้าคงเหลือ'!G:G,'📊 รายงานสินค้าคงเหลือ'!D:D,V692),"")</f>
        <v/>
      </c>
      <c r="X692" s="46"/>
      <c r="Y692" s="46"/>
      <c r="Z692" s="46"/>
    </row>
    <row r="693">
      <c r="A693" s="46"/>
      <c r="B693" s="16"/>
      <c r="C693" s="118"/>
      <c r="D693" s="126"/>
      <c r="E693" s="88"/>
      <c r="F693" s="118"/>
      <c r="G693" s="46"/>
      <c r="H693" s="46"/>
      <c r="I693" s="118"/>
      <c r="J693" s="46"/>
      <c r="K693" s="16" t="str">
        <f>IF(J693&lt;&gt;"",SUMIFS('💰 Transaction ขาย'!$F:$F,'💰 Transaction ขาย'!$K:$K,$J693,'💰 Transaction ขาย'!$J:$J,$B$1),"")</f>
        <v/>
      </c>
      <c r="L693" s="118"/>
      <c r="M693" s="46"/>
      <c r="N693" s="46"/>
      <c r="O693" s="46"/>
      <c r="P693" s="118"/>
      <c r="Q693" s="46"/>
      <c r="R693" s="46"/>
      <c r="S693" s="46"/>
      <c r="T693" s="46"/>
      <c r="U693" s="118"/>
      <c r="V693" s="46"/>
      <c r="W693" s="88" t="str">
        <f>IF(V693&lt;&gt;"",SUMIFS('📊 รายงานสินค้าคงเหลือ'!G:G,'📊 รายงานสินค้าคงเหลือ'!D:D,V693),"")</f>
        <v/>
      </c>
      <c r="X693" s="46"/>
      <c r="Y693" s="46"/>
      <c r="Z693" s="46"/>
    </row>
    <row r="694">
      <c r="A694" s="46"/>
      <c r="B694" s="16"/>
      <c r="C694" s="118"/>
      <c r="D694" s="126"/>
      <c r="E694" s="88"/>
      <c r="F694" s="118"/>
      <c r="G694" s="46"/>
      <c r="H694" s="46"/>
      <c r="I694" s="118"/>
      <c r="J694" s="46"/>
      <c r="K694" s="16" t="str">
        <f>IF(J694&lt;&gt;"",SUMIFS('💰 Transaction ขาย'!$F:$F,'💰 Transaction ขาย'!$K:$K,$J694,'💰 Transaction ขาย'!$J:$J,$B$1),"")</f>
        <v/>
      </c>
      <c r="L694" s="118"/>
      <c r="M694" s="46"/>
      <c r="N694" s="46"/>
      <c r="O694" s="46"/>
      <c r="P694" s="118"/>
      <c r="Q694" s="46"/>
      <c r="R694" s="46"/>
      <c r="S694" s="46"/>
      <c r="T694" s="46"/>
      <c r="U694" s="118"/>
      <c r="V694" s="46"/>
      <c r="W694" s="88" t="str">
        <f>IF(V694&lt;&gt;"",SUMIFS('📊 รายงานสินค้าคงเหลือ'!G:G,'📊 รายงานสินค้าคงเหลือ'!D:D,V694),"")</f>
        <v/>
      </c>
      <c r="X694" s="46"/>
      <c r="Y694" s="46"/>
      <c r="Z694" s="46"/>
    </row>
    <row r="695">
      <c r="A695" s="46"/>
      <c r="B695" s="16"/>
      <c r="C695" s="118"/>
      <c r="D695" s="126"/>
      <c r="E695" s="88"/>
      <c r="F695" s="118"/>
      <c r="G695" s="46"/>
      <c r="H695" s="46"/>
      <c r="I695" s="118"/>
      <c r="J695" s="46"/>
      <c r="K695" s="16" t="str">
        <f>IF(J695&lt;&gt;"",SUMIFS('💰 Transaction ขาย'!$F:$F,'💰 Transaction ขาย'!$K:$K,$J695,'💰 Transaction ขาย'!$J:$J,$B$1),"")</f>
        <v/>
      </c>
      <c r="L695" s="118"/>
      <c r="M695" s="46"/>
      <c r="N695" s="46"/>
      <c r="O695" s="46"/>
      <c r="P695" s="118"/>
      <c r="Q695" s="46"/>
      <c r="R695" s="46"/>
      <c r="S695" s="46"/>
      <c r="T695" s="46"/>
      <c r="U695" s="118"/>
      <c r="V695" s="46"/>
      <c r="W695" s="88" t="str">
        <f>IF(V695&lt;&gt;"",SUMIFS('📊 รายงานสินค้าคงเหลือ'!G:G,'📊 รายงานสินค้าคงเหลือ'!D:D,V695),"")</f>
        <v/>
      </c>
      <c r="X695" s="46"/>
      <c r="Y695" s="46"/>
      <c r="Z695" s="46"/>
    </row>
    <row r="696">
      <c r="A696" s="46"/>
      <c r="B696" s="16"/>
      <c r="C696" s="118"/>
      <c r="D696" s="126"/>
      <c r="E696" s="88"/>
      <c r="F696" s="118"/>
      <c r="G696" s="46"/>
      <c r="H696" s="46"/>
      <c r="I696" s="118"/>
      <c r="J696" s="46"/>
      <c r="K696" s="16" t="str">
        <f>IF(J696&lt;&gt;"",SUMIFS('💰 Transaction ขาย'!$F:$F,'💰 Transaction ขาย'!$K:$K,$J696,'💰 Transaction ขาย'!$J:$J,$B$1),"")</f>
        <v/>
      </c>
      <c r="L696" s="118"/>
      <c r="M696" s="46"/>
      <c r="N696" s="46"/>
      <c r="O696" s="46"/>
      <c r="P696" s="118"/>
      <c r="Q696" s="46"/>
      <c r="R696" s="46"/>
      <c r="S696" s="46"/>
      <c r="T696" s="46"/>
      <c r="U696" s="118"/>
      <c r="V696" s="46"/>
      <c r="W696" s="88" t="str">
        <f>IF(V696&lt;&gt;"",SUMIFS('📊 รายงานสินค้าคงเหลือ'!G:G,'📊 รายงานสินค้าคงเหลือ'!D:D,V696),"")</f>
        <v/>
      </c>
      <c r="X696" s="46"/>
      <c r="Y696" s="46"/>
      <c r="Z696" s="46"/>
    </row>
    <row r="697">
      <c r="A697" s="46"/>
      <c r="B697" s="16"/>
      <c r="C697" s="118"/>
      <c r="D697" s="126"/>
      <c r="E697" s="88"/>
      <c r="F697" s="118"/>
      <c r="G697" s="46"/>
      <c r="H697" s="46"/>
      <c r="I697" s="118"/>
      <c r="J697" s="46"/>
      <c r="K697" s="16" t="str">
        <f>IF(J697&lt;&gt;"",SUMIFS('💰 Transaction ขาย'!$F:$F,'💰 Transaction ขาย'!$K:$K,$J697,'💰 Transaction ขาย'!$J:$J,$B$1),"")</f>
        <v/>
      </c>
      <c r="L697" s="118"/>
      <c r="M697" s="46"/>
      <c r="N697" s="46"/>
      <c r="O697" s="46"/>
      <c r="P697" s="118"/>
      <c r="Q697" s="46"/>
      <c r="R697" s="46"/>
      <c r="S697" s="46"/>
      <c r="T697" s="46"/>
      <c r="U697" s="118"/>
      <c r="V697" s="46"/>
      <c r="W697" s="88" t="str">
        <f>IF(V697&lt;&gt;"",SUMIFS('📊 รายงานสินค้าคงเหลือ'!G:G,'📊 รายงานสินค้าคงเหลือ'!D:D,V697),"")</f>
        <v/>
      </c>
      <c r="X697" s="46"/>
      <c r="Y697" s="46"/>
      <c r="Z697" s="46"/>
    </row>
    <row r="698">
      <c r="A698" s="46"/>
      <c r="B698" s="16"/>
      <c r="C698" s="118"/>
      <c r="D698" s="126"/>
      <c r="E698" s="88"/>
      <c r="F698" s="118"/>
      <c r="G698" s="46"/>
      <c r="H698" s="46"/>
      <c r="I698" s="118"/>
      <c r="J698" s="46"/>
      <c r="K698" s="16" t="str">
        <f>IF(J698&lt;&gt;"",SUMIFS('💰 Transaction ขาย'!$F:$F,'💰 Transaction ขาย'!$K:$K,$J698,'💰 Transaction ขาย'!$J:$J,$B$1),"")</f>
        <v/>
      </c>
      <c r="L698" s="118"/>
      <c r="M698" s="46"/>
      <c r="N698" s="46"/>
      <c r="O698" s="46"/>
      <c r="P698" s="118"/>
      <c r="Q698" s="46"/>
      <c r="R698" s="46"/>
      <c r="S698" s="46"/>
      <c r="T698" s="46"/>
      <c r="U698" s="118"/>
      <c r="V698" s="46"/>
      <c r="W698" s="88" t="str">
        <f>IF(V698&lt;&gt;"",SUMIFS('📊 รายงานสินค้าคงเหลือ'!G:G,'📊 รายงานสินค้าคงเหลือ'!D:D,V698),"")</f>
        <v/>
      </c>
      <c r="X698" s="46"/>
      <c r="Y698" s="46"/>
      <c r="Z698" s="46"/>
    </row>
    <row r="699">
      <c r="A699" s="46"/>
      <c r="B699" s="16"/>
      <c r="C699" s="118"/>
      <c r="D699" s="126"/>
      <c r="E699" s="88"/>
      <c r="F699" s="118"/>
      <c r="G699" s="46"/>
      <c r="H699" s="46"/>
      <c r="I699" s="118"/>
      <c r="J699" s="46"/>
      <c r="K699" s="16" t="str">
        <f>IF(J699&lt;&gt;"",SUMIFS('💰 Transaction ขาย'!$F:$F,'💰 Transaction ขาย'!$K:$K,$J699,'💰 Transaction ขาย'!$J:$J,$B$1),"")</f>
        <v/>
      </c>
      <c r="L699" s="118"/>
      <c r="M699" s="46"/>
      <c r="N699" s="46"/>
      <c r="O699" s="46"/>
      <c r="P699" s="118"/>
      <c r="Q699" s="46"/>
      <c r="R699" s="46"/>
      <c r="S699" s="46"/>
      <c r="T699" s="46"/>
      <c r="U699" s="118"/>
      <c r="V699" s="46"/>
      <c r="W699" s="88" t="str">
        <f>IF(V699&lt;&gt;"",SUMIFS('📊 รายงานสินค้าคงเหลือ'!G:G,'📊 รายงานสินค้าคงเหลือ'!D:D,V699),"")</f>
        <v/>
      </c>
      <c r="X699" s="46"/>
      <c r="Y699" s="46"/>
      <c r="Z699" s="46"/>
    </row>
    <row r="700">
      <c r="A700" s="46"/>
      <c r="B700" s="16"/>
      <c r="C700" s="118"/>
      <c r="D700" s="126"/>
      <c r="E700" s="88"/>
      <c r="F700" s="118"/>
      <c r="G700" s="46"/>
      <c r="H700" s="46"/>
      <c r="I700" s="118"/>
      <c r="J700" s="46"/>
      <c r="K700" s="16" t="str">
        <f>IF(J700&lt;&gt;"",SUMIFS('💰 Transaction ขาย'!$F:$F,'💰 Transaction ขาย'!$K:$K,$J700,'💰 Transaction ขาย'!$J:$J,$B$1),"")</f>
        <v/>
      </c>
      <c r="L700" s="118"/>
      <c r="M700" s="46"/>
      <c r="N700" s="46"/>
      <c r="O700" s="46"/>
      <c r="P700" s="118"/>
      <c r="Q700" s="46"/>
      <c r="R700" s="46"/>
      <c r="S700" s="46"/>
      <c r="T700" s="46"/>
      <c r="U700" s="118"/>
      <c r="V700" s="46"/>
      <c r="W700" s="88" t="str">
        <f>IF(V700&lt;&gt;"",SUMIFS('📊 รายงานสินค้าคงเหลือ'!G:G,'📊 รายงานสินค้าคงเหลือ'!D:D,V700),"")</f>
        <v/>
      </c>
      <c r="X700" s="46"/>
      <c r="Y700" s="46"/>
      <c r="Z700" s="46"/>
    </row>
    <row r="701">
      <c r="A701" s="46"/>
      <c r="B701" s="16"/>
      <c r="C701" s="118"/>
      <c r="D701" s="126"/>
      <c r="E701" s="88"/>
      <c r="F701" s="118"/>
      <c r="G701" s="46"/>
      <c r="H701" s="46"/>
      <c r="I701" s="118"/>
      <c r="J701" s="46"/>
      <c r="K701" s="16" t="str">
        <f>IF(J701&lt;&gt;"",SUMIFS('💰 Transaction ขาย'!$F:$F,'💰 Transaction ขาย'!$K:$K,$J701,'💰 Transaction ขาย'!$J:$J,$B$1),"")</f>
        <v/>
      </c>
      <c r="L701" s="118"/>
      <c r="M701" s="46"/>
      <c r="N701" s="46"/>
      <c r="O701" s="46"/>
      <c r="P701" s="118"/>
      <c r="Q701" s="46"/>
      <c r="R701" s="46"/>
      <c r="S701" s="46"/>
      <c r="T701" s="46"/>
      <c r="U701" s="118"/>
      <c r="V701" s="46"/>
      <c r="W701" s="88" t="str">
        <f>IF(V701&lt;&gt;"",SUMIFS('📊 รายงานสินค้าคงเหลือ'!G:G,'📊 รายงานสินค้าคงเหลือ'!D:D,V701),"")</f>
        <v/>
      </c>
      <c r="X701" s="46"/>
      <c r="Y701" s="46"/>
      <c r="Z701" s="46"/>
    </row>
    <row r="702">
      <c r="A702" s="46"/>
      <c r="B702" s="16"/>
      <c r="C702" s="118"/>
      <c r="D702" s="126"/>
      <c r="E702" s="88"/>
      <c r="F702" s="118"/>
      <c r="G702" s="46"/>
      <c r="H702" s="46"/>
      <c r="I702" s="118"/>
      <c r="J702" s="46"/>
      <c r="K702" s="16" t="str">
        <f>IF(J702&lt;&gt;"",SUMIFS('💰 Transaction ขาย'!$F:$F,'💰 Transaction ขาย'!$K:$K,$J702,'💰 Transaction ขาย'!$J:$J,$B$1),"")</f>
        <v/>
      </c>
      <c r="L702" s="118"/>
      <c r="M702" s="46"/>
      <c r="N702" s="46"/>
      <c r="O702" s="46"/>
      <c r="P702" s="118"/>
      <c r="Q702" s="46"/>
      <c r="R702" s="46"/>
      <c r="S702" s="46"/>
      <c r="T702" s="46"/>
      <c r="U702" s="118"/>
      <c r="V702" s="46"/>
      <c r="W702" s="88" t="str">
        <f>IF(V702&lt;&gt;"",SUMIFS('📊 รายงานสินค้าคงเหลือ'!G:G,'📊 รายงานสินค้าคงเหลือ'!D:D,V702),"")</f>
        <v/>
      </c>
      <c r="X702" s="46"/>
      <c r="Y702" s="46"/>
      <c r="Z702" s="46"/>
    </row>
    <row r="703">
      <c r="A703" s="46"/>
      <c r="B703" s="16"/>
      <c r="C703" s="118"/>
      <c r="D703" s="126"/>
      <c r="E703" s="88"/>
      <c r="F703" s="118"/>
      <c r="G703" s="46"/>
      <c r="H703" s="46"/>
      <c r="I703" s="118"/>
      <c r="J703" s="46"/>
      <c r="K703" s="16" t="str">
        <f>IF(J703&lt;&gt;"",SUMIFS('💰 Transaction ขาย'!$F:$F,'💰 Transaction ขาย'!$K:$K,$J703,'💰 Transaction ขาย'!$J:$J,$B$1),"")</f>
        <v/>
      </c>
      <c r="L703" s="118"/>
      <c r="M703" s="46"/>
      <c r="N703" s="46"/>
      <c r="O703" s="46"/>
      <c r="P703" s="118"/>
      <c r="Q703" s="46"/>
      <c r="R703" s="46"/>
      <c r="S703" s="46"/>
      <c r="T703" s="46"/>
      <c r="U703" s="118"/>
      <c r="V703" s="46"/>
      <c r="W703" s="88" t="str">
        <f>IF(V703&lt;&gt;"",SUMIFS('📊 รายงานสินค้าคงเหลือ'!G:G,'📊 รายงานสินค้าคงเหลือ'!D:D,V703),"")</f>
        <v/>
      </c>
      <c r="X703" s="46"/>
      <c r="Y703" s="46"/>
      <c r="Z703" s="46"/>
    </row>
    <row r="704">
      <c r="A704" s="46"/>
      <c r="B704" s="16"/>
      <c r="C704" s="118"/>
      <c r="D704" s="126"/>
      <c r="E704" s="88"/>
      <c r="F704" s="118"/>
      <c r="G704" s="46"/>
      <c r="H704" s="46"/>
      <c r="I704" s="118"/>
      <c r="J704" s="46"/>
      <c r="K704" s="16" t="str">
        <f>IF(J704&lt;&gt;"",SUMIFS('💰 Transaction ขาย'!$F:$F,'💰 Transaction ขาย'!$K:$K,$J704,'💰 Transaction ขาย'!$J:$J,$B$1),"")</f>
        <v/>
      </c>
      <c r="L704" s="118"/>
      <c r="M704" s="46"/>
      <c r="N704" s="46"/>
      <c r="O704" s="46"/>
      <c r="P704" s="118"/>
      <c r="Q704" s="46"/>
      <c r="R704" s="46"/>
      <c r="S704" s="46"/>
      <c r="T704" s="46"/>
      <c r="U704" s="118"/>
      <c r="V704" s="46"/>
      <c r="W704" s="88" t="str">
        <f>IF(V704&lt;&gt;"",SUMIFS('📊 รายงานสินค้าคงเหลือ'!G:G,'📊 รายงานสินค้าคงเหลือ'!D:D,V704),"")</f>
        <v/>
      </c>
      <c r="X704" s="46"/>
      <c r="Y704" s="46"/>
      <c r="Z704" s="46"/>
    </row>
    <row r="705">
      <c r="A705" s="46"/>
      <c r="B705" s="16"/>
      <c r="C705" s="118"/>
      <c r="D705" s="126"/>
      <c r="E705" s="88"/>
      <c r="F705" s="118"/>
      <c r="G705" s="46"/>
      <c r="H705" s="46"/>
      <c r="I705" s="118"/>
      <c r="J705" s="46"/>
      <c r="K705" s="16" t="str">
        <f>IF(J705&lt;&gt;"",SUMIFS('💰 Transaction ขาย'!$F:$F,'💰 Transaction ขาย'!$K:$K,$J705,'💰 Transaction ขาย'!$J:$J,$B$1),"")</f>
        <v/>
      </c>
      <c r="L705" s="118"/>
      <c r="M705" s="46"/>
      <c r="N705" s="46"/>
      <c r="O705" s="46"/>
      <c r="P705" s="118"/>
      <c r="Q705" s="46"/>
      <c r="R705" s="46"/>
      <c r="S705" s="46"/>
      <c r="T705" s="46"/>
      <c r="U705" s="118"/>
      <c r="V705" s="46"/>
      <c r="W705" s="88" t="str">
        <f>IF(V705&lt;&gt;"",SUMIFS('📊 รายงานสินค้าคงเหลือ'!G:G,'📊 รายงานสินค้าคงเหลือ'!D:D,V705),"")</f>
        <v/>
      </c>
      <c r="X705" s="46"/>
      <c r="Y705" s="46"/>
      <c r="Z705" s="46"/>
    </row>
    <row r="706">
      <c r="A706" s="46"/>
      <c r="B706" s="16"/>
      <c r="C706" s="118"/>
      <c r="D706" s="126"/>
      <c r="E706" s="88"/>
      <c r="F706" s="118"/>
      <c r="G706" s="46"/>
      <c r="H706" s="46"/>
      <c r="I706" s="118"/>
      <c r="J706" s="46"/>
      <c r="K706" s="16" t="str">
        <f>IF(J706&lt;&gt;"",SUMIFS('💰 Transaction ขาย'!$F:$F,'💰 Transaction ขาย'!$K:$K,$J706,'💰 Transaction ขาย'!$J:$J,$B$1),"")</f>
        <v/>
      </c>
      <c r="L706" s="118"/>
      <c r="M706" s="46"/>
      <c r="N706" s="46"/>
      <c r="O706" s="46"/>
      <c r="P706" s="118"/>
      <c r="Q706" s="46"/>
      <c r="R706" s="46"/>
      <c r="S706" s="46"/>
      <c r="T706" s="46"/>
      <c r="U706" s="118"/>
      <c r="V706" s="46"/>
      <c r="W706" s="88" t="str">
        <f>IF(V706&lt;&gt;"",SUMIFS('📊 รายงานสินค้าคงเหลือ'!G:G,'📊 รายงานสินค้าคงเหลือ'!D:D,V706),"")</f>
        <v/>
      </c>
      <c r="X706" s="46"/>
      <c r="Y706" s="46"/>
      <c r="Z706" s="46"/>
    </row>
    <row r="707">
      <c r="A707" s="46"/>
      <c r="B707" s="16"/>
      <c r="C707" s="118"/>
      <c r="D707" s="126"/>
      <c r="E707" s="88"/>
      <c r="F707" s="118"/>
      <c r="G707" s="46"/>
      <c r="H707" s="46"/>
      <c r="I707" s="118"/>
      <c r="J707" s="46"/>
      <c r="K707" s="16" t="str">
        <f>IF(J707&lt;&gt;"",SUMIFS('💰 Transaction ขาย'!$F:$F,'💰 Transaction ขาย'!$K:$K,$J707,'💰 Transaction ขาย'!$J:$J,$B$1),"")</f>
        <v/>
      </c>
      <c r="L707" s="118"/>
      <c r="M707" s="46"/>
      <c r="N707" s="46"/>
      <c r="O707" s="46"/>
      <c r="P707" s="118"/>
      <c r="Q707" s="46"/>
      <c r="R707" s="46"/>
      <c r="S707" s="46"/>
      <c r="T707" s="46"/>
      <c r="U707" s="118"/>
      <c r="V707" s="46"/>
      <c r="W707" s="88" t="str">
        <f>IF(V707&lt;&gt;"",SUMIFS('📊 รายงานสินค้าคงเหลือ'!G:G,'📊 รายงานสินค้าคงเหลือ'!D:D,V707),"")</f>
        <v/>
      </c>
      <c r="X707" s="46"/>
      <c r="Y707" s="46"/>
      <c r="Z707" s="46"/>
    </row>
    <row r="708">
      <c r="A708" s="46"/>
      <c r="B708" s="16"/>
      <c r="C708" s="118"/>
      <c r="D708" s="126"/>
      <c r="E708" s="88"/>
      <c r="F708" s="118"/>
      <c r="G708" s="46"/>
      <c r="H708" s="46"/>
      <c r="I708" s="118"/>
      <c r="J708" s="46"/>
      <c r="K708" s="16" t="str">
        <f>IF(J708&lt;&gt;"",SUMIFS('💰 Transaction ขาย'!$F:$F,'💰 Transaction ขาย'!$K:$K,$J708,'💰 Transaction ขาย'!$J:$J,$B$1),"")</f>
        <v/>
      </c>
      <c r="L708" s="118"/>
      <c r="M708" s="46"/>
      <c r="N708" s="46"/>
      <c r="O708" s="46"/>
      <c r="P708" s="118"/>
      <c r="Q708" s="46"/>
      <c r="R708" s="46"/>
      <c r="S708" s="46"/>
      <c r="T708" s="46"/>
      <c r="U708" s="118"/>
      <c r="V708" s="46"/>
      <c r="W708" s="88" t="str">
        <f>IF(V708&lt;&gt;"",SUMIFS('📊 รายงานสินค้าคงเหลือ'!G:G,'📊 รายงานสินค้าคงเหลือ'!D:D,V708),"")</f>
        <v/>
      </c>
      <c r="X708" s="46"/>
      <c r="Y708" s="46"/>
      <c r="Z708" s="46"/>
    </row>
    <row r="709">
      <c r="A709" s="46"/>
      <c r="B709" s="16"/>
      <c r="C709" s="118"/>
      <c r="D709" s="126"/>
      <c r="E709" s="88"/>
      <c r="F709" s="118"/>
      <c r="G709" s="46"/>
      <c r="H709" s="46"/>
      <c r="I709" s="118"/>
      <c r="J709" s="46"/>
      <c r="K709" s="16" t="str">
        <f>IF(J709&lt;&gt;"",SUMIFS('💰 Transaction ขาย'!$F:$F,'💰 Transaction ขาย'!$K:$K,$J709,'💰 Transaction ขาย'!$J:$J,$B$1),"")</f>
        <v/>
      </c>
      <c r="L709" s="118"/>
      <c r="M709" s="46"/>
      <c r="N709" s="46"/>
      <c r="O709" s="46"/>
      <c r="P709" s="118"/>
      <c r="Q709" s="46"/>
      <c r="R709" s="46"/>
      <c r="S709" s="46"/>
      <c r="T709" s="46"/>
      <c r="U709" s="118"/>
      <c r="V709" s="46"/>
      <c r="W709" s="88" t="str">
        <f>IF(V709&lt;&gt;"",SUMIFS('📊 รายงานสินค้าคงเหลือ'!G:G,'📊 รายงานสินค้าคงเหลือ'!D:D,V709),"")</f>
        <v/>
      </c>
      <c r="X709" s="46"/>
      <c r="Y709" s="46"/>
      <c r="Z709" s="46"/>
    </row>
    <row r="710">
      <c r="A710" s="46"/>
      <c r="B710" s="16"/>
      <c r="C710" s="118"/>
      <c r="D710" s="126"/>
      <c r="E710" s="88"/>
      <c r="F710" s="118"/>
      <c r="G710" s="46"/>
      <c r="H710" s="46"/>
      <c r="I710" s="118"/>
      <c r="J710" s="46"/>
      <c r="K710" s="16" t="str">
        <f>IF(J710&lt;&gt;"",SUMIFS('💰 Transaction ขาย'!$F:$F,'💰 Transaction ขาย'!$K:$K,$J710,'💰 Transaction ขาย'!$J:$J,$B$1),"")</f>
        <v/>
      </c>
      <c r="L710" s="118"/>
      <c r="M710" s="46"/>
      <c r="N710" s="46"/>
      <c r="O710" s="46"/>
      <c r="P710" s="118"/>
      <c r="Q710" s="46"/>
      <c r="R710" s="46"/>
      <c r="S710" s="46"/>
      <c r="T710" s="46"/>
      <c r="U710" s="118"/>
      <c r="V710" s="46"/>
      <c r="W710" s="88" t="str">
        <f>IF(V710&lt;&gt;"",SUMIFS('📊 รายงานสินค้าคงเหลือ'!G:G,'📊 รายงานสินค้าคงเหลือ'!D:D,V710),"")</f>
        <v/>
      </c>
      <c r="X710" s="46"/>
      <c r="Y710" s="46"/>
      <c r="Z710" s="46"/>
    </row>
    <row r="711">
      <c r="A711" s="46"/>
      <c r="B711" s="16"/>
      <c r="C711" s="118"/>
      <c r="D711" s="126"/>
      <c r="E711" s="88"/>
      <c r="F711" s="118"/>
      <c r="G711" s="46"/>
      <c r="H711" s="46"/>
      <c r="I711" s="118"/>
      <c r="J711" s="46"/>
      <c r="K711" s="16" t="str">
        <f>IF(J711&lt;&gt;"",SUMIFS('💰 Transaction ขาย'!$F:$F,'💰 Transaction ขาย'!$K:$K,$J711,'💰 Transaction ขาย'!$J:$J,$B$1),"")</f>
        <v/>
      </c>
      <c r="L711" s="118"/>
      <c r="M711" s="46"/>
      <c r="N711" s="46"/>
      <c r="O711" s="46"/>
      <c r="P711" s="118"/>
      <c r="Q711" s="46"/>
      <c r="R711" s="46"/>
      <c r="S711" s="46"/>
      <c r="T711" s="46"/>
      <c r="U711" s="118"/>
      <c r="V711" s="46"/>
      <c r="W711" s="88" t="str">
        <f>IF(V711&lt;&gt;"",SUMIFS('📊 รายงานสินค้าคงเหลือ'!G:G,'📊 รายงานสินค้าคงเหลือ'!D:D,V711),"")</f>
        <v/>
      </c>
      <c r="X711" s="46"/>
      <c r="Y711" s="46"/>
      <c r="Z711" s="46"/>
    </row>
    <row r="712">
      <c r="A712" s="46"/>
      <c r="B712" s="16"/>
      <c r="C712" s="118"/>
      <c r="D712" s="126"/>
      <c r="E712" s="88"/>
      <c r="F712" s="118"/>
      <c r="G712" s="46"/>
      <c r="H712" s="46"/>
      <c r="I712" s="118"/>
      <c r="J712" s="46"/>
      <c r="K712" s="16" t="str">
        <f>IF(J712&lt;&gt;"",SUMIFS('💰 Transaction ขาย'!$F:$F,'💰 Transaction ขาย'!$K:$K,$J712,'💰 Transaction ขาย'!$J:$J,$B$1),"")</f>
        <v/>
      </c>
      <c r="L712" s="118"/>
      <c r="M712" s="46"/>
      <c r="N712" s="46"/>
      <c r="O712" s="46"/>
      <c r="P712" s="118"/>
      <c r="Q712" s="46"/>
      <c r="R712" s="46"/>
      <c r="S712" s="46"/>
      <c r="T712" s="46"/>
      <c r="U712" s="118"/>
      <c r="V712" s="46"/>
      <c r="W712" s="88" t="str">
        <f>IF(V712&lt;&gt;"",SUMIFS('📊 รายงานสินค้าคงเหลือ'!G:G,'📊 รายงานสินค้าคงเหลือ'!D:D,V712),"")</f>
        <v/>
      </c>
      <c r="X712" s="46"/>
      <c r="Y712" s="46"/>
      <c r="Z712" s="46"/>
    </row>
    <row r="713">
      <c r="A713" s="46"/>
      <c r="B713" s="16"/>
      <c r="C713" s="118"/>
      <c r="D713" s="126"/>
      <c r="E713" s="88"/>
      <c r="F713" s="118"/>
      <c r="G713" s="46"/>
      <c r="H713" s="46"/>
      <c r="I713" s="118"/>
      <c r="J713" s="46"/>
      <c r="K713" s="16" t="str">
        <f>IF(J713&lt;&gt;"",SUMIFS('💰 Transaction ขาย'!$F:$F,'💰 Transaction ขาย'!$K:$K,$J713,'💰 Transaction ขาย'!$J:$J,$B$1),"")</f>
        <v/>
      </c>
      <c r="L713" s="118"/>
      <c r="M713" s="46"/>
      <c r="N713" s="46"/>
      <c r="O713" s="46"/>
      <c r="P713" s="118"/>
      <c r="Q713" s="46"/>
      <c r="R713" s="46"/>
      <c r="S713" s="46"/>
      <c r="T713" s="46"/>
      <c r="U713" s="118"/>
      <c r="V713" s="46"/>
      <c r="W713" s="88" t="str">
        <f>IF(V713&lt;&gt;"",SUMIFS('📊 รายงานสินค้าคงเหลือ'!G:G,'📊 รายงานสินค้าคงเหลือ'!D:D,V713),"")</f>
        <v/>
      </c>
      <c r="X713" s="46"/>
      <c r="Y713" s="46"/>
      <c r="Z713" s="46"/>
    </row>
    <row r="714">
      <c r="A714" s="46"/>
      <c r="B714" s="16"/>
      <c r="C714" s="118"/>
      <c r="D714" s="126"/>
      <c r="E714" s="88"/>
      <c r="F714" s="118"/>
      <c r="G714" s="46"/>
      <c r="H714" s="46"/>
      <c r="I714" s="118"/>
      <c r="J714" s="46"/>
      <c r="K714" s="16" t="str">
        <f>IF(J714&lt;&gt;"",SUMIFS('💰 Transaction ขาย'!$F:$F,'💰 Transaction ขาย'!$K:$K,$J714,'💰 Transaction ขาย'!$J:$J,$B$1),"")</f>
        <v/>
      </c>
      <c r="L714" s="118"/>
      <c r="M714" s="46"/>
      <c r="N714" s="46"/>
      <c r="O714" s="46"/>
      <c r="P714" s="118"/>
      <c r="Q714" s="46"/>
      <c r="R714" s="46"/>
      <c r="S714" s="46"/>
      <c r="T714" s="46"/>
      <c r="U714" s="118"/>
      <c r="V714" s="46"/>
      <c r="W714" s="88" t="str">
        <f>IF(V714&lt;&gt;"",SUMIFS('📊 รายงานสินค้าคงเหลือ'!G:G,'📊 รายงานสินค้าคงเหลือ'!D:D,V714),"")</f>
        <v/>
      </c>
      <c r="X714" s="46"/>
      <c r="Y714" s="46"/>
      <c r="Z714" s="46"/>
    </row>
    <row r="715">
      <c r="A715" s="46"/>
      <c r="B715" s="16"/>
      <c r="C715" s="118"/>
      <c r="D715" s="126"/>
      <c r="E715" s="88"/>
      <c r="F715" s="118"/>
      <c r="G715" s="46"/>
      <c r="H715" s="46"/>
      <c r="I715" s="118"/>
      <c r="J715" s="46"/>
      <c r="K715" s="16" t="str">
        <f>IF(J715&lt;&gt;"",SUMIFS('💰 Transaction ขาย'!$F:$F,'💰 Transaction ขาย'!$K:$K,$J715,'💰 Transaction ขาย'!$J:$J,$B$1),"")</f>
        <v/>
      </c>
      <c r="L715" s="118"/>
      <c r="M715" s="46"/>
      <c r="N715" s="46"/>
      <c r="O715" s="46"/>
      <c r="P715" s="118"/>
      <c r="Q715" s="46"/>
      <c r="R715" s="46"/>
      <c r="S715" s="46"/>
      <c r="T715" s="46"/>
      <c r="U715" s="118"/>
      <c r="V715" s="46"/>
      <c r="W715" s="88" t="str">
        <f>IF(V715&lt;&gt;"",SUMIFS('📊 รายงานสินค้าคงเหลือ'!G:G,'📊 รายงานสินค้าคงเหลือ'!D:D,V715),"")</f>
        <v/>
      </c>
      <c r="X715" s="46"/>
      <c r="Y715" s="46"/>
      <c r="Z715" s="46"/>
    </row>
    <row r="716">
      <c r="A716" s="46"/>
      <c r="B716" s="16"/>
      <c r="C716" s="118"/>
      <c r="D716" s="126"/>
      <c r="E716" s="88"/>
      <c r="F716" s="118"/>
      <c r="G716" s="46"/>
      <c r="H716" s="46"/>
      <c r="I716" s="118"/>
      <c r="J716" s="46"/>
      <c r="K716" s="16" t="str">
        <f>IF(J716&lt;&gt;"",SUMIFS('💰 Transaction ขาย'!$F:$F,'💰 Transaction ขาย'!$K:$K,$J716,'💰 Transaction ขาย'!$J:$J,$B$1),"")</f>
        <v/>
      </c>
      <c r="L716" s="118"/>
      <c r="M716" s="46"/>
      <c r="N716" s="46"/>
      <c r="O716" s="46"/>
      <c r="P716" s="118"/>
      <c r="Q716" s="46"/>
      <c r="R716" s="46"/>
      <c r="S716" s="46"/>
      <c r="T716" s="46"/>
      <c r="U716" s="118"/>
      <c r="V716" s="46"/>
      <c r="W716" s="88" t="str">
        <f>IF(V716&lt;&gt;"",SUMIFS('📊 รายงานสินค้าคงเหลือ'!G:G,'📊 รายงานสินค้าคงเหลือ'!D:D,V716),"")</f>
        <v/>
      </c>
      <c r="X716" s="46"/>
      <c r="Y716" s="46"/>
      <c r="Z716" s="46"/>
    </row>
    <row r="717">
      <c r="A717" s="46"/>
      <c r="B717" s="16"/>
      <c r="C717" s="118"/>
      <c r="D717" s="126"/>
      <c r="E717" s="88"/>
      <c r="F717" s="118"/>
      <c r="G717" s="46"/>
      <c r="H717" s="46"/>
      <c r="I717" s="118"/>
      <c r="J717" s="46"/>
      <c r="K717" s="16" t="str">
        <f>IF(J717&lt;&gt;"",SUMIFS('💰 Transaction ขาย'!$F:$F,'💰 Transaction ขาย'!$K:$K,$J717,'💰 Transaction ขาย'!$J:$J,$B$1),"")</f>
        <v/>
      </c>
      <c r="L717" s="118"/>
      <c r="M717" s="46"/>
      <c r="N717" s="46"/>
      <c r="O717" s="46"/>
      <c r="P717" s="118"/>
      <c r="Q717" s="46"/>
      <c r="R717" s="46"/>
      <c r="S717" s="46"/>
      <c r="T717" s="46"/>
      <c r="U717" s="118"/>
      <c r="V717" s="46"/>
      <c r="W717" s="88" t="str">
        <f>IF(V717&lt;&gt;"",SUMIFS('📊 รายงานสินค้าคงเหลือ'!G:G,'📊 รายงานสินค้าคงเหลือ'!D:D,V717),"")</f>
        <v/>
      </c>
      <c r="X717" s="46"/>
      <c r="Y717" s="46"/>
      <c r="Z717" s="46"/>
    </row>
    <row r="718">
      <c r="A718" s="46"/>
      <c r="B718" s="16"/>
      <c r="C718" s="118"/>
      <c r="D718" s="126"/>
      <c r="E718" s="88"/>
      <c r="F718" s="118"/>
      <c r="G718" s="46"/>
      <c r="H718" s="46"/>
      <c r="I718" s="118"/>
      <c r="J718" s="46"/>
      <c r="K718" s="16" t="str">
        <f>IF(J718&lt;&gt;"",SUMIFS('💰 Transaction ขาย'!$F:$F,'💰 Transaction ขาย'!$K:$K,$J718,'💰 Transaction ขาย'!$J:$J,$B$1),"")</f>
        <v/>
      </c>
      <c r="L718" s="118"/>
      <c r="M718" s="46"/>
      <c r="N718" s="46"/>
      <c r="O718" s="46"/>
      <c r="P718" s="118"/>
      <c r="Q718" s="46"/>
      <c r="R718" s="46"/>
      <c r="S718" s="46"/>
      <c r="T718" s="46"/>
      <c r="U718" s="118"/>
      <c r="V718" s="46"/>
      <c r="W718" s="88" t="str">
        <f>IF(V718&lt;&gt;"",SUMIFS('📊 รายงานสินค้าคงเหลือ'!G:G,'📊 รายงานสินค้าคงเหลือ'!D:D,V718),"")</f>
        <v/>
      </c>
      <c r="X718" s="46"/>
      <c r="Y718" s="46"/>
      <c r="Z718" s="46"/>
    </row>
    <row r="719">
      <c r="A719" s="46"/>
      <c r="B719" s="16"/>
      <c r="C719" s="118"/>
      <c r="D719" s="126"/>
      <c r="E719" s="88"/>
      <c r="F719" s="118"/>
      <c r="G719" s="46"/>
      <c r="H719" s="46"/>
      <c r="I719" s="118"/>
      <c r="J719" s="46"/>
      <c r="K719" s="16" t="str">
        <f>IF(J719&lt;&gt;"",SUMIFS('💰 Transaction ขาย'!$F:$F,'💰 Transaction ขาย'!$K:$K,$J719,'💰 Transaction ขาย'!$J:$J,$B$1),"")</f>
        <v/>
      </c>
      <c r="L719" s="118"/>
      <c r="M719" s="46"/>
      <c r="N719" s="46"/>
      <c r="O719" s="46"/>
      <c r="P719" s="118"/>
      <c r="Q719" s="46"/>
      <c r="R719" s="46"/>
      <c r="S719" s="46"/>
      <c r="T719" s="46"/>
      <c r="U719" s="118"/>
      <c r="V719" s="46"/>
      <c r="W719" s="88" t="str">
        <f>IF(V719&lt;&gt;"",SUMIFS('📊 รายงานสินค้าคงเหลือ'!G:G,'📊 รายงานสินค้าคงเหลือ'!D:D,V719),"")</f>
        <v/>
      </c>
      <c r="X719" s="46"/>
      <c r="Y719" s="46"/>
      <c r="Z719" s="46"/>
    </row>
    <row r="720">
      <c r="A720" s="46"/>
      <c r="B720" s="16"/>
      <c r="C720" s="118"/>
      <c r="D720" s="126"/>
      <c r="E720" s="88"/>
      <c r="F720" s="118"/>
      <c r="G720" s="46"/>
      <c r="H720" s="46"/>
      <c r="I720" s="118"/>
      <c r="J720" s="46"/>
      <c r="K720" s="16" t="str">
        <f>IF(J720&lt;&gt;"",SUMIFS('💰 Transaction ขาย'!$F:$F,'💰 Transaction ขาย'!$K:$K,$J720,'💰 Transaction ขาย'!$J:$J,$B$1),"")</f>
        <v/>
      </c>
      <c r="L720" s="118"/>
      <c r="M720" s="46"/>
      <c r="N720" s="46"/>
      <c r="O720" s="46"/>
      <c r="P720" s="118"/>
      <c r="Q720" s="46"/>
      <c r="R720" s="46"/>
      <c r="S720" s="46"/>
      <c r="T720" s="46"/>
      <c r="U720" s="118"/>
      <c r="V720" s="46"/>
      <c r="W720" s="88" t="str">
        <f>IF(V720&lt;&gt;"",SUMIFS('📊 รายงานสินค้าคงเหลือ'!G:G,'📊 รายงานสินค้าคงเหลือ'!D:D,V720),"")</f>
        <v/>
      </c>
      <c r="X720" s="46"/>
      <c r="Y720" s="46"/>
      <c r="Z720" s="46"/>
    </row>
    <row r="721">
      <c r="A721" s="46"/>
      <c r="B721" s="16"/>
      <c r="C721" s="118"/>
      <c r="D721" s="126"/>
      <c r="E721" s="88"/>
      <c r="F721" s="118"/>
      <c r="G721" s="46"/>
      <c r="H721" s="46"/>
      <c r="I721" s="118"/>
      <c r="J721" s="46"/>
      <c r="K721" s="16" t="str">
        <f>IF(J721&lt;&gt;"",SUMIFS('💰 Transaction ขาย'!$F:$F,'💰 Transaction ขาย'!$K:$K,$J721,'💰 Transaction ขาย'!$J:$J,$B$1),"")</f>
        <v/>
      </c>
      <c r="L721" s="118"/>
      <c r="M721" s="46"/>
      <c r="N721" s="46"/>
      <c r="O721" s="46"/>
      <c r="P721" s="118"/>
      <c r="Q721" s="46"/>
      <c r="R721" s="46"/>
      <c r="S721" s="46"/>
      <c r="T721" s="46"/>
      <c r="U721" s="118"/>
      <c r="V721" s="46"/>
      <c r="W721" s="88" t="str">
        <f>IF(V721&lt;&gt;"",SUMIFS('📊 รายงานสินค้าคงเหลือ'!G:G,'📊 รายงานสินค้าคงเหลือ'!D:D,V721),"")</f>
        <v/>
      </c>
      <c r="X721" s="46"/>
      <c r="Y721" s="46"/>
      <c r="Z721" s="46"/>
    </row>
    <row r="722">
      <c r="A722" s="46"/>
      <c r="B722" s="16"/>
      <c r="C722" s="118"/>
      <c r="D722" s="126"/>
      <c r="E722" s="88"/>
      <c r="F722" s="118"/>
      <c r="G722" s="46"/>
      <c r="H722" s="46"/>
      <c r="I722" s="118"/>
      <c r="J722" s="46"/>
      <c r="K722" s="16" t="str">
        <f>IF(J722&lt;&gt;"",SUMIFS('💰 Transaction ขาย'!$F:$F,'💰 Transaction ขาย'!$K:$K,$J722,'💰 Transaction ขาย'!$J:$J,$B$1),"")</f>
        <v/>
      </c>
      <c r="L722" s="118"/>
      <c r="M722" s="46"/>
      <c r="N722" s="46"/>
      <c r="O722" s="46"/>
      <c r="P722" s="118"/>
      <c r="Q722" s="46"/>
      <c r="R722" s="46"/>
      <c r="S722" s="46"/>
      <c r="T722" s="46"/>
      <c r="U722" s="118"/>
      <c r="V722" s="46"/>
      <c r="W722" s="88" t="str">
        <f>IF(V722&lt;&gt;"",SUMIFS('📊 รายงานสินค้าคงเหลือ'!G:G,'📊 รายงานสินค้าคงเหลือ'!D:D,V722),"")</f>
        <v/>
      </c>
      <c r="X722" s="46"/>
      <c r="Y722" s="46"/>
      <c r="Z722" s="46"/>
    </row>
    <row r="723">
      <c r="A723" s="46"/>
      <c r="B723" s="16"/>
      <c r="C723" s="118"/>
      <c r="D723" s="126"/>
      <c r="E723" s="88"/>
      <c r="F723" s="118"/>
      <c r="G723" s="46"/>
      <c r="H723" s="46"/>
      <c r="I723" s="118"/>
      <c r="J723" s="46"/>
      <c r="K723" s="16" t="str">
        <f>IF(J723&lt;&gt;"",SUMIFS('💰 Transaction ขาย'!$F:$F,'💰 Transaction ขาย'!$K:$K,$J723,'💰 Transaction ขาย'!$J:$J,$B$1),"")</f>
        <v/>
      </c>
      <c r="L723" s="118"/>
      <c r="M723" s="46"/>
      <c r="N723" s="46"/>
      <c r="O723" s="46"/>
      <c r="P723" s="118"/>
      <c r="Q723" s="46"/>
      <c r="R723" s="46"/>
      <c r="S723" s="46"/>
      <c r="T723" s="46"/>
      <c r="U723" s="118"/>
      <c r="V723" s="46"/>
      <c r="W723" s="88" t="str">
        <f>IF(V723&lt;&gt;"",SUMIFS('📊 รายงานสินค้าคงเหลือ'!G:G,'📊 รายงานสินค้าคงเหลือ'!D:D,V723),"")</f>
        <v/>
      </c>
      <c r="X723" s="46"/>
      <c r="Y723" s="46"/>
      <c r="Z723" s="46"/>
    </row>
    <row r="724">
      <c r="A724" s="46"/>
      <c r="B724" s="16"/>
      <c r="C724" s="118"/>
      <c r="D724" s="126"/>
      <c r="E724" s="88"/>
      <c r="F724" s="118"/>
      <c r="G724" s="46"/>
      <c r="H724" s="46"/>
      <c r="I724" s="118"/>
      <c r="J724" s="46"/>
      <c r="K724" s="16" t="str">
        <f>IF(J724&lt;&gt;"",SUMIFS('💰 Transaction ขาย'!$F:$F,'💰 Transaction ขาย'!$K:$K,$J724,'💰 Transaction ขาย'!$J:$J,$B$1),"")</f>
        <v/>
      </c>
      <c r="L724" s="118"/>
      <c r="M724" s="46"/>
      <c r="N724" s="46"/>
      <c r="O724" s="46"/>
      <c r="P724" s="118"/>
      <c r="Q724" s="46"/>
      <c r="R724" s="46"/>
      <c r="S724" s="46"/>
      <c r="T724" s="46"/>
      <c r="U724" s="118"/>
      <c r="V724" s="46"/>
      <c r="W724" s="88" t="str">
        <f>IF(V724&lt;&gt;"",SUMIFS('📊 รายงานสินค้าคงเหลือ'!G:G,'📊 รายงานสินค้าคงเหลือ'!D:D,V724),"")</f>
        <v/>
      </c>
      <c r="X724" s="46"/>
      <c r="Y724" s="46"/>
      <c r="Z724" s="46"/>
    </row>
    <row r="725">
      <c r="A725" s="46"/>
      <c r="B725" s="16"/>
      <c r="C725" s="118"/>
      <c r="D725" s="126"/>
      <c r="E725" s="88"/>
      <c r="F725" s="118"/>
      <c r="G725" s="46"/>
      <c r="H725" s="46"/>
      <c r="I725" s="118"/>
      <c r="J725" s="46"/>
      <c r="K725" s="16" t="str">
        <f>IF(J725&lt;&gt;"",SUMIFS('💰 Transaction ขาย'!$F:$F,'💰 Transaction ขาย'!$K:$K,$J725,'💰 Transaction ขาย'!$J:$J,$B$1),"")</f>
        <v/>
      </c>
      <c r="L725" s="118"/>
      <c r="M725" s="46"/>
      <c r="N725" s="46"/>
      <c r="O725" s="46"/>
      <c r="P725" s="118"/>
      <c r="Q725" s="46"/>
      <c r="R725" s="46"/>
      <c r="S725" s="46"/>
      <c r="T725" s="46"/>
      <c r="U725" s="118"/>
      <c r="V725" s="46"/>
      <c r="W725" s="88" t="str">
        <f>IF(V725&lt;&gt;"",SUMIFS('📊 รายงานสินค้าคงเหลือ'!G:G,'📊 รายงานสินค้าคงเหลือ'!D:D,V725),"")</f>
        <v/>
      </c>
      <c r="X725" s="46"/>
      <c r="Y725" s="46"/>
      <c r="Z725" s="46"/>
    </row>
    <row r="726">
      <c r="A726" s="46"/>
      <c r="B726" s="16"/>
      <c r="C726" s="118"/>
      <c r="D726" s="126"/>
      <c r="E726" s="88"/>
      <c r="F726" s="118"/>
      <c r="G726" s="46"/>
      <c r="H726" s="46"/>
      <c r="I726" s="118"/>
      <c r="J726" s="46"/>
      <c r="K726" s="16" t="str">
        <f>IF(J726&lt;&gt;"",SUMIFS('💰 Transaction ขาย'!$F:$F,'💰 Transaction ขาย'!$K:$K,$J726,'💰 Transaction ขาย'!$J:$J,$B$1),"")</f>
        <v/>
      </c>
      <c r="L726" s="118"/>
      <c r="M726" s="46"/>
      <c r="N726" s="46"/>
      <c r="O726" s="46"/>
      <c r="P726" s="118"/>
      <c r="Q726" s="46"/>
      <c r="R726" s="46"/>
      <c r="S726" s="46"/>
      <c r="T726" s="46"/>
      <c r="U726" s="118"/>
      <c r="V726" s="46"/>
      <c r="W726" s="88" t="str">
        <f>IF(V726&lt;&gt;"",SUMIFS('📊 รายงานสินค้าคงเหลือ'!G:G,'📊 รายงานสินค้าคงเหลือ'!D:D,V726),"")</f>
        <v/>
      </c>
      <c r="X726" s="46"/>
      <c r="Y726" s="46"/>
      <c r="Z726" s="46"/>
    </row>
    <row r="727">
      <c r="A727" s="46"/>
      <c r="B727" s="16"/>
      <c r="C727" s="118"/>
      <c r="D727" s="126"/>
      <c r="E727" s="88"/>
      <c r="F727" s="118"/>
      <c r="G727" s="46"/>
      <c r="H727" s="46"/>
      <c r="I727" s="118"/>
      <c r="J727" s="46"/>
      <c r="K727" s="16" t="str">
        <f>IF(J727&lt;&gt;"",SUMIFS('💰 Transaction ขาย'!$F:$F,'💰 Transaction ขาย'!$K:$K,$J727,'💰 Transaction ขาย'!$J:$J,$B$1),"")</f>
        <v/>
      </c>
      <c r="L727" s="118"/>
      <c r="M727" s="46"/>
      <c r="N727" s="46"/>
      <c r="O727" s="46"/>
      <c r="P727" s="118"/>
      <c r="Q727" s="46"/>
      <c r="R727" s="46"/>
      <c r="S727" s="46"/>
      <c r="T727" s="46"/>
      <c r="U727" s="118"/>
      <c r="V727" s="46"/>
      <c r="W727" s="88" t="str">
        <f>IF(V727&lt;&gt;"",SUMIFS('📊 รายงานสินค้าคงเหลือ'!G:G,'📊 รายงานสินค้าคงเหลือ'!D:D,V727),"")</f>
        <v/>
      </c>
      <c r="X727" s="46"/>
      <c r="Y727" s="46"/>
      <c r="Z727" s="46"/>
    </row>
    <row r="728">
      <c r="A728" s="46"/>
      <c r="B728" s="16"/>
      <c r="C728" s="118"/>
      <c r="D728" s="126"/>
      <c r="E728" s="88"/>
      <c r="F728" s="118"/>
      <c r="G728" s="46"/>
      <c r="H728" s="46"/>
      <c r="I728" s="118"/>
      <c r="J728" s="46"/>
      <c r="K728" s="16" t="str">
        <f>IF(J728&lt;&gt;"",SUMIFS('💰 Transaction ขาย'!$F:$F,'💰 Transaction ขาย'!$K:$K,$J728,'💰 Transaction ขาย'!$J:$J,$B$1),"")</f>
        <v/>
      </c>
      <c r="L728" s="118"/>
      <c r="M728" s="46"/>
      <c r="N728" s="46"/>
      <c r="O728" s="46"/>
      <c r="P728" s="118"/>
      <c r="Q728" s="46"/>
      <c r="R728" s="46"/>
      <c r="S728" s="46"/>
      <c r="T728" s="46"/>
      <c r="U728" s="118"/>
      <c r="V728" s="46"/>
      <c r="W728" s="88" t="str">
        <f>IF(V728&lt;&gt;"",SUMIFS('📊 รายงานสินค้าคงเหลือ'!G:G,'📊 รายงานสินค้าคงเหลือ'!D:D,V728),"")</f>
        <v/>
      </c>
      <c r="X728" s="46"/>
      <c r="Y728" s="46"/>
      <c r="Z728" s="46"/>
    </row>
    <row r="729">
      <c r="A729" s="46"/>
      <c r="B729" s="16"/>
      <c r="C729" s="118"/>
      <c r="D729" s="126"/>
      <c r="E729" s="88"/>
      <c r="F729" s="118"/>
      <c r="G729" s="46"/>
      <c r="H729" s="46"/>
      <c r="I729" s="118"/>
      <c r="J729" s="46"/>
      <c r="K729" s="16" t="str">
        <f>IF(J729&lt;&gt;"",SUMIFS('💰 Transaction ขาย'!$F:$F,'💰 Transaction ขาย'!$K:$K,$J729,'💰 Transaction ขาย'!$J:$J,$B$1),"")</f>
        <v/>
      </c>
      <c r="L729" s="118"/>
      <c r="M729" s="46"/>
      <c r="N729" s="46"/>
      <c r="O729" s="46"/>
      <c r="P729" s="118"/>
      <c r="Q729" s="46"/>
      <c r="R729" s="46"/>
      <c r="S729" s="46"/>
      <c r="T729" s="46"/>
      <c r="U729" s="118"/>
      <c r="V729" s="46"/>
      <c r="W729" s="88" t="str">
        <f>IF(V729&lt;&gt;"",SUMIFS('📊 รายงานสินค้าคงเหลือ'!G:G,'📊 รายงานสินค้าคงเหลือ'!D:D,V729),"")</f>
        <v/>
      </c>
      <c r="X729" s="46"/>
      <c r="Y729" s="46"/>
      <c r="Z729" s="46"/>
    </row>
    <row r="730">
      <c r="A730" s="46"/>
      <c r="B730" s="16"/>
      <c r="C730" s="118"/>
      <c r="D730" s="126"/>
      <c r="E730" s="88"/>
      <c r="F730" s="118"/>
      <c r="G730" s="46"/>
      <c r="H730" s="46"/>
      <c r="I730" s="118"/>
      <c r="J730" s="46"/>
      <c r="K730" s="16" t="str">
        <f>IF(J730&lt;&gt;"",SUMIFS('💰 Transaction ขาย'!$F:$F,'💰 Transaction ขาย'!$K:$K,$J730,'💰 Transaction ขาย'!$J:$J,$B$1),"")</f>
        <v/>
      </c>
      <c r="L730" s="118"/>
      <c r="M730" s="46"/>
      <c r="N730" s="46"/>
      <c r="O730" s="46"/>
      <c r="P730" s="118"/>
      <c r="Q730" s="46"/>
      <c r="R730" s="46"/>
      <c r="S730" s="46"/>
      <c r="T730" s="46"/>
      <c r="U730" s="118"/>
      <c r="V730" s="46"/>
      <c r="W730" s="88" t="str">
        <f>IF(V730&lt;&gt;"",SUMIFS('📊 รายงานสินค้าคงเหลือ'!G:G,'📊 รายงานสินค้าคงเหลือ'!D:D,V730),"")</f>
        <v/>
      </c>
      <c r="X730" s="46"/>
      <c r="Y730" s="46"/>
      <c r="Z730" s="46"/>
    </row>
    <row r="731">
      <c r="A731" s="46"/>
      <c r="B731" s="16"/>
      <c r="C731" s="118"/>
      <c r="D731" s="126"/>
      <c r="E731" s="88"/>
      <c r="F731" s="118"/>
      <c r="G731" s="46"/>
      <c r="H731" s="46"/>
      <c r="I731" s="118"/>
      <c r="J731" s="46"/>
      <c r="K731" s="16" t="str">
        <f>IF(J731&lt;&gt;"",SUMIFS('💰 Transaction ขาย'!$F:$F,'💰 Transaction ขาย'!$K:$K,$J731,'💰 Transaction ขาย'!$J:$J,$B$1),"")</f>
        <v/>
      </c>
      <c r="L731" s="118"/>
      <c r="M731" s="46"/>
      <c r="N731" s="46"/>
      <c r="O731" s="46"/>
      <c r="P731" s="118"/>
      <c r="Q731" s="46"/>
      <c r="R731" s="46"/>
      <c r="S731" s="46"/>
      <c r="T731" s="46"/>
      <c r="U731" s="118"/>
      <c r="V731" s="46"/>
      <c r="W731" s="88" t="str">
        <f>IF(V731&lt;&gt;"",SUMIFS('📊 รายงานสินค้าคงเหลือ'!G:G,'📊 รายงานสินค้าคงเหลือ'!D:D,V731),"")</f>
        <v/>
      </c>
      <c r="X731" s="46"/>
      <c r="Y731" s="46"/>
      <c r="Z731" s="46"/>
    </row>
    <row r="732">
      <c r="A732" s="46"/>
      <c r="B732" s="16"/>
      <c r="C732" s="118"/>
      <c r="D732" s="126"/>
      <c r="E732" s="88"/>
      <c r="F732" s="118"/>
      <c r="G732" s="46"/>
      <c r="H732" s="46"/>
      <c r="I732" s="118"/>
      <c r="J732" s="46"/>
      <c r="K732" s="16" t="str">
        <f>IF(J732&lt;&gt;"",SUMIFS('💰 Transaction ขาย'!$F:$F,'💰 Transaction ขาย'!$K:$K,$J732,'💰 Transaction ขาย'!$J:$J,$B$1),"")</f>
        <v/>
      </c>
      <c r="L732" s="118"/>
      <c r="M732" s="46"/>
      <c r="N732" s="46"/>
      <c r="O732" s="46"/>
      <c r="P732" s="118"/>
      <c r="Q732" s="46"/>
      <c r="R732" s="46"/>
      <c r="S732" s="46"/>
      <c r="T732" s="46"/>
      <c r="U732" s="118"/>
      <c r="V732" s="46"/>
      <c r="W732" s="88" t="str">
        <f>IF(V732&lt;&gt;"",SUMIFS('📊 รายงานสินค้าคงเหลือ'!G:G,'📊 รายงานสินค้าคงเหลือ'!D:D,V732),"")</f>
        <v/>
      </c>
      <c r="X732" s="46"/>
      <c r="Y732" s="46"/>
      <c r="Z732" s="46"/>
    </row>
    <row r="733">
      <c r="A733" s="46"/>
      <c r="B733" s="16"/>
      <c r="C733" s="118"/>
      <c r="D733" s="126"/>
      <c r="E733" s="88"/>
      <c r="F733" s="118"/>
      <c r="G733" s="46"/>
      <c r="H733" s="46"/>
      <c r="I733" s="118"/>
      <c r="J733" s="46"/>
      <c r="K733" s="16" t="str">
        <f>IF(J733&lt;&gt;"",SUMIFS('💰 Transaction ขาย'!$F:$F,'💰 Transaction ขาย'!$K:$K,$J733,'💰 Transaction ขาย'!$J:$J,$B$1),"")</f>
        <v/>
      </c>
      <c r="L733" s="118"/>
      <c r="M733" s="46"/>
      <c r="N733" s="46"/>
      <c r="O733" s="46"/>
      <c r="P733" s="118"/>
      <c r="Q733" s="46"/>
      <c r="R733" s="46"/>
      <c r="S733" s="46"/>
      <c r="T733" s="46"/>
      <c r="U733" s="118"/>
      <c r="V733" s="46"/>
      <c r="W733" s="88" t="str">
        <f>IF(V733&lt;&gt;"",SUMIFS('📊 รายงานสินค้าคงเหลือ'!G:G,'📊 รายงานสินค้าคงเหลือ'!D:D,V733),"")</f>
        <v/>
      </c>
      <c r="X733" s="46"/>
      <c r="Y733" s="46"/>
      <c r="Z733" s="46"/>
    </row>
    <row r="734">
      <c r="A734" s="46"/>
      <c r="B734" s="16"/>
      <c r="C734" s="118"/>
      <c r="D734" s="126"/>
      <c r="E734" s="88"/>
      <c r="F734" s="118"/>
      <c r="G734" s="46"/>
      <c r="H734" s="46"/>
      <c r="I734" s="118"/>
      <c r="J734" s="46"/>
      <c r="K734" s="16" t="str">
        <f>IF(J734&lt;&gt;"",SUMIFS('💰 Transaction ขาย'!$F:$F,'💰 Transaction ขาย'!$K:$K,$J734,'💰 Transaction ขาย'!$J:$J,$B$1),"")</f>
        <v/>
      </c>
      <c r="L734" s="118"/>
      <c r="M734" s="46"/>
      <c r="N734" s="46"/>
      <c r="O734" s="46"/>
      <c r="P734" s="118"/>
      <c r="Q734" s="46"/>
      <c r="R734" s="46"/>
      <c r="S734" s="46"/>
      <c r="T734" s="46"/>
      <c r="U734" s="118"/>
      <c r="V734" s="46"/>
      <c r="W734" s="88" t="str">
        <f>IF(V734&lt;&gt;"",SUMIFS('📊 รายงานสินค้าคงเหลือ'!G:G,'📊 รายงานสินค้าคงเหลือ'!D:D,V734),"")</f>
        <v/>
      </c>
      <c r="X734" s="46"/>
      <c r="Y734" s="46"/>
      <c r="Z734" s="46"/>
    </row>
    <row r="735">
      <c r="A735" s="46"/>
      <c r="B735" s="16"/>
      <c r="C735" s="118"/>
      <c r="D735" s="126"/>
      <c r="E735" s="88"/>
      <c r="F735" s="118"/>
      <c r="G735" s="46"/>
      <c r="H735" s="46"/>
      <c r="I735" s="118"/>
      <c r="J735" s="46"/>
      <c r="K735" s="16" t="str">
        <f>IF(J735&lt;&gt;"",SUMIFS('💰 Transaction ขาย'!$F:$F,'💰 Transaction ขาย'!$K:$K,$J735,'💰 Transaction ขาย'!$J:$J,$B$1),"")</f>
        <v/>
      </c>
      <c r="L735" s="118"/>
      <c r="M735" s="46"/>
      <c r="N735" s="46"/>
      <c r="O735" s="46"/>
      <c r="P735" s="118"/>
      <c r="Q735" s="46"/>
      <c r="R735" s="46"/>
      <c r="S735" s="46"/>
      <c r="T735" s="46"/>
      <c r="U735" s="118"/>
      <c r="V735" s="46"/>
      <c r="W735" s="88" t="str">
        <f>IF(V735&lt;&gt;"",SUMIFS('📊 รายงานสินค้าคงเหลือ'!G:G,'📊 รายงานสินค้าคงเหลือ'!D:D,V735),"")</f>
        <v/>
      </c>
      <c r="X735" s="46"/>
      <c r="Y735" s="46"/>
      <c r="Z735" s="46"/>
    </row>
    <row r="736">
      <c r="A736" s="46"/>
      <c r="B736" s="16"/>
      <c r="C736" s="118"/>
      <c r="D736" s="126"/>
      <c r="E736" s="88"/>
      <c r="F736" s="118"/>
      <c r="G736" s="46"/>
      <c r="H736" s="46"/>
      <c r="I736" s="118"/>
      <c r="J736" s="46"/>
      <c r="K736" s="16" t="str">
        <f>IF(J736&lt;&gt;"",SUMIFS('💰 Transaction ขาย'!$F:$F,'💰 Transaction ขาย'!$K:$K,$J736,'💰 Transaction ขาย'!$J:$J,$B$1),"")</f>
        <v/>
      </c>
      <c r="L736" s="118"/>
      <c r="M736" s="46"/>
      <c r="N736" s="46"/>
      <c r="O736" s="46"/>
      <c r="P736" s="118"/>
      <c r="Q736" s="46"/>
      <c r="R736" s="46"/>
      <c r="S736" s="46"/>
      <c r="T736" s="46"/>
      <c r="U736" s="118"/>
      <c r="V736" s="46"/>
      <c r="W736" s="88" t="str">
        <f>IF(V736&lt;&gt;"",SUMIFS('📊 รายงานสินค้าคงเหลือ'!G:G,'📊 รายงานสินค้าคงเหลือ'!D:D,V736),"")</f>
        <v/>
      </c>
      <c r="X736" s="46"/>
      <c r="Y736" s="46"/>
      <c r="Z736" s="46"/>
    </row>
    <row r="737">
      <c r="A737" s="46"/>
      <c r="B737" s="16"/>
      <c r="C737" s="118"/>
      <c r="D737" s="126"/>
      <c r="E737" s="88"/>
      <c r="F737" s="118"/>
      <c r="G737" s="46"/>
      <c r="H737" s="46"/>
      <c r="I737" s="118"/>
      <c r="J737" s="46"/>
      <c r="K737" s="16" t="str">
        <f>IF(J737&lt;&gt;"",SUMIFS('💰 Transaction ขาย'!$F:$F,'💰 Transaction ขาย'!$K:$K,$J737,'💰 Transaction ขาย'!$J:$J,$B$1),"")</f>
        <v/>
      </c>
      <c r="L737" s="118"/>
      <c r="M737" s="46"/>
      <c r="N737" s="46"/>
      <c r="O737" s="46"/>
      <c r="P737" s="118"/>
      <c r="Q737" s="46"/>
      <c r="R737" s="46"/>
      <c r="S737" s="46"/>
      <c r="T737" s="46"/>
      <c r="U737" s="118"/>
      <c r="V737" s="46"/>
      <c r="W737" s="88" t="str">
        <f>IF(V737&lt;&gt;"",SUMIFS('📊 รายงานสินค้าคงเหลือ'!G:G,'📊 รายงานสินค้าคงเหลือ'!D:D,V737),"")</f>
        <v/>
      </c>
      <c r="X737" s="46"/>
      <c r="Y737" s="46"/>
      <c r="Z737" s="46"/>
    </row>
    <row r="738">
      <c r="A738" s="46"/>
      <c r="B738" s="16"/>
      <c r="C738" s="118"/>
      <c r="D738" s="126"/>
      <c r="E738" s="88"/>
      <c r="F738" s="118"/>
      <c r="G738" s="46"/>
      <c r="H738" s="46"/>
      <c r="I738" s="118"/>
      <c r="J738" s="46"/>
      <c r="K738" s="16" t="str">
        <f>IF(J738&lt;&gt;"",SUMIFS('💰 Transaction ขาย'!$F:$F,'💰 Transaction ขาย'!$K:$K,$J738,'💰 Transaction ขาย'!$J:$J,$B$1),"")</f>
        <v/>
      </c>
      <c r="L738" s="118"/>
      <c r="M738" s="46"/>
      <c r="N738" s="46"/>
      <c r="O738" s="46"/>
      <c r="P738" s="118"/>
      <c r="Q738" s="46"/>
      <c r="R738" s="46"/>
      <c r="S738" s="46"/>
      <c r="T738" s="46"/>
      <c r="U738" s="118"/>
      <c r="V738" s="46"/>
      <c r="W738" s="88" t="str">
        <f>IF(V738&lt;&gt;"",SUMIFS('📊 รายงานสินค้าคงเหลือ'!G:G,'📊 รายงานสินค้าคงเหลือ'!D:D,V738),"")</f>
        <v/>
      </c>
      <c r="X738" s="46"/>
      <c r="Y738" s="46"/>
      <c r="Z738" s="46"/>
    </row>
    <row r="739">
      <c r="A739" s="46"/>
      <c r="B739" s="16"/>
      <c r="C739" s="118"/>
      <c r="D739" s="126"/>
      <c r="E739" s="88"/>
      <c r="F739" s="118"/>
      <c r="G739" s="46"/>
      <c r="H739" s="46"/>
      <c r="I739" s="118"/>
      <c r="J739" s="46"/>
      <c r="K739" s="16" t="str">
        <f>IF(J739&lt;&gt;"",SUMIFS('💰 Transaction ขาย'!$F:$F,'💰 Transaction ขาย'!$K:$K,$J739,'💰 Transaction ขาย'!$J:$J,$B$1),"")</f>
        <v/>
      </c>
      <c r="L739" s="118"/>
      <c r="M739" s="46"/>
      <c r="N739" s="46"/>
      <c r="O739" s="46"/>
      <c r="P739" s="118"/>
      <c r="Q739" s="46"/>
      <c r="R739" s="46"/>
      <c r="S739" s="46"/>
      <c r="T739" s="46"/>
      <c r="U739" s="118"/>
      <c r="V739" s="46"/>
      <c r="W739" s="88" t="str">
        <f>IF(V739&lt;&gt;"",SUMIFS('📊 รายงานสินค้าคงเหลือ'!G:G,'📊 รายงานสินค้าคงเหลือ'!D:D,V739),"")</f>
        <v/>
      </c>
      <c r="X739" s="46"/>
      <c r="Y739" s="46"/>
      <c r="Z739" s="46"/>
    </row>
    <row r="740">
      <c r="A740" s="46"/>
      <c r="B740" s="16"/>
      <c r="C740" s="118"/>
      <c r="D740" s="126"/>
      <c r="E740" s="88"/>
      <c r="F740" s="118"/>
      <c r="G740" s="46"/>
      <c r="H740" s="46"/>
      <c r="I740" s="118"/>
      <c r="J740" s="46"/>
      <c r="K740" s="16" t="str">
        <f>IF(J740&lt;&gt;"",SUMIFS('💰 Transaction ขาย'!$F:$F,'💰 Transaction ขาย'!$K:$K,$J740,'💰 Transaction ขาย'!$J:$J,$B$1),"")</f>
        <v/>
      </c>
      <c r="L740" s="118"/>
      <c r="M740" s="46"/>
      <c r="N740" s="46"/>
      <c r="O740" s="46"/>
      <c r="P740" s="118"/>
      <c r="Q740" s="46"/>
      <c r="R740" s="46"/>
      <c r="S740" s="46"/>
      <c r="T740" s="46"/>
      <c r="U740" s="118"/>
      <c r="V740" s="46"/>
      <c r="W740" s="88" t="str">
        <f>IF(V740&lt;&gt;"",SUMIFS('📊 รายงานสินค้าคงเหลือ'!G:G,'📊 รายงานสินค้าคงเหลือ'!D:D,V740),"")</f>
        <v/>
      </c>
      <c r="X740" s="46"/>
      <c r="Y740" s="46"/>
      <c r="Z740" s="46"/>
    </row>
    <row r="741">
      <c r="A741" s="46"/>
      <c r="B741" s="16"/>
      <c r="C741" s="118"/>
      <c r="D741" s="126"/>
      <c r="E741" s="88"/>
      <c r="F741" s="118"/>
      <c r="G741" s="46"/>
      <c r="H741" s="46"/>
      <c r="I741" s="118"/>
      <c r="J741" s="46"/>
      <c r="K741" s="16" t="str">
        <f>IF(J741&lt;&gt;"",SUMIFS('💰 Transaction ขาย'!$F:$F,'💰 Transaction ขาย'!$K:$K,$J741,'💰 Transaction ขาย'!$J:$J,$B$1),"")</f>
        <v/>
      </c>
      <c r="L741" s="118"/>
      <c r="M741" s="46"/>
      <c r="N741" s="46"/>
      <c r="O741" s="46"/>
      <c r="P741" s="118"/>
      <c r="Q741" s="46"/>
      <c r="R741" s="46"/>
      <c r="S741" s="46"/>
      <c r="T741" s="46"/>
      <c r="U741" s="118"/>
      <c r="V741" s="46"/>
      <c r="W741" s="88" t="str">
        <f>IF(V741&lt;&gt;"",SUMIFS('📊 รายงานสินค้าคงเหลือ'!G:G,'📊 รายงานสินค้าคงเหลือ'!D:D,V741),"")</f>
        <v/>
      </c>
      <c r="X741" s="46"/>
      <c r="Y741" s="46"/>
      <c r="Z741" s="46"/>
    </row>
    <row r="742">
      <c r="A742" s="46"/>
      <c r="B742" s="16"/>
      <c r="C742" s="118"/>
      <c r="D742" s="126"/>
      <c r="E742" s="88"/>
      <c r="F742" s="118"/>
      <c r="G742" s="46"/>
      <c r="H742" s="46"/>
      <c r="I742" s="118"/>
      <c r="J742" s="46"/>
      <c r="K742" s="16" t="str">
        <f>IF(J742&lt;&gt;"",SUMIFS('💰 Transaction ขาย'!$F:$F,'💰 Transaction ขาย'!$K:$K,$J742,'💰 Transaction ขาย'!$J:$J,$B$1),"")</f>
        <v/>
      </c>
      <c r="L742" s="118"/>
      <c r="M742" s="46"/>
      <c r="N742" s="46"/>
      <c r="O742" s="46"/>
      <c r="P742" s="118"/>
      <c r="Q742" s="46"/>
      <c r="R742" s="46"/>
      <c r="S742" s="46"/>
      <c r="T742" s="46"/>
      <c r="U742" s="118"/>
      <c r="V742" s="46"/>
      <c r="W742" s="88" t="str">
        <f>IF(V742&lt;&gt;"",SUMIFS('📊 รายงานสินค้าคงเหลือ'!G:G,'📊 รายงานสินค้าคงเหลือ'!D:D,V742),"")</f>
        <v/>
      </c>
      <c r="X742" s="46"/>
      <c r="Y742" s="46"/>
      <c r="Z742" s="46"/>
    </row>
    <row r="743">
      <c r="A743" s="46"/>
      <c r="B743" s="16"/>
      <c r="C743" s="118"/>
      <c r="D743" s="126"/>
      <c r="E743" s="88"/>
      <c r="F743" s="118"/>
      <c r="G743" s="46"/>
      <c r="H743" s="46"/>
      <c r="I743" s="118"/>
      <c r="J743" s="46"/>
      <c r="K743" s="16" t="str">
        <f>IF(J743&lt;&gt;"",SUMIFS('💰 Transaction ขาย'!$F:$F,'💰 Transaction ขาย'!$K:$K,$J743,'💰 Transaction ขาย'!$J:$J,$B$1),"")</f>
        <v/>
      </c>
      <c r="L743" s="118"/>
      <c r="M743" s="46"/>
      <c r="N743" s="46"/>
      <c r="O743" s="46"/>
      <c r="P743" s="118"/>
      <c r="Q743" s="46"/>
      <c r="R743" s="46"/>
      <c r="S743" s="46"/>
      <c r="T743" s="46"/>
      <c r="U743" s="118"/>
      <c r="V743" s="46"/>
      <c r="W743" s="88" t="str">
        <f>IF(V743&lt;&gt;"",SUMIFS('📊 รายงานสินค้าคงเหลือ'!G:G,'📊 รายงานสินค้าคงเหลือ'!D:D,V743),"")</f>
        <v/>
      </c>
      <c r="X743" s="46"/>
      <c r="Y743" s="46"/>
      <c r="Z743" s="46"/>
    </row>
    <row r="744">
      <c r="A744" s="46"/>
      <c r="B744" s="16"/>
      <c r="C744" s="118"/>
      <c r="D744" s="126"/>
      <c r="E744" s="88"/>
      <c r="F744" s="118"/>
      <c r="G744" s="46"/>
      <c r="H744" s="46"/>
      <c r="I744" s="118"/>
      <c r="J744" s="46"/>
      <c r="K744" s="16" t="str">
        <f>IF(J744&lt;&gt;"",SUMIFS('💰 Transaction ขาย'!$F:$F,'💰 Transaction ขาย'!$K:$K,$J744,'💰 Transaction ขาย'!$J:$J,$B$1),"")</f>
        <v/>
      </c>
      <c r="L744" s="118"/>
      <c r="M744" s="46"/>
      <c r="N744" s="46"/>
      <c r="O744" s="46"/>
      <c r="P744" s="118"/>
      <c r="Q744" s="46"/>
      <c r="R744" s="46"/>
      <c r="S744" s="46"/>
      <c r="T744" s="46"/>
      <c r="U744" s="118"/>
      <c r="V744" s="46"/>
      <c r="W744" s="88" t="str">
        <f>IF(V744&lt;&gt;"",SUMIFS('📊 รายงานสินค้าคงเหลือ'!G:G,'📊 รายงานสินค้าคงเหลือ'!D:D,V744),"")</f>
        <v/>
      </c>
      <c r="X744" s="46"/>
      <c r="Y744" s="46"/>
      <c r="Z744" s="46"/>
    </row>
    <row r="745">
      <c r="A745" s="46"/>
      <c r="B745" s="16"/>
      <c r="C745" s="118"/>
      <c r="D745" s="126"/>
      <c r="E745" s="88"/>
      <c r="F745" s="118"/>
      <c r="G745" s="46"/>
      <c r="H745" s="46"/>
      <c r="I745" s="118"/>
      <c r="J745" s="46"/>
      <c r="K745" s="16" t="str">
        <f>IF(J745&lt;&gt;"",SUMIFS('💰 Transaction ขาย'!$F:$F,'💰 Transaction ขาย'!$K:$K,$J745,'💰 Transaction ขาย'!$J:$J,$B$1),"")</f>
        <v/>
      </c>
      <c r="L745" s="118"/>
      <c r="M745" s="46"/>
      <c r="N745" s="46"/>
      <c r="O745" s="46"/>
      <c r="P745" s="118"/>
      <c r="Q745" s="46"/>
      <c r="R745" s="46"/>
      <c r="S745" s="46"/>
      <c r="T745" s="46"/>
      <c r="U745" s="118"/>
      <c r="V745" s="46"/>
      <c r="W745" s="88" t="str">
        <f>IF(V745&lt;&gt;"",SUMIFS('📊 รายงานสินค้าคงเหลือ'!G:G,'📊 รายงานสินค้าคงเหลือ'!D:D,V745),"")</f>
        <v/>
      </c>
      <c r="X745" s="46"/>
      <c r="Y745" s="46"/>
      <c r="Z745" s="46"/>
    </row>
    <row r="746">
      <c r="A746" s="46"/>
      <c r="B746" s="16"/>
      <c r="C746" s="118"/>
      <c r="D746" s="126"/>
      <c r="E746" s="88"/>
      <c r="F746" s="118"/>
      <c r="G746" s="46"/>
      <c r="H746" s="46"/>
      <c r="I746" s="118"/>
      <c r="J746" s="46"/>
      <c r="K746" s="16" t="str">
        <f>IF(J746&lt;&gt;"",SUMIFS('💰 Transaction ขาย'!$F:$F,'💰 Transaction ขาย'!$K:$K,$J746,'💰 Transaction ขาย'!$J:$J,$B$1),"")</f>
        <v/>
      </c>
      <c r="L746" s="118"/>
      <c r="M746" s="46"/>
      <c r="N746" s="46"/>
      <c r="O746" s="46"/>
      <c r="P746" s="118"/>
      <c r="Q746" s="46"/>
      <c r="R746" s="46"/>
      <c r="S746" s="46"/>
      <c r="T746" s="46"/>
      <c r="U746" s="118"/>
      <c r="V746" s="46"/>
      <c r="W746" s="88" t="str">
        <f>IF(V746&lt;&gt;"",SUMIFS('📊 รายงานสินค้าคงเหลือ'!G:G,'📊 รายงานสินค้าคงเหลือ'!D:D,V746),"")</f>
        <v/>
      </c>
      <c r="X746" s="46"/>
      <c r="Y746" s="46"/>
      <c r="Z746" s="46"/>
    </row>
    <row r="747">
      <c r="A747" s="46"/>
      <c r="B747" s="16"/>
      <c r="C747" s="118"/>
      <c r="D747" s="126"/>
      <c r="E747" s="88"/>
      <c r="F747" s="118"/>
      <c r="G747" s="46"/>
      <c r="H747" s="46"/>
      <c r="I747" s="118"/>
      <c r="J747" s="46"/>
      <c r="K747" s="16" t="str">
        <f>IF(J747&lt;&gt;"",SUMIFS('💰 Transaction ขาย'!$F:$F,'💰 Transaction ขาย'!$K:$K,$J747,'💰 Transaction ขาย'!$J:$J,$B$1),"")</f>
        <v/>
      </c>
      <c r="L747" s="118"/>
      <c r="M747" s="46"/>
      <c r="N747" s="46"/>
      <c r="O747" s="46"/>
      <c r="P747" s="118"/>
      <c r="Q747" s="46"/>
      <c r="R747" s="46"/>
      <c r="S747" s="46"/>
      <c r="T747" s="46"/>
      <c r="U747" s="118"/>
      <c r="V747" s="46"/>
      <c r="W747" s="88" t="str">
        <f>IF(V747&lt;&gt;"",SUMIFS('📊 รายงานสินค้าคงเหลือ'!G:G,'📊 รายงานสินค้าคงเหลือ'!D:D,V747),"")</f>
        <v/>
      </c>
      <c r="X747" s="46"/>
      <c r="Y747" s="46"/>
      <c r="Z747" s="46"/>
    </row>
    <row r="748">
      <c r="A748" s="46"/>
      <c r="B748" s="16"/>
      <c r="C748" s="118"/>
      <c r="D748" s="126"/>
      <c r="E748" s="88"/>
      <c r="F748" s="118"/>
      <c r="G748" s="46"/>
      <c r="H748" s="46"/>
      <c r="I748" s="118"/>
      <c r="J748" s="46"/>
      <c r="K748" s="16" t="str">
        <f>IF(J748&lt;&gt;"",SUMIFS('💰 Transaction ขาย'!$F:$F,'💰 Transaction ขาย'!$K:$K,$J748,'💰 Transaction ขาย'!$J:$J,$B$1),"")</f>
        <v/>
      </c>
      <c r="L748" s="118"/>
      <c r="M748" s="46"/>
      <c r="N748" s="46"/>
      <c r="O748" s="46"/>
      <c r="P748" s="118"/>
      <c r="Q748" s="46"/>
      <c r="R748" s="46"/>
      <c r="S748" s="46"/>
      <c r="T748" s="46"/>
      <c r="U748" s="118"/>
      <c r="V748" s="46"/>
      <c r="W748" s="88" t="str">
        <f>IF(V748&lt;&gt;"",SUMIFS('📊 รายงานสินค้าคงเหลือ'!G:G,'📊 รายงานสินค้าคงเหลือ'!D:D,V748),"")</f>
        <v/>
      </c>
      <c r="X748" s="46"/>
      <c r="Y748" s="46"/>
      <c r="Z748" s="46"/>
    </row>
    <row r="749">
      <c r="A749" s="46"/>
      <c r="B749" s="16"/>
      <c r="C749" s="118"/>
      <c r="D749" s="126"/>
      <c r="E749" s="88"/>
      <c r="F749" s="118"/>
      <c r="G749" s="46"/>
      <c r="H749" s="46"/>
      <c r="I749" s="118"/>
      <c r="J749" s="46"/>
      <c r="K749" s="16" t="str">
        <f>IF(J749&lt;&gt;"",SUMIFS('💰 Transaction ขาย'!$F:$F,'💰 Transaction ขาย'!$K:$K,$J749,'💰 Transaction ขาย'!$J:$J,$B$1),"")</f>
        <v/>
      </c>
      <c r="L749" s="118"/>
      <c r="M749" s="46"/>
      <c r="N749" s="46"/>
      <c r="O749" s="46"/>
      <c r="P749" s="118"/>
      <c r="Q749" s="46"/>
      <c r="R749" s="46"/>
      <c r="S749" s="46"/>
      <c r="T749" s="46"/>
      <c r="U749" s="118"/>
      <c r="V749" s="46"/>
      <c r="W749" s="88" t="str">
        <f>IF(V749&lt;&gt;"",SUMIFS('📊 รายงานสินค้าคงเหลือ'!G:G,'📊 รายงานสินค้าคงเหลือ'!D:D,V749),"")</f>
        <v/>
      </c>
      <c r="X749" s="46"/>
      <c r="Y749" s="46"/>
      <c r="Z749" s="46"/>
    </row>
    <row r="750">
      <c r="A750" s="46"/>
      <c r="B750" s="16"/>
      <c r="C750" s="118"/>
      <c r="D750" s="126"/>
      <c r="E750" s="88"/>
      <c r="F750" s="118"/>
      <c r="G750" s="46"/>
      <c r="H750" s="46"/>
      <c r="I750" s="118"/>
      <c r="J750" s="46"/>
      <c r="K750" s="16" t="str">
        <f>IF(J750&lt;&gt;"",SUMIFS('💰 Transaction ขาย'!$F:$F,'💰 Transaction ขาย'!$K:$K,$J750,'💰 Transaction ขาย'!$J:$J,$B$1),"")</f>
        <v/>
      </c>
      <c r="L750" s="118"/>
      <c r="M750" s="46"/>
      <c r="N750" s="46"/>
      <c r="O750" s="46"/>
      <c r="P750" s="118"/>
      <c r="Q750" s="46"/>
      <c r="R750" s="46"/>
      <c r="S750" s="46"/>
      <c r="T750" s="46"/>
      <c r="U750" s="118"/>
      <c r="V750" s="46"/>
      <c r="W750" s="88" t="str">
        <f>IF(V750&lt;&gt;"",SUMIFS('📊 รายงานสินค้าคงเหลือ'!G:G,'📊 รายงานสินค้าคงเหลือ'!D:D,V750),"")</f>
        <v/>
      </c>
      <c r="X750" s="46"/>
      <c r="Y750" s="46"/>
      <c r="Z750" s="46"/>
    </row>
    <row r="751">
      <c r="A751" s="46"/>
      <c r="B751" s="16"/>
      <c r="C751" s="118"/>
      <c r="D751" s="126"/>
      <c r="E751" s="88"/>
      <c r="F751" s="118"/>
      <c r="G751" s="46"/>
      <c r="H751" s="46"/>
      <c r="I751" s="118"/>
      <c r="J751" s="46"/>
      <c r="K751" s="16" t="str">
        <f>IF(J751&lt;&gt;"",SUMIFS('💰 Transaction ขาย'!$F:$F,'💰 Transaction ขาย'!$K:$K,$J751,'💰 Transaction ขาย'!$J:$J,$B$1),"")</f>
        <v/>
      </c>
      <c r="L751" s="118"/>
      <c r="M751" s="46"/>
      <c r="N751" s="46"/>
      <c r="O751" s="46"/>
      <c r="P751" s="118"/>
      <c r="Q751" s="46"/>
      <c r="R751" s="46"/>
      <c r="S751" s="46"/>
      <c r="T751" s="46"/>
      <c r="U751" s="118"/>
      <c r="V751" s="46"/>
      <c r="W751" s="88" t="str">
        <f>IF(V751&lt;&gt;"",SUMIFS('📊 รายงานสินค้าคงเหลือ'!G:G,'📊 รายงานสินค้าคงเหลือ'!D:D,V751),"")</f>
        <v/>
      </c>
      <c r="X751" s="46"/>
      <c r="Y751" s="46"/>
      <c r="Z751" s="46"/>
    </row>
    <row r="752">
      <c r="A752" s="46"/>
      <c r="B752" s="16"/>
      <c r="C752" s="118"/>
      <c r="D752" s="126"/>
      <c r="E752" s="88"/>
      <c r="F752" s="118"/>
      <c r="G752" s="46"/>
      <c r="H752" s="46"/>
      <c r="I752" s="118"/>
      <c r="J752" s="46"/>
      <c r="K752" s="16" t="str">
        <f>IF(J752&lt;&gt;"",SUMIFS('💰 Transaction ขาย'!$F:$F,'💰 Transaction ขาย'!$K:$K,$J752,'💰 Transaction ขาย'!$J:$J,$B$1),"")</f>
        <v/>
      </c>
      <c r="L752" s="118"/>
      <c r="M752" s="46"/>
      <c r="N752" s="46"/>
      <c r="O752" s="46"/>
      <c r="P752" s="118"/>
      <c r="Q752" s="46"/>
      <c r="R752" s="46"/>
      <c r="S752" s="46"/>
      <c r="T752" s="46"/>
      <c r="U752" s="118"/>
      <c r="V752" s="46"/>
      <c r="W752" s="88" t="str">
        <f>IF(V752&lt;&gt;"",SUMIFS('📊 รายงานสินค้าคงเหลือ'!G:G,'📊 รายงานสินค้าคงเหลือ'!D:D,V752),"")</f>
        <v/>
      </c>
      <c r="X752" s="46"/>
      <c r="Y752" s="46"/>
      <c r="Z752" s="46"/>
    </row>
    <row r="753">
      <c r="A753" s="46"/>
      <c r="B753" s="16"/>
      <c r="C753" s="118"/>
      <c r="D753" s="126"/>
      <c r="E753" s="88"/>
      <c r="F753" s="118"/>
      <c r="G753" s="46"/>
      <c r="H753" s="46"/>
      <c r="I753" s="118"/>
      <c r="J753" s="46"/>
      <c r="K753" s="16" t="str">
        <f>IF(J753&lt;&gt;"",SUMIFS('💰 Transaction ขาย'!$F:$F,'💰 Transaction ขาย'!$K:$K,$J753,'💰 Transaction ขาย'!$J:$J,$B$1),"")</f>
        <v/>
      </c>
      <c r="L753" s="118"/>
      <c r="M753" s="46"/>
      <c r="N753" s="46"/>
      <c r="O753" s="46"/>
      <c r="P753" s="118"/>
      <c r="Q753" s="46"/>
      <c r="R753" s="46"/>
      <c r="S753" s="46"/>
      <c r="T753" s="46"/>
      <c r="U753" s="118"/>
      <c r="V753" s="46"/>
      <c r="W753" s="88" t="str">
        <f>IF(V753&lt;&gt;"",SUMIFS('📊 รายงานสินค้าคงเหลือ'!G:G,'📊 รายงานสินค้าคงเหลือ'!D:D,V753),"")</f>
        <v/>
      </c>
      <c r="X753" s="46"/>
      <c r="Y753" s="46"/>
      <c r="Z753" s="46"/>
    </row>
    <row r="754">
      <c r="A754" s="46"/>
      <c r="B754" s="16"/>
      <c r="C754" s="118"/>
      <c r="D754" s="126"/>
      <c r="E754" s="88"/>
      <c r="F754" s="118"/>
      <c r="G754" s="46"/>
      <c r="H754" s="46"/>
      <c r="I754" s="118"/>
      <c r="J754" s="46"/>
      <c r="K754" s="16" t="str">
        <f>IF(J754&lt;&gt;"",SUMIFS('💰 Transaction ขาย'!$F:$F,'💰 Transaction ขาย'!$K:$K,$J754,'💰 Transaction ขาย'!$J:$J,$B$1),"")</f>
        <v/>
      </c>
      <c r="L754" s="118"/>
      <c r="M754" s="46"/>
      <c r="N754" s="46"/>
      <c r="O754" s="46"/>
      <c r="P754" s="118"/>
      <c r="Q754" s="46"/>
      <c r="R754" s="46"/>
      <c r="S754" s="46"/>
      <c r="T754" s="46"/>
      <c r="U754" s="118"/>
      <c r="V754" s="46"/>
      <c r="W754" s="88" t="str">
        <f>IF(V754&lt;&gt;"",SUMIFS('📊 รายงานสินค้าคงเหลือ'!G:G,'📊 รายงานสินค้าคงเหลือ'!D:D,V754),"")</f>
        <v/>
      </c>
      <c r="X754" s="46"/>
      <c r="Y754" s="46"/>
      <c r="Z754" s="46"/>
    </row>
    <row r="755">
      <c r="A755" s="46"/>
      <c r="B755" s="16"/>
      <c r="C755" s="118"/>
      <c r="D755" s="126"/>
      <c r="E755" s="88"/>
      <c r="F755" s="118"/>
      <c r="G755" s="46"/>
      <c r="H755" s="46"/>
      <c r="I755" s="118"/>
      <c r="J755" s="46"/>
      <c r="K755" s="16" t="str">
        <f>IF(J755&lt;&gt;"",SUMIFS('💰 Transaction ขาย'!$F:$F,'💰 Transaction ขาย'!$K:$K,$J755,'💰 Transaction ขาย'!$J:$J,$B$1),"")</f>
        <v/>
      </c>
      <c r="L755" s="118"/>
      <c r="M755" s="46"/>
      <c r="N755" s="46"/>
      <c r="O755" s="46"/>
      <c r="P755" s="118"/>
      <c r="Q755" s="46"/>
      <c r="R755" s="46"/>
      <c r="S755" s="46"/>
      <c r="T755" s="46"/>
      <c r="U755" s="118"/>
      <c r="V755" s="46"/>
      <c r="W755" s="88" t="str">
        <f>IF(V755&lt;&gt;"",SUMIFS('📊 รายงานสินค้าคงเหลือ'!G:G,'📊 รายงานสินค้าคงเหลือ'!D:D,V755),"")</f>
        <v/>
      </c>
      <c r="X755" s="46"/>
      <c r="Y755" s="46"/>
      <c r="Z755" s="46"/>
    </row>
    <row r="756">
      <c r="A756" s="46"/>
      <c r="B756" s="16"/>
      <c r="C756" s="118"/>
      <c r="D756" s="126"/>
      <c r="E756" s="88"/>
      <c r="F756" s="118"/>
      <c r="G756" s="46"/>
      <c r="H756" s="46"/>
      <c r="I756" s="118"/>
      <c r="J756" s="46"/>
      <c r="K756" s="16" t="str">
        <f>IF(J756&lt;&gt;"",SUMIFS('💰 Transaction ขาย'!$F:$F,'💰 Transaction ขาย'!$K:$K,$J756,'💰 Transaction ขาย'!$J:$J,$B$1),"")</f>
        <v/>
      </c>
      <c r="L756" s="118"/>
      <c r="M756" s="46"/>
      <c r="N756" s="46"/>
      <c r="O756" s="46"/>
      <c r="P756" s="118"/>
      <c r="Q756" s="46"/>
      <c r="R756" s="46"/>
      <c r="S756" s="46"/>
      <c r="T756" s="46"/>
      <c r="U756" s="118"/>
      <c r="V756" s="46"/>
      <c r="W756" s="88" t="str">
        <f>IF(V756&lt;&gt;"",SUMIFS('📊 รายงานสินค้าคงเหลือ'!G:G,'📊 รายงานสินค้าคงเหลือ'!D:D,V756),"")</f>
        <v/>
      </c>
      <c r="X756" s="46"/>
      <c r="Y756" s="46"/>
      <c r="Z756" s="46"/>
    </row>
    <row r="757">
      <c r="A757" s="46"/>
      <c r="B757" s="16"/>
      <c r="C757" s="118"/>
      <c r="D757" s="126"/>
      <c r="E757" s="88"/>
      <c r="F757" s="118"/>
      <c r="G757" s="46"/>
      <c r="H757" s="46"/>
      <c r="I757" s="118"/>
      <c r="J757" s="46"/>
      <c r="K757" s="16" t="str">
        <f>IF(J757&lt;&gt;"",SUMIFS('💰 Transaction ขาย'!$F:$F,'💰 Transaction ขาย'!$K:$K,$J757,'💰 Transaction ขาย'!$J:$J,$B$1),"")</f>
        <v/>
      </c>
      <c r="L757" s="118"/>
      <c r="M757" s="46"/>
      <c r="N757" s="46"/>
      <c r="O757" s="46"/>
      <c r="P757" s="118"/>
      <c r="Q757" s="46"/>
      <c r="R757" s="46"/>
      <c r="S757" s="46"/>
      <c r="T757" s="46"/>
      <c r="U757" s="118"/>
      <c r="V757" s="46"/>
      <c r="W757" s="88" t="str">
        <f>IF(V757&lt;&gt;"",SUMIFS('📊 รายงานสินค้าคงเหลือ'!G:G,'📊 รายงานสินค้าคงเหลือ'!D:D,V757),"")</f>
        <v/>
      </c>
      <c r="X757" s="46"/>
      <c r="Y757" s="46"/>
      <c r="Z757" s="46"/>
    </row>
    <row r="758">
      <c r="A758" s="46"/>
      <c r="B758" s="16"/>
      <c r="C758" s="118"/>
      <c r="D758" s="126"/>
      <c r="E758" s="88"/>
      <c r="F758" s="118"/>
      <c r="G758" s="46"/>
      <c r="H758" s="46"/>
      <c r="I758" s="118"/>
      <c r="J758" s="46"/>
      <c r="K758" s="16" t="str">
        <f>IF(J758&lt;&gt;"",SUMIFS('💰 Transaction ขาย'!$F:$F,'💰 Transaction ขาย'!$K:$K,$J758,'💰 Transaction ขาย'!$J:$J,$B$1),"")</f>
        <v/>
      </c>
      <c r="L758" s="118"/>
      <c r="M758" s="46"/>
      <c r="N758" s="46"/>
      <c r="O758" s="46"/>
      <c r="P758" s="118"/>
      <c r="Q758" s="46"/>
      <c r="R758" s="46"/>
      <c r="S758" s="46"/>
      <c r="T758" s="46"/>
      <c r="U758" s="118"/>
      <c r="V758" s="46"/>
      <c r="W758" s="88" t="str">
        <f>IF(V758&lt;&gt;"",SUMIFS('📊 รายงานสินค้าคงเหลือ'!G:G,'📊 รายงานสินค้าคงเหลือ'!D:D,V758),"")</f>
        <v/>
      </c>
      <c r="X758" s="46"/>
      <c r="Y758" s="46"/>
      <c r="Z758" s="46"/>
    </row>
    <row r="759">
      <c r="A759" s="46"/>
      <c r="B759" s="16"/>
      <c r="C759" s="118"/>
      <c r="D759" s="126"/>
      <c r="E759" s="88"/>
      <c r="F759" s="118"/>
      <c r="G759" s="46"/>
      <c r="H759" s="46"/>
      <c r="I759" s="118"/>
      <c r="J759" s="46"/>
      <c r="K759" s="16" t="str">
        <f>IF(J759&lt;&gt;"",SUMIFS('💰 Transaction ขาย'!$F:$F,'💰 Transaction ขาย'!$K:$K,$J759,'💰 Transaction ขาย'!$J:$J,$B$1),"")</f>
        <v/>
      </c>
      <c r="L759" s="118"/>
      <c r="M759" s="46"/>
      <c r="N759" s="46"/>
      <c r="O759" s="46"/>
      <c r="P759" s="118"/>
      <c r="Q759" s="46"/>
      <c r="R759" s="46"/>
      <c r="S759" s="46"/>
      <c r="T759" s="46"/>
      <c r="U759" s="118"/>
      <c r="V759" s="46"/>
      <c r="W759" s="88" t="str">
        <f>IF(V759&lt;&gt;"",SUMIFS('📊 รายงานสินค้าคงเหลือ'!G:G,'📊 รายงานสินค้าคงเหลือ'!D:D,V759),"")</f>
        <v/>
      </c>
      <c r="X759" s="46"/>
      <c r="Y759" s="46"/>
      <c r="Z759" s="46"/>
    </row>
    <row r="760">
      <c r="A760" s="46"/>
      <c r="B760" s="16"/>
      <c r="C760" s="118"/>
      <c r="D760" s="126"/>
      <c r="E760" s="88"/>
      <c r="F760" s="118"/>
      <c r="G760" s="46"/>
      <c r="H760" s="46"/>
      <c r="I760" s="118"/>
      <c r="J760" s="46"/>
      <c r="K760" s="16" t="str">
        <f>IF(J760&lt;&gt;"",SUMIFS('💰 Transaction ขาย'!$F:$F,'💰 Transaction ขาย'!$K:$K,$J760,'💰 Transaction ขาย'!$J:$J,$B$1),"")</f>
        <v/>
      </c>
      <c r="L760" s="118"/>
      <c r="M760" s="46"/>
      <c r="N760" s="46"/>
      <c r="O760" s="46"/>
      <c r="P760" s="118"/>
      <c r="Q760" s="46"/>
      <c r="R760" s="46"/>
      <c r="S760" s="46"/>
      <c r="T760" s="46"/>
      <c r="U760" s="118"/>
      <c r="V760" s="46"/>
      <c r="W760" s="88" t="str">
        <f>IF(V760&lt;&gt;"",SUMIFS('📊 รายงานสินค้าคงเหลือ'!G:G,'📊 รายงานสินค้าคงเหลือ'!D:D,V760),"")</f>
        <v/>
      </c>
      <c r="X760" s="46"/>
      <c r="Y760" s="46"/>
      <c r="Z760" s="46"/>
    </row>
    <row r="761">
      <c r="A761" s="46"/>
      <c r="B761" s="16"/>
      <c r="C761" s="118"/>
      <c r="D761" s="126"/>
      <c r="E761" s="88"/>
      <c r="F761" s="118"/>
      <c r="G761" s="46"/>
      <c r="H761" s="46"/>
      <c r="I761" s="118"/>
      <c r="J761" s="46"/>
      <c r="K761" s="16" t="str">
        <f>IF(J761&lt;&gt;"",SUMIFS('💰 Transaction ขาย'!$F:$F,'💰 Transaction ขาย'!$K:$K,$J761,'💰 Transaction ขาย'!$J:$J,$B$1),"")</f>
        <v/>
      </c>
      <c r="L761" s="118"/>
      <c r="M761" s="46"/>
      <c r="N761" s="46"/>
      <c r="O761" s="46"/>
      <c r="P761" s="118"/>
      <c r="Q761" s="46"/>
      <c r="R761" s="46"/>
      <c r="S761" s="46"/>
      <c r="T761" s="46"/>
      <c r="U761" s="118"/>
      <c r="V761" s="46"/>
      <c r="W761" s="88" t="str">
        <f>IF(V761&lt;&gt;"",SUMIFS('📊 รายงานสินค้าคงเหลือ'!G:G,'📊 รายงานสินค้าคงเหลือ'!D:D,V761),"")</f>
        <v/>
      </c>
      <c r="X761" s="46"/>
      <c r="Y761" s="46"/>
      <c r="Z761" s="46"/>
    </row>
    <row r="762">
      <c r="A762" s="46"/>
      <c r="B762" s="16"/>
      <c r="C762" s="118"/>
      <c r="D762" s="126"/>
      <c r="E762" s="88"/>
      <c r="F762" s="118"/>
      <c r="G762" s="46"/>
      <c r="H762" s="46"/>
      <c r="I762" s="118"/>
      <c r="J762" s="46"/>
      <c r="K762" s="16" t="str">
        <f>IF(J762&lt;&gt;"",SUMIFS('💰 Transaction ขาย'!$F:$F,'💰 Transaction ขาย'!$K:$K,$J762,'💰 Transaction ขาย'!$J:$J,$B$1),"")</f>
        <v/>
      </c>
      <c r="L762" s="118"/>
      <c r="M762" s="46"/>
      <c r="N762" s="46"/>
      <c r="O762" s="46"/>
      <c r="P762" s="118"/>
      <c r="Q762" s="46"/>
      <c r="R762" s="46"/>
      <c r="S762" s="46"/>
      <c r="T762" s="46"/>
      <c r="U762" s="118"/>
      <c r="V762" s="46"/>
      <c r="W762" s="88" t="str">
        <f>IF(V762&lt;&gt;"",SUMIFS('📊 รายงานสินค้าคงเหลือ'!G:G,'📊 รายงานสินค้าคงเหลือ'!D:D,V762),"")</f>
        <v/>
      </c>
      <c r="X762" s="46"/>
      <c r="Y762" s="46"/>
      <c r="Z762" s="46"/>
    </row>
    <row r="763">
      <c r="A763" s="46"/>
      <c r="B763" s="16"/>
      <c r="C763" s="118"/>
      <c r="D763" s="126"/>
      <c r="E763" s="88"/>
      <c r="F763" s="118"/>
      <c r="G763" s="46"/>
      <c r="H763" s="46"/>
      <c r="I763" s="118"/>
      <c r="J763" s="46"/>
      <c r="K763" s="16" t="str">
        <f>IF(J763&lt;&gt;"",SUMIFS('💰 Transaction ขาย'!$F:$F,'💰 Transaction ขาย'!$K:$K,$J763,'💰 Transaction ขาย'!$J:$J,$B$1),"")</f>
        <v/>
      </c>
      <c r="L763" s="118"/>
      <c r="M763" s="46"/>
      <c r="N763" s="46"/>
      <c r="O763" s="46"/>
      <c r="P763" s="118"/>
      <c r="Q763" s="46"/>
      <c r="R763" s="46"/>
      <c r="S763" s="46"/>
      <c r="T763" s="46"/>
      <c r="U763" s="118"/>
      <c r="V763" s="46"/>
      <c r="W763" s="88" t="str">
        <f>IF(V763&lt;&gt;"",SUMIFS('📊 รายงานสินค้าคงเหลือ'!G:G,'📊 รายงานสินค้าคงเหลือ'!D:D,V763),"")</f>
        <v/>
      </c>
      <c r="X763" s="46"/>
      <c r="Y763" s="46"/>
      <c r="Z763" s="46"/>
    </row>
    <row r="764">
      <c r="A764" s="46"/>
      <c r="B764" s="16"/>
      <c r="C764" s="118"/>
      <c r="D764" s="126"/>
      <c r="E764" s="88"/>
      <c r="F764" s="118"/>
      <c r="G764" s="46"/>
      <c r="H764" s="46"/>
      <c r="I764" s="118"/>
      <c r="J764" s="46"/>
      <c r="K764" s="16" t="str">
        <f>IF(J764&lt;&gt;"",SUMIFS('💰 Transaction ขาย'!$F:$F,'💰 Transaction ขาย'!$K:$K,$J764,'💰 Transaction ขาย'!$J:$J,$B$1),"")</f>
        <v/>
      </c>
      <c r="L764" s="118"/>
      <c r="M764" s="46"/>
      <c r="N764" s="46"/>
      <c r="O764" s="46"/>
      <c r="P764" s="118"/>
      <c r="Q764" s="46"/>
      <c r="R764" s="46"/>
      <c r="S764" s="46"/>
      <c r="T764" s="46"/>
      <c r="U764" s="118"/>
      <c r="V764" s="46"/>
      <c r="W764" s="88" t="str">
        <f>IF(V764&lt;&gt;"",SUMIFS('📊 รายงานสินค้าคงเหลือ'!G:G,'📊 รายงานสินค้าคงเหลือ'!D:D,V764),"")</f>
        <v/>
      </c>
      <c r="X764" s="46"/>
      <c r="Y764" s="46"/>
      <c r="Z764" s="46"/>
    </row>
    <row r="765">
      <c r="A765" s="46"/>
      <c r="B765" s="16"/>
      <c r="C765" s="118"/>
      <c r="D765" s="126"/>
      <c r="E765" s="88"/>
      <c r="F765" s="118"/>
      <c r="G765" s="46"/>
      <c r="H765" s="46"/>
      <c r="I765" s="118"/>
      <c r="J765" s="46"/>
      <c r="K765" s="16" t="str">
        <f>IF(J765&lt;&gt;"",SUMIFS('💰 Transaction ขาย'!$F:$F,'💰 Transaction ขาย'!$K:$K,$J765,'💰 Transaction ขาย'!$J:$J,$B$1),"")</f>
        <v/>
      </c>
      <c r="L765" s="118"/>
      <c r="M765" s="46"/>
      <c r="N765" s="46"/>
      <c r="O765" s="46"/>
      <c r="P765" s="118"/>
      <c r="Q765" s="46"/>
      <c r="R765" s="46"/>
      <c r="S765" s="46"/>
      <c r="T765" s="46"/>
      <c r="U765" s="118"/>
      <c r="V765" s="46"/>
      <c r="W765" s="88" t="str">
        <f>IF(V765&lt;&gt;"",SUMIFS('📊 รายงานสินค้าคงเหลือ'!G:G,'📊 รายงานสินค้าคงเหลือ'!D:D,V765),"")</f>
        <v/>
      </c>
      <c r="X765" s="46"/>
      <c r="Y765" s="46"/>
      <c r="Z765" s="46"/>
    </row>
    <row r="766">
      <c r="A766" s="46"/>
      <c r="B766" s="16"/>
      <c r="C766" s="118"/>
      <c r="D766" s="126"/>
      <c r="E766" s="88"/>
      <c r="F766" s="118"/>
      <c r="G766" s="46"/>
      <c r="H766" s="46"/>
      <c r="I766" s="118"/>
      <c r="J766" s="46"/>
      <c r="K766" s="16" t="str">
        <f>IF(J766&lt;&gt;"",SUMIFS('💰 Transaction ขาย'!$F:$F,'💰 Transaction ขาย'!$K:$K,$J766,'💰 Transaction ขาย'!$J:$J,$B$1),"")</f>
        <v/>
      </c>
      <c r="L766" s="118"/>
      <c r="M766" s="46"/>
      <c r="N766" s="46"/>
      <c r="O766" s="46"/>
      <c r="P766" s="118"/>
      <c r="Q766" s="46"/>
      <c r="R766" s="46"/>
      <c r="S766" s="46"/>
      <c r="T766" s="46"/>
      <c r="U766" s="118"/>
      <c r="V766" s="46"/>
      <c r="W766" s="88" t="str">
        <f>IF(V766&lt;&gt;"",SUMIFS('📊 รายงานสินค้าคงเหลือ'!G:G,'📊 รายงานสินค้าคงเหลือ'!D:D,V766),"")</f>
        <v/>
      </c>
      <c r="X766" s="46"/>
      <c r="Y766" s="46"/>
      <c r="Z766" s="46"/>
    </row>
    <row r="767">
      <c r="A767" s="46"/>
      <c r="B767" s="16"/>
      <c r="C767" s="118"/>
      <c r="D767" s="126"/>
      <c r="E767" s="88"/>
      <c r="F767" s="118"/>
      <c r="G767" s="46"/>
      <c r="H767" s="46"/>
      <c r="I767" s="118"/>
      <c r="J767" s="46"/>
      <c r="K767" s="16" t="str">
        <f>IF(J767&lt;&gt;"",SUMIFS('💰 Transaction ขาย'!$F:$F,'💰 Transaction ขาย'!$K:$K,$J767,'💰 Transaction ขาย'!$J:$J,$B$1),"")</f>
        <v/>
      </c>
      <c r="L767" s="118"/>
      <c r="M767" s="46"/>
      <c r="N767" s="46"/>
      <c r="O767" s="46"/>
      <c r="P767" s="118"/>
      <c r="Q767" s="46"/>
      <c r="R767" s="46"/>
      <c r="S767" s="46"/>
      <c r="T767" s="46"/>
      <c r="U767" s="118"/>
      <c r="V767" s="46"/>
      <c r="W767" s="88" t="str">
        <f>IF(V767&lt;&gt;"",SUMIFS('📊 รายงานสินค้าคงเหลือ'!G:G,'📊 รายงานสินค้าคงเหลือ'!D:D,V767),"")</f>
        <v/>
      </c>
      <c r="X767" s="46"/>
      <c r="Y767" s="46"/>
      <c r="Z767" s="46"/>
    </row>
    <row r="768">
      <c r="A768" s="46"/>
      <c r="B768" s="16"/>
      <c r="C768" s="118"/>
      <c r="D768" s="126"/>
      <c r="E768" s="88"/>
      <c r="F768" s="118"/>
      <c r="G768" s="46"/>
      <c r="H768" s="46"/>
      <c r="I768" s="118"/>
      <c r="J768" s="46"/>
      <c r="K768" s="16" t="str">
        <f>IF(J768&lt;&gt;"",SUMIFS('💰 Transaction ขาย'!$F:$F,'💰 Transaction ขาย'!$K:$K,$J768,'💰 Transaction ขาย'!$J:$J,$B$1),"")</f>
        <v/>
      </c>
      <c r="L768" s="118"/>
      <c r="M768" s="46"/>
      <c r="N768" s="46"/>
      <c r="O768" s="46"/>
      <c r="P768" s="118"/>
      <c r="Q768" s="46"/>
      <c r="R768" s="46"/>
      <c r="S768" s="46"/>
      <c r="T768" s="46"/>
      <c r="U768" s="118"/>
      <c r="V768" s="46"/>
      <c r="W768" s="88" t="str">
        <f>IF(V768&lt;&gt;"",SUMIFS('📊 รายงานสินค้าคงเหลือ'!G:G,'📊 รายงานสินค้าคงเหลือ'!D:D,V768),"")</f>
        <v/>
      </c>
      <c r="X768" s="46"/>
      <c r="Y768" s="46"/>
      <c r="Z768" s="46"/>
    </row>
    <row r="769">
      <c r="A769" s="46"/>
      <c r="B769" s="16"/>
      <c r="C769" s="118"/>
      <c r="D769" s="126"/>
      <c r="E769" s="88"/>
      <c r="F769" s="118"/>
      <c r="G769" s="46"/>
      <c r="H769" s="46"/>
      <c r="I769" s="118"/>
      <c r="J769" s="46"/>
      <c r="K769" s="16" t="str">
        <f>IF(J769&lt;&gt;"",SUMIFS('💰 Transaction ขาย'!$F:$F,'💰 Transaction ขาย'!$K:$K,$J769,'💰 Transaction ขาย'!$J:$J,$B$1),"")</f>
        <v/>
      </c>
      <c r="L769" s="118"/>
      <c r="M769" s="46"/>
      <c r="N769" s="46"/>
      <c r="O769" s="46"/>
      <c r="P769" s="118"/>
      <c r="Q769" s="46"/>
      <c r="R769" s="46"/>
      <c r="S769" s="46"/>
      <c r="T769" s="46"/>
      <c r="U769" s="118"/>
      <c r="V769" s="46"/>
      <c r="W769" s="88" t="str">
        <f>IF(V769&lt;&gt;"",SUMIFS('📊 รายงานสินค้าคงเหลือ'!G:G,'📊 รายงานสินค้าคงเหลือ'!D:D,V769),"")</f>
        <v/>
      </c>
      <c r="X769" s="46"/>
      <c r="Y769" s="46"/>
      <c r="Z769" s="46"/>
    </row>
    <row r="770">
      <c r="A770" s="46"/>
      <c r="B770" s="16"/>
      <c r="C770" s="118"/>
      <c r="D770" s="126"/>
      <c r="E770" s="88"/>
      <c r="F770" s="118"/>
      <c r="G770" s="46"/>
      <c r="H770" s="46"/>
      <c r="I770" s="118"/>
      <c r="J770" s="46"/>
      <c r="K770" s="16" t="str">
        <f>IF(J770&lt;&gt;"",SUMIFS('💰 Transaction ขาย'!$F:$F,'💰 Transaction ขาย'!$K:$K,$J770,'💰 Transaction ขาย'!$J:$J,$B$1),"")</f>
        <v/>
      </c>
      <c r="L770" s="118"/>
      <c r="M770" s="46"/>
      <c r="N770" s="46"/>
      <c r="O770" s="46"/>
      <c r="P770" s="118"/>
      <c r="Q770" s="46"/>
      <c r="R770" s="46"/>
      <c r="S770" s="46"/>
      <c r="T770" s="46"/>
      <c r="U770" s="118"/>
      <c r="V770" s="46"/>
      <c r="W770" s="88" t="str">
        <f>IF(V770&lt;&gt;"",SUMIFS('📊 รายงานสินค้าคงเหลือ'!G:G,'📊 รายงานสินค้าคงเหลือ'!D:D,V770),"")</f>
        <v/>
      </c>
      <c r="X770" s="46"/>
      <c r="Y770" s="46"/>
      <c r="Z770" s="46"/>
    </row>
    <row r="771">
      <c r="A771" s="46"/>
      <c r="B771" s="16"/>
      <c r="C771" s="118"/>
      <c r="D771" s="126"/>
      <c r="E771" s="88"/>
      <c r="F771" s="118"/>
      <c r="G771" s="46"/>
      <c r="H771" s="46"/>
      <c r="I771" s="118"/>
      <c r="J771" s="46"/>
      <c r="K771" s="16" t="str">
        <f>IF(J771&lt;&gt;"",SUMIFS('💰 Transaction ขาย'!$F:$F,'💰 Transaction ขาย'!$K:$K,$J771,'💰 Transaction ขาย'!$J:$J,$B$1),"")</f>
        <v/>
      </c>
      <c r="L771" s="118"/>
      <c r="M771" s="46"/>
      <c r="N771" s="46"/>
      <c r="O771" s="46"/>
      <c r="P771" s="118"/>
      <c r="Q771" s="46"/>
      <c r="R771" s="46"/>
      <c r="S771" s="46"/>
      <c r="T771" s="46"/>
      <c r="U771" s="118"/>
      <c r="V771" s="46"/>
      <c r="W771" s="88" t="str">
        <f>IF(V771&lt;&gt;"",SUMIFS('📊 รายงานสินค้าคงเหลือ'!G:G,'📊 รายงานสินค้าคงเหลือ'!D:D,V771),"")</f>
        <v/>
      </c>
      <c r="X771" s="46"/>
      <c r="Y771" s="46"/>
      <c r="Z771" s="46"/>
    </row>
    <row r="772">
      <c r="A772" s="46"/>
      <c r="B772" s="16"/>
      <c r="C772" s="118"/>
      <c r="D772" s="126"/>
      <c r="E772" s="88"/>
      <c r="F772" s="118"/>
      <c r="G772" s="46"/>
      <c r="H772" s="46"/>
      <c r="I772" s="118"/>
      <c r="J772" s="46"/>
      <c r="K772" s="16" t="str">
        <f>IF(J772&lt;&gt;"",SUMIFS('💰 Transaction ขาย'!$F:$F,'💰 Transaction ขาย'!$K:$K,$J772,'💰 Transaction ขาย'!$J:$J,$B$1),"")</f>
        <v/>
      </c>
      <c r="L772" s="118"/>
      <c r="M772" s="46"/>
      <c r="N772" s="46"/>
      <c r="O772" s="46"/>
      <c r="P772" s="118"/>
      <c r="Q772" s="46"/>
      <c r="R772" s="46"/>
      <c r="S772" s="46"/>
      <c r="T772" s="46"/>
      <c r="U772" s="118"/>
      <c r="V772" s="46"/>
      <c r="W772" s="88" t="str">
        <f>IF(V772&lt;&gt;"",SUMIFS('📊 รายงานสินค้าคงเหลือ'!G:G,'📊 รายงานสินค้าคงเหลือ'!D:D,V772),"")</f>
        <v/>
      </c>
      <c r="X772" s="46"/>
      <c r="Y772" s="46"/>
      <c r="Z772" s="46"/>
    </row>
    <row r="773">
      <c r="A773" s="46"/>
      <c r="B773" s="16"/>
      <c r="C773" s="118"/>
      <c r="D773" s="126"/>
      <c r="E773" s="88"/>
      <c r="F773" s="118"/>
      <c r="G773" s="46"/>
      <c r="H773" s="46"/>
      <c r="I773" s="118"/>
      <c r="J773" s="46"/>
      <c r="K773" s="16" t="str">
        <f>IF(J773&lt;&gt;"",SUMIFS('💰 Transaction ขาย'!$F:$F,'💰 Transaction ขาย'!$K:$K,$J773,'💰 Transaction ขาย'!$J:$J,$B$1),"")</f>
        <v/>
      </c>
      <c r="L773" s="118"/>
      <c r="M773" s="46"/>
      <c r="N773" s="46"/>
      <c r="O773" s="46"/>
      <c r="P773" s="118"/>
      <c r="Q773" s="46"/>
      <c r="R773" s="46"/>
      <c r="S773" s="46"/>
      <c r="T773" s="46"/>
      <c r="U773" s="118"/>
      <c r="V773" s="46"/>
      <c r="W773" s="88" t="str">
        <f>IF(V773&lt;&gt;"",SUMIFS('📊 รายงานสินค้าคงเหลือ'!G:G,'📊 รายงานสินค้าคงเหลือ'!D:D,V773),"")</f>
        <v/>
      </c>
      <c r="X773" s="46"/>
      <c r="Y773" s="46"/>
      <c r="Z773" s="46"/>
    </row>
    <row r="774">
      <c r="A774" s="46"/>
      <c r="B774" s="16"/>
      <c r="C774" s="118"/>
      <c r="D774" s="126"/>
      <c r="E774" s="88"/>
      <c r="F774" s="118"/>
      <c r="G774" s="46"/>
      <c r="H774" s="46"/>
      <c r="I774" s="118"/>
      <c r="J774" s="46"/>
      <c r="K774" s="16" t="str">
        <f>IF(J774&lt;&gt;"",SUMIFS('💰 Transaction ขาย'!$F:$F,'💰 Transaction ขาย'!$K:$K,$J774,'💰 Transaction ขาย'!$J:$J,$B$1),"")</f>
        <v/>
      </c>
      <c r="L774" s="118"/>
      <c r="M774" s="46"/>
      <c r="N774" s="46"/>
      <c r="O774" s="46"/>
      <c r="P774" s="118"/>
      <c r="Q774" s="46"/>
      <c r="R774" s="46"/>
      <c r="S774" s="46"/>
      <c r="T774" s="46"/>
      <c r="U774" s="118"/>
      <c r="V774" s="46"/>
      <c r="W774" s="88" t="str">
        <f>IF(V774&lt;&gt;"",SUMIFS('📊 รายงานสินค้าคงเหลือ'!G:G,'📊 รายงานสินค้าคงเหลือ'!D:D,V774),"")</f>
        <v/>
      </c>
      <c r="X774" s="46"/>
      <c r="Y774" s="46"/>
      <c r="Z774" s="46"/>
    </row>
    <row r="775">
      <c r="A775" s="46"/>
      <c r="B775" s="16"/>
      <c r="C775" s="118"/>
      <c r="D775" s="126"/>
      <c r="E775" s="88"/>
      <c r="F775" s="118"/>
      <c r="G775" s="46"/>
      <c r="H775" s="46"/>
      <c r="I775" s="118"/>
      <c r="J775" s="46"/>
      <c r="K775" s="16" t="str">
        <f>IF(J775&lt;&gt;"",SUMIFS('💰 Transaction ขาย'!$F:$F,'💰 Transaction ขาย'!$K:$K,$J775,'💰 Transaction ขาย'!$J:$J,$B$1),"")</f>
        <v/>
      </c>
      <c r="L775" s="118"/>
      <c r="M775" s="46"/>
      <c r="N775" s="46"/>
      <c r="O775" s="46"/>
      <c r="P775" s="118"/>
      <c r="Q775" s="46"/>
      <c r="R775" s="46"/>
      <c r="S775" s="46"/>
      <c r="T775" s="46"/>
      <c r="U775" s="118"/>
      <c r="V775" s="46"/>
      <c r="W775" s="88" t="str">
        <f>IF(V775&lt;&gt;"",SUMIFS('📊 รายงานสินค้าคงเหลือ'!G:G,'📊 รายงานสินค้าคงเหลือ'!D:D,V775),"")</f>
        <v/>
      </c>
      <c r="X775" s="46"/>
      <c r="Y775" s="46"/>
      <c r="Z775" s="46"/>
    </row>
    <row r="776">
      <c r="A776" s="46"/>
      <c r="B776" s="16"/>
      <c r="C776" s="118"/>
      <c r="D776" s="126"/>
      <c r="E776" s="88"/>
      <c r="F776" s="118"/>
      <c r="G776" s="46"/>
      <c r="H776" s="46"/>
      <c r="I776" s="118"/>
      <c r="J776" s="46"/>
      <c r="K776" s="16" t="str">
        <f>IF(J776&lt;&gt;"",SUMIFS('💰 Transaction ขาย'!$F:$F,'💰 Transaction ขาย'!$K:$K,$J776,'💰 Transaction ขาย'!$J:$J,$B$1),"")</f>
        <v/>
      </c>
      <c r="L776" s="118"/>
      <c r="M776" s="46"/>
      <c r="N776" s="46"/>
      <c r="O776" s="46"/>
      <c r="P776" s="118"/>
      <c r="Q776" s="46"/>
      <c r="R776" s="46"/>
      <c r="S776" s="46"/>
      <c r="T776" s="46"/>
      <c r="U776" s="118"/>
      <c r="V776" s="46"/>
      <c r="W776" s="88" t="str">
        <f>IF(V776&lt;&gt;"",SUMIFS('📊 รายงานสินค้าคงเหลือ'!G:G,'📊 รายงานสินค้าคงเหลือ'!D:D,V776),"")</f>
        <v/>
      </c>
      <c r="X776" s="46"/>
      <c r="Y776" s="46"/>
      <c r="Z776" s="46"/>
    </row>
    <row r="777">
      <c r="A777" s="46"/>
      <c r="B777" s="16"/>
      <c r="C777" s="118"/>
      <c r="D777" s="126"/>
      <c r="E777" s="88"/>
      <c r="F777" s="118"/>
      <c r="G777" s="46"/>
      <c r="H777" s="46"/>
      <c r="I777" s="118"/>
      <c r="J777" s="46"/>
      <c r="K777" s="16" t="str">
        <f>IF(J777&lt;&gt;"",SUMIFS('💰 Transaction ขาย'!$F:$F,'💰 Transaction ขาย'!$K:$K,$J777,'💰 Transaction ขาย'!$J:$J,$B$1),"")</f>
        <v/>
      </c>
      <c r="L777" s="118"/>
      <c r="M777" s="46"/>
      <c r="N777" s="46"/>
      <c r="O777" s="46"/>
      <c r="P777" s="118"/>
      <c r="Q777" s="46"/>
      <c r="R777" s="46"/>
      <c r="S777" s="46"/>
      <c r="T777" s="46"/>
      <c r="U777" s="118"/>
      <c r="V777" s="46"/>
      <c r="W777" s="88" t="str">
        <f>IF(V777&lt;&gt;"",SUMIFS('📊 รายงานสินค้าคงเหลือ'!G:G,'📊 รายงานสินค้าคงเหลือ'!D:D,V777),"")</f>
        <v/>
      </c>
      <c r="X777" s="46"/>
      <c r="Y777" s="46"/>
      <c r="Z777" s="46"/>
    </row>
    <row r="778">
      <c r="A778" s="46"/>
      <c r="B778" s="16"/>
      <c r="C778" s="118"/>
      <c r="D778" s="126"/>
      <c r="E778" s="88"/>
      <c r="F778" s="118"/>
      <c r="G778" s="46"/>
      <c r="H778" s="46"/>
      <c r="I778" s="118"/>
      <c r="J778" s="46"/>
      <c r="K778" s="16" t="str">
        <f>IF(J778&lt;&gt;"",SUMIFS('💰 Transaction ขาย'!$F:$F,'💰 Transaction ขาย'!$K:$K,$J778,'💰 Transaction ขาย'!$J:$J,$B$1),"")</f>
        <v/>
      </c>
      <c r="L778" s="118"/>
      <c r="M778" s="46"/>
      <c r="N778" s="46"/>
      <c r="O778" s="46"/>
      <c r="P778" s="118"/>
      <c r="Q778" s="46"/>
      <c r="R778" s="46"/>
      <c r="S778" s="46"/>
      <c r="T778" s="46"/>
      <c r="U778" s="118"/>
      <c r="V778" s="46"/>
      <c r="W778" s="88" t="str">
        <f>IF(V778&lt;&gt;"",SUMIFS('📊 รายงานสินค้าคงเหลือ'!G:G,'📊 รายงานสินค้าคงเหลือ'!D:D,V778),"")</f>
        <v/>
      </c>
      <c r="X778" s="46"/>
      <c r="Y778" s="46"/>
      <c r="Z778" s="46"/>
    </row>
    <row r="779">
      <c r="A779" s="46"/>
      <c r="B779" s="16"/>
      <c r="C779" s="118"/>
      <c r="D779" s="126"/>
      <c r="E779" s="88"/>
      <c r="F779" s="118"/>
      <c r="G779" s="46"/>
      <c r="H779" s="46"/>
      <c r="I779" s="118"/>
      <c r="J779" s="46"/>
      <c r="K779" s="16" t="str">
        <f>IF(J779&lt;&gt;"",SUMIFS('💰 Transaction ขาย'!$F:$F,'💰 Transaction ขาย'!$K:$K,$J779,'💰 Transaction ขาย'!$J:$J,$B$1),"")</f>
        <v/>
      </c>
      <c r="L779" s="118"/>
      <c r="M779" s="46"/>
      <c r="N779" s="46"/>
      <c r="O779" s="46"/>
      <c r="P779" s="118"/>
      <c r="Q779" s="46"/>
      <c r="R779" s="46"/>
      <c r="S779" s="46"/>
      <c r="T779" s="46"/>
      <c r="U779" s="118"/>
      <c r="V779" s="46"/>
      <c r="W779" s="88" t="str">
        <f>IF(V779&lt;&gt;"",SUMIFS('📊 รายงานสินค้าคงเหลือ'!G:G,'📊 รายงานสินค้าคงเหลือ'!D:D,V779),"")</f>
        <v/>
      </c>
      <c r="X779" s="46"/>
      <c r="Y779" s="46"/>
      <c r="Z779" s="46"/>
    </row>
    <row r="780">
      <c r="A780" s="46"/>
      <c r="B780" s="16"/>
      <c r="C780" s="118"/>
      <c r="D780" s="126"/>
      <c r="E780" s="88"/>
      <c r="F780" s="118"/>
      <c r="G780" s="46"/>
      <c r="H780" s="46"/>
      <c r="I780" s="118"/>
      <c r="J780" s="46"/>
      <c r="K780" s="16" t="str">
        <f>IF(J780&lt;&gt;"",SUMIFS('💰 Transaction ขาย'!$F:$F,'💰 Transaction ขาย'!$K:$K,$J780,'💰 Transaction ขาย'!$J:$J,$B$1),"")</f>
        <v/>
      </c>
      <c r="L780" s="118"/>
      <c r="M780" s="46"/>
      <c r="N780" s="46"/>
      <c r="O780" s="46"/>
      <c r="P780" s="118"/>
      <c r="Q780" s="46"/>
      <c r="R780" s="46"/>
      <c r="S780" s="46"/>
      <c r="T780" s="46"/>
      <c r="U780" s="118"/>
      <c r="V780" s="46"/>
      <c r="W780" s="88" t="str">
        <f>IF(V780&lt;&gt;"",SUMIFS('📊 รายงานสินค้าคงเหลือ'!G:G,'📊 รายงานสินค้าคงเหลือ'!D:D,V780),"")</f>
        <v/>
      </c>
      <c r="X780" s="46"/>
      <c r="Y780" s="46"/>
      <c r="Z780" s="46"/>
    </row>
    <row r="781">
      <c r="A781" s="46"/>
      <c r="B781" s="16"/>
      <c r="C781" s="118"/>
      <c r="D781" s="126"/>
      <c r="E781" s="88"/>
      <c r="F781" s="118"/>
      <c r="G781" s="46"/>
      <c r="H781" s="46"/>
      <c r="I781" s="118"/>
      <c r="J781" s="46"/>
      <c r="K781" s="16" t="str">
        <f>IF(J781&lt;&gt;"",SUMIFS('💰 Transaction ขาย'!$F:$F,'💰 Transaction ขาย'!$K:$K,$J781,'💰 Transaction ขาย'!$J:$J,$B$1),"")</f>
        <v/>
      </c>
      <c r="L781" s="118"/>
      <c r="M781" s="46"/>
      <c r="N781" s="46"/>
      <c r="O781" s="46"/>
      <c r="P781" s="118"/>
      <c r="Q781" s="46"/>
      <c r="R781" s="46"/>
      <c r="S781" s="46"/>
      <c r="T781" s="46"/>
      <c r="U781" s="118"/>
      <c r="V781" s="46"/>
      <c r="W781" s="88" t="str">
        <f>IF(V781&lt;&gt;"",SUMIFS('📊 รายงานสินค้าคงเหลือ'!G:G,'📊 รายงานสินค้าคงเหลือ'!D:D,V781),"")</f>
        <v/>
      </c>
      <c r="X781" s="46"/>
      <c r="Y781" s="46"/>
      <c r="Z781" s="46"/>
    </row>
    <row r="782">
      <c r="A782" s="46"/>
      <c r="B782" s="16"/>
      <c r="C782" s="118"/>
      <c r="D782" s="126"/>
      <c r="E782" s="88"/>
      <c r="F782" s="118"/>
      <c r="G782" s="46"/>
      <c r="H782" s="46"/>
      <c r="I782" s="118"/>
      <c r="J782" s="46"/>
      <c r="K782" s="16" t="str">
        <f>IF(J782&lt;&gt;"",SUMIFS('💰 Transaction ขาย'!$F:$F,'💰 Transaction ขาย'!$K:$K,$J782,'💰 Transaction ขาย'!$J:$J,$B$1),"")</f>
        <v/>
      </c>
      <c r="L782" s="118"/>
      <c r="M782" s="46"/>
      <c r="N782" s="46"/>
      <c r="O782" s="46"/>
      <c r="P782" s="118"/>
      <c r="Q782" s="46"/>
      <c r="R782" s="46"/>
      <c r="S782" s="46"/>
      <c r="T782" s="46"/>
      <c r="U782" s="118"/>
      <c r="V782" s="46"/>
      <c r="W782" s="88" t="str">
        <f>IF(V782&lt;&gt;"",SUMIFS('📊 รายงานสินค้าคงเหลือ'!G:G,'📊 รายงานสินค้าคงเหลือ'!D:D,V782),"")</f>
        <v/>
      </c>
      <c r="X782" s="46"/>
      <c r="Y782" s="46"/>
      <c r="Z782" s="46"/>
    </row>
    <row r="783">
      <c r="A783" s="46"/>
      <c r="B783" s="16"/>
      <c r="C783" s="118"/>
      <c r="D783" s="126"/>
      <c r="E783" s="88"/>
      <c r="F783" s="118"/>
      <c r="G783" s="46"/>
      <c r="H783" s="46"/>
      <c r="I783" s="118"/>
      <c r="J783" s="46"/>
      <c r="K783" s="16" t="str">
        <f>IF(J783&lt;&gt;"",SUMIFS('💰 Transaction ขาย'!$F:$F,'💰 Transaction ขาย'!$K:$K,$J783,'💰 Transaction ขาย'!$J:$J,$B$1),"")</f>
        <v/>
      </c>
      <c r="L783" s="118"/>
      <c r="M783" s="46"/>
      <c r="N783" s="46"/>
      <c r="O783" s="46"/>
      <c r="P783" s="118"/>
      <c r="Q783" s="46"/>
      <c r="R783" s="46"/>
      <c r="S783" s="46"/>
      <c r="T783" s="46"/>
      <c r="U783" s="118"/>
      <c r="V783" s="46"/>
      <c r="W783" s="88" t="str">
        <f>IF(V783&lt;&gt;"",SUMIFS('📊 รายงานสินค้าคงเหลือ'!G:G,'📊 รายงานสินค้าคงเหลือ'!D:D,V783),"")</f>
        <v/>
      </c>
      <c r="X783" s="46"/>
      <c r="Y783" s="46"/>
      <c r="Z783" s="46"/>
    </row>
    <row r="784">
      <c r="A784" s="46"/>
      <c r="B784" s="16"/>
      <c r="C784" s="118"/>
      <c r="D784" s="126"/>
      <c r="E784" s="88"/>
      <c r="F784" s="118"/>
      <c r="G784" s="46"/>
      <c r="H784" s="46"/>
      <c r="I784" s="118"/>
      <c r="J784" s="46"/>
      <c r="K784" s="16" t="str">
        <f>IF(J784&lt;&gt;"",SUMIFS('💰 Transaction ขาย'!$F:$F,'💰 Transaction ขาย'!$K:$K,$J784,'💰 Transaction ขาย'!$J:$J,$B$1),"")</f>
        <v/>
      </c>
      <c r="L784" s="118"/>
      <c r="M784" s="46"/>
      <c r="N784" s="46"/>
      <c r="O784" s="46"/>
      <c r="P784" s="118"/>
      <c r="Q784" s="46"/>
      <c r="R784" s="46"/>
      <c r="S784" s="46"/>
      <c r="T784" s="46"/>
      <c r="U784" s="118"/>
      <c r="V784" s="46"/>
      <c r="W784" s="88" t="str">
        <f>IF(V784&lt;&gt;"",SUMIFS('📊 รายงานสินค้าคงเหลือ'!G:G,'📊 รายงานสินค้าคงเหลือ'!D:D,V784),"")</f>
        <v/>
      </c>
      <c r="X784" s="46"/>
      <c r="Y784" s="46"/>
      <c r="Z784" s="46"/>
    </row>
    <row r="785">
      <c r="A785" s="46"/>
      <c r="B785" s="16"/>
      <c r="C785" s="118"/>
      <c r="D785" s="126"/>
      <c r="E785" s="88"/>
      <c r="F785" s="118"/>
      <c r="G785" s="46"/>
      <c r="H785" s="46"/>
      <c r="I785" s="118"/>
      <c r="J785" s="46"/>
      <c r="K785" s="16" t="str">
        <f>IF(J785&lt;&gt;"",SUMIFS('💰 Transaction ขาย'!$F:$F,'💰 Transaction ขาย'!$K:$K,$J785,'💰 Transaction ขาย'!$J:$J,$B$1),"")</f>
        <v/>
      </c>
      <c r="L785" s="118"/>
      <c r="M785" s="46"/>
      <c r="N785" s="46"/>
      <c r="O785" s="46"/>
      <c r="P785" s="118"/>
      <c r="Q785" s="46"/>
      <c r="R785" s="46"/>
      <c r="S785" s="46"/>
      <c r="T785" s="46"/>
      <c r="U785" s="118"/>
      <c r="V785" s="46"/>
      <c r="W785" s="88" t="str">
        <f>IF(V785&lt;&gt;"",SUMIFS('📊 รายงานสินค้าคงเหลือ'!G:G,'📊 รายงานสินค้าคงเหลือ'!D:D,V785),"")</f>
        <v/>
      </c>
      <c r="X785" s="46"/>
      <c r="Y785" s="46"/>
      <c r="Z785" s="46"/>
    </row>
    <row r="786">
      <c r="A786" s="46"/>
      <c r="B786" s="16"/>
      <c r="C786" s="118"/>
      <c r="D786" s="126"/>
      <c r="E786" s="88"/>
      <c r="F786" s="118"/>
      <c r="G786" s="46"/>
      <c r="H786" s="46"/>
      <c r="I786" s="118"/>
      <c r="J786" s="46"/>
      <c r="K786" s="16" t="str">
        <f>IF(J786&lt;&gt;"",SUMIFS('💰 Transaction ขาย'!$F:$F,'💰 Transaction ขาย'!$K:$K,$J786,'💰 Transaction ขาย'!$J:$J,$B$1),"")</f>
        <v/>
      </c>
      <c r="L786" s="118"/>
      <c r="M786" s="46"/>
      <c r="N786" s="46"/>
      <c r="O786" s="46"/>
      <c r="P786" s="118"/>
      <c r="Q786" s="46"/>
      <c r="R786" s="46"/>
      <c r="S786" s="46"/>
      <c r="T786" s="46"/>
      <c r="U786" s="118"/>
      <c r="V786" s="46"/>
      <c r="W786" s="88" t="str">
        <f>IF(V786&lt;&gt;"",SUMIFS('📊 รายงานสินค้าคงเหลือ'!G:G,'📊 รายงานสินค้าคงเหลือ'!D:D,V786),"")</f>
        <v/>
      </c>
      <c r="X786" s="46"/>
      <c r="Y786" s="46"/>
      <c r="Z786" s="46"/>
    </row>
    <row r="787">
      <c r="A787" s="46"/>
      <c r="B787" s="16"/>
      <c r="C787" s="118"/>
      <c r="D787" s="126"/>
      <c r="E787" s="88"/>
      <c r="F787" s="118"/>
      <c r="G787" s="46"/>
      <c r="H787" s="46"/>
      <c r="I787" s="118"/>
      <c r="J787" s="46"/>
      <c r="K787" s="16" t="str">
        <f>IF(J787&lt;&gt;"",SUMIFS('💰 Transaction ขาย'!$F:$F,'💰 Transaction ขาย'!$K:$K,$J787,'💰 Transaction ขาย'!$J:$J,$B$1),"")</f>
        <v/>
      </c>
      <c r="L787" s="118"/>
      <c r="M787" s="46"/>
      <c r="N787" s="46"/>
      <c r="O787" s="46"/>
      <c r="P787" s="118"/>
      <c r="Q787" s="46"/>
      <c r="R787" s="46"/>
      <c r="S787" s="46"/>
      <c r="T787" s="46"/>
      <c r="U787" s="118"/>
      <c r="V787" s="46"/>
      <c r="W787" s="88" t="str">
        <f>IF(V787&lt;&gt;"",SUMIFS('📊 รายงานสินค้าคงเหลือ'!G:G,'📊 รายงานสินค้าคงเหลือ'!D:D,V787),"")</f>
        <v/>
      </c>
      <c r="X787" s="46"/>
      <c r="Y787" s="46"/>
      <c r="Z787" s="46"/>
    </row>
    <row r="788">
      <c r="A788" s="46"/>
      <c r="B788" s="16"/>
      <c r="C788" s="118"/>
      <c r="D788" s="126"/>
      <c r="E788" s="88"/>
      <c r="F788" s="118"/>
      <c r="G788" s="46"/>
      <c r="H788" s="46"/>
      <c r="I788" s="118"/>
      <c r="J788" s="46"/>
      <c r="K788" s="16" t="str">
        <f>IF(J788&lt;&gt;"",SUMIFS('💰 Transaction ขาย'!$F:$F,'💰 Transaction ขาย'!$K:$K,$J788,'💰 Transaction ขาย'!$J:$J,$B$1),"")</f>
        <v/>
      </c>
      <c r="L788" s="118"/>
      <c r="M788" s="46"/>
      <c r="N788" s="46"/>
      <c r="O788" s="46"/>
      <c r="P788" s="118"/>
      <c r="Q788" s="46"/>
      <c r="R788" s="46"/>
      <c r="S788" s="46"/>
      <c r="T788" s="46"/>
      <c r="U788" s="118"/>
      <c r="V788" s="46"/>
      <c r="W788" s="88" t="str">
        <f>IF(V788&lt;&gt;"",SUMIFS('📊 รายงานสินค้าคงเหลือ'!G:G,'📊 รายงานสินค้าคงเหลือ'!D:D,V788),"")</f>
        <v/>
      </c>
      <c r="X788" s="46"/>
      <c r="Y788" s="46"/>
      <c r="Z788" s="46"/>
    </row>
    <row r="789">
      <c r="A789" s="46"/>
      <c r="B789" s="16"/>
      <c r="C789" s="118"/>
      <c r="D789" s="126"/>
      <c r="E789" s="88"/>
      <c r="F789" s="118"/>
      <c r="G789" s="46"/>
      <c r="H789" s="46"/>
      <c r="I789" s="118"/>
      <c r="J789" s="46"/>
      <c r="K789" s="16" t="str">
        <f>IF(J789&lt;&gt;"",SUMIFS('💰 Transaction ขาย'!$F:$F,'💰 Transaction ขาย'!$K:$K,$J789,'💰 Transaction ขาย'!$J:$J,$B$1),"")</f>
        <v/>
      </c>
      <c r="L789" s="118"/>
      <c r="M789" s="46"/>
      <c r="N789" s="46"/>
      <c r="O789" s="46"/>
      <c r="P789" s="118"/>
      <c r="Q789" s="46"/>
      <c r="R789" s="46"/>
      <c r="S789" s="46"/>
      <c r="T789" s="46"/>
      <c r="U789" s="118"/>
      <c r="V789" s="46"/>
      <c r="W789" s="88" t="str">
        <f>IF(V789&lt;&gt;"",SUMIFS('📊 รายงานสินค้าคงเหลือ'!G:G,'📊 รายงานสินค้าคงเหลือ'!D:D,V789),"")</f>
        <v/>
      </c>
      <c r="X789" s="46"/>
      <c r="Y789" s="46"/>
      <c r="Z789" s="46"/>
    </row>
    <row r="790">
      <c r="A790" s="46"/>
      <c r="B790" s="16"/>
      <c r="C790" s="118"/>
      <c r="D790" s="126"/>
      <c r="E790" s="88"/>
      <c r="F790" s="118"/>
      <c r="G790" s="46"/>
      <c r="H790" s="46"/>
      <c r="I790" s="118"/>
      <c r="J790" s="46"/>
      <c r="K790" s="16" t="str">
        <f>IF(J790&lt;&gt;"",SUMIFS('💰 Transaction ขาย'!$F:$F,'💰 Transaction ขาย'!$K:$K,$J790,'💰 Transaction ขาย'!$J:$J,$B$1),"")</f>
        <v/>
      </c>
      <c r="L790" s="118"/>
      <c r="M790" s="46"/>
      <c r="N790" s="46"/>
      <c r="O790" s="46"/>
      <c r="P790" s="118"/>
      <c r="Q790" s="46"/>
      <c r="R790" s="46"/>
      <c r="S790" s="46"/>
      <c r="T790" s="46"/>
      <c r="U790" s="118"/>
      <c r="V790" s="46"/>
      <c r="W790" s="88" t="str">
        <f>IF(V790&lt;&gt;"",SUMIFS('📊 รายงานสินค้าคงเหลือ'!G:G,'📊 รายงานสินค้าคงเหลือ'!D:D,V790),"")</f>
        <v/>
      </c>
      <c r="X790" s="46"/>
      <c r="Y790" s="46"/>
      <c r="Z790" s="46"/>
    </row>
    <row r="791">
      <c r="A791" s="46"/>
      <c r="B791" s="16"/>
      <c r="C791" s="118"/>
      <c r="D791" s="126"/>
      <c r="E791" s="88"/>
      <c r="F791" s="118"/>
      <c r="G791" s="46"/>
      <c r="H791" s="46"/>
      <c r="I791" s="118"/>
      <c r="J791" s="46"/>
      <c r="K791" s="16" t="str">
        <f>IF(J791&lt;&gt;"",SUMIFS('💰 Transaction ขาย'!$F:$F,'💰 Transaction ขาย'!$K:$K,$J791,'💰 Transaction ขาย'!$J:$J,$B$1),"")</f>
        <v/>
      </c>
      <c r="L791" s="118"/>
      <c r="M791" s="46"/>
      <c r="N791" s="46"/>
      <c r="O791" s="46"/>
      <c r="P791" s="118"/>
      <c r="Q791" s="46"/>
      <c r="R791" s="46"/>
      <c r="S791" s="46"/>
      <c r="T791" s="46"/>
      <c r="U791" s="118"/>
      <c r="V791" s="46"/>
      <c r="W791" s="88" t="str">
        <f>IF(V791&lt;&gt;"",SUMIFS('📊 รายงานสินค้าคงเหลือ'!G:G,'📊 รายงานสินค้าคงเหลือ'!D:D,V791),"")</f>
        <v/>
      </c>
      <c r="X791" s="46"/>
      <c r="Y791" s="46"/>
      <c r="Z791" s="46"/>
    </row>
    <row r="792">
      <c r="A792" s="46"/>
      <c r="B792" s="16"/>
      <c r="C792" s="118"/>
      <c r="D792" s="126"/>
      <c r="E792" s="88"/>
      <c r="F792" s="118"/>
      <c r="G792" s="46"/>
      <c r="H792" s="46"/>
      <c r="I792" s="118"/>
      <c r="J792" s="46"/>
      <c r="K792" s="16" t="str">
        <f>IF(J792&lt;&gt;"",SUMIFS('💰 Transaction ขาย'!$F:$F,'💰 Transaction ขาย'!$K:$K,$J792,'💰 Transaction ขาย'!$J:$J,$B$1),"")</f>
        <v/>
      </c>
      <c r="L792" s="118"/>
      <c r="M792" s="46"/>
      <c r="N792" s="46"/>
      <c r="O792" s="46"/>
      <c r="P792" s="118"/>
      <c r="Q792" s="46"/>
      <c r="R792" s="46"/>
      <c r="S792" s="46"/>
      <c r="T792" s="46"/>
      <c r="U792" s="118"/>
      <c r="V792" s="46"/>
      <c r="W792" s="88" t="str">
        <f>IF(V792&lt;&gt;"",SUMIFS('📊 รายงานสินค้าคงเหลือ'!G:G,'📊 รายงานสินค้าคงเหลือ'!D:D,V792),"")</f>
        <v/>
      </c>
      <c r="X792" s="46"/>
      <c r="Y792" s="46"/>
      <c r="Z792" s="46"/>
    </row>
    <row r="793">
      <c r="A793" s="46"/>
      <c r="B793" s="16"/>
      <c r="C793" s="118"/>
      <c r="D793" s="126"/>
      <c r="E793" s="88"/>
      <c r="F793" s="118"/>
      <c r="G793" s="46"/>
      <c r="H793" s="46"/>
      <c r="I793" s="118"/>
      <c r="J793" s="46"/>
      <c r="K793" s="16" t="str">
        <f>IF(J793&lt;&gt;"",SUMIFS('💰 Transaction ขาย'!$F:$F,'💰 Transaction ขาย'!$K:$K,$J793,'💰 Transaction ขาย'!$J:$J,$B$1),"")</f>
        <v/>
      </c>
      <c r="L793" s="118"/>
      <c r="M793" s="46"/>
      <c r="N793" s="46"/>
      <c r="O793" s="46"/>
      <c r="P793" s="118"/>
      <c r="Q793" s="46"/>
      <c r="R793" s="46"/>
      <c r="S793" s="46"/>
      <c r="T793" s="46"/>
      <c r="U793" s="118"/>
      <c r="V793" s="46"/>
      <c r="W793" s="88" t="str">
        <f>IF(V793&lt;&gt;"",SUMIFS('📊 รายงานสินค้าคงเหลือ'!G:G,'📊 รายงานสินค้าคงเหลือ'!D:D,V793),"")</f>
        <v/>
      </c>
      <c r="X793" s="46"/>
      <c r="Y793" s="46"/>
      <c r="Z793" s="46"/>
    </row>
    <row r="794">
      <c r="A794" s="46"/>
      <c r="B794" s="16"/>
      <c r="C794" s="118"/>
      <c r="D794" s="126"/>
      <c r="E794" s="88"/>
      <c r="F794" s="118"/>
      <c r="G794" s="46"/>
      <c r="H794" s="46"/>
      <c r="I794" s="118"/>
      <c r="J794" s="46"/>
      <c r="K794" s="16" t="str">
        <f>IF(J794&lt;&gt;"",SUMIFS('💰 Transaction ขาย'!$F:$F,'💰 Transaction ขาย'!$K:$K,$J794,'💰 Transaction ขาย'!$J:$J,$B$1),"")</f>
        <v/>
      </c>
      <c r="L794" s="118"/>
      <c r="M794" s="46"/>
      <c r="N794" s="46"/>
      <c r="O794" s="46"/>
      <c r="P794" s="118"/>
      <c r="Q794" s="46"/>
      <c r="R794" s="46"/>
      <c r="S794" s="46"/>
      <c r="T794" s="46"/>
      <c r="U794" s="118"/>
      <c r="V794" s="46"/>
      <c r="W794" s="88" t="str">
        <f>IF(V794&lt;&gt;"",SUMIFS('📊 รายงานสินค้าคงเหลือ'!G:G,'📊 รายงานสินค้าคงเหลือ'!D:D,V794),"")</f>
        <v/>
      </c>
      <c r="X794" s="46"/>
      <c r="Y794" s="46"/>
      <c r="Z794" s="46"/>
    </row>
    <row r="795">
      <c r="A795" s="46"/>
      <c r="B795" s="16"/>
      <c r="C795" s="118"/>
      <c r="D795" s="126"/>
      <c r="E795" s="88"/>
      <c r="F795" s="118"/>
      <c r="G795" s="46"/>
      <c r="H795" s="46"/>
      <c r="I795" s="118"/>
      <c r="J795" s="46"/>
      <c r="K795" s="16" t="str">
        <f>IF(J795&lt;&gt;"",SUMIFS('💰 Transaction ขาย'!$F:$F,'💰 Transaction ขาย'!$K:$K,$J795,'💰 Transaction ขาย'!$J:$J,$B$1),"")</f>
        <v/>
      </c>
      <c r="L795" s="118"/>
      <c r="M795" s="46"/>
      <c r="N795" s="46"/>
      <c r="O795" s="46"/>
      <c r="P795" s="118"/>
      <c r="Q795" s="46"/>
      <c r="R795" s="46"/>
      <c r="S795" s="46"/>
      <c r="T795" s="46"/>
      <c r="U795" s="118"/>
      <c r="V795" s="46"/>
      <c r="W795" s="88" t="str">
        <f>IF(V795&lt;&gt;"",SUMIFS('📊 รายงานสินค้าคงเหลือ'!G:G,'📊 รายงานสินค้าคงเหลือ'!D:D,V795),"")</f>
        <v/>
      </c>
      <c r="X795" s="46"/>
      <c r="Y795" s="46"/>
      <c r="Z795" s="46"/>
    </row>
    <row r="796">
      <c r="A796" s="46"/>
      <c r="B796" s="16"/>
      <c r="C796" s="118"/>
      <c r="D796" s="126"/>
      <c r="E796" s="88"/>
      <c r="F796" s="118"/>
      <c r="G796" s="46"/>
      <c r="H796" s="46"/>
      <c r="I796" s="118"/>
      <c r="J796" s="46"/>
      <c r="K796" s="16" t="str">
        <f>IF(J796&lt;&gt;"",SUMIFS('💰 Transaction ขาย'!$F:$F,'💰 Transaction ขาย'!$K:$K,$J796,'💰 Transaction ขาย'!$J:$J,$B$1),"")</f>
        <v/>
      </c>
      <c r="L796" s="118"/>
      <c r="M796" s="46"/>
      <c r="N796" s="46"/>
      <c r="O796" s="46"/>
      <c r="P796" s="118"/>
      <c r="Q796" s="46"/>
      <c r="R796" s="46"/>
      <c r="S796" s="46"/>
      <c r="T796" s="46"/>
      <c r="U796" s="118"/>
      <c r="V796" s="46"/>
      <c r="W796" s="88" t="str">
        <f>IF(V796&lt;&gt;"",SUMIFS('📊 รายงานสินค้าคงเหลือ'!G:G,'📊 รายงานสินค้าคงเหลือ'!D:D,V796),"")</f>
        <v/>
      </c>
      <c r="X796" s="46"/>
      <c r="Y796" s="46"/>
      <c r="Z796" s="46"/>
    </row>
    <row r="797">
      <c r="A797" s="46"/>
      <c r="B797" s="16"/>
      <c r="C797" s="118"/>
      <c r="D797" s="126"/>
      <c r="E797" s="88"/>
      <c r="F797" s="118"/>
      <c r="G797" s="46"/>
      <c r="H797" s="46"/>
      <c r="I797" s="118"/>
      <c r="J797" s="46"/>
      <c r="K797" s="16" t="str">
        <f>IF(J797&lt;&gt;"",SUMIFS('💰 Transaction ขาย'!$F:$F,'💰 Transaction ขาย'!$K:$K,$J797,'💰 Transaction ขาย'!$J:$J,$B$1),"")</f>
        <v/>
      </c>
      <c r="L797" s="118"/>
      <c r="M797" s="46"/>
      <c r="N797" s="46"/>
      <c r="O797" s="46"/>
      <c r="P797" s="118"/>
      <c r="Q797" s="46"/>
      <c r="R797" s="46"/>
      <c r="S797" s="46"/>
      <c r="T797" s="46"/>
      <c r="U797" s="118"/>
      <c r="V797" s="46"/>
      <c r="W797" s="88" t="str">
        <f>IF(V797&lt;&gt;"",SUMIFS('📊 รายงานสินค้าคงเหลือ'!G:G,'📊 รายงานสินค้าคงเหลือ'!D:D,V797),"")</f>
        <v/>
      </c>
      <c r="X797" s="46"/>
      <c r="Y797" s="46"/>
      <c r="Z797" s="46"/>
    </row>
    <row r="798">
      <c r="A798" s="46"/>
      <c r="B798" s="16"/>
      <c r="C798" s="118"/>
      <c r="D798" s="126"/>
      <c r="E798" s="88"/>
      <c r="F798" s="118"/>
      <c r="G798" s="46"/>
      <c r="H798" s="46"/>
      <c r="I798" s="118"/>
      <c r="J798" s="46"/>
      <c r="K798" s="16" t="str">
        <f>IF(J798&lt;&gt;"",SUMIFS('💰 Transaction ขาย'!$F:$F,'💰 Transaction ขาย'!$K:$K,$J798,'💰 Transaction ขาย'!$J:$J,$B$1),"")</f>
        <v/>
      </c>
      <c r="L798" s="118"/>
      <c r="M798" s="46"/>
      <c r="N798" s="46"/>
      <c r="O798" s="46"/>
      <c r="P798" s="118"/>
      <c r="Q798" s="46"/>
      <c r="R798" s="46"/>
      <c r="S798" s="46"/>
      <c r="T798" s="46"/>
      <c r="U798" s="118"/>
      <c r="V798" s="46"/>
      <c r="W798" s="88" t="str">
        <f>IF(V798&lt;&gt;"",SUMIFS('📊 รายงานสินค้าคงเหลือ'!G:G,'📊 รายงานสินค้าคงเหลือ'!D:D,V798),"")</f>
        <v/>
      </c>
      <c r="X798" s="46"/>
      <c r="Y798" s="46"/>
      <c r="Z798" s="46"/>
    </row>
    <row r="799">
      <c r="A799" s="46"/>
      <c r="B799" s="16"/>
      <c r="C799" s="118"/>
      <c r="D799" s="126"/>
      <c r="E799" s="88"/>
      <c r="F799" s="118"/>
      <c r="G799" s="46"/>
      <c r="H799" s="46"/>
      <c r="I799" s="118"/>
      <c r="J799" s="46"/>
      <c r="K799" s="16" t="str">
        <f>IF(J799&lt;&gt;"",SUMIFS('💰 Transaction ขาย'!$F:$F,'💰 Transaction ขาย'!$K:$K,$J799,'💰 Transaction ขาย'!$J:$J,$B$1),"")</f>
        <v/>
      </c>
      <c r="L799" s="118"/>
      <c r="M799" s="46"/>
      <c r="N799" s="46"/>
      <c r="O799" s="46"/>
      <c r="P799" s="118"/>
      <c r="Q799" s="46"/>
      <c r="R799" s="46"/>
      <c r="S799" s="46"/>
      <c r="T799" s="46"/>
      <c r="U799" s="118"/>
      <c r="V799" s="46"/>
      <c r="W799" s="88" t="str">
        <f>IF(V799&lt;&gt;"",SUMIFS('📊 รายงานสินค้าคงเหลือ'!G:G,'📊 รายงานสินค้าคงเหลือ'!D:D,V799),"")</f>
        <v/>
      </c>
      <c r="X799" s="46"/>
      <c r="Y799" s="46"/>
      <c r="Z799" s="46"/>
    </row>
    <row r="800">
      <c r="A800" s="46"/>
      <c r="B800" s="16"/>
      <c r="C800" s="118"/>
      <c r="D800" s="126"/>
      <c r="E800" s="88"/>
      <c r="F800" s="118"/>
      <c r="G800" s="46"/>
      <c r="H800" s="46"/>
      <c r="I800" s="118"/>
      <c r="J800" s="46"/>
      <c r="K800" s="16" t="str">
        <f>IF(J800&lt;&gt;"",SUMIFS('💰 Transaction ขาย'!$F:$F,'💰 Transaction ขาย'!$K:$K,$J800,'💰 Transaction ขาย'!$J:$J,$B$1),"")</f>
        <v/>
      </c>
      <c r="L800" s="118"/>
      <c r="M800" s="46"/>
      <c r="N800" s="46"/>
      <c r="O800" s="46"/>
      <c r="P800" s="118"/>
      <c r="Q800" s="46"/>
      <c r="R800" s="46"/>
      <c r="S800" s="46"/>
      <c r="T800" s="46"/>
      <c r="U800" s="118"/>
      <c r="V800" s="46"/>
      <c r="W800" s="88" t="str">
        <f>IF(V800&lt;&gt;"",SUMIFS('📊 รายงานสินค้าคงเหลือ'!G:G,'📊 รายงานสินค้าคงเหลือ'!D:D,V800),"")</f>
        <v/>
      </c>
      <c r="X800" s="46"/>
      <c r="Y800" s="46"/>
      <c r="Z800" s="46"/>
    </row>
    <row r="801">
      <c r="A801" s="46"/>
      <c r="B801" s="16"/>
      <c r="C801" s="118"/>
      <c r="D801" s="126"/>
      <c r="E801" s="88"/>
      <c r="F801" s="118"/>
      <c r="G801" s="46"/>
      <c r="H801" s="46"/>
      <c r="I801" s="118"/>
      <c r="J801" s="46"/>
      <c r="K801" s="16" t="str">
        <f>IF(J801&lt;&gt;"",SUMIFS('💰 Transaction ขาย'!$F:$F,'💰 Transaction ขาย'!$K:$K,$J801,'💰 Transaction ขาย'!$J:$J,$B$1),"")</f>
        <v/>
      </c>
      <c r="L801" s="118"/>
      <c r="M801" s="46"/>
      <c r="N801" s="46"/>
      <c r="O801" s="46"/>
      <c r="P801" s="118"/>
      <c r="Q801" s="46"/>
      <c r="R801" s="46"/>
      <c r="S801" s="46"/>
      <c r="T801" s="46"/>
      <c r="U801" s="118"/>
      <c r="V801" s="46"/>
      <c r="W801" s="88" t="str">
        <f>IF(V801&lt;&gt;"",SUMIFS('📊 รายงานสินค้าคงเหลือ'!G:G,'📊 รายงานสินค้าคงเหลือ'!D:D,V801),"")</f>
        <v/>
      </c>
      <c r="X801" s="46"/>
      <c r="Y801" s="46"/>
      <c r="Z801" s="46"/>
    </row>
    <row r="802">
      <c r="A802" s="46"/>
      <c r="B802" s="16"/>
      <c r="C802" s="118"/>
      <c r="D802" s="126"/>
      <c r="E802" s="88"/>
      <c r="F802" s="118"/>
      <c r="G802" s="46"/>
      <c r="H802" s="46"/>
      <c r="I802" s="118"/>
      <c r="J802" s="46"/>
      <c r="K802" s="16" t="str">
        <f>IF(J802&lt;&gt;"",SUMIFS('💰 Transaction ขาย'!$F:$F,'💰 Transaction ขาย'!$K:$K,$J802,'💰 Transaction ขาย'!$J:$J,$B$1),"")</f>
        <v/>
      </c>
      <c r="L802" s="118"/>
      <c r="M802" s="46"/>
      <c r="N802" s="46"/>
      <c r="O802" s="46"/>
      <c r="P802" s="118"/>
      <c r="Q802" s="46"/>
      <c r="R802" s="46"/>
      <c r="S802" s="46"/>
      <c r="T802" s="46"/>
      <c r="U802" s="118"/>
      <c r="V802" s="46"/>
      <c r="W802" s="88" t="str">
        <f>IF(V802&lt;&gt;"",SUMIFS('📊 รายงานสินค้าคงเหลือ'!G:G,'📊 รายงานสินค้าคงเหลือ'!D:D,V802),"")</f>
        <v/>
      </c>
      <c r="X802" s="46"/>
      <c r="Y802" s="46"/>
      <c r="Z802" s="46"/>
    </row>
    <row r="803">
      <c r="A803" s="46"/>
      <c r="B803" s="16"/>
      <c r="C803" s="118"/>
      <c r="D803" s="126"/>
      <c r="E803" s="88"/>
      <c r="F803" s="118"/>
      <c r="G803" s="46"/>
      <c r="H803" s="46"/>
      <c r="I803" s="118"/>
      <c r="J803" s="46"/>
      <c r="K803" s="16" t="str">
        <f>IF(J803&lt;&gt;"",SUMIFS('💰 Transaction ขาย'!$F:$F,'💰 Transaction ขาย'!$K:$K,$J803,'💰 Transaction ขาย'!$J:$J,$B$1),"")</f>
        <v/>
      </c>
      <c r="L803" s="118"/>
      <c r="M803" s="46"/>
      <c r="N803" s="46"/>
      <c r="O803" s="46"/>
      <c r="P803" s="118"/>
      <c r="Q803" s="46"/>
      <c r="R803" s="46"/>
      <c r="S803" s="46"/>
      <c r="T803" s="46"/>
      <c r="U803" s="118"/>
      <c r="V803" s="46"/>
      <c r="W803" s="88" t="str">
        <f>IF(V803&lt;&gt;"",SUMIFS('📊 รายงานสินค้าคงเหลือ'!G:G,'📊 รายงานสินค้าคงเหลือ'!D:D,V803),"")</f>
        <v/>
      </c>
      <c r="X803" s="46"/>
      <c r="Y803" s="46"/>
      <c r="Z803" s="46"/>
    </row>
    <row r="804">
      <c r="A804" s="46"/>
      <c r="B804" s="16"/>
      <c r="C804" s="118"/>
      <c r="D804" s="126"/>
      <c r="E804" s="88"/>
      <c r="F804" s="118"/>
      <c r="G804" s="46"/>
      <c r="H804" s="46"/>
      <c r="I804" s="118"/>
      <c r="J804" s="46"/>
      <c r="K804" s="16" t="str">
        <f>IF(J804&lt;&gt;"",SUMIFS('💰 Transaction ขาย'!$F:$F,'💰 Transaction ขาย'!$K:$K,$J804,'💰 Transaction ขาย'!$J:$J,$B$1),"")</f>
        <v/>
      </c>
      <c r="L804" s="118"/>
      <c r="M804" s="46"/>
      <c r="N804" s="46"/>
      <c r="O804" s="46"/>
      <c r="P804" s="118"/>
      <c r="Q804" s="46"/>
      <c r="R804" s="46"/>
      <c r="S804" s="46"/>
      <c r="T804" s="46"/>
      <c r="U804" s="118"/>
      <c r="V804" s="46"/>
      <c r="W804" s="88" t="str">
        <f>IF(V804&lt;&gt;"",SUMIFS('📊 รายงานสินค้าคงเหลือ'!G:G,'📊 รายงานสินค้าคงเหลือ'!D:D,V804),"")</f>
        <v/>
      </c>
      <c r="X804" s="46"/>
      <c r="Y804" s="46"/>
      <c r="Z804" s="46"/>
    </row>
    <row r="805">
      <c r="A805" s="46"/>
      <c r="B805" s="16"/>
      <c r="C805" s="118"/>
      <c r="D805" s="126"/>
      <c r="E805" s="88"/>
      <c r="F805" s="118"/>
      <c r="G805" s="46"/>
      <c r="H805" s="46"/>
      <c r="I805" s="118"/>
      <c r="J805" s="46"/>
      <c r="K805" s="16" t="str">
        <f>IF(J805&lt;&gt;"",SUMIFS('💰 Transaction ขาย'!$F:$F,'💰 Transaction ขาย'!$K:$K,$J805,'💰 Transaction ขาย'!$J:$J,$B$1),"")</f>
        <v/>
      </c>
      <c r="L805" s="118"/>
      <c r="M805" s="46"/>
      <c r="N805" s="46"/>
      <c r="O805" s="46"/>
      <c r="P805" s="118"/>
      <c r="Q805" s="46"/>
      <c r="R805" s="46"/>
      <c r="S805" s="46"/>
      <c r="T805" s="46"/>
      <c r="U805" s="118"/>
      <c r="V805" s="46"/>
      <c r="W805" s="88" t="str">
        <f>IF(V805&lt;&gt;"",SUMIFS('📊 รายงานสินค้าคงเหลือ'!G:G,'📊 รายงานสินค้าคงเหลือ'!D:D,V805),"")</f>
        <v/>
      </c>
      <c r="X805" s="46"/>
      <c r="Y805" s="46"/>
      <c r="Z805" s="46"/>
    </row>
    <row r="806">
      <c r="A806" s="46"/>
      <c r="B806" s="16"/>
      <c r="C806" s="118"/>
      <c r="D806" s="126"/>
      <c r="E806" s="88"/>
      <c r="F806" s="118"/>
      <c r="G806" s="46"/>
      <c r="H806" s="46"/>
      <c r="I806" s="118"/>
      <c r="J806" s="46"/>
      <c r="K806" s="16" t="str">
        <f>IF(J806&lt;&gt;"",SUMIFS('💰 Transaction ขาย'!$F:$F,'💰 Transaction ขาย'!$K:$K,$J806,'💰 Transaction ขาย'!$J:$J,$B$1),"")</f>
        <v/>
      </c>
      <c r="L806" s="118"/>
      <c r="M806" s="46"/>
      <c r="N806" s="46"/>
      <c r="O806" s="46"/>
      <c r="P806" s="118"/>
      <c r="Q806" s="46"/>
      <c r="R806" s="46"/>
      <c r="S806" s="46"/>
      <c r="T806" s="46"/>
      <c r="U806" s="118"/>
      <c r="V806" s="46"/>
      <c r="W806" s="88" t="str">
        <f>IF(V806&lt;&gt;"",SUMIFS('📊 รายงานสินค้าคงเหลือ'!G:G,'📊 รายงานสินค้าคงเหลือ'!D:D,V806),"")</f>
        <v/>
      </c>
      <c r="X806" s="46"/>
      <c r="Y806" s="46"/>
      <c r="Z806" s="46"/>
    </row>
    <row r="807">
      <c r="A807" s="46"/>
      <c r="B807" s="16"/>
      <c r="C807" s="118"/>
      <c r="D807" s="126"/>
      <c r="E807" s="88"/>
      <c r="F807" s="118"/>
      <c r="G807" s="46"/>
      <c r="H807" s="46"/>
      <c r="I807" s="118"/>
      <c r="J807" s="46"/>
      <c r="K807" s="16" t="str">
        <f>IF(J807&lt;&gt;"",SUMIFS('💰 Transaction ขาย'!$F:$F,'💰 Transaction ขาย'!$K:$K,$J807,'💰 Transaction ขาย'!$J:$J,$B$1),"")</f>
        <v/>
      </c>
      <c r="L807" s="118"/>
      <c r="M807" s="46"/>
      <c r="N807" s="46"/>
      <c r="O807" s="46"/>
      <c r="P807" s="118"/>
      <c r="Q807" s="46"/>
      <c r="R807" s="46"/>
      <c r="S807" s="46"/>
      <c r="T807" s="46"/>
      <c r="U807" s="118"/>
      <c r="V807" s="46"/>
      <c r="W807" s="88" t="str">
        <f>IF(V807&lt;&gt;"",SUMIFS('📊 รายงานสินค้าคงเหลือ'!G:G,'📊 รายงานสินค้าคงเหลือ'!D:D,V807),"")</f>
        <v/>
      </c>
      <c r="X807" s="46"/>
      <c r="Y807" s="46"/>
      <c r="Z807" s="46"/>
    </row>
    <row r="808">
      <c r="A808" s="46"/>
      <c r="B808" s="16"/>
      <c r="C808" s="118"/>
      <c r="D808" s="126"/>
      <c r="E808" s="88"/>
      <c r="F808" s="118"/>
      <c r="G808" s="46"/>
      <c r="H808" s="46"/>
      <c r="I808" s="118"/>
      <c r="J808" s="46"/>
      <c r="K808" s="16" t="str">
        <f>IF(J808&lt;&gt;"",SUMIFS('💰 Transaction ขาย'!$F:$F,'💰 Transaction ขาย'!$K:$K,$J808,'💰 Transaction ขาย'!$J:$J,$B$1),"")</f>
        <v/>
      </c>
      <c r="L808" s="118"/>
      <c r="M808" s="46"/>
      <c r="N808" s="46"/>
      <c r="O808" s="46"/>
      <c r="P808" s="118"/>
      <c r="Q808" s="46"/>
      <c r="R808" s="46"/>
      <c r="S808" s="46"/>
      <c r="T808" s="46"/>
      <c r="U808" s="118"/>
      <c r="V808" s="46"/>
      <c r="W808" s="88" t="str">
        <f>IF(V808&lt;&gt;"",SUMIFS('📊 รายงานสินค้าคงเหลือ'!G:G,'📊 รายงานสินค้าคงเหลือ'!D:D,V808),"")</f>
        <v/>
      </c>
      <c r="X808" s="46"/>
      <c r="Y808" s="46"/>
      <c r="Z808" s="46"/>
    </row>
    <row r="809">
      <c r="A809" s="46"/>
      <c r="B809" s="16"/>
      <c r="C809" s="118"/>
      <c r="D809" s="126"/>
      <c r="E809" s="88"/>
      <c r="F809" s="118"/>
      <c r="G809" s="46"/>
      <c r="H809" s="46"/>
      <c r="I809" s="118"/>
      <c r="J809" s="46"/>
      <c r="K809" s="16" t="str">
        <f>IF(J809&lt;&gt;"",SUMIFS('💰 Transaction ขาย'!$F:$F,'💰 Transaction ขาย'!$K:$K,$J809,'💰 Transaction ขาย'!$J:$J,$B$1),"")</f>
        <v/>
      </c>
      <c r="L809" s="118"/>
      <c r="M809" s="46"/>
      <c r="N809" s="46"/>
      <c r="O809" s="46"/>
      <c r="P809" s="118"/>
      <c r="Q809" s="46"/>
      <c r="R809" s="46"/>
      <c r="S809" s="46"/>
      <c r="T809" s="46"/>
      <c r="U809" s="118"/>
      <c r="V809" s="46"/>
      <c r="W809" s="88" t="str">
        <f>IF(V809&lt;&gt;"",SUMIFS('📊 รายงานสินค้าคงเหลือ'!G:G,'📊 รายงานสินค้าคงเหลือ'!D:D,V809),"")</f>
        <v/>
      </c>
      <c r="X809" s="46"/>
      <c r="Y809" s="46"/>
      <c r="Z809" s="46"/>
    </row>
    <row r="810">
      <c r="A810" s="46"/>
      <c r="B810" s="16"/>
      <c r="C810" s="118"/>
      <c r="D810" s="126"/>
      <c r="E810" s="88"/>
      <c r="F810" s="118"/>
      <c r="G810" s="46"/>
      <c r="H810" s="46"/>
      <c r="I810" s="118"/>
      <c r="J810" s="46"/>
      <c r="K810" s="16" t="str">
        <f>IF(J810&lt;&gt;"",SUMIFS('💰 Transaction ขาย'!$F:$F,'💰 Transaction ขาย'!$K:$K,$J810,'💰 Transaction ขาย'!$J:$J,$B$1),"")</f>
        <v/>
      </c>
      <c r="L810" s="118"/>
      <c r="M810" s="46"/>
      <c r="N810" s="46"/>
      <c r="O810" s="46"/>
      <c r="P810" s="118"/>
      <c r="Q810" s="46"/>
      <c r="R810" s="46"/>
      <c r="S810" s="46"/>
      <c r="T810" s="46"/>
      <c r="U810" s="118"/>
      <c r="V810" s="46"/>
      <c r="W810" s="88" t="str">
        <f>IF(V810&lt;&gt;"",SUMIFS('📊 รายงานสินค้าคงเหลือ'!G:G,'📊 รายงานสินค้าคงเหลือ'!D:D,V810),"")</f>
        <v/>
      </c>
      <c r="X810" s="46"/>
      <c r="Y810" s="46"/>
      <c r="Z810" s="46"/>
    </row>
    <row r="811">
      <c r="A811" s="46"/>
      <c r="B811" s="16"/>
      <c r="C811" s="118"/>
      <c r="D811" s="126"/>
      <c r="E811" s="88"/>
      <c r="F811" s="118"/>
      <c r="G811" s="46"/>
      <c r="H811" s="46"/>
      <c r="I811" s="118"/>
      <c r="J811" s="46"/>
      <c r="K811" s="16" t="str">
        <f>IF(J811&lt;&gt;"",SUMIFS('💰 Transaction ขาย'!$F:$F,'💰 Transaction ขาย'!$K:$K,$J811,'💰 Transaction ขาย'!$J:$J,$B$1),"")</f>
        <v/>
      </c>
      <c r="L811" s="118"/>
      <c r="M811" s="46"/>
      <c r="N811" s="46"/>
      <c r="O811" s="46"/>
      <c r="P811" s="118"/>
      <c r="Q811" s="46"/>
      <c r="R811" s="46"/>
      <c r="S811" s="46"/>
      <c r="T811" s="46"/>
      <c r="U811" s="118"/>
      <c r="V811" s="46"/>
      <c r="W811" s="88" t="str">
        <f>IF(V811&lt;&gt;"",SUMIFS('📊 รายงานสินค้าคงเหลือ'!G:G,'📊 รายงานสินค้าคงเหลือ'!D:D,V811),"")</f>
        <v/>
      </c>
      <c r="X811" s="46"/>
      <c r="Y811" s="46"/>
      <c r="Z811" s="46"/>
    </row>
    <row r="812">
      <c r="A812" s="46"/>
      <c r="B812" s="16"/>
      <c r="C812" s="118"/>
      <c r="D812" s="126"/>
      <c r="E812" s="88"/>
      <c r="F812" s="118"/>
      <c r="G812" s="46"/>
      <c r="H812" s="46"/>
      <c r="I812" s="118"/>
      <c r="J812" s="46"/>
      <c r="K812" s="16" t="str">
        <f>IF(J812&lt;&gt;"",SUMIFS('💰 Transaction ขาย'!$F:$F,'💰 Transaction ขาย'!$K:$K,$J812,'💰 Transaction ขาย'!$J:$J,$B$1),"")</f>
        <v/>
      </c>
      <c r="L812" s="118"/>
      <c r="M812" s="46"/>
      <c r="N812" s="46"/>
      <c r="O812" s="46"/>
      <c r="P812" s="118"/>
      <c r="Q812" s="46"/>
      <c r="R812" s="46"/>
      <c r="S812" s="46"/>
      <c r="T812" s="46"/>
      <c r="U812" s="118"/>
      <c r="V812" s="46"/>
      <c r="W812" s="88" t="str">
        <f>IF(V812&lt;&gt;"",SUMIFS('📊 รายงานสินค้าคงเหลือ'!G:G,'📊 รายงานสินค้าคงเหลือ'!D:D,V812),"")</f>
        <v/>
      </c>
      <c r="X812" s="46"/>
      <c r="Y812" s="46"/>
      <c r="Z812" s="46"/>
    </row>
    <row r="813">
      <c r="A813" s="46"/>
      <c r="B813" s="16"/>
      <c r="C813" s="118"/>
      <c r="D813" s="126"/>
      <c r="E813" s="88"/>
      <c r="F813" s="118"/>
      <c r="G813" s="46"/>
      <c r="H813" s="46"/>
      <c r="I813" s="118"/>
      <c r="J813" s="46"/>
      <c r="K813" s="16" t="str">
        <f>IF(J813&lt;&gt;"",SUMIFS('💰 Transaction ขาย'!$F:$F,'💰 Transaction ขาย'!$K:$K,$J813,'💰 Transaction ขาย'!$J:$J,$B$1),"")</f>
        <v/>
      </c>
      <c r="L813" s="118"/>
      <c r="M813" s="46"/>
      <c r="N813" s="46"/>
      <c r="O813" s="46"/>
      <c r="P813" s="118"/>
      <c r="Q813" s="46"/>
      <c r="R813" s="46"/>
      <c r="S813" s="46"/>
      <c r="T813" s="46"/>
      <c r="U813" s="118"/>
      <c r="V813" s="46"/>
      <c r="W813" s="88" t="str">
        <f>IF(V813&lt;&gt;"",SUMIFS('📊 รายงานสินค้าคงเหลือ'!G:G,'📊 รายงานสินค้าคงเหลือ'!D:D,V813),"")</f>
        <v/>
      </c>
      <c r="X813" s="46"/>
      <c r="Y813" s="46"/>
      <c r="Z813" s="46"/>
    </row>
    <row r="814">
      <c r="A814" s="46"/>
      <c r="B814" s="16"/>
      <c r="C814" s="118"/>
      <c r="D814" s="126"/>
      <c r="E814" s="88"/>
      <c r="F814" s="118"/>
      <c r="G814" s="46"/>
      <c r="H814" s="46"/>
      <c r="I814" s="118"/>
      <c r="J814" s="46"/>
      <c r="K814" s="16" t="str">
        <f>IF(J814&lt;&gt;"",SUMIFS('💰 Transaction ขาย'!$F:$F,'💰 Transaction ขาย'!$K:$K,$J814,'💰 Transaction ขาย'!$J:$J,$B$1),"")</f>
        <v/>
      </c>
      <c r="L814" s="118"/>
      <c r="M814" s="46"/>
      <c r="N814" s="46"/>
      <c r="O814" s="46"/>
      <c r="P814" s="118"/>
      <c r="Q814" s="46"/>
      <c r="R814" s="46"/>
      <c r="S814" s="46"/>
      <c r="T814" s="46"/>
      <c r="U814" s="118"/>
      <c r="V814" s="46"/>
      <c r="W814" s="88" t="str">
        <f>IF(V814&lt;&gt;"",SUMIFS('📊 รายงานสินค้าคงเหลือ'!G:G,'📊 รายงานสินค้าคงเหลือ'!D:D,V814),"")</f>
        <v/>
      </c>
      <c r="X814" s="46"/>
      <c r="Y814" s="46"/>
      <c r="Z814" s="46"/>
    </row>
    <row r="815">
      <c r="A815" s="46"/>
      <c r="B815" s="16"/>
      <c r="C815" s="118"/>
      <c r="D815" s="126"/>
      <c r="E815" s="88"/>
      <c r="F815" s="118"/>
      <c r="G815" s="46"/>
      <c r="H815" s="46"/>
      <c r="I815" s="118"/>
      <c r="J815" s="46"/>
      <c r="K815" s="16" t="str">
        <f>IF(J815&lt;&gt;"",SUMIFS('💰 Transaction ขาย'!$F:$F,'💰 Transaction ขาย'!$K:$K,$J815,'💰 Transaction ขาย'!$J:$J,$B$1),"")</f>
        <v/>
      </c>
      <c r="L815" s="118"/>
      <c r="M815" s="46"/>
      <c r="N815" s="46"/>
      <c r="O815" s="46"/>
      <c r="P815" s="118"/>
      <c r="Q815" s="46"/>
      <c r="R815" s="46"/>
      <c r="S815" s="46"/>
      <c r="T815" s="46"/>
      <c r="U815" s="118"/>
      <c r="V815" s="46"/>
      <c r="W815" s="88" t="str">
        <f>IF(V815&lt;&gt;"",SUMIFS('📊 รายงานสินค้าคงเหลือ'!G:G,'📊 รายงานสินค้าคงเหลือ'!D:D,V815),"")</f>
        <v/>
      </c>
      <c r="X815" s="46"/>
      <c r="Y815" s="46"/>
      <c r="Z815" s="46"/>
    </row>
    <row r="816">
      <c r="A816" s="46"/>
      <c r="B816" s="16"/>
      <c r="C816" s="118"/>
      <c r="D816" s="126"/>
      <c r="E816" s="88"/>
      <c r="F816" s="118"/>
      <c r="G816" s="46"/>
      <c r="H816" s="46"/>
      <c r="I816" s="118"/>
      <c r="J816" s="46"/>
      <c r="K816" s="16" t="str">
        <f>IF(J816&lt;&gt;"",SUMIFS('💰 Transaction ขาย'!$F:$F,'💰 Transaction ขาย'!$K:$K,$J816,'💰 Transaction ขาย'!$J:$J,$B$1),"")</f>
        <v/>
      </c>
      <c r="L816" s="118"/>
      <c r="M816" s="46"/>
      <c r="N816" s="46"/>
      <c r="O816" s="46"/>
      <c r="P816" s="118"/>
      <c r="Q816" s="46"/>
      <c r="R816" s="46"/>
      <c r="S816" s="46"/>
      <c r="T816" s="46"/>
      <c r="U816" s="118"/>
      <c r="V816" s="46"/>
      <c r="W816" s="88" t="str">
        <f>IF(V816&lt;&gt;"",SUMIFS('📊 รายงานสินค้าคงเหลือ'!G:G,'📊 รายงานสินค้าคงเหลือ'!D:D,V816),"")</f>
        <v/>
      </c>
      <c r="X816" s="46"/>
      <c r="Y816" s="46"/>
      <c r="Z816" s="46"/>
    </row>
    <row r="817">
      <c r="A817" s="46"/>
      <c r="B817" s="16"/>
      <c r="C817" s="118"/>
      <c r="D817" s="126"/>
      <c r="E817" s="88"/>
      <c r="F817" s="118"/>
      <c r="G817" s="46"/>
      <c r="H817" s="46"/>
      <c r="I817" s="118"/>
      <c r="J817" s="46"/>
      <c r="K817" s="16" t="str">
        <f>IF(J817&lt;&gt;"",SUMIFS('💰 Transaction ขาย'!$F:$F,'💰 Transaction ขาย'!$K:$K,$J817,'💰 Transaction ขาย'!$J:$J,$B$1),"")</f>
        <v/>
      </c>
      <c r="L817" s="118"/>
      <c r="M817" s="46"/>
      <c r="N817" s="46"/>
      <c r="O817" s="46"/>
      <c r="P817" s="118"/>
      <c r="Q817" s="46"/>
      <c r="R817" s="46"/>
      <c r="S817" s="46"/>
      <c r="T817" s="46"/>
      <c r="U817" s="118"/>
      <c r="V817" s="46"/>
      <c r="W817" s="88" t="str">
        <f>IF(V817&lt;&gt;"",SUMIFS('📊 รายงานสินค้าคงเหลือ'!G:G,'📊 รายงานสินค้าคงเหลือ'!D:D,V817),"")</f>
        <v/>
      </c>
      <c r="X817" s="46"/>
      <c r="Y817" s="46"/>
      <c r="Z817" s="46"/>
    </row>
    <row r="818">
      <c r="A818" s="46"/>
      <c r="B818" s="16"/>
      <c r="C818" s="118"/>
      <c r="D818" s="126"/>
      <c r="E818" s="88"/>
      <c r="F818" s="118"/>
      <c r="G818" s="46"/>
      <c r="H818" s="46"/>
      <c r="I818" s="118"/>
      <c r="J818" s="46"/>
      <c r="K818" s="16" t="str">
        <f>IF(J818&lt;&gt;"",SUMIFS('💰 Transaction ขาย'!$F:$F,'💰 Transaction ขาย'!$K:$K,$J818,'💰 Transaction ขาย'!$J:$J,$B$1),"")</f>
        <v/>
      </c>
      <c r="L818" s="118"/>
      <c r="M818" s="46"/>
      <c r="N818" s="46"/>
      <c r="O818" s="46"/>
      <c r="P818" s="118"/>
      <c r="Q818" s="46"/>
      <c r="R818" s="46"/>
      <c r="S818" s="46"/>
      <c r="T818" s="46"/>
      <c r="U818" s="118"/>
      <c r="V818" s="46"/>
      <c r="W818" s="88" t="str">
        <f>IF(V818&lt;&gt;"",SUMIFS('📊 รายงานสินค้าคงเหลือ'!G:G,'📊 รายงานสินค้าคงเหลือ'!D:D,V818),"")</f>
        <v/>
      </c>
      <c r="X818" s="46"/>
      <c r="Y818" s="46"/>
      <c r="Z818" s="46"/>
    </row>
    <row r="819">
      <c r="A819" s="46"/>
      <c r="B819" s="16"/>
      <c r="C819" s="118"/>
      <c r="D819" s="126"/>
      <c r="E819" s="88"/>
      <c r="F819" s="118"/>
      <c r="G819" s="46"/>
      <c r="H819" s="46"/>
      <c r="I819" s="118"/>
      <c r="J819" s="46"/>
      <c r="K819" s="16" t="str">
        <f>IF(J819&lt;&gt;"",SUMIFS('💰 Transaction ขาย'!$F:$F,'💰 Transaction ขาย'!$K:$K,$J819,'💰 Transaction ขาย'!$J:$J,$B$1),"")</f>
        <v/>
      </c>
      <c r="L819" s="118"/>
      <c r="M819" s="46"/>
      <c r="N819" s="46"/>
      <c r="O819" s="46"/>
      <c r="P819" s="118"/>
      <c r="Q819" s="46"/>
      <c r="R819" s="46"/>
      <c r="S819" s="46"/>
      <c r="T819" s="46"/>
      <c r="U819" s="118"/>
      <c r="V819" s="46"/>
      <c r="W819" s="88" t="str">
        <f>IF(V819&lt;&gt;"",SUMIFS('📊 รายงานสินค้าคงเหลือ'!G:G,'📊 รายงานสินค้าคงเหลือ'!D:D,V819),"")</f>
        <v/>
      </c>
      <c r="X819" s="46"/>
      <c r="Y819" s="46"/>
      <c r="Z819" s="46"/>
    </row>
    <row r="820">
      <c r="A820" s="46"/>
      <c r="B820" s="16"/>
      <c r="C820" s="118"/>
      <c r="D820" s="126"/>
      <c r="E820" s="88"/>
      <c r="F820" s="118"/>
      <c r="G820" s="46"/>
      <c r="H820" s="46"/>
      <c r="I820" s="118"/>
      <c r="J820" s="46"/>
      <c r="K820" s="16" t="str">
        <f>IF(J820&lt;&gt;"",SUMIFS('💰 Transaction ขาย'!$F:$F,'💰 Transaction ขาย'!$K:$K,$J820,'💰 Transaction ขาย'!$J:$J,$B$1),"")</f>
        <v/>
      </c>
      <c r="L820" s="118"/>
      <c r="M820" s="46"/>
      <c r="N820" s="46"/>
      <c r="O820" s="46"/>
      <c r="P820" s="118"/>
      <c r="Q820" s="46"/>
      <c r="R820" s="46"/>
      <c r="S820" s="46"/>
      <c r="T820" s="46"/>
      <c r="U820" s="118"/>
      <c r="V820" s="46"/>
      <c r="W820" s="88" t="str">
        <f>IF(V820&lt;&gt;"",SUMIFS('📊 รายงานสินค้าคงเหลือ'!G:G,'📊 รายงานสินค้าคงเหลือ'!D:D,V820),"")</f>
        <v/>
      </c>
      <c r="X820" s="46"/>
      <c r="Y820" s="46"/>
      <c r="Z820" s="46"/>
    </row>
    <row r="821">
      <c r="A821" s="46"/>
      <c r="B821" s="16"/>
      <c r="C821" s="118"/>
      <c r="D821" s="126"/>
      <c r="E821" s="88"/>
      <c r="F821" s="118"/>
      <c r="G821" s="46"/>
      <c r="H821" s="46"/>
      <c r="I821" s="118"/>
      <c r="J821" s="46"/>
      <c r="K821" s="16" t="str">
        <f>IF(J821&lt;&gt;"",SUMIFS('💰 Transaction ขาย'!$F:$F,'💰 Transaction ขาย'!$K:$K,$J821,'💰 Transaction ขาย'!$J:$J,$B$1),"")</f>
        <v/>
      </c>
      <c r="L821" s="118"/>
      <c r="M821" s="46"/>
      <c r="N821" s="46"/>
      <c r="O821" s="46"/>
      <c r="P821" s="118"/>
      <c r="Q821" s="46"/>
      <c r="R821" s="46"/>
      <c r="S821" s="46"/>
      <c r="T821" s="46"/>
      <c r="U821" s="118"/>
      <c r="V821" s="46"/>
      <c r="W821" s="88" t="str">
        <f>IF(V821&lt;&gt;"",SUMIFS('📊 รายงานสินค้าคงเหลือ'!G:G,'📊 รายงานสินค้าคงเหลือ'!D:D,V821),"")</f>
        <v/>
      </c>
      <c r="X821" s="46"/>
      <c r="Y821" s="46"/>
      <c r="Z821" s="46"/>
    </row>
    <row r="822">
      <c r="A822" s="46"/>
      <c r="B822" s="16"/>
      <c r="C822" s="118"/>
      <c r="D822" s="126"/>
      <c r="E822" s="88"/>
      <c r="F822" s="118"/>
      <c r="G822" s="46"/>
      <c r="H822" s="46"/>
      <c r="I822" s="118"/>
      <c r="J822" s="46"/>
      <c r="K822" s="16" t="str">
        <f>IF(J822&lt;&gt;"",SUMIFS('💰 Transaction ขาย'!$F:$F,'💰 Transaction ขาย'!$K:$K,$J822,'💰 Transaction ขาย'!$J:$J,$B$1),"")</f>
        <v/>
      </c>
      <c r="L822" s="118"/>
      <c r="M822" s="46"/>
      <c r="N822" s="46"/>
      <c r="O822" s="46"/>
      <c r="P822" s="118"/>
      <c r="Q822" s="46"/>
      <c r="R822" s="46"/>
      <c r="S822" s="46"/>
      <c r="T822" s="46"/>
      <c r="U822" s="118"/>
      <c r="V822" s="46"/>
      <c r="W822" s="88" t="str">
        <f>IF(V822&lt;&gt;"",SUMIFS('📊 รายงานสินค้าคงเหลือ'!G:G,'📊 รายงานสินค้าคงเหลือ'!D:D,V822),"")</f>
        <v/>
      </c>
      <c r="X822" s="46"/>
      <c r="Y822" s="46"/>
      <c r="Z822" s="46"/>
    </row>
    <row r="823">
      <c r="A823" s="46"/>
      <c r="B823" s="16"/>
      <c r="C823" s="118"/>
      <c r="D823" s="126"/>
      <c r="E823" s="88"/>
      <c r="F823" s="118"/>
      <c r="G823" s="46"/>
      <c r="H823" s="46"/>
      <c r="I823" s="118"/>
      <c r="J823" s="46"/>
      <c r="K823" s="16" t="str">
        <f>IF(J823&lt;&gt;"",SUMIFS('💰 Transaction ขาย'!$F:$F,'💰 Transaction ขาย'!$K:$K,$J823,'💰 Transaction ขาย'!$J:$J,$B$1),"")</f>
        <v/>
      </c>
      <c r="L823" s="118"/>
      <c r="M823" s="46"/>
      <c r="N823" s="46"/>
      <c r="O823" s="46"/>
      <c r="P823" s="118"/>
      <c r="Q823" s="46"/>
      <c r="R823" s="46"/>
      <c r="S823" s="46"/>
      <c r="T823" s="46"/>
      <c r="U823" s="118"/>
      <c r="V823" s="46"/>
      <c r="W823" s="88" t="str">
        <f>IF(V823&lt;&gt;"",SUMIFS('📊 รายงานสินค้าคงเหลือ'!G:G,'📊 รายงานสินค้าคงเหลือ'!D:D,V823),"")</f>
        <v/>
      </c>
      <c r="X823" s="46"/>
      <c r="Y823" s="46"/>
      <c r="Z823" s="46"/>
    </row>
    <row r="824">
      <c r="A824" s="46"/>
      <c r="B824" s="16"/>
      <c r="C824" s="118"/>
      <c r="D824" s="126"/>
      <c r="E824" s="88"/>
      <c r="F824" s="118"/>
      <c r="G824" s="46"/>
      <c r="H824" s="46"/>
      <c r="I824" s="118"/>
      <c r="J824" s="46"/>
      <c r="K824" s="16" t="str">
        <f>IF(J824&lt;&gt;"",SUMIFS('💰 Transaction ขาย'!$F:$F,'💰 Transaction ขาย'!$K:$K,$J824,'💰 Transaction ขาย'!$J:$J,$B$1),"")</f>
        <v/>
      </c>
      <c r="L824" s="118"/>
      <c r="M824" s="46"/>
      <c r="N824" s="46"/>
      <c r="O824" s="46"/>
      <c r="P824" s="118"/>
      <c r="Q824" s="46"/>
      <c r="R824" s="46"/>
      <c r="S824" s="46"/>
      <c r="T824" s="46"/>
      <c r="U824" s="118"/>
      <c r="V824" s="46"/>
      <c r="W824" s="88" t="str">
        <f>IF(V824&lt;&gt;"",SUMIFS('📊 รายงานสินค้าคงเหลือ'!G:G,'📊 รายงานสินค้าคงเหลือ'!D:D,V824),"")</f>
        <v/>
      </c>
      <c r="X824" s="46"/>
      <c r="Y824" s="46"/>
      <c r="Z824" s="46"/>
    </row>
    <row r="825">
      <c r="A825" s="46"/>
      <c r="B825" s="16"/>
      <c r="C825" s="118"/>
      <c r="D825" s="126"/>
      <c r="E825" s="88"/>
      <c r="F825" s="118"/>
      <c r="G825" s="46"/>
      <c r="H825" s="46"/>
      <c r="I825" s="118"/>
      <c r="J825" s="46"/>
      <c r="K825" s="16" t="str">
        <f>IF(J825&lt;&gt;"",SUMIFS('💰 Transaction ขาย'!$F:$F,'💰 Transaction ขาย'!$K:$K,$J825,'💰 Transaction ขาย'!$J:$J,$B$1),"")</f>
        <v/>
      </c>
      <c r="L825" s="118"/>
      <c r="M825" s="46"/>
      <c r="N825" s="46"/>
      <c r="O825" s="46"/>
      <c r="P825" s="118"/>
      <c r="Q825" s="46"/>
      <c r="R825" s="46"/>
      <c r="S825" s="46"/>
      <c r="T825" s="46"/>
      <c r="U825" s="118"/>
      <c r="V825" s="46"/>
      <c r="W825" s="88" t="str">
        <f>IF(V825&lt;&gt;"",SUMIFS('📊 รายงานสินค้าคงเหลือ'!G:G,'📊 รายงานสินค้าคงเหลือ'!D:D,V825),"")</f>
        <v/>
      </c>
      <c r="X825" s="46"/>
      <c r="Y825" s="46"/>
      <c r="Z825" s="46"/>
    </row>
    <row r="826">
      <c r="A826" s="46"/>
      <c r="B826" s="16"/>
      <c r="C826" s="118"/>
      <c r="D826" s="126"/>
      <c r="E826" s="88"/>
      <c r="F826" s="118"/>
      <c r="G826" s="46"/>
      <c r="H826" s="46"/>
      <c r="I826" s="118"/>
      <c r="J826" s="46"/>
      <c r="K826" s="16" t="str">
        <f>IF(J826&lt;&gt;"",SUMIFS('💰 Transaction ขาย'!$F:$F,'💰 Transaction ขาย'!$K:$K,$J826,'💰 Transaction ขาย'!$J:$J,$B$1),"")</f>
        <v/>
      </c>
      <c r="L826" s="118"/>
      <c r="M826" s="46"/>
      <c r="N826" s="46"/>
      <c r="O826" s="46"/>
      <c r="P826" s="118"/>
      <c r="Q826" s="46"/>
      <c r="R826" s="46"/>
      <c r="S826" s="46"/>
      <c r="T826" s="46"/>
      <c r="U826" s="118"/>
      <c r="V826" s="46"/>
      <c r="W826" s="88" t="str">
        <f>IF(V826&lt;&gt;"",SUMIFS('📊 รายงานสินค้าคงเหลือ'!G:G,'📊 รายงานสินค้าคงเหลือ'!D:D,V826),"")</f>
        <v/>
      </c>
      <c r="X826" s="46"/>
      <c r="Y826" s="46"/>
      <c r="Z826" s="46"/>
    </row>
    <row r="827">
      <c r="A827" s="46"/>
      <c r="B827" s="16"/>
      <c r="C827" s="118"/>
      <c r="D827" s="126"/>
      <c r="E827" s="88"/>
      <c r="F827" s="118"/>
      <c r="G827" s="46"/>
      <c r="H827" s="46"/>
      <c r="I827" s="118"/>
      <c r="J827" s="46"/>
      <c r="K827" s="16" t="str">
        <f>IF(J827&lt;&gt;"",SUMIFS('💰 Transaction ขาย'!$F:$F,'💰 Transaction ขาย'!$K:$K,$J827,'💰 Transaction ขาย'!$J:$J,$B$1),"")</f>
        <v/>
      </c>
      <c r="L827" s="118"/>
      <c r="M827" s="46"/>
      <c r="N827" s="46"/>
      <c r="O827" s="46"/>
      <c r="P827" s="118"/>
      <c r="Q827" s="46"/>
      <c r="R827" s="46"/>
      <c r="S827" s="46"/>
      <c r="T827" s="46"/>
      <c r="U827" s="118"/>
      <c r="V827" s="46"/>
      <c r="W827" s="88" t="str">
        <f>IF(V827&lt;&gt;"",SUMIFS('📊 รายงานสินค้าคงเหลือ'!G:G,'📊 รายงานสินค้าคงเหลือ'!D:D,V827),"")</f>
        <v/>
      </c>
      <c r="X827" s="46"/>
      <c r="Y827" s="46"/>
      <c r="Z827" s="46"/>
    </row>
    <row r="828">
      <c r="A828" s="46"/>
      <c r="B828" s="16"/>
      <c r="C828" s="118"/>
      <c r="D828" s="126"/>
      <c r="E828" s="88"/>
      <c r="F828" s="118"/>
      <c r="G828" s="46"/>
      <c r="H828" s="46"/>
      <c r="I828" s="118"/>
      <c r="J828" s="46"/>
      <c r="K828" s="16" t="str">
        <f>IF(J828&lt;&gt;"",SUMIFS('💰 Transaction ขาย'!$F:$F,'💰 Transaction ขาย'!$K:$K,$J828,'💰 Transaction ขาย'!$J:$J,$B$1),"")</f>
        <v/>
      </c>
      <c r="L828" s="118"/>
      <c r="M828" s="46"/>
      <c r="N828" s="46"/>
      <c r="O828" s="46"/>
      <c r="P828" s="118"/>
      <c r="Q828" s="46"/>
      <c r="R828" s="46"/>
      <c r="S828" s="46"/>
      <c r="T828" s="46"/>
      <c r="U828" s="118"/>
      <c r="V828" s="46"/>
      <c r="W828" s="88" t="str">
        <f>IF(V828&lt;&gt;"",SUMIFS('📊 รายงานสินค้าคงเหลือ'!G:G,'📊 รายงานสินค้าคงเหลือ'!D:D,V828),"")</f>
        <v/>
      </c>
      <c r="X828" s="46"/>
      <c r="Y828" s="46"/>
      <c r="Z828" s="46"/>
    </row>
    <row r="829">
      <c r="A829" s="46"/>
      <c r="B829" s="16"/>
      <c r="C829" s="118"/>
      <c r="D829" s="126"/>
      <c r="E829" s="88"/>
      <c r="F829" s="118"/>
      <c r="G829" s="46"/>
      <c r="H829" s="46"/>
      <c r="I829" s="118"/>
      <c r="J829" s="46"/>
      <c r="K829" s="16" t="str">
        <f>IF(J829&lt;&gt;"",SUMIFS('💰 Transaction ขาย'!$F:$F,'💰 Transaction ขาย'!$K:$K,$J829,'💰 Transaction ขาย'!$J:$J,$B$1),"")</f>
        <v/>
      </c>
      <c r="L829" s="118"/>
      <c r="M829" s="46"/>
      <c r="N829" s="46"/>
      <c r="O829" s="46"/>
      <c r="P829" s="118"/>
      <c r="Q829" s="46"/>
      <c r="R829" s="46"/>
      <c r="S829" s="46"/>
      <c r="T829" s="46"/>
      <c r="U829" s="118"/>
      <c r="V829" s="46"/>
      <c r="W829" s="88" t="str">
        <f>IF(V829&lt;&gt;"",SUMIFS('📊 รายงานสินค้าคงเหลือ'!G:G,'📊 รายงานสินค้าคงเหลือ'!D:D,V829),"")</f>
        <v/>
      </c>
      <c r="X829" s="46"/>
      <c r="Y829" s="46"/>
      <c r="Z829" s="46"/>
    </row>
    <row r="830">
      <c r="A830" s="46"/>
      <c r="B830" s="16"/>
      <c r="C830" s="118"/>
      <c r="D830" s="126"/>
      <c r="E830" s="88"/>
      <c r="F830" s="118"/>
      <c r="G830" s="46"/>
      <c r="H830" s="46"/>
      <c r="I830" s="118"/>
      <c r="J830" s="46"/>
      <c r="K830" s="16" t="str">
        <f>IF(J830&lt;&gt;"",SUMIFS('💰 Transaction ขาย'!$F:$F,'💰 Transaction ขาย'!$K:$K,$J830,'💰 Transaction ขาย'!$J:$J,$B$1),"")</f>
        <v/>
      </c>
      <c r="L830" s="118"/>
      <c r="M830" s="46"/>
      <c r="N830" s="46"/>
      <c r="O830" s="46"/>
      <c r="P830" s="118"/>
      <c r="Q830" s="46"/>
      <c r="R830" s="46"/>
      <c r="S830" s="46"/>
      <c r="T830" s="46"/>
      <c r="U830" s="118"/>
      <c r="V830" s="46"/>
      <c r="W830" s="88" t="str">
        <f>IF(V830&lt;&gt;"",SUMIFS('📊 รายงานสินค้าคงเหลือ'!G:G,'📊 รายงานสินค้าคงเหลือ'!D:D,V830),"")</f>
        <v/>
      </c>
      <c r="X830" s="46"/>
      <c r="Y830" s="46"/>
      <c r="Z830" s="46"/>
    </row>
    <row r="831">
      <c r="A831" s="46"/>
      <c r="B831" s="16"/>
      <c r="C831" s="118"/>
      <c r="D831" s="126"/>
      <c r="E831" s="88"/>
      <c r="F831" s="118"/>
      <c r="G831" s="46"/>
      <c r="H831" s="46"/>
      <c r="I831" s="118"/>
      <c r="J831" s="46"/>
      <c r="K831" s="16" t="str">
        <f>IF(J831&lt;&gt;"",SUMIFS('💰 Transaction ขาย'!$F:$F,'💰 Transaction ขาย'!$K:$K,$J831,'💰 Transaction ขาย'!$J:$J,$B$1),"")</f>
        <v/>
      </c>
      <c r="L831" s="118"/>
      <c r="M831" s="46"/>
      <c r="N831" s="46"/>
      <c r="O831" s="46"/>
      <c r="P831" s="118"/>
      <c r="Q831" s="46"/>
      <c r="R831" s="46"/>
      <c r="S831" s="46"/>
      <c r="T831" s="46"/>
      <c r="U831" s="118"/>
      <c r="V831" s="46"/>
      <c r="W831" s="88" t="str">
        <f>IF(V831&lt;&gt;"",SUMIFS('📊 รายงานสินค้าคงเหลือ'!G:G,'📊 รายงานสินค้าคงเหลือ'!D:D,V831),"")</f>
        <v/>
      </c>
      <c r="X831" s="46"/>
      <c r="Y831" s="46"/>
      <c r="Z831" s="46"/>
    </row>
    <row r="832">
      <c r="A832" s="46"/>
      <c r="B832" s="16"/>
      <c r="C832" s="118"/>
      <c r="D832" s="126"/>
      <c r="E832" s="88"/>
      <c r="F832" s="118"/>
      <c r="G832" s="46"/>
      <c r="H832" s="46"/>
      <c r="I832" s="118"/>
      <c r="J832" s="46"/>
      <c r="K832" s="16" t="str">
        <f>IF(J832&lt;&gt;"",SUMIFS('💰 Transaction ขาย'!$F:$F,'💰 Transaction ขาย'!$K:$K,$J832,'💰 Transaction ขาย'!$J:$J,$B$1),"")</f>
        <v/>
      </c>
      <c r="L832" s="118"/>
      <c r="M832" s="46"/>
      <c r="N832" s="46"/>
      <c r="O832" s="46"/>
      <c r="P832" s="118"/>
      <c r="Q832" s="46"/>
      <c r="R832" s="46"/>
      <c r="S832" s="46"/>
      <c r="T832" s="46"/>
      <c r="U832" s="118"/>
      <c r="V832" s="46"/>
      <c r="W832" s="88" t="str">
        <f>IF(V832&lt;&gt;"",SUMIFS('📊 รายงานสินค้าคงเหลือ'!G:G,'📊 รายงานสินค้าคงเหลือ'!D:D,V832),"")</f>
        <v/>
      </c>
      <c r="X832" s="46"/>
      <c r="Y832" s="46"/>
      <c r="Z832" s="46"/>
    </row>
    <row r="833">
      <c r="A833" s="46"/>
      <c r="B833" s="16"/>
      <c r="C833" s="118"/>
      <c r="D833" s="126"/>
      <c r="E833" s="88"/>
      <c r="F833" s="118"/>
      <c r="G833" s="46"/>
      <c r="H833" s="46"/>
      <c r="I833" s="118"/>
      <c r="J833" s="46"/>
      <c r="K833" s="16" t="str">
        <f>IF(J833&lt;&gt;"",SUMIFS('💰 Transaction ขาย'!$F:$F,'💰 Transaction ขาย'!$K:$K,$J833,'💰 Transaction ขาย'!$J:$J,$B$1),"")</f>
        <v/>
      </c>
      <c r="L833" s="118"/>
      <c r="M833" s="46"/>
      <c r="N833" s="46"/>
      <c r="O833" s="46"/>
      <c r="P833" s="118"/>
      <c r="Q833" s="46"/>
      <c r="R833" s="46"/>
      <c r="S833" s="46"/>
      <c r="T833" s="46"/>
      <c r="U833" s="118"/>
      <c r="V833" s="46"/>
      <c r="W833" s="88" t="str">
        <f>IF(V833&lt;&gt;"",SUMIFS('📊 รายงานสินค้าคงเหลือ'!G:G,'📊 รายงานสินค้าคงเหลือ'!D:D,V833),"")</f>
        <v/>
      </c>
      <c r="X833" s="46"/>
      <c r="Y833" s="46"/>
      <c r="Z833" s="46"/>
    </row>
    <row r="834">
      <c r="A834" s="46"/>
      <c r="B834" s="16"/>
      <c r="C834" s="118"/>
      <c r="D834" s="126"/>
      <c r="E834" s="88"/>
      <c r="F834" s="118"/>
      <c r="G834" s="46"/>
      <c r="H834" s="46"/>
      <c r="I834" s="118"/>
      <c r="J834" s="46"/>
      <c r="K834" s="16" t="str">
        <f>IF(J834&lt;&gt;"",SUMIFS('💰 Transaction ขาย'!$F:$F,'💰 Transaction ขาย'!$K:$K,$J834,'💰 Transaction ขาย'!$J:$J,$B$1),"")</f>
        <v/>
      </c>
      <c r="L834" s="118"/>
      <c r="M834" s="46"/>
      <c r="N834" s="46"/>
      <c r="O834" s="46"/>
      <c r="P834" s="118"/>
      <c r="Q834" s="46"/>
      <c r="R834" s="46"/>
      <c r="S834" s="46"/>
      <c r="T834" s="46"/>
      <c r="U834" s="118"/>
      <c r="V834" s="46"/>
      <c r="W834" s="88" t="str">
        <f>IF(V834&lt;&gt;"",SUMIFS('📊 รายงานสินค้าคงเหลือ'!G:G,'📊 รายงานสินค้าคงเหลือ'!D:D,V834),"")</f>
        <v/>
      </c>
      <c r="X834" s="46"/>
      <c r="Y834" s="46"/>
      <c r="Z834" s="46"/>
    </row>
    <row r="835">
      <c r="A835" s="46"/>
      <c r="B835" s="16"/>
      <c r="C835" s="118"/>
      <c r="D835" s="126"/>
      <c r="E835" s="88"/>
      <c r="F835" s="118"/>
      <c r="G835" s="46"/>
      <c r="H835" s="46"/>
      <c r="I835" s="118"/>
      <c r="J835" s="46"/>
      <c r="K835" s="16" t="str">
        <f>IF(J835&lt;&gt;"",SUMIFS('💰 Transaction ขาย'!$F:$F,'💰 Transaction ขาย'!$K:$K,$J835,'💰 Transaction ขาย'!$J:$J,$B$1),"")</f>
        <v/>
      </c>
      <c r="L835" s="118"/>
      <c r="M835" s="46"/>
      <c r="N835" s="46"/>
      <c r="O835" s="46"/>
      <c r="P835" s="118"/>
      <c r="Q835" s="46"/>
      <c r="R835" s="46"/>
      <c r="S835" s="46"/>
      <c r="T835" s="46"/>
      <c r="U835" s="118"/>
      <c r="V835" s="46"/>
      <c r="W835" s="88" t="str">
        <f>IF(V835&lt;&gt;"",SUMIFS('📊 รายงานสินค้าคงเหลือ'!G:G,'📊 รายงานสินค้าคงเหลือ'!D:D,V835),"")</f>
        <v/>
      </c>
      <c r="X835" s="46"/>
      <c r="Y835" s="46"/>
      <c r="Z835" s="46"/>
    </row>
    <row r="836">
      <c r="A836" s="46"/>
      <c r="B836" s="16"/>
      <c r="C836" s="118"/>
      <c r="D836" s="126"/>
      <c r="E836" s="88"/>
      <c r="F836" s="118"/>
      <c r="G836" s="46"/>
      <c r="H836" s="46"/>
      <c r="I836" s="118"/>
      <c r="J836" s="46"/>
      <c r="K836" s="16" t="str">
        <f>IF(J836&lt;&gt;"",SUMIFS('💰 Transaction ขาย'!$F:$F,'💰 Transaction ขาย'!$K:$K,$J836,'💰 Transaction ขาย'!$J:$J,$B$1),"")</f>
        <v/>
      </c>
      <c r="L836" s="118"/>
      <c r="M836" s="46"/>
      <c r="N836" s="46"/>
      <c r="O836" s="46"/>
      <c r="P836" s="118"/>
      <c r="Q836" s="46"/>
      <c r="R836" s="46"/>
      <c r="S836" s="46"/>
      <c r="T836" s="46"/>
      <c r="U836" s="118"/>
      <c r="V836" s="46"/>
      <c r="W836" s="88" t="str">
        <f>IF(V836&lt;&gt;"",SUMIFS('📊 รายงานสินค้าคงเหลือ'!G:G,'📊 รายงานสินค้าคงเหลือ'!D:D,V836),"")</f>
        <v/>
      </c>
      <c r="X836" s="46"/>
      <c r="Y836" s="46"/>
      <c r="Z836" s="46"/>
    </row>
    <row r="837">
      <c r="A837" s="46"/>
      <c r="B837" s="16"/>
      <c r="C837" s="118"/>
      <c r="D837" s="126"/>
      <c r="E837" s="88"/>
      <c r="F837" s="118"/>
      <c r="G837" s="46"/>
      <c r="H837" s="46"/>
      <c r="I837" s="118"/>
      <c r="J837" s="46"/>
      <c r="K837" s="16" t="str">
        <f>IF(J837&lt;&gt;"",SUMIFS('💰 Transaction ขาย'!$F:$F,'💰 Transaction ขาย'!$K:$K,$J837,'💰 Transaction ขาย'!$J:$J,$B$1),"")</f>
        <v/>
      </c>
      <c r="L837" s="118"/>
      <c r="M837" s="46"/>
      <c r="N837" s="46"/>
      <c r="O837" s="46"/>
      <c r="P837" s="118"/>
      <c r="Q837" s="46"/>
      <c r="R837" s="46"/>
      <c r="S837" s="46"/>
      <c r="T837" s="46"/>
      <c r="U837" s="118"/>
      <c r="V837" s="46"/>
      <c r="W837" s="88" t="str">
        <f>IF(V837&lt;&gt;"",SUMIFS('📊 รายงานสินค้าคงเหลือ'!G:G,'📊 รายงานสินค้าคงเหลือ'!D:D,V837),"")</f>
        <v/>
      </c>
      <c r="X837" s="46"/>
      <c r="Y837" s="46"/>
      <c r="Z837" s="46"/>
    </row>
    <row r="838">
      <c r="A838" s="46"/>
      <c r="B838" s="16"/>
      <c r="C838" s="118"/>
      <c r="D838" s="126"/>
      <c r="E838" s="88"/>
      <c r="F838" s="118"/>
      <c r="G838" s="46"/>
      <c r="H838" s="46"/>
      <c r="I838" s="118"/>
      <c r="J838" s="46"/>
      <c r="K838" s="16" t="str">
        <f>IF(J838&lt;&gt;"",SUMIFS('💰 Transaction ขาย'!$F:$F,'💰 Transaction ขาย'!$K:$K,$J838,'💰 Transaction ขาย'!$J:$J,$B$1),"")</f>
        <v/>
      </c>
      <c r="L838" s="118"/>
      <c r="M838" s="46"/>
      <c r="N838" s="46"/>
      <c r="O838" s="46"/>
      <c r="P838" s="118"/>
      <c r="Q838" s="46"/>
      <c r="R838" s="46"/>
      <c r="S838" s="46"/>
      <c r="T838" s="46"/>
      <c r="U838" s="118"/>
      <c r="V838" s="46"/>
      <c r="W838" s="88" t="str">
        <f>IF(V838&lt;&gt;"",SUMIFS('📊 รายงานสินค้าคงเหลือ'!G:G,'📊 รายงานสินค้าคงเหลือ'!D:D,V838),"")</f>
        <v/>
      </c>
      <c r="X838" s="46"/>
      <c r="Y838" s="46"/>
      <c r="Z838" s="46"/>
    </row>
    <row r="839">
      <c r="A839" s="46"/>
      <c r="B839" s="16"/>
      <c r="C839" s="118"/>
      <c r="D839" s="126"/>
      <c r="E839" s="88"/>
      <c r="F839" s="118"/>
      <c r="G839" s="46"/>
      <c r="H839" s="46"/>
      <c r="I839" s="118"/>
      <c r="J839" s="46"/>
      <c r="K839" s="16" t="str">
        <f>IF(J839&lt;&gt;"",SUMIFS('💰 Transaction ขาย'!$F:$F,'💰 Transaction ขาย'!$K:$K,$J839,'💰 Transaction ขาย'!$J:$J,$B$1),"")</f>
        <v/>
      </c>
      <c r="L839" s="118"/>
      <c r="M839" s="46"/>
      <c r="N839" s="46"/>
      <c r="O839" s="46"/>
      <c r="P839" s="118"/>
      <c r="Q839" s="46"/>
      <c r="R839" s="46"/>
      <c r="S839" s="46"/>
      <c r="T839" s="46"/>
      <c r="U839" s="118"/>
      <c r="V839" s="46"/>
      <c r="W839" s="88" t="str">
        <f>IF(V839&lt;&gt;"",SUMIFS('📊 รายงานสินค้าคงเหลือ'!G:G,'📊 รายงานสินค้าคงเหลือ'!D:D,V839),"")</f>
        <v/>
      </c>
      <c r="X839" s="46"/>
      <c r="Y839" s="46"/>
      <c r="Z839" s="46"/>
    </row>
    <row r="840">
      <c r="A840" s="46"/>
      <c r="B840" s="16"/>
      <c r="C840" s="118"/>
      <c r="D840" s="126"/>
      <c r="E840" s="88"/>
      <c r="F840" s="118"/>
      <c r="G840" s="46"/>
      <c r="H840" s="46"/>
      <c r="I840" s="118"/>
      <c r="J840" s="46"/>
      <c r="K840" s="16" t="str">
        <f>IF(J840&lt;&gt;"",SUMIFS('💰 Transaction ขาย'!$F:$F,'💰 Transaction ขาย'!$K:$K,$J840,'💰 Transaction ขาย'!$J:$J,$B$1),"")</f>
        <v/>
      </c>
      <c r="L840" s="118"/>
      <c r="M840" s="46"/>
      <c r="N840" s="46"/>
      <c r="O840" s="46"/>
      <c r="P840" s="118"/>
      <c r="Q840" s="46"/>
      <c r="R840" s="46"/>
      <c r="S840" s="46"/>
      <c r="T840" s="46"/>
      <c r="U840" s="118"/>
      <c r="V840" s="46"/>
      <c r="W840" s="88" t="str">
        <f>IF(V840&lt;&gt;"",SUMIFS('📊 รายงานสินค้าคงเหลือ'!G:G,'📊 รายงานสินค้าคงเหลือ'!D:D,V840),"")</f>
        <v/>
      </c>
      <c r="X840" s="46"/>
      <c r="Y840" s="46"/>
      <c r="Z840" s="46"/>
    </row>
    <row r="841">
      <c r="A841" s="46"/>
      <c r="B841" s="16"/>
      <c r="C841" s="118"/>
      <c r="D841" s="126"/>
      <c r="E841" s="88"/>
      <c r="F841" s="118"/>
      <c r="G841" s="46"/>
      <c r="H841" s="46"/>
      <c r="I841" s="118"/>
      <c r="J841" s="46"/>
      <c r="K841" s="16" t="str">
        <f>IF(J841&lt;&gt;"",SUMIFS('💰 Transaction ขาย'!$F:$F,'💰 Transaction ขาย'!$K:$K,$J841,'💰 Transaction ขาย'!$J:$J,$B$1),"")</f>
        <v/>
      </c>
      <c r="L841" s="118"/>
      <c r="M841" s="46"/>
      <c r="N841" s="46"/>
      <c r="O841" s="46"/>
      <c r="P841" s="118"/>
      <c r="Q841" s="46"/>
      <c r="R841" s="46"/>
      <c r="S841" s="46"/>
      <c r="T841" s="46"/>
      <c r="U841" s="118"/>
      <c r="V841" s="46"/>
      <c r="W841" s="88" t="str">
        <f>IF(V841&lt;&gt;"",SUMIFS('📊 รายงานสินค้าคงเหลือ'!G:G,'📊 รายงานสินค้าคงเหลือ'!D:D,V841),"")</f>
        <v/>
      </c>
      <c r="X841" s="46"/>
      <c r="Y841" s="46"/>
      <c r="Z841" s="46"/>
    </row>
    <row r="842">
      <c r="A842" s="46"/>
      <c r="B842" s="16"/>
      <c r="C842" s="118"/>
      <c r="D842" s="126"/>
      <c r="E842" s="88"/>
      <c r="F842" s="118"/>
      <c r="G842" s="46"/>
      <c r="H842" s="46"/>
      <c r="I842" s="118"/>
      <c r="J842" s="46"/>
      <c r="K842" s="16" t="str">
        <f>IF(J842&lt;&gt;"",SUMIFS('💰 Transaction ขาย'!$F:$F,'💰 Transaction ขาย'!$K:$K,$J842,'💰 Transaction ขาย'!$J:$J,$B$1),"")</f>
        <v/>
      </c>
      <c r="L842" s="118"/>
      <c r="M842" s="46"/>
      <c r="N842" s="46"/>
      <c r="O842" s="46"/>
      <c r="P842" s="118"/>
      <c r="Q842" s="46"/>
      <c r="R842" s="46"/>
      <c r="S842" s="46"/>
      <c r="T842" s="46"/>
      <c r="U842" s="118"/>
      <c r="V842" s="46"/>
      <c r="W842" s="88" t="str">
        <f>IF(V842&lt;&gt;"",SUMIFS('📊 รายงานสินค้าคงเหลือ'!G:G,'📊 รายงานสินค้าคงเหลือ'!D:D,V842),"")</f>
        <v/>
      </c>
      <c r="X842" s="46"/>
      <c r="Y842" s="46"/>
      <c r="Z842" s="46"/>
    </row>
    <row r="843">
      <c r="A843" s="46"/>
      <c r="B843" s="16"/>
      <c r="C843" s="118"/>
      <c r="D843" s="126"/>
      <c r="E843" s="88"/>
      <c r="F843" s="118"/>
      <c r="G843" s="46"/>
      <c r="H843" s="46"/>
      <c r="I843" s="118"/>
      <c r="J843" s="46"/>
      <c r="K843" s="16" t="str">
        <f>IF(J843&lt;&gt;"",SUMIFS('💰 Transaction ขาย'!$F:$F,'💰 Transaction ขาย'!$K:$K,$J843,'💰 Transaction ขาย'!$J:$J,$B$1),"")</f>
        <v/>
      </c>
      <c r="L843" s="118"/>
      <c r="M843" s="46"/>
      <c r="N843" s="46"/>
      <c r="O843" s="46"/>
      <c r="P843" s="118"/>
      <c r="Q843" s="46"/>
      <c r="R843" s="46"/>
      <c r="S843" s="46"/>
      <c r="T843" s="46"/>
      <c r="U843" s="118"/>
      <c r="V843" s="46"/>
      <c r="W843" s="88" t="str">
        <f>IF(V843&lt;&gt;"",SUMIFS('📊 รายงานสินค้าคงเหลือ'!G:G,'📊 รายงานสินค้าคงเหลือ'!D:D,V843),"")</f>
        <v/>
      </c>
      <c r="X843" s="46"/>
      <c r="Y843" s="46"/>
      <c r="Z843" s="46"/>
    </row>
    <row r="844">
      <c r="A844" s="46"/>
      <c r="B844" s="16"/>
      <c r="C844" s="118"/>
      <c r="D844" s="126"/>
      <c r="E844" s="88"/>
      <c r="F844" s="118"/>
      <c r="G844" s="46"/>
      <c r="H844" s="46"/>
      <c r="I844" s="118"/>
      <c r="J844" s="46"/>
      <c r="K844" s="16" t="str">
        <f>IF(J844&lt;&gt;"",SUMIFS('💰 Transaction ขาย'!$F:$F,'💰 Transaction ขาย'!$K:$K,$J844,'💰 Transaction ขาย'!$J:$J,$B$1),"")</f>
        <v/>
      </c>
      <c r="L844" s="118"/>
      <c r="M844" s="46"/>
      <c r="N844" s="46"/>
      <c r="O844" s="46"/>
      <c r="P844" s="118"/>
      <c r="Q844" s="46"/>
      <c r="R844" s="46"/>
      <c r="S844" s="46"/>
      <c r="T844" s="46"/>
      <c r="U844" s="118"/>
      <c r="V844" s="46"/>
      <c r="W844" s="88" t="str">
        <f>IF(V844&lt;&gt;"",SUMIFS('📊 รายงานสินค้าคงเหลือ'!G:G,'📊 รายงานสินค้าคงเหลือ'!D:D,V844),"")</f>
        <v/>
      </c>
      <c r="X844" s="46"/>
      <c r="Y844" s="46"/>
      <c r="Z844" s="46"/>
    </row>
    <row r="845">
      <c r="A845" s="46"/>
      <c r="B845" s="16"/>
      <c r="C845" s="118"/>
      <c r="D845" s="126"/>
      <c r="E845" s="88"/>
      <c r="F845" s="118"/>
      <c r="G845" s="46"/>
      <c r="H845" s="46"/>
      <c r="I845" s="118"/>
      <c r="J845" s="46"/>
      <c r="K845" s="16" t="str">
        <f>IF(J845&lt;&gt;"",SUMIFS('💰 Transaction ขาย'!$F:$F,'💰 Transaction ขาย'!$K:$K,$J845,'💰 Transaction ขาย'!$J:$J,$B$1),"")</f>
        <v/>
      </c>
      <c r="L845" s="118"/>
      <c r="M845" s="46"/>
      <c r="N845" s="46"/>
      <c r="O845" s="46"/>
      <c r="P845" s="118"/>
      <c r="Q845" s="46"/>
      <c r="R845" s="46"/>
      <c r="S845" s="46"/>
      <c r="T845" s="46"/>
      <c r="U845" s="118"/>
      <c r="V845" s="46"/>
      <c r="W845" s="88" t="str">
        <f>IF(V845&lt;&gt;"",SUMIFS('📊 รายงานสินค้าคงเหลือ'!G:G,'📊 รายงานสินค้าคงเหลือ'!D:D,V845),"")</f>
        <v/>
      </c>
      <c r="X845" s="46"/>
      <c r="Y845" s="46"/>
      <c r="Z845" s="46"/>
    </row>
    <row r="846">
      <c r="A846" s="46"/>
      <c r="B846" s="16"/>
      <c r="C846" s="118"/>
      <c r="D846" s="126"/>
      <c r="E846" s="88"/>
      <c r="F846" s="118"/>
      <c r="G846" s="46"/>
      <c r="H846" s="46"/>
      <c r="I846" s="118"/>
      <c r="J846" s="46"/>
      <c r="K846" s="16" t="str">
        <f>IF(J846&lt;&gt;"",SUMIFS('💰 Transaction ขาย'!$F:$F,'💰 Transaction ขาย'!$K:$K,$J846,'💰 Transaction ขาย'!$J:$J,$B$1),"")</f>
        <v/>
      </c>
      <c r="L846" s="118"/>
      <c r="M846" s="46"/>
      <c r="N846" s="46"/>
      <c r="O846" s="46"/>
      <c r="P846" s="118"/>
      <c r="Q846" s="46"/>
      <c r="R846" s="46"/>
      <c r="S846" s="46"/>
      <c r="T846" s="46"/>
      <c r="U846" s="118"/>
      <c r="V846" s="46"/>
      <c r="W846" s="88" t="str">
        <f>IF(V846&lt;&gt;"",SUMIFS('📊 รายงานสินค้าคงเหลือ'!G:G,'📊 รายงานสินค้าคงเหลือ'!D:D,V846),"")</f>
        <v/>
      </c>
      <c r="X846" s="46"/>
      <c r="Y846" s="46"/>
      <c r="Z846" s="46"/>
    </row>
    <row r="847">
      <c r="A847" s="46"/>
      <c r="B847" s="16"/>
      <c r="C847" s="118"/>
      <c r="D847" s="126"/>
      <c r="E847" s="88"/>
      <c r="F847" s="118"/>
      <c r="G847" s="46"/>
      <c r="H847" s="46"/>
      <c r="I847" s="118"/>
      <c r="J847" s="46"/>
      <c r="K847" s="16" t="str">
        <f>IF(J847&lt;&gt;"",SUMIFS('💰 Transaction ขาย'!$F:$F,'💰 Transaction ขาย'!$K:$K,$J847,'💰 Transaction ขาย'!$J:$J,$B$1),"")</f>
        <v/>
      </c>
      <c r="L847" s="118"/>
      <c r="M847" s="46"/>
      <c r="N847" s="46"/>
      <c r="O847" s="46"/>
      <c r="P847" s="118"/>
      <c r="Q847" s="46"/>
      <c r="R847" s="46"/>
      <c r="S847" s="46"/>
      <c r="T847" s="46"/>
      <c r="U847" s="118"/>
      <c r="V847" s="46"/>
      <c r="W847" s="88" t="str">
        <f>IF(V847&lt;&gt;"",SUMIFS('📊 รายงานสินค้าคงเหลือ'!G:G,'📊 รายงานสินค้าคงเหลือ'!D:D,V847),"")</f>
        <v/>
      </c>
      <c r="X847" s="46"/>
      <c r="Y847" s="46"/>
      <c r="Z847" s="46"/>
    </row>
    <row r="848">
      <c r="A848" s="46"/>
      <c r="B848" s="16"/>
      <c r="C848" s="118"/>
      <c r="D848" s="126"/>
      <c r="E848" s="88"/>
      <c r="F848" s="118"/>
      <c r="G848" s="46"/>
      <c r="H848" s="46"/>
      <c r="I848" s="118"/>
      <c r="J848" s="46"/>
      <c r="K848" s="16" t="str">
        <f>IF(J848&lt;&gt;"",SUMIFS('💰 Transaction ขาย'!$F:$F,'💰 Transaction ขาย'!$K:$K,$J848,'💰 Transaction ขาย'!$J:$J,$B$1),"")</f>
        <v/>
      </c>
      <c r="L848" s="118"/>
      <c r="M848" s="46"/>
      <c r="N848" s="46"/>
      <c r="O848" s="46"/>
      <c r="P848" s="118"/>
      <c r="Q848" s="46"/>
      <c r="R848" s="46"/>
      <c r="S848" s="46"/>
      <c r="T848" s="46"/>
      <c r="U848" s="118"/>
      <c r="V848" s="46"/>
      <c r="W848" s="88" t="str">
        <f>IF(V848&lt;&gt;"",SUMIFS('📊 รายงานสินค้าคงเหลือ'!G:G,'📊 รายงานสินค้าคงเหลือ'!D:D,V848),"")</f>
        <v/>
      </c>
      <c r="X848" s="46"/>
      <c r="Y848" s="46"/>
      <c r="Z848" s="46"/>
    </row>
    <row r="849">
      <c r="A849" s="46"/>
      <c r="B849" s="16"/>
      <c r="C849" s="118"/>
      <c r="D849" s="126"/>
      <c r="E849" s="88"/>
      <c r="F849" s="118"/>
      <c r="G849" s="46"/>
      <c r="H849" s="46"/>
      <c r="I849" s="118"/>
      <c r="J849" s="46"/>
      <c r="K849" s="16" t="str">
        <f>IF(J849&lt;&gt;"",SUMIFS('💰 Transaction ขาย'!$F:$F,'💰 Transaction ขาย'!$K:$K,$J849,'💰 Transaction ขาย'!$J:$J,$B$1),"")</f>
        <v/>
      </c>
      <c r="L849" s="118"/>
      <c r="M849" s="46"/>
      <c r="N849" s="46"/>
      <c r="O849" s="46"/>
      <c r="P849" s="118"/>
      <c r="Q849" s="46"/>
      <c r="R849" s="46"/>
      <c r="S849" s="46"/>
      <c r="T849" s="46"/>
      <c r="U849" s="118"/>
      <c r="V849" s="46"/>
      <c r="W849" s="88" t="str">
        <f>IF(V849&lt;&gt;"",SUMIFS('📊 รายงานสินค้าคงเหลือ'!G:G,'📊 รายงานสินค้าคงเหลือ'!D:D,V849),"")</f>
        <v/>
      </c>
      <c r="X849" s="46"/>
      <c r="Y849" s="46"/>
      <c r="Z849" s="46"/>
    </row>
    <row r="850">
      <c r="A850" s="46"/>
      <c r="B850" s="16"/>
      <c r="C850" s="118"/>
      <c r="D850" s="126"/>
      <c r="E850" s="88"/>
      <c r="F850" s="118"/>
      <c r="G850" s="46"/>
      <c r="H850" s="46"/>
      <c r="I850" s="118"/>
      <c r="J850" s="46"/>
      <c r="K850" s="16" t="str">
        <f>IF(J850&lt;&gt;"",SUMIFS('💰 Transaction ขาย'!$F:$F,'💰 Transaction ขาย'!$K:$K,$J850,'💰 Transaction ขาย'!$J:$J,$B$1),"")</f>
        <v/>
      </c>
      <c r="L850" s="118"/>
      <c r="M850" s="46"/>
      <c r="N850" s="46"/>
      <c r="O850" s="46"/>
      <c r="P850" s="118"/>
      <c r="Q850" s="46"/>
      <c r="R850" s="46"/>
      <c r="S850" s="46"/>
      <c r="T850" s="46"/>
      <c r="U850" s="118"/>
      <c r="V850" s="46"/>
      <c r="W850" s="88" t="str">
        <f>IF(V850&lt;&gt;"",SUMIFS('📊 รายงานสินค้าคงเหลือ'!G:G,'📊 รายงานสินค้าคงเหลือ'!D:D,V850),"")</f>
        <v/>
      </c>
      <c r="X850" s="46"/>
      <c r="Y850" s="46"/>
      <c r="Z850" s="46"/>
    </row>
    <row r="851">
      <c r="A851" s="46"/>
      <c r="B851" s="16"/>
      <c r="C851" s="118"/>
      <c r="D851" s="126"/>
      <c r="E851" s="88"/>
      <c r="F851" s="118"/>
      <c r="G851" s="46"/>
      <c r="H851" s="46"/>
      <c r="I851" s="118"/>
      <c r="J851" s="46"/>
      <c r="K851" s="16" t="str">
        <f>IF(J851&lt;&gt;"",SUMIFS('💰 Transaction ขาย'!$F:$F,'💰 Transaction ขาย'!$K:$K,$J851,'💰 Transaction ขาย'!$J:$J,$B$1),"")</f>
        <v/>
      </c>
      <c r="L851" s="118"/>
      <c r="M851" s="46"/>
      <c r="N851" s="46"/>
      <c r="O851" s="46"/>
      <c r="P851" s="118"/>
      <c r="Q851" s="46"/>
      <c r="R851" s="46"/>
      <c r="S851" s="46"/>
      <c r="T851" s="46"/>
      <c r="U851" s="118"/>
      <c r="V851" s="46"/>
      <c r="W851" s="88" t="str">
        <f>IF(V851&lt;&gt;"",SUMIFS('📊 รายงานสินค้าคงเหลือ'!G:G,'📊 รายงานสินค้าคงเหลือ'!D:D,V851),"")</f>
        <v/>
      </c>
      <c r="X851" s="46"/>
      <c r="Y851" s="46"/>
      <c r="Z851" s="46"/>
    </row>
    <row r="852">
      <c r="A852" s="46"/>
      <c r="B852" s="16"/>
      <c r="C852" s="118"/>
      <c r="D852" s="126"/>
      <c r="E852" s="88"/>
      <c r="F852" s="118"/>
      <c r="G852" s="46"/>
      <c r="H852" s="46"/>
      <c r="I852" s="118"/>
      <c r="J852" s="46"/>
      <c r="K852" s="16" t="str">
        <f>IF(J852&lt;&gt;"",SUMIFS('💰 Transaction ขาย'!$F:$F,'💰 Transaction ขาย'!$K:$K,$J852,'💰 Transaction ขาย'!$J:$J,$B$1),"")</f>
        <v/>
      </c>
      <c r="L852" s="118"/>
      <c r="M852" s="46"/>
      <c r="N852" s="46"/>
      <c r="O852" s="46"/>
      <c r="P852" s="118"/>
      <c r="Q852" s="46"/>
      <c r="R852" s="46"/>
      <c r="S852" s="46"/>
      <c r="T852" s="46"/>
      <c r="U852" s="118"/>
      <c r="V852" s="46"/>
      <c r="W852" s="88" t="str">
        <f>IF(V852&lt;&gt;"",SUMIFS('📊 รายงานสินค้าคงเหลือ'!G:G,'📊 รายงานสินค้าคงเหลือ'!D:D,V852),"")</f>
        <v/>
      </c>
      <c r="X852" s="46"/>
      <c r="Y852" s="46"/>
      <c r="Z852" s="46"/>
    </row>
    <row r="853">
      <c r="A853" s="46"/>
      <c r="B853" s="16"/>
      <c r="C853" s="118"/>
      <c r="D853" s="126"/>
      <c r="E853" s="88"/>
      <c r="F853" s="118"/>
      <c r="G853" s="46"/>
      <c r="H853" s="46"/>
      <c r="I853" s="118"/>
      <c r="J853" s="46"/>
      <c r="K853" s="16" t="str">
        <f>IF(J853&lt;&gt;"",SUMIFS('💰 Transaction ขาย'!$F:$F,'💰 Transaction ขาย'!$K:$K,$J853,'💰 Transaction ขาย'!$J:$J,$B$1),"")</f>
        <v/>
      </c>
      <c r="L853" s="118"/>
      <c r="M853" s="46"/>
      <c r="N853" s="46"/>
      <c r="O853" s="46"/>
      <c r="P853" s="118"/>
      <c r="Q853" s="46"/>
      <c r="R853" s="46"/>
      <c r="S853" s="46"/>
      <c r="T853" s="46"/>
      <c r="U853" s="118"/>
      <c r="V853" s="46"/>
      <c r="W853" s="88" t="str">
        <f>IF(V853&lt;&gt;"",SUMIFS('📊 รายงานสินค้าคงเหลือ'!G:G,'📊 รายงานสินค้าคงเหลือ'!D:D,V853),"")</f>
        <v/>
      </c>
      <c r="X853" s="46"/>
      <c r="Y853" s="46"/>
      <c r="Z853" s="46"/>
    </row>
    <row r="854">
      <c r="A854" s="46"/>
      <c r="B854" s="16"/>
      <c r="C854" s="118"/>
      <c r="D854" s="126"/>
      <c r="E854" s="88"/>
      <c r="F854" s="118"/>
      <c r="G854" s="46"/>
      <c r="H854" s="46"/>
      <c r="I854" s="118"/>
      <c r="J854" s="46"/>
      <c r="K854" s="16" t="str">
        <f>IF(J854&lt;&gt;"",SUMIFS('💰 Transaction ขาย'!$F:$F,'💰 Transaction ขาย'!$K:$K,$J854,'💰 Transaction ขาย'!$J:$J,$B$1),"")</f>
        <v/>
      </c>
      <c r="L854" s="118"/>
      <c r="M854" s="46"/>
      <c r="N854" s="46"/>
      <c r="O854" s="46"/>
      <c r="P854" s="118"/>
      <c r="Q854" s="46"/>
      <c r="R854" s="46"/>
      <c r="S854" s="46"/>
      <c r="T854" s="46"/>
      <c r="U854" s="118"/>
      <c r="V854" s="46"/>
      <c r="W854" s="88" t="str">
        <f>IF(V854&lt;&gt;"",SUMIFS('📊 รายงานสินค้าคงเหลือ'!G:G,'📊 รายงานสินค้าคงเหลือ'!D:D,V854),"")</f>
        <v/>
      </c>
      <c r="X854" s="46"/>
      <c r="Y854" s="46"/>
      <c r="Z854" s="46"/>
    </row>
    <row r="855">
      <c r="A855" s="46"/>
      <c r="B855" s="16"/>
      <c r="C855" s="118"/>
      <c r="D855" s="126"/>
      <c r="E855" s="88"/>
      <c r="F855" s="118"/>
      <c r="G855" s="46"/>
      <c r="H855" s="46"/>
      <c r="I855" s="118"/>
      <c r="J855" s="46"/>
      <c r="K855" s="16" t="str">
        <f>IF(J855&lt;&gt;"",SUMIFS('💰 Transaction ขาย'!$F:$F,'💰 Transaction ขาย'!$K:$K,$J855,'💰 Transaction ขาย'!$J:$J,$B$1),"")</f>
        <v/>
      </c>
      <c r="L855" s="118"/>
      <c r="M855" s="46"/>
      <c r="N855" s="46"/>
      <c r="O855" s="46"/>
      <c r="P855" s="118"/>
      <c r="Q855" s="46"/>
      <c r="R855" s="46"/>
      <c r="S855" s="46"/>
      <c r="T855" s="46"/>
      <c r="U855" s="118"/>
      <c r="V855" s="46"/>
      <c r="W855" s="88" t="str">
        <f>IF(V855&lt;&gt;"",SUMIFS('📊 รายงานสินค้าคงเหลือ'!G:G,'📊 รายงานสินค้าคงเหลือ'!D:D,V855),"")</f>
        <v/>
      </c>
      <c r="X855" s="46"/>
      <c r="Y855" s="46"/>
      <c r="Z855" s="46"/>
    </row>
    <row r="856">
      <c r="A856" s="46"/>
      <c r="B856" s="16"/>
      <c r="C856" s="118"/>
      <c r="D856" s="126"/>
      <c r="E856" s="88"/>
      <c r="F856" s="118"/>
      <c r="G856" s="46"/>
      <c r="H856" s="46"/>
      <c r="I856" s="118"/>
      <c r="J856" s="46"/>
      <c r="K856" s="16" t="str">
        <f>IF(J856&lt;&gt;"",SUMIFS('💰 Transaction ขาย'!$F:$F,'💰 Transaction ขาย'!$K:$K,$J856,'💰 Transaction ขาย'!$J:$J,$B$1),"")</f>
        <v/>
      </c>
      <c r="L856" s="118"/>
      <c r="M856" s="46"/>
      <c r="N856" s="46"/>
      <c r="O856" s="46"/>
      <c r="P856" s="118"/>
      <c r="Q856" s="46"/>
      <c r="R856" s="46"/>
      <c r="S856" s="46"/>
      <c r="T856" s="46"/>
      <c r="U856" s="118"/>
      <c r="V856" s="46"/>
      <c r="W856" s="88" t="str">
        <f>IF(V856&lt;&gt;"",SUMIFS('📊 รายงานสินค้าคงเหลือ'!G:G,'📊 รายงานสินค้าคงเหลือ'!D:D,V856),"")</f>
        <v/>
      </c>
      <c r="X856" s="46"/>
      <c r="Y856" s="46"/>
      <c r="Z856" s="46"/>
    </row>
    <row r="857">
      <c r="A857" s="46"/>
      <c r="B857" s="16"/>
      <c r="C857" s="118"/>
      <c r="D857" s="126"/>
      <c r="E857" s="88"/>
      <c r="F857" s="118"/>
      <c r="G857" s="46"/>
      <c r="H857" s="46"/>
      <c r="I857" s="118"/>
      <c r="J857" s="46"/>
      <c r="K857" s="16" t="str">
        <f>IF(J857&lt;&gt;"",SUMIFS('💰 Transaction ขาย'!$F:$F,'💰 Transaction ขาย'!$K:$K,$J857,'💰 Transaction ขาย'!$J:$J,$B$1),"")</f>
        <v/>
      </c>
      <c r="L857" s="118"/>
      <c r="M857" s="46"/>
      <c r="N857" s="46"/>
      <c r="O857" s="46"/>
      <c r="P857" s="118"/>
      <c r="Q857" s="46"/>
      <c r="R857" s="46"/>
      <c r="S857" s="46"/>
      <c r="T857" s="46"/>
      <c r="U857" s="118"/>
      <c r="V857" s="46"/>
      <c r="W857" s="88" t="str">
        <f>IF(V857&lt;&gt;"",SUMIFS('📊 รายงานสินค้าคงเหลือ'!G:G,'📊 รายงานสินค้าคงเหลือ'!D:D,V857),"")</f>
        <v/>
      </c>
      <c r="X857" s="46"/>
      <c r="Y857" s="46"/>
      <c r="Z857" s="46"/>
    </row>
    <row r="858">
      <c r="A858" s="46"/>
      <c r="B858" s="16"/>
      <c r="C858" s="118"/>
      <c r="D858" s="126"/>
      <c r="E858" s="88"/>
      <c r="F858" s="118"/>
      <c r="G858" s="46"/>
      <c r="H858" s="46"/>
      <c r="I858" s="118"/>
      <c r="J858" s="46"/>
      <c r="K858" s="16" t="str">
        <f>IF(J858&lt;&gt;"",SUMIFS('💰 Transaction ขาย'!$F:$F,'💰 Transaction ขาย'!$K:$K,$J858,'💰 Transaction ขาย'!$J:$J,$B$1),"")</f>
        <v/>
      </c>
      <c r="L858" s="118"/>
      <c r="M858" s="46"/>
      <c r="N858" s="46"/>
      <c r="O858" s="46"/>
      <c r="P858" s="118"/>
      <c r="Q858" s="46"/>
      <c r="R858" s="46"/>
      <c r="S858" s="46"/>
      <c r="T858" s="46"/>
      <c r="U858" s="118"/>
      <c r="V858" s="46"/>
      <c r="W858" s="88" t="str">
        <f>IF(V858&lt;&gt;"",SUMIFS('📊 รายงานสินค้าคงเหลือ'!G:G,'📊 รายงานสินค้าคงเหลือ'!D:D,V858),"")</f>
        <v/>
      </c>
      <c r="X858" s="46"/>
      <c r="Y858" s="46"/>
      <c r="Z858" s="46"/>
    </row>
    <row r="859">
      <c r="A859" s="46"/>
      <c r="B859" s="16"/>
      <c r="C859" s="118"/>
      <c r="D859" s="126"/>
      <c r="E859" s="88"/>
      <c r="F859" s="118"/>
      <c r="G859" s="46"/>
      <c r="H859" s="46"/>
      <c r="I859" s="118"/>
      <c r="J859" s="46"/>
      <c r="K859" s="16" t="str">
        <f>IF(J859&lt;&gt;"",SUMIFS('💰 Transaction ขาย'!$F:$F,'💰 Transaction ขาย'!$K:$K,$J859,'💰 Transaction ขาย'!$J:$J,$B$1),"")</f>
        <v/>
      </c>
      <c r="L859" s="118"/>
      <c r="M859" s="46"/>
      <c r="N859" s="46"/>
      <c r="O859" s="46"/>
      <c r="P859" s="118"/>
      <c r="Q859" s="46"/>
      <c r="R859" s="46"/>
      <c r="S859" s="46"/>
      <c r="T859" s="46"/>
      <c r="U859" s="118"/>
      <c r="V859" s="46"/>
      <c r="W859" s="88" t="str">
        <f>IF(V859&lt;&gt;"",SUMIFS('📊 รายงานสินค้าคงเหลือ'!G:G,'📊 รายงานสินค้าคงเหลือ'!D:D,V859),"")</f>
        <v/>
      </c>
      <c r="X859" s="46"/>
      <c r="Y859" s="46"/>
      <c r="Z859" s="46"/>
    </row>
    <row r="860">
      <c r="A860" s="46"/>
      <c r="B860" s="16"/>
      <c r="C860" s="118"/>
      <c r="D860" s="126"/>
      <c r="E860" s="88"/>
      <c r="F860" s="118"/>
      <c r="G860" s="46"/>
      <c r="H860" s="46"/>
      <c r="I860" s="118"/>
      <c r="J860" s="46"/>
      <c r="K860" s="16" t="str">
        <f>IF(J860&lt;&gt;"",SUMIFS('💰 Transaction ขาย'!$F:$F,'💰 Transaction ขาย'!$K:$K,$J860,'💰 Transaction ขาย'!$J:$J,$B$1),"")</f>
        <v/>
      </c>
      <c r="L860" s="118"/>
      <c r="M860" s="46"/>
      <c r="N860" s="46"/>
      <c r="O860" s="46"/>
      <c r="P860" s="118"/>
      <c r="Q860" s="46"/>
      <c r="R860" s="46"/>
      <c r="S860" s="46"/>
      <c r="T860" s="46"/>
      <c r="U860" s="118"/>
      <c r="V860" s="46"/>
      <c r="W860" s="88" t="str">
        <f>IF(V860&lt;&gt;"",SUMIFS('📊 รายงานสินค้าคงเหลือ'!G:G,'📊 รายงานสินค้าคงเหลือ'!D:D,V860),"")</f>
        <v/>
      </c>
      <c r="X860" s="46"/>
      <c r="Y860" s="46"/>
      <c r="Z860" s="46"/>
    </row>
    <row r="861">
      <c r="A861" s="46"/>
      <c r="B861" s="16"/>
      <c r="C861" s="118"/>
      <c r="D861" s="126"/>
      <c r="E861" s="88"/>
      <c r="F861" s="118"/>
      <c r="G861" s="46"/>
      <c r="H861" s="46"/>
      <c r="I861" s="118"/>
      <c r="J861" s="46"/>
      <c r="K861" s="16" t="str">
        <f>IF(J861&lt;&gt;"",SUMIFS('💰 Transaction ขาย'!$F:$F,'💰 Transaction ขาย'!$K:$K,$J861,'💰 Transaction ขาย'!$J:$J,$B$1),"")</f>
        <v/>
      </c>
      <c r="L861" s="118"/>
      <c r="M861" s="46"/>
      <c r="N861" s="46"/>
      <c r="O861" s="46"/>
      <c r="P861" s="118"/>
      <c r="Q861" s="46"/>
      <c r="R861" s="46"/>
      <c r="S861" s="46"/>
      <c r="T861" s="46"/>
      <c r="U861" s="118"/>
      <c r="V861" s="46"/>
      <c r="W861" s="88" t="str">
        <f>IF(V861&lt;&gt;"",SUMIFS('📊 รายงานสินค้าคงเหลือ'!G:G,'📊 รายงานสินค้าคงเหลือ'!D:D,V861),"")</f>
        <v/>
      </c>
      <c r="X861" s="46"/>
      <c r="Y861" s="46"/>
      <c r="Z861" s="46"/>
    </row>
    <row r="862">
      <c r="A862" s="46"/>
      <c r="B862" s="16"/>
      <c r="C862" s="118"/>
      <c r="D862" s="126"/>
      <c r="E862" s="88"/>
      <c r="F862" s="118"/>
      <c r="G862" s="46"/>
      <c r="H862" s="46"/>
      <c r="I862" s="118"/>
      <c r="J862" s="46"/>
      <c r="K862" s="16" t="str">
        <f>IF(J862&lt;&gt;"",SUMIFS('💰 Transaction ขาย'!$F:$F,'💰 Transaction ขาย'!$K:$K,$J862,'💰 Transaction ขาย'!$J:$J,$B$1),"")</f>
        <v/>
      </c>
      <c r="L862" s="118"/>
      <c r="M862" s="46"/>
      <c r="N862" s="46"/>
      <c r="O862" s="46"/>
      <c r="P862" s="118"/>
      <c r="Q862" s="46"/>
      <c r="R862" s="46"/>
      <c r="S862" s="46"/>
      <c r="T862" s="46"/>
      <c r="U862" s="118"/>
      <c r="V862" s="46"/>
      <c r="W862" s="88" t="str">
        <f>IF(V862&lt;&gt;"",SUMIFS('📊 รายงานสินค้าคงเหลือ'!G:G,'📊 รายงานสินค้าคงเหลือ'!D:D,V862),"")</f>
        <v/>
      </c>
      <c r="X862" s="46"/>
      <c r="Y862" s="46"/>
      <c r="Z862" s="46"/>
    </row>
    <row r="863">
      <c r="A863" s="46"/>
      <c r="B863" s="16"/>
      <c r="C863" s="118"/>
      <c r="D863" s="126"/>
      <c r="E863" s="88"/>
      <c r="F863" s="118"/>
      <c r="G863" s="46"/>
      <c r="H863" s="46"/>
      <c r="I863" s="118"/>
      <c r="J863" s="46"/>
      <c r="K863" s="16" t="str">
        <f>IF(J863&lt;&gt;"",SUMIFS('💰 Transaction ขาย'!$F:$F,'💰 Transaction ขาย'!$K:$K,$J863,'💰 Transaction ขาย'!$J:$J,$B$1),"")</f>
        <v/>
      </c>
      <c r="L863" s="118"/>
      <c r="M863" s="46"/>
      <c r="N863" s="46"/>
      <c r="O863" s="46"/>
      <c r="P863" s="118"/>
      <c r="Q863" s="46"/>
      <c r="R863" s="46"/>
      <c r="S863" s="46"/>
      <c r="T863" s="46"/>
      <c r="U863" s="118"/>
      <c r="V863" s="46"/>
      <c r="W863" s="88" t="str">
        <f>IF(V863&lt;&gt;"",SUMIFS('📊 รายงานสินค้าคงเหลือ'!G:G,'📊 รายงานสินค้าคงเหลือ'!D:D,V863),"")</f>
        <v/>
      </c>
      <c r="X863" s="46"/>
      <c r="Y863" s="46"/>
      <c r="Z863" s="46"/>
    </row>
    <row r="864">
      <c r="A864" s="46"/>
      <c r="B864" s="16"/>
      <c r="C864" s="118"/>
      <c r="D864" s="126"/>
      <c r="E864" s="88"/>
      <c r="F864" s="118"/>
      <c r="G864" s="46"/>
      <c r="H864" s="46"/>
      <c r="I864" s="118"/>
      <c r="J864" s="46"/>
      <c r="K864" s="16" t="str">
        <f>IF(J864&lt;&gt;"",SUMIFS('💰 Transaction ขาย'!$F:$F,'💰 Transaction ขาย'!$K:$K,$J864,'💰 Transaction ขาย'!$J:$J,$B$1),"")</f>
        <v/>
      </c>
      <c r="L864" s="118"/>
      <c r="M864" s="46"/>
      <c r="N864" s="46"/>
      <c r="O864" s="46"/>
      <c r="P864" s="118"/>
      <c r="Q864" s="46"/>
      <c r="R864" s="46"/>
      <c r="S864" s="46"/>
      <c r="T864" s="46"/>
      <c r="U864" s="118"/>
      <c r="V864" s="46"/>
      <c r="W864" s="88" t="str">
        <f>IF(V864&lt;&gt;"",SUMIFS('📊 รายงานสินค้าคงเหลือ'!G:G,'📊 รายงานสินค้าคงเหลือ'!D:D,V864),"")</f>
        <v/>
      </c>
      <c r="X864" s="46"/>
      <c r="Y864" s="46"/>
      <c r="Z864" s="46"/>
    </row>
    <row r="865">
      <c r="A865" s="46"/>
      <c r="B865" s="16"/>
      <c r="C865" s="118"/>
      <c r="D865" s="126"/>
      <c r="E865" s="88"/>
      <c r="F865" s="118"/>
      <c r="G865" s="46"/>
      <c r="H865" s="46"/>
      <c r="I865" s="118"/>
      <c r="J865" s="46"/>
      <c r="K865" s="16" t="str">
        <f>IF(J865&lt;&gt;"",SUMIFS('💰 Transaction ขาย'!$F:$F,'💰 Transaction ขาย'!$K:$K,$J865,'💰 Transaction ขาย'!$J:$J,$B$1),"")</f>
        <v/>
      </c>
      <c r="L865" s="118"/>
      <c r="M865" s="46"/>
      <c r="N865" s="46"/>
      <c r="O865" s="46"/>
      <c r="P865" s="118"/>
      <c r="Q865" s="46"/>
      <c r="R865" s="46"/>
      <c r="S865" s="46"/>
      <c r="T865" s="46"/>
      <c r="U865" s="118"/>
      <c r="V865" s="46"/>
      <c r="W865" s="88" t="str">
        <f>IF(V865&lt;&gt;"",SUMIFS('📊 รายงานสินค้าคงเหลือ'!G:G,'📊 รายงานสินค้าคงเหลือ'!D:D,V865),"")</f>
        <v/>
      </c>
      <c r="X865" s="46"/>
      <c r="Y865" s="46"/>
      <c r="Z865" s="46"/>
    </row>
    <row r="866">
      <c r="A866" s="46"/>
      <c r="B866" s="16"/>
      <c r="C866" s="118"/>
      <c r="D866" s="126"/>
      <c r="E866" s="88"/>
      <c r="F866" s="118"/>
      <c r="G866" s="46"/>
      <c r="H866" s="46"/>
      <c r="I866" s="118"/>
      <c r="J866" s="46"/>
      <c r="K866" s="16" t="str">
        <f>IF(J866&lt;&gt;"",SUMIFS('💰 Transaction ขาย'!$F:$F,'💰 Transaction ขาย'!$K:$K,$J866,'💰 Transaction ขาย'!$J:$J,$B$1),"")</f>
        <v/>
      </c>
      <c r="L866" s="118"/>
      <c r="M866" s="46"/>
      <c r="N866" s="46"/>
      <c r="O866" s="46"/>
      <c r="P866" s="118"/>
      <c r="Q866" s="46"/>
      <c r="R866" s="46"/>
      <c r="S866" s="46"/>
      <c r="T866" s="46"/>
      <c r="U866" s="118"/>
      <c r="V866" s="46"/>
      <c r="W866" s="88" t="str">
        <f>IF(V866&lt;&gt;"",SUMIFS('📊 รายงานสินค้าคงเหลือ'!G:G,'📊 รายงานสินค้าคงเหลือ'!D:D,V866),"")</f>
        <v/>
      </c>
      <c r="X866" s="46"/>
      <c r="Y866" s="46"/>
      <c r="Z866" s="46"/>
    </row>
    <row r="867">
      <c r="A867" s="46"/>
      <c r="B867" s="16"/>
      <c r="C867" s="118"/>
      <c r="D867" s="126"/>
      <c r="E867" s="88"/>
      <c r="F867" s="118"/>
      <c r="G867" s="46"/>
      <c r="H867" s="46"/>
      <c r="I867" s="118"/>
      <c r="J867" s="46"/>
      <c r="K867" s="16" t="str">
        <f>IF(J867&lt;&gt;"",SUMIFS('💰 Transaction ขาย'!$F:$F,'💰 Transaction ขาย'!$K:$K,$J867,'💰 Transaction ขาย'!$J:$J,$B$1),"")</f>
        <v/>
      </c>
      <c r="L867" s="118"/>
      <c r="M867" s="46"/>
      <c r="N867" s="46"/>
      <c r="O867" s="46"/>
      <c r="P867" s="118"/>
      <c r="Q867" s="46"/>
      <c r="R867" s="46"/>
      <c r="S867" s="46"/>
      <c r="T867" s="46"/>
      <c r="U867" s="118"/>
      <c r="V867" s="46"/>
      <c r="W867" s="88" t="str">
        <f>IF(V867&lt;&gt;"",SUMIFS('📊 รายงานสินค้าคงเหลือ'!G:G,'📊 รายงานสินค้าคงเหลือ'!D:D,V867),"")</f>
        <v/>
      </c>
      <c r="X867" s="46"/>
      <c r="Y867" s="46"/>
      <c r="Z867" s="46"/>
    </row>
    <row r="868">
      <c r="A868" s="46"/>
      <c r="B868" s="16"/>
      <c r="C868" s="118"/>
      <c r="D868" s="126"/>
      <c r="E868" s="88"/>
      <c r="F868" s="118"/>
      <c r="G868" s="46"/>
      <c r="H868" s="46"/>
      <c r="I868" s="118"/>
      <c r="J868" s="46"/>
      <c r="K868" s="16" t="str">
        <f>IF(J868&lt;&gt;"",SUMIFS('💰 Transaction ขาย'!$F:$F,'💰 Transaction ขาย'!$K:$K,$J868,'💰 Transaction ขาย'!$J:$J,$B$1),"")</f>
        <v/>
      </c>
      <c r="L868" s="118"/>
      <c r="M868" s="46"/>
      <c r="N868" s="46"/>
      <c r="O868" s="46"/>
      <c r="P868" s="118"/>
      <c r="Q868" s="46"/>
      <c r="R868" s="46"/>
      <c r="S868" s="46"/>
      <c r="T868" s="46"/>
      <c r="U868" s="118"/>
      <c r="V868" s="46"/>
      <c r="W868" s="88" t="str">
        <f>IF(V868&lt;&gt;"",SUMIFS('📊 รายงานสินค้าคงเหลือ'!G:G,'📊 รายงานสินค้าคงเหลือ'!D:D,V868),"")</f>
        <v/>
      </c>
      <c r="X868" s="46"/>
      <c r="Y868" s="46"/>
      <c r="Z868" s="46"/>
    </row>
    <row r="869">
      <c r="A869" s="46"/>
      <c r="B869" s="16"/>
      <c r="C869" s="118"/>
      <c r="D869" s="126"/>
      <c r="E869" s="88"/>
      <c r="F869" s="118"/>
      <c r="G869" s="46"/>
      <c r="H869" s="46"/>
      <c r="I869" s="118"/>
      <c r="J869" s="46"/>
      <c r="K869" s="16" t="str">
        <f>IF(J869&lt;&gt;"",SUMIFS('💰 Transaction ขาย'!$F:$F,'💰 Transaction ขาย'!$K:$K,$J869,'💰 Transaction ขาย'!$J:$J,$B$1),"")</f>
        <v/>
      </c>
      <c r="L869" s="118"/>
      <c r="M869" s="46"/>
      <c r="N869" s="46"/>
      <c r="O869" s="46"/>
      <c r="P869" s="118"/>
      <c r="Q869" s="46"/>
      <c r="R869" s="46"/>
      <c r="S869" s="46"/>
      <c r="T869" s="46"/>
      <c r="U869" s="118"/>
      <c r="V869" s="46"/>
      <c r="W869" s="88" t="str">
        <f>IF(V869&lt;&gt;"",SUMIFS('📊 รายงานสินค้าคงเหลือ'!G:G,'📊 รายงานสินค้าคงเหลือ'!D:D,V869),"")</f>
        <v/>
      </c>
      <c r="X869" s="46"/>
      <c r="Y869" s="46"/>
      <c r="Z869" s="46"/>
    </row>
    <row r="870">
      <c r="A870" s="46"/>
      <c r="B870" s="16"/>
      <c r="C870" s="118"/>
      <c r="D870" s="126"/>
      <c r="E870" s="88"/>
      <c r="F870" s="118"/>
      <c r="G870" s="46"/>
      <c r="H870" s="46"/>
      <c r="I870" s="118"/>
      <c r="J870" s="46"/>
      <c r="K870" s="16" t="str">
        <f>IF(J870&lt;&gt;"",SUMIFS('💰 Transaction ขาย'!$F:$F,'💰 Transaction ขาย'!$K:$K,$J870,'💰 Transaction ขาย'!$J:$J,$B$1),"")</f>
        <v/>
      </c>
      <c r="L870" s="118"/>
      <c r="M870" s="46"/>
      <c r="N870" s="46"/>
      <c r="O870" s="46"/>
      <c r="P870" s="118"/>
      <c r="Q870" s="46"/>
      <c r="R870" s="46"/>
      <c r="S870" s="46"/>
      <c r="T870" s="46"/>
      <c r="U870" s="118"/>
      <c r="V870" s="46"/>
      <c r="W870" s="88" t="str">
        <f>IF(V870&lt;&gt;"",SUMIFS('📊 รายงานสินค้าคงเหลือ'!G:G,'📊 รายงานสินค้าคงเหลือ'!D:D,V870),"")</f>
        <v/>
      </c>
      <c r="X870" s="46"/>
      <c r="Y870" s="46"/>
      <c r="Z870" s="46"/>
    </row>
    <row r="871">
      <c r="A871" s="46"/>
      <c r="B871" s="16"/>
      <c r="C871" s="118"/>
      <c r="D871" s="126"/>
      <c r="E871" s="88"/>
      <c r="F871" s="118"/>
      <c r="G871" s="46"/>
      <c r="H871" s="46"/>
      <c r="I871" s="118"/>
      <c r="J871" s="46"/>
      <c r="K871" s="16" t="str">
        <f>IF(J871&lt;&gt;"",SUMIFS('💰 Transaction ขาย'!$F:$F,'💰 Transaction ขาย'!$K:$K,$J871,'💰 Transaction ขาย'!$J:$J,$B$1),"")</f>
        <v/>
      </c>
      <c r="L871" s="118"/>
      <c r="M871" s="46"/>
      <c r="N871" s="46"/>
      <c r="O871" s="46"/>
      <c r="P871" s="118"/>
      <c r="Q871" s="46"/>
      <c r="R871" s="46"/>
      <c r="S871" s="46"/>
      <c r="T871" s="46"/>
      <c r="U871" s="118"/>
      <c r="V871" s="46"/>
      <c r="W871" s="88" t="str">
        <f>IF(V871&lt;&gt;"",SUMIFS('📊 รายงานสินค้าคงเหลือ'!G:G,'📊 รายงานสินค้าคงเหลือ'!D:D,V871),"")</f>
        <v/>
      </c>
      <c r="X871" s="46"/>
      <c r="Y871" s="46"/>
      <c r="Z871" s="46"/>
    </row>
    <row r="872">
      <c r="A872" s="46"/>
      <c r="B872" s="16"/>
      <c r="C872" s="118"/>
      <c r="D872" s="126"/>
      <c r="E872" s="88"/>
      <c r="F872" s="118"/>
      <c r="G872" s="46"/>
      <c r="H872" s="46"/>
      <c r="I872" s="118"/>
      <c r="J872" s="46"/>
      <c r="K872" s="16" t="str">
        <f>IF(J872&lt;&gt;"",SUMIFS('💰 Transaction ขาย'!$F:$F,'💰 Transaction ขาย'!$K:$K,$J872,'💰 Transaction ขาย'!$J:$J,$B$1),"")</f>
        <v/>
      </c>
      <c r="L872" s="118"/>
      <c r="M872" s="46"/>
      <c r="N872" s="46"/>
      <c r="O872" s="46"/>
      <c r="P872" s="118"/>
      <c r="Q872" s="46"/>
      <c r="R872" s="46"/>
      <c r="S872" s="46"/>
      <c r="T872" s="46"/>
      <c r="U872" s="118"/>
      <c r="V872" s="46"/>
      <c r="W872" s="88" t="str">
        <f>IF(V872&lt;&gt;"",SUMIFS('📊 รายงานสินค้าคงเหลือ'!G:G,'📊 รายงานสินค้าคงเหลือ'!D:D,V872),"")</f>
        <v/>
      </c>
      <c r="X872" s="46"/>
      <c r="Y872" s="46"/>
      <c r="Z872" s="46"/>
    </row>
    <row r="873">
      <c r="A873" s="46"/>
      <c r="B873" s="16"/>
      <c r="C873" s="118"/>
      <c r="D873" s="126"/>
      <c r="E873" s="88"/>
      <c r="F873" s="118"/>
      <c r="G873" s="46"/>
      <c r="H873" s="46"/>
      <c r="I873" s="118"/>
      <c r="J873" s="46"/>
      <c r="K873" s="16" t="str">
        <f>IF(J873&lt;&gt;"",SUMIFS('💰 Transaction ขาย'!$F:$F,'💰 Transaction ขาย'!$K:$K,$J873,'💰 Transaction ขาย'!$J:$J,$B$1),"")</f>
        <v/>
      </c>
      <c r="L873" s="118"/>
      <c r="M873" s="46"/>
      <c r="N873" s="46"/>
      <c r="O873" s="46"/>
      <c r="P873" s="118"/>
      <c r="Q873" s="46"/>
      <c r="R873" s="46"/>
      <c r="S873" s="46"/>
      <c r="T873" s="46"/>
      <c r="U873" s="118"/>
      <c r="V873" s="46"/>
      <c r="W873" s="88" t="str">
        <f>IF(V873&lt;&gt;"",SUMIFS('📊 รายงานสินค้าคงเหลือ'!G:G,'📊 รายงานสินค้าคงเหลือ'!D:D,V873),"")</f>
        <v/>
      </c>
      <c r="X873" s="46"/>
      <c r="Y873" s="46"/>
      <c r="Z873" s="46"/>
    </row>
    <row r="874">
      <c r="A874" s="46"/>
      <c r="B874" s="16"/>
      <c r="C874" s="118"/>
      <c r="D874" s="126"/>
      <c r="E874" s="88"/>
      <c r="F874" s="118"/>
      <c r="G874" s="46"/>
      <c r="H874" s="46"/>
      <c r="I874" s="118"/>
      <c r="J874" s="46"/>
      <c r="K874" s="16" t="str">
        <f>IF(J874&lt;&gt;"",SUMIFS('💰 Transaction ขาย'!$F:$F,'💰 Transaction ขาย'!$K:$K,$J874,'💰 Transaction ขาย'!$J:$J,$B$1),"")</f>
        <v/>
      </c>
      <c r="L874" s="118"/>
      <c r="M874" s="46"/>
      <c r="N874" s="46"/>
      <c r="O874" s="46"/>
      <c r="P874" s="118"/>
      <c r="Q874" s="46"/>
      <c r="R874" s="46"/>
      <c r="S874" s="46"/>
      <c r="T874" s="46"/>
      <c r="U874" s="118"/>
      <c r="V874" s="46"/>
      <c r="W874" s="88" t="str">
        <f>IF(V874&lt;&gt;"",SUMIFS('📊 รายงานสินค้าคงเหลือ'!G:G,'📊 รายงานสินค้าคงเหลือ'!D:D,V874),"")</f>
        <v/>
      </c>
      <c r="X874" s="46"/>
      <c r="Y874" s="46"/>
      <c r="Z874" s="46"/>
    </row>
    <row r="875">
      <c r="A875" s="46"/>
      <c r="B875" s="16"/>
      <c r="C875" s="118"/>
      <c r="D875" s="126"/>
      <c r="E875" s="88"/>
      <c r="F875" s="118"/>
      <c r="G875" s="46"/>
      <c r="H875" s="46"/>
      <c r="I875" s="118"/>
      <c r="J875" s="46"/>
      <c r="K875" s="16" t="str">
        <f>IF(J875&lt;&gt;"",SUMIFS('💰 Transaction ขาย'!$F:$F,'💰 Transaction ขาย'!$K:$K,$J875,'💰 Transaction ขาย'!$J:$J,$B$1),"")</f>
        <v/>
      </c>
      <c r="L875" s="118"/>
      <c r="M875" s="46"/>
      <c r="N875" s="46"/>
      <c r="O875" s="46"/>
      <c r="P875" s="118"/>
      <c r="Q875" s="46"/>
      <c r="R875" s="46"/>
      <c r="S875" s="46"/>
      <c r="T875" s="46"/>
      <c r="U875" s="118"/>
      <c r="V875" s="46"/>
      <c r="W875" s="88" t="str">
        <f>IF(V875&lt;&gt;"",SUMIFS('📊 รายงานสินค้าคงเหลือ'!G:G,'📊 รายงานสินค้าคงเหลือ'!D:D,V875),"")</f>
        <v/>
      </c>
      <c r="X875" s="46"/>
      <c r="Y875" s="46"/>
      <c r="Z875" s="46"/>
    </row>
    <row r="876">
      <c r="A876" s="46"/>
      <c r="B876" s="16"/>
      <c r="C876" s="118"/>
      <c r="D876" s="126"/>
      <c r="E876" s="88"/>
      <c r="F876" s="118"/>
      <c r="G876" s="46"/>
      <c r="H876" s="46"/>
      <c r="I876" s="118"/>
      <c r="J876" s="46"/>
      <c r="K876" s="16" t="str">
        <f>IF(J876&lt;&gt;"",SUMIFS('💰 Transaction ขาย'!$F:$F,'💰 Transaction ขาย'!$K:$K,$J876,'💰 Transaction ขาย'!$J:$J,$B$1),"")</f>
        <v/>
      </c>
      <c r="L876" s="118"/>
      <c r="M876" s="46"/>
      <c r="N876" s="46"/>
      <c r="O876" s="46"/>
      <c r="P876" s="118"/>
      <c r="Q876" s="46"/>
      <c r="R876" s="46"/>
      <c r="S876" s="46"/>
      <c r="T876" s="46"/>
      <c r="U876" s="118"/>
      <c r="V876" s="46"/>
      <c r="W876" s="88" t="str">
        <f>IF(V876&lt;&gt;"",SUMIFS('📊 รายงานสินค้าคงเหลือ'!G:G,'📊 รายงานสินค้าคงเหลือ'!D:D,V876),"")</f>
        <v/>
      </c>
      <c r="X876" s="46"/>
      <c r="Y876" s="46"/>
      <c r="Z876" s="46"/>
    </row>
    <row r="877">
      <c r="A877" s="46"/>
      <c r="B877" s="16"/>
      <c r="C877" s="118"/>
      <c r="D877" s="126"/>
      <c r="E877" s="88"/>
      <c r="F877" s="118"/>
      <c r="G877" s="46"/>
      <c r="H877" s="46"/>
      <c r="I877" s="118"/>
      <c r="J877" s="46"/>
      <c r="K877" s="16" t="str">
        <f>IF(J877&lt;&gt;"",SUMIFS('💰 Transaction ขาย'!$F:$F,'💰 Transaction ขาย'!$K:$K,$J877,'💰 Transaction ขาย'!$J:$J,$B$1),"")</f>
        <v/>
      </c>
      <c r="L877" s="118"/>
      <c r="M877" s="46"/>
      <c r="N877" s="46"/>
      <c r="O877" s="46"/>
      <c r="P877" s="118"/>
      <c r="Q877" s="46"/>
      <c r="R877" s="46"/>
      <c r="S877" s="46"/>
      <c r="T877" s="46"/>
      <c r="U877" s="118"/>
      <c r="V877" s="46"/>
      <c r="W877" s="88" t="str">
        <f>IF(V877&lt;&gt;"",SUMIFS('📊 รายงานสินค้าคงเหลือ'!G:G,'📊 รายงานสินค้าคงเหลือ'!D:D,V877),"")</f>
        <v/>
      </c>
      <c r="X877" s="46"/>
      <c r="Y877" s="46"/>
      <c r="Z877" s="46"/>
    </row>
    <row r="878">
      <c r="A878" s="46"/>
      <c r="B878" s="16"/>
      <c r="C878" s="118"/>
      <c r="D878" s="126"/>
      <c r="E878" s="88"/>
      <c r="F878" s="118"/>
      <c r="G878" s="46"/>
      <c r="H878" s="46"/>
      <c r="I878" s="118"/>
      <c r="J878" s="46"/>
      <c r="K878" s="16" t="str">
        <f>IF(J878&lt;&gt;"",SUMIFS('💰 Transaction ขาย'!$F:$F,'💰 Transaction ขาย'!$K:$K,$J878,'💰 Transaction ขาย'!$J:$J,$B$1),"")</f>
        <v/>
      </c>
      <c r="L878" s="118"/>
      <c r="M878" s="46"/>
      <c r="N878" s="46"/>
      <c r="O878" s="46"/>
      <c r="P878" s="118"/>
      <c r="Q878" s="46"/>
      <c r="R878" s="46"/>
      <c r="S878" s="46"/>
      <c r="T878" s="46"/>
      <c r="U878" s="118"/>
      <c r="V878" s="46"/>
      <c r="W878" s="88" t="str">
        <f>IF(V878&lt;&gt;"",SUMIFS('📊 รายงานสินค้าคงเหลือ'!G:G,'📊 รายงานสินค้าคงเหลือ'!D:D,V878),"")</f>
        <v/>
      </c>
      <c r="X878" s="46"/>
      <c r="Y878" s="46"/>
      <c r="Z878" s="46"/>
    </row>
    <row r="879">
      <c r="A879" s="46"/>
      <c r="B879" s="16"/>
      <c r="C879" s="118"/>
      <c r="D879" s="126"/>
      <c r="E879" s="88"/>
      <c r="F879" s="118"/>
      <c r="G879" s="46"/>
      <c r="H879" s="46"/>
      <c r="I879" s="118"/>
      <c r="J879" s="46"/>
      <c r="K879" s="16" t="str">
        <f>IF(J879&lt;&gt;"",SUMIFS('💰 Transaction ขาย'!$F:$F,'💰 Transaction ขาย'!$K:$K,$J879,'💰 Transaction ขาย'!$J:$J,$B$1),"")</f>
        <v/>
      </c>
      <c r="L879" s="118"/>
      <c r="M879" s="46"/>
      <c r="N879" s="46"/>
      <c r="O879" s="46"/>
      <c r="P879" s="118"/>
      <c r="Q879" s="46"/>
      <c r="R879" s="46"/>
      <c r="S879" s="46"/>
      <c r="T879" s="46"/>
      <c r="U879" s="118"/>
      <c r="V879" s="46"/>
      <c r="W879" s="88" t="str">
        <f>IF(V879&lt;&gt;"",SUMIFS('📊 รายงานสินค้าคงเหลือ'!G:G,'📊 รายงานสินค้าคงเหลือ'!D:D,V879),"")</f>
        <v/>
      </c>
      <c r="X879" s="46"/>
      <c r="Y879" s="46"/>
      <c r="Z879" s="46"/>
    </row>
    <row r="880">
      <c r="A880" s="46"/>
      <c r="B880" s="16"/>
      <c r="C880" s="118"/>
      <c r="D880" s="126"/>
      <c r="E880" s="88"/>
      <c r="F880" s="118"/>
      <c r="G880" s="46"/>
      <c r="H880" s="46"/>
      <c r="I880" s="118"/>
      <c r="J880" s="46"/>
      <c r="K880" s="16" t="str">
        <f>IF(J880&lt;&gt;"",SUMIFS('💰 Transaction ขาย'!$F:$F,'💰 Transaction ขาย'!$K:$K,$J880,'💰 Transaction ขาย'!$J:$J,$B$1),"")</f>
        <v/>
      </c>
      <c r="L880" s="118"/>
      <c r="M880" s="46"/>
      <c r="N880" s="46"/>
      <c r="O880" s="46"/>
      <c r="P880" s="118"/>
      <c r="Q880" s="46"/>
      <c r="R880" s="46"/>
      <c r="S880" s="46"/>
      <c r="T880" s="46"/>
      <c r="U880" s="118"/>
      <c r="V880" s="46"/>
      <c r="W880" s="88" t="str">
        <f>IF(V880&lt;&gt;"",SUMIFS('📊 รายงานสินค้าคงเหลือ'!G:G,'📊 รายงานสินค้าคงเหลือ'!D:D,V880),"")</f>
        <v/>
      </c>
      <c r="X880" s="46"/>
      <c r="Y880" s="46"/>
      <c r="Z880" s="46"/>
    </row>
    <row r="881">
      <c r="A881" s="46"/>
      <c r="B881" s="16"/>
      <c r="C881" s="118"/>
      <c r="D881" s="126"/>
      <c r="E881" s="88"/>
      <c r="F881" s="118"/>
      <c r="G881" s="46"/>
      <c r="H881" s="46"/>
      <c r="I881" s="118"/>
      <c r="J881" s="46"/>
      <c r="K881" s="16" t="str">
        <f>IF(J881&lt;&gt;"",SUMIFS('💰 Transaction ขาย'!$F:$F,'💰 Transaction ขาย'!$K:$K,$J881,'💰 Transaction ขาย'!$J:$J,$B$1),"")</f>
        <v/>
      </c>
      <c r="L881" s="118"/>
      <c r="M881" s="46"/>
      <c r="N881" s="46"/>
      <c r="O881" s="46"/>
      <c r="P881" s="118"/>
      <c r="Q881" s="46"/>
      <c r="R881" s="46"/>
      <c r="S881" s="46"/>
      <c r="T881" s="46"/>
      <c r="U881" s="118"/>
      <c r="V881" s="46"/>
      <c r="W881" s="88" t="str">
        <f>IF(V881&lt;&gt;"",SUMIFS('📊 รายงานสินค้าคงเหลือ'!G:G,'📊 รายงานสินค้าคงเหลือ'!D:D,V881),"")</f>
        <v/>
      </c>
      <c r="X881" s="46"/>
      <c r="Y881" s="46"/>
      <c r="Z881" s="46"/>
    </row>
    <row r="882">
      <c r="A882" s="46"/>
      <c r="B882" s="16"/>
      <c r="C882" s="118"/>
      <c r="D882" s="126"/>
      <c r="E882" s="88"/>
      <c r="F882" s="118"/>
      <c r="G882" s="46"/>
      <c r="H882" s="46"/>
      <c r="I882" s="118"/>
      <c r="J882" s="46"/>
      <c r="K882" s="16" t="str">
        <f>IF(J882&lt;&gt;"",SUMIFS('💰 Transaction ขาย'!$F:$F,'💰 Transaction ขาย'!$K:$K,$J882,'💰 Transaction ขาย'!$J:$J,$B$1),"")</f>
        <v/>
      </c>
      <c r="L882" s="118"/>
      <c r="M882" s="46"/>
      <c r="N882" s="46"/>
      <c r="O882" s="46"/>
      <c r="P882" s="118"/>
      <c r="Q882" s="46"/>
      <c r="R882" s="46"/>
      <c r="S882" s="46"/>
      <c r="T882" s="46"/>
      <c r="U882" s="118"/>
      <c r="V882" s="46"/>
      <c r="W882" s="88" t="str">
        <f>IF(V882&lt;&gt;"",SUMIFS('📊 รายงานสินค้าคงเหลือ'!G:G,'📊 รายงานสินค้าคงเหลือ'!D:D,V882),"")</f>
        <v/>
      </c>
      <c r="X882" s="46"/>
      <c r="Y882" s="46"/>
      <c r="Z882" s="46"/>
    </row>
    <row r="883">
      <c r="A883" s="46"/>
      <c r="B883" s="16"/>
      <c r="C883" s="118"/>
      <c r="D883" s="126"/>
      <c r="E883" s="88"/>
      <c r="F883" s="118"/>
      <c r="G883" s="46"/>
      <c r="H883" s="46"/>
      <c r="I883" s="118"/>
      <c r="J883" s="46"/>
      <c r="K883" s="16" t="str">
        <f>IF(J883&lt;&gt;"",SUMIFS('💰 Transaction ขาย'!$F:$F,'💰 Transaction ขาย'!$K:$K,$J883,'💰 Transaction ขาย'!$J:$J,$B$1),"")</f>
        <v/>
      </c>
      <c r="L883" s="118"/>
      <c r="M883" s="46"/>
      <c r="N883" s="46"/>
      <c r="O883" s="46"/>
      <c r="P883" s="118"/>
      <c r="Q883" s="46"/>
      <c r="R883" s="46"/>
      <c r="S883" s="46"/>
      <c r="T883" s="46"/>
      <c r="U883" s="118"/>
      <c r="V883" s="46"/>
      <c r="W883" s="88" t="str">
        <f>IF(V883&lt;&gt;"",SUMIFS('📊 รายงานสินค้าคงเหลือ'!G:G,'📊 รายงานสินค้าคงเหลือ'!D:D,V883),"")</f>
        <v/>
      </c>
      <c r="X883" s="46"/>
      <c r="Y883" s="46"/>
      <c r="Z883" s="46"/>
    </row>
    <row r="884">
      <c r="A884" s="46"/>
      <c r="B884" s="16"/>
      <c r="C884" s="118"/>
      <c r="D884" s="126"/>
      <c r="E884" s="88"/>
      <c r="F884" s="118"/>
      <c r="G884" s="46"/>
      <c r="H884" s="46"/>
      <c r="I884" s="118"/>
      <c r="J884" s="46"/>
      <c r="K884" s="16" t="str">
        <f>IF(J884&lt;&gt;"",SUMIFS('💰 Transaction ขาย'!$F:$F,'💰 Transaction ขาย'!$K:$K,$J884,'💰 Transaction ขาย'!$J:$J,$B$1),"")</f>
        <v/>
      </c>
      <c r="L884" s="118"/>
      <c r="M884" s="46"/>
      <c r="N884" s="46"/>
      <c r="O884" s="46"/>
      <c r="P884" s="118"/>
      <c r="Q884" s="46"/>
      <c r="R884" s="46"/>
      <c r="S884" s="46"/>
      <c r="T884" s="46"/>
      <c r="U884" s="118"/>
      <c r="V884" s="46"/>
      <c r="W884" s="88" t="str">
        <f>IF(V884&lt;&gt;"",SUMIFS('📊 รายงานสินค้าคงเหลือ'!G:G,'📊 รายงานสินค้าคงเหลือ'!D:D,V884),"")</f>
        <v/>
      </c>
      <c r="X884" s="46"/>
      <c r="Y884" s="46"/>
      <c r="Z884" s="46"/>
    </row>
    <row r="885">
      <c r="A885" s="46"/>
      <c r="B885" s="16"/>
      <c r="C885" s="118"/>
      <c r="D885" s="126"/>
      <c r="E885" s="88"/>
      <c r="F885" s="118"/>
      <c r="G885" s="46"/>
      <c r="H885" s="46"/>
      <c r="I885" s="118"/>
      <c r="J885" s="46"/>
      <c r="K885" s="16" t="str">
        <f>IF(J885&lt;&gt;"",SUMIFS('💰 Transaction ขาย'!$F:$F,'💰 Transaction ขาย'!$K:$K,$J885,'💰 Transaction ขาย'!$J:$J,$B$1),"")</f>
        <v/>
      </c>
      <c r="L885" s="118"/>
      <c r="M885" s="46"/>
      <c r="N885" s="46"/>
      <c r="O885" s="46"/>
      <c r="P885" s="118"/>
      <c r="Q885" s="46"/>
      <c r="R885" s="46"/>
      <c r="S885" s="46"/>
      <c r="T885" s="46"/>
      <c r="U885" s="118"/>
      <c r="V885" s="46"/>
      <c r="W885" s="88" t="str">
        <f>IF(V885&lt;&gt;"",SUMIFS('📊 รายงานสินค้าคงเหลือ'!G:G,'📊 รายงานสินค้าคงเหลือ'!D:D,V885),"")</f>
        <v/>
      </c>
      <c r="X885" s="46"/>
      <c r="Y885" s="46"/>
      <c r="Z885" s="46"/>
    </row>
    <row r="886">
      <c r="A886" s="46"/>
      <c r="B886" s="16"/>
      <c r="C886" s="118"/>
      <c r="D886" s="126"/>
      <c r="E886" s="88"/>
      <c r="F886" s="118"/>
      <c r="G886" s="46"/>
      <c r="H886" s="46"/>
      <c r="I886" s="118"/>
      <c r="J886" s="46"/>
      <c r="K886" s="16" t="str">
        <f>IF(J886&lt;&gt;"",SUMIFS('💰 Transaction ขาย'!$F:$F,'💰 Transaction ขาย'!$K:$K,$J886,'💰 Transaction ขาย'!$J:$J,$B$1),"")</f>
        <v/>
      </c>
      <c r="L886" s="118"/>
      <c r="M886" s="46"/>
      <c r="N886" s="46"/>
      <c r="O886" s="46"/>
      <c r="P886" s="118"/>
      <c r="Q886" s="46"/>
      <c r="R886" s="46"/>
      <c r="S886" s="46"/>
      <c r="T886" s="46"/>
      <c r="U886" s="118"/>
      <c r="V886" s="46"/>
      <c r="W886" s="88" t="str">
        <f>IF(V886&lt;&gt;"",SUMIFS('📊 รายงานสินค้าคงเหลือ'!G:G,'📊 รายงานสินค้าคงเหลือ'!D:D,V886),"")</f>
        <v/>
      </c>
      <c r="X886" s="46"/>
      <c r="Y886" s="46"/>
      <c r="Z886" s="46"/>
    </row>
    <row r="887">
      <c r="A887" s="46"/>
      <c r="B887" s="16"/>
      <c r="C887" s="118"/>
      <c r="D887" s="126"/>
      <c r="E887" s="88"/>
      <c r="F887" s="118"/>
      <c r="G887" s="46"/>
      <c r="H887" s="46"/>
      <c r="I887" s="118"/>
      <c r="J887" s="46"/>
      <c r="K887" s="16" t="str">
        <f>IF(J887&lt;&gt;"",SUMIFS('💰 Transaction ขาย'!$F:$F,'💰 Transaction ขาย'!$K:$K,$J887,'💰 Transaction ขาย'!$J:$J,$B$1),"")</f>
        <v/>
      </c>
      <c r="L887" s="118"/>
      <c r="M887" s="46"/>
      <c r="N887" s="46"/>
      <c r="O887" s="46"/>
      <c r="P887" s="118"/>
      <c r="Q887" s="46"/>
      <c r="R887" s="46"/>
      <c r="S887" s="46"/>
      <c r="T887" s="46"/>
      <c r="U887" s="118"/>
      <c r="V887" s="46"/>
      <c r="W887" s="88" t="str">
        <f>IF(V887&lt;&gt;"",SUMIFS('📊 รายงานสินค้าคงเหลือ'!G:G,'📊 รายงานสินค้าคงเหลือ'!D:D,V887),"")</f>
        <v/>
      </c>
      <c r="X887" s="46"/>
      <c r="Y887" s="46"/>
      <c r="Z887" s="46"/>
    </row>
    <row r="888">
      <c r="A888" s="46"/>
      <c r="B888" s="16"/>
      <c r="C888" s="118"/>
      <c r="D888" s="126"/>
      <c r="E888" s="88"/>
      <c r="F888" s="118"/>
      <c r="G888" s="46"/>
      <c r="H888" s="46"/>
      <c r="I888" s="118"/>
      <c r="J888" s="46"/>
      <c r="K888" s="16" t="str">
        <f>IF(J888&lt;&gt;"",SUMIFS('💰 Transaction ขาย'!$F:$F,'💰 Transaction ขาย'!$K:$K,$J888,'💰 Transaction ขาย'!$J:$J,$B$1),"")</f>
        <v/>
      </c>
      <c r="L888" s="118"/>
      <c r="M888" s="46"/>
      <c r="N888" s="46"/>
      <c r="O888" s="46"/>
      <c r="P888" s="118"/>
      <c r="Q888" s="46"/>
      <c r="R888" s="46"/>
      <c r="S888" s="46"/>
      <c r="T888" s="46"/>
      <c r="U888" s="118"/>
      <c r="V888" s="46"/>
      <c r="W888" s="88" t="str">
        <f>IF(V888&lt;&gt;"",SUMIFS('📊 รายงานสินค้าคงเหลือ'!G:G,'📊 รายงานสินค้าคงเหลือ'!D:D,V888),"")</f>
        <v/>
      </c>
      <c r="X888" s="46"/>
      <c r="Y888" s="46"/>
      <c r="Z888" s="46"/>
    </row>
    <row r="889">
      <c r="A889" s="46"/>
      <c r="B889" s="16"/>
      <c r="C889" s="118"/>
      <c r="D889" s="126"/>
      <c r="E889" s="88"/>
      <c r="F889" s="118"/>
      <c r="G889" s="46"/>
      <c r="H889" s="46"/>
      <c r="I889" s="118"/>
      <c r="J889" s="46"/>
      <c r="K889" s="16" t="str">
        <f>IF(J889&lt;&gt;"",SUMIFS('💰 Transaction ขาย'!$F:$F,'💰 Transaction ขาย'!$K:$K,$J889,'💰 Transaction ขาย'!$J:$J,$B$1),"")</f>
        <v/>
      </c>
      <c r="L889" s="118"/>
      <c r="M889" s="46"/>
      <c r="N889" s="46"/>
      <c r="O889" s="46"/>
      <c r="P889" s="118"/>
      <c r="Q889" s="46"/>
      <c r="R889" s="46"/>
      <c r="S889" s="46"/>
      <c r="T889" s="46"/>
      <c r="U889" s="118"/>
      <c r="V889" s="46"/>
      <c r="W889" s="88" t="str">
        <f>IF(V889&lt;&gt;"",SUMIFS('📊 รายงานสินค้าคงเหลือ'!G:G,'📊 รายงานสินค้าคงเหลือ'!D:D,V889),"")</f>
        <v/>
      </c>
      <c r="X889" s="46"/>
      <c r="Y889" s="46"/>
      <c r="Z889" s="46"/>
    </row>
    <row r="890">
      <c r="A890" s="46"/>
      <c r="B890" s="16"/>
      <c r="C890" s="118"/>
      <c r="D890" s="126"/>
      <c r="E890" s="88"/>
      <c r="F890" s="118"/>
      <c r="G890" s="46"/>
      <c r="H890" s="46"/>
      <c r="I890" s="118"/>
      <c r="J890" s="46"/>
      <c r="K890" s="16" t="str">
        <f>IF(J890&lt;&gt;"",SUMIFS('💰 Transaction ขาย'!$F:$F,'💰 Transaction ขาย'!$K:$K,$J890,'💰 Transaction ขาย'!$J:$J,$B$1),"")</f>
        <v/>
      </c>
      <c r="L890" s="118"/>
      <c r="M890" s="46"/>
      <c r="N890" s="46"/>
      <c r="O890" s="46"/>
      <c r="P890" s="118"/>
      <c r="Q890" s="46"/>
      <c r="R890" s="46"/>
      <c r="S890" s="46"/>
      <c r="T890" s="46"/>
      <c r="U890" s="118"/>
      <c r="V890" s="46"/>
      <c r="W890" s="88" t="str">
        <f>IF(V890&lt;&gt;"",SUMIFS('📊 รายงานสินค้าคงเหลือ'!G:G,'📊 รายงานสินค้าคงเหลือ'!D:D,V890),"")</f>
        <v/>
      </c>
      <c r="X890" s="46"/>
      <c r="Y890" s="46"/>
      <c r="Z890" s="46"/>
    </row>
    <row r="891">
      <c r="A891" s="46"/>
      <c r="B891" s="16"/>
      <c r="C891" s="118"/>
      <c r="D891" s="126"/>
      <c r="E891" s="88"/>
      <c r="F891" s="118"/>
      <c r="G891" s="46"/>
      <c r="H891" s="46"/>
      <c r="I891" s="118"/>
      <c r="J891" s="46"/>
      <c r="K891" s="16" t="str">
        <f>IF(J891&lt;&gt;"",SUMIFS('💰 Transaction ขาย'!$F:$F,'💰 Transaction ขาย'!$K:$K,$J891,'💰 Transaction ขาย'!$J:$J,$B$1),"")</f>
        <v/>
      </c>
      <c r="L891" s="118"/>
      <c r="M891" s="46"/>
      <c r="N891" s="46"/>
      <c r="O891" s="46"/>
      <c r="P891" s="118"/>
      <c r="Q891" s="46"/>
      <c r="R891" s="46"/>
      <c r="S891" s="46"/>
      <c r="T891" s="46"/>
      <c r="U891" s="118"/>
      <c r="V891" s="46"/>
      <c r="W891" s="88" t="str">
        <f>IF(V891&lt;&gt;"",SUMIFS('📊 รายงานสินค้าคงเหลือ'!G:G,'📊 รายงานสินค้าคงเหลือ'!D:D,V891),"")</f>
        <v/>
      </c>
      <c r="X891" s="46"/>
      <c r="Y891" s="46"/>
      <c r="Z891" s="46"/>
    </row>
    <row r="892">
      <c r="A892" s="46"/>
      <c r="B892" s="16"/>
      <c r="C892" s="118"/>
      <c r="D892" s="126"/>
      <c r="E892" s="88"/>
      <c r="F892" s="118"/>
      <c r="G892" s="46"/>
      <c r="H892" s="46"/>
      <c r="I892" s="118"/>
      <c r="J892" s="46"/>
      <c r="K892" s="16" t="str">
        <f>IF(J892&lt;&gt;"",SUMIFS('💰 Transaction ขาย'!$F:$F,'💰 Transaction ขาย'!$K:$K,$J892,'💰 Transaction ขาย'!$J:$J,$B$1),"")</f>
        <v/>
      </c>
      <c r="L892" s="118"/>
      <c r="M892" s="46"/>
      <c r="N892" s="46"/>
      <c r="O892" s="46"/>
      <c r="P892" s="118"/>
      <c r="Q892" s="46"/>
      <c r="R892" s="46"/>
      <c r="S892" s="46"/>
      <c r="T892" s="46"/>
      <c r="U892" s="118"/>
      <c r="V892" s="46"/>
      <c r="W892" s="88" t="str">
        <f>IF(V892&lt;&gt;"",SUMIFS('📊 รายงานสินค้าคงเหลือ'!G:G,'📊 รายงานสินค้าคงเหลือ'!D:D,V892),"")</f>
        <v/>
      </c>
      <c r="X892" s="46"/>
      <c r="Y892" s="46"/>
      <c r="Z892" s="46"/>
    </row>
    <row r="893">
      <c r="A893" s="46"/>
      <c r="B893" s="16"/>
      <c r="C893" s="118"/>
      <c r="D893" s="126"/>
      <c r="E893" s="88"/>
      <c r="F893" s="118"/>
      <c r="G893" s="46"/>
      <c r="H893" s="46"/>
      <c r="I893" s="118"/>
      <c r="J893" s="46"/>
      <c r="K893" s="16" t="str">
        <f>IF(J893&lt;&gt;"",SUMIFS('💰 Transaction ขาย'!$F:$F,'💰 Transaction ขาย'!$K:$K,$J893,'💰 Transaction ขาย'!$J:$J,$B$1),"")</f>
        <v/>
      </c>
      <c r="L893" s="118"/>
      <c r="M893" s="46"/>
      <c r="N893" s="46"/>
      <c r="O893" s="46"/>
      <c r="P893" s="118"/>
      <c r="Q893" s="46"/>
      <c r="R893" s="46"/>
      <c r="S893" s="46"/>
      <c r="T893" s="46"/>
      <c r="U893" s="118"/>
      <c r="V893" s="46"/>
      <c r="W893" s="88" t="str">
        <f>IF(V893&lt;&gt;"",SUMIFS('📊 รายงานสินค้าคงเหลือ'!G:G,'📊 รายงานสินค้าคงเหลือ'!D:D,V893),"")</f>
        <v/>
      </c>
      <c r="X893" s="46"/>
      <c r="Y893" s="46"/>
      <c r="Z893" s="46"/>
    </row>
    <row r="894">
      <c r="A894" s="46"/>
      <c r="B894" s="16"/>
      <c r="C894" s="118"/>
      <c r="D894" s="126"/>
      <c r="E894" s="88"/>
      <c r="F894" s="118"/>
      <c r="G894" s="46"/>
      <c r="H894" s="46"/>
      <c r="I894" s="118"/>
      <c r="J894" s="46"/>
      <c r="K894" s="16" t="str">
        <f>IF(J894&lt;&gt;"",SUMIFS('💰 Transaction ขาย'!$F:$F,'💰 Transaction ขาย'!$K:$K,$J894,'💰 Transaction ขาย'!$J:$J,$B$1),"")</f>
        <v/>
      </c>
      <c r="L894" s="118"/>
      <c r="M894" s="46"/>
      <c r="N894" s="46"/>
      <c r="O894" s="46"/>
      <c r="P894" s="118"/>
      <c r="Q894" s="46"/>
      <c r="R894" s="46"/>
      <c r="S894" s="46"/>
      <c r="T894" s="46"/>
      <c r="U894" s="118"/>
      <c r="V894" s="46"/>
      <c r="W894" s="88" t="str">
        <f>IF(V894&lt;&gt;"",SUMIFS('📊 รายงานสินค้าคงเหลือ'!G:G,'📊 รายงานสินค้าคงเหลือ'!D:D,V894),"")</f>
        <v/>
      </c>
      <c r="X894" s="46"/>
      <c r="Y894" s="46"/>
      <c r="Z894" s="46"/>
    </row>
    <row r="895">
      <c r="A895" s="46"/>
      <c r="B895" s="16"/>
      <c r="C895" s="118"/>
      <c r="D895" s="126"/>
      <c r="E895" s="88"/>
      <c r="F895" s="118"/>
      <c r="G895" s="46"/>
      <c r="H895" s="46"/>
      <c r="I895" s="118"/>
      <c r="J895" s="46"/>
      <c r="K895" s="16" t="str">
        <f>IF(J895&lt;&gt;"",SUMIFS('💰 Transaction ขาย'!$F:$F,'💰 Transaction ขาย'!$K:$K,$J895,'💰 Transaction ขาย'!$J:$J,$B$1),"")</f>
        <v/>
      </c>
      <c r="L895" s="118"/>
      <c r="M895" s="46"/>
      <c r="N895" s="46"/>
      <c r="O895" s="46"/>
      <c r="P895" s="118"/>
      <c r="Q895" s="46"/>
      <c r="R895" s="46"/>
      <c r="S895" s="46"/>
      <c r="T895" s="46"/>
      <c r="U895" s="118"/>
      <c r="V895" s="46"/>
      <c r="W895" s="88" t="str">
        <f>IF(V895&lt;&gt;"",SUMIFS('📊 รายงานสินค้าคงเหลือ'!G:G,'📊 รายงานสินค้าคงเหลือ'!D:D,V895),"")</f>
        <v/>
      </c>
      <c r="X895" s="46"/>
      <c r="Y895" s="46"/>
      <c r="Z895" s="46"/>
    </row>
    <row r="896">
      <c r="A896" s="46"/>
      <c r="B896" s="16"/>
      <c r="C896" s="118"/>
      <c r="D896" s="126"/>
      <c r="E896" s="88"/>
      <c r="F896" s="118"/>
      <c r="G896" s="46"/>
      <c r="H896" s="46"/>
      <c r="I896" s="118"/>
      <c r="J896" s="46"/>
      <c r="K896" s="16" t="str">
        <f>IF(J896&lt;&gt;"",SUMIFS('💰 Transaction ขาย'!$F:$F,'💰 Transaction ขาย'!$K:$K,$J896,'💰 Transaction ขาย'!$J:$J,$B$1),"")</f>
        <v/>
      </c>
      <c r="L896" s="118"/>
      <c r="M896" s="46"/>
      <c r="N896" s="46"/>
      <c r="O896" s="46"/>
      <c r="P896" s="118"/>
      <c r="Q896" s="46"/>
      <c r="R896" s="46"/>
      <c r="S896" s="46"/>
      <c r="T896" s="46"/>
      <c r="U896" s="118"/>
      <c r="V896" s="46"/>
      <c r="W896" s="88" t="str">
        <f>IF(V896&lt;&gt;"",SUMIFS('📊 รายงานสินค้าคงเหลือ'!G:G,'📊 รายงานสินค้าคงเหลือ'!D:D,V896),"")</f>
        <v/>
      </c>
      <c r="X896" s="46"/>
      <c r="Y896" s="46"/>
      <c r="Z896" s="46"/>
    </row>
    <row r="897">
      <c r="A897" s="46"/>
      <c r="B897" s="16"/>
      <c r="C897" s="118"/>
      <c r="D897" s="126"/>
      <c r="E897" s="88"/>
      <c r="F897" s="118"/>
      <c r="G897" s="46"/>
      <c r="H897" s="46"/>
      <c r="I897" s="118"/>
      <c r="J897" s="46"/>
      <c r="K897" s="16" t="str">
        <f>IF(J897&lt;&gt;"",SUMIFS('💰 Transaction ขาย'!$F:$F,'💰 Transaction ขาย'!$K:$K,$J897,'💰 Transaction ขาย'!$J:$J,$B$1),"")</f>
        <v/>
      </c>
      <c r="L897" s="118"/>
      <c r="M897" s="46"/>
      <c r="N897" s="46"/>
      <c r="O897" s="46"/>
      <c r="P897" s="118"/>
      <c r="Q897" s="46"/>
      <c r="R897" s="46"/>
      <c r="S897" s="46"/>
      <c r="T897" s="46"/>
      <c r="U897" s="118"/>
      <c r="V897" s="46"/>
      <c r="W897" s="88" t="str">
        <f>IF(V897&lt;&gt;"",SUMIFS('📊 รายงานสินค้าคงเหลือ'!G:G,'📊 รายงานสินค้าคงเหลือ'!D:D,V897),"")</f>
        <v/>
      </c>
      <c r="X897" s="46"/>
      <c r="Y897" s="46"/>
      <c r="Z897" s="46"/>
    </row>
    <row r="898">
      <c r="A898" s="46"/>
      <c r="B898" s="16"/>
      <c r="C898" s="118"/>
      <c r="D898" s="126"/>
      <c r="E898" s="88"/>
      <c r="F898" s="118"/>
      <c r="G898" s="46"/>
      <c r="H898" s="46"/>
      <c r="I898" s="118"/>
      <c r="J898" s="46"/>
      <c r="K898" s="16" t="str">
        <f>IF(J898&lt;&gt;"",SUMIFS('💰 Transaction ขาย'!$F:$F,'💰 Transaction ขาย'!$K:$K,$J898,'💰 Transaction ขาย'!$J:$J,$B$1),"")</f>
        <v/>
      </c>
      <c r="L898" s="118"/>
      <c r="M898" s="46"/>
      <c r="N898" s="46"/>
      <c r="O898" s="46"/>
      <c r="P898" s="118"/>
      <c r="Q898" s="46"/>
      <c r="R898" s="46"/>
      <c r="S898" s="46"/>
      <c r="T898" s="46"/>
      <c r="U898" s="118"/>
      <c r="V898" s="46"/>
      <c r="W898" s="88" t="str">
        <f>IF(V898&lt;&gt;"",SUMIFS('📊 รายงานสินค้าคงเหลือ'!G:G,'📊 รายงานสินค้าคงเหลือ'!D:D,V898),"")</f>
        <v/>
      </c>
      <c r="X898" s="46"/>
      <c r="Y898" s="46"/>
      <c r="Z898" s="46"/>
    </row>
    <row r="899">
      <c r="A899" s="46"/>
      <c r="B899" s="16"/>
      <c r="C899" s="118"/>
      <c r="D899" s="126"/>
      <c r="E899" s="88"/>
      <c r="F899" s="118"/>
      <c r="G899" s="46"/>
      <c r="H899" s="46"/>
      <c r="I899" s="118"/>
      <c r="J899" s="46"/>
      <c r="K899" s="16" t="str">
        <f>IF(J899&lt;&gt;"",SUMIFS('💰 Transaction ขาย'!$F:$F,'💰 Transaction ขาย'!$K:$K,$J899,'💰 Transaction ขาย'!$J:$J,$B$1),"")</f>
        <v/>
      </c>
      <c r="L899" s="118"/>
      <c r="M899" s="46"/>
      <c r="N899" s="46"/>
      <c r="O899" s="46"/>
      <c r="P899" s="118"/>
      <c r="Q899" s="46"/>
      <c r="R899" s="46"/>
      <c r="S899" s="46"/>
      <c r="T899" s="46"/>
      <c r="U899" s="118"/>
      <c r="V899" s="46"/>
      <c r="W899" s="88" t="str">
        <f>IF(V899&lt;&gt;"",SUMIFS('📊 รายงานสินค้าคงเหลือ'!G:G,'📊 รายงานสินค้าคงเหลือ'!D:D,V899),"")</f>
        <v/>
      </c>
      <c r="X899" s="46"/>
      <c r="Y899" s="46"/>
      <c r="Z899" s="46"/>
    </row>
    <row r="900">
      <c r="A900" s="46"/>
      <c r="B900" s="16"/>
      <c r="C900" s="118"/>
      <c r="D900" s="126"/>
      <c r="E900" s="88"/>
      <c r="F900" s="118"/>
      <c r="G900" s="46"/>
      <c r="H900" s="46"/>
      <c r="I900" s="118"/>
      <c r="J900" s="46"/>
      <c r="K900" s="16" t="str">
        <f>IF(J900&lt;&gt;"",SUMIFS('💰 Transaction ขาย'!$F:$F,'💰 Transaction ขาย'!$K:$K,$J900,'💰 Transaction ขาย'!$J:$J,$B$1),"")</f>
        <v/>
      </c>
      <c r="L900" s="118"/>
      <c r="M900" s="46"/>
      <c r="N900" s="46"/>
      <c r="O900" s="46"/>
      <c r="P900" s="118"/>
      <c r="Q900" s="46"/>
      <c r="R900" s="46"/>
      <c r="S900" s="46"/>
      <c r="T900" s="46"/>
      <c r="U900" s="118"/>
      <c r="V900" s="46"/>
      <c r="W900" s="88" t="str">
        <f>IF(V900&lt;&gt;"",SUMIFS('📊 รายงานสินค้าคงเหลือ'!G:G,'📊 รายงานสินค้าคงเหลือ'!D:D,V900),"")</f>
        <v/>
      </c>
      <c r="X900" s="46"/>
      <c r="Y900" s="46"/>
      <c r="Z900" s="46"/>
    </row>
    <row r="901">
      <c r="A901" s="46"/>
      <c r="B901" s="16"/>
      <c r="C901" s="118"/>
      <c r="D901" s="126"/>
      <c r="E901" s="88"/>
      <c r="F901" s="118"/>
      <c r="G901" s="46"/>
      <c r="H901" s="46"/>
      <c r="I901" s="118"/>
      <c r="J901" s="46"/>
      <c r="K901" s="16" t="str">
        <f>IF(J901&lt;&gt;"",SUMIFS('💰 Transaction ขาย'!$F:$F,'💰 Transaction ขาย'!$K:$K,$J901,'💰 Transaction ขาย'!$J:$J,$B$1),"")</f>
        <v/>
      </c>
      <c r="L901" s="118"/>
      <c r="M901" s="46"/>
      <c r="N901" s="46"/>
      <c r="O901" s="46"/>
      <c r="P901" s="118"/>
      <c r="Q901" s="46"/>
      <c r="R901" s="46"/>
      <c r="S901" s="46"/>
      <c r="T901" s="46"/>
      <c r="U901" s="118"/>
      <c r="V901" s="46"/>
      <c r="W901" s="88" t="str">
        <f>IF(V901&lt;&gt;"",SUMIFS('📊 รายงานสินค้าคงเหลือ'!G:G,'📊 รายงานสินค้าคงเหลือ'!D:D,V901),"")</f>
        <v/>
      </c>
      <c r="X901" s="46"/>
      <c r="Y901" s="46"/>
      <c r="Z901" s="46"/>
    </row>
    <row r="902">
      <c r="A902" s="46"/>
      <c r="B902" s="16"/>
      <c r="C902" s="118"/>
      <c r="D902" s="126"/>
      <c r="E902" s="88"/>
      <c r="F902" s="118"/>
      <c r="G902" s="46"/>
      <c r="H902" s="46"/>
      <c r="I902" s="118"/>
      <c r="J902" s="46"/>
      <c r="K902" s="16" t="str">
        <f>IF(J902&lt;&gt;"",SUMIFS('💰 Transaction ขาย'!$F:$F,'💰 Transaction ขาย'!$K:$K,$J902,'💰 Transaction ขาย'!$J:$J,$B$1),"")</f>
        <v/>
      </c>
      <c r="L902" s="118"/>
      <c r="M902" s="46"/>
      <c r="N902" s="46"/>
      <c r="O902" s="46"/>
      <c r="P902" s="118"/>
      <c r="Q902" s="46"/>
      <c r="R902" s="46"/>
      <c r="S902" s="46"/>
      <c r="T902" s="46"/>
      <c r="U902" s="118"/>
      <c r="V902" s="46"/>
      <c r="W902" s="88" t="str">
        <f>IF(V902&lt;&gt;"",SUMIFS('📊 รายงานสินค้าคงเหลือ'!G:G,'📊 รายงานสินค้าคงเหลือ'!D:D,V902),"")</f>
        <v/>
      </c>
      <c r="X902" s="46"/>
      <c r="Y902" s="46"/>
      <c r="Z902" s="46"/>
    </row>
    <row r="903">
      <c r="A903" s="46"/>
      <c r="B903" s="16"/>
      <c r="C903" s="118"/>
      <c r="D903" s="126"/>
      <c r="E903" s="88"/>
      <c r="F903" s="118"/>
      <c r="G903" s="46"/>
      <c r="H903" s="46"/>
      <c r="I903" s="118"/>
      <c r="J903" s="46"/>
      <c r="K903" s="16" t="str">
        <f>IF(J903&lt;&gt;"",SUMIFS('💰 Transaction ขาย'!$F:$F,'💰 Transaction ขาย'!$K:$K,$J903,'💰 Transaction ขาย'!$J:$J,$B$1),"")</f>
        <v/>
      </c>
      <c r="L903" s="118"/>
      <c r="M903" s="46"/>
      <c r="N903" s="46"/>
      <c r="O903" s="46"/>
      <c r="P903" s="118"/>
      <c r="Q903" s="46"/>
      <c r="R903" s="46"/>
      <c r="S903" s="46"/>
      <c r="T903" s="46"/>
      <c r="U903" s="118"/>
      <c r="V903" s="46"/>
      <c r="W903" s="88" t="str">
        <f>IF(V903&lt;&gt;"",SUMIFS('📊 รายงานสินค้าคงเหลือ'!G:G,'📊 รายงานสินค้าคงเหลือ'!D:D,V903),"")</f>
        <v/>
      </c>
      <c r="X903" s="46"/>
      <c r="Y903" s="46"/>
      <c r="Z903" s="46"/>
    </row>
    <row r="904">
      <c r="A904" s="46"/>
      <c r="B904" s="16"/>
      <c r="C904" s="118"/>
      <c r="D904" s="126"/>
      <c r="E904" s="88"/>
      <c r="F904" s="118"/>
      <c r="G904" s="46"/>
      <c r="H904" s="46"/>
      <c r="I904" s="118"/>
      <c r="J904" s="46"/>
      <c r="K904" s="16" t="str">
        <f>IF(J904&lt;&gt;"",SUMIFS('💰 Transaction ขาย'!$F:$F,'💰 Transaction ขาย'!$K:$K,$J904,'💰 Transaction ขาย'!$J:$J,$B$1),"")</f>
        <v/>
      </c>
      <c r="L904" s="118"/>
      <c r="M904" s="46"/>
      <c r="N904" s="46"/>
      <c r="O904" s="46"/>
      <c r="P904" s="118"/>
      <c r="Q904" s="46"/>
      <c r="R904" s="46"/>
      <c r="S904" s="46"/>
      <c r="T904" s="46"/>
      <c r="U904" s="118"/>
      <c r="V904" s="46"/>
      <c r="W904" s="88" t="str">
        <f>IF(V904&lt;&gt;"",SUMIFS('📊 รายงานสินค้าคงเหลือ'!G:G,'📊 รายงานสินค้าคงเหลือ'!D:D,V904),"")</f>
        <v/>
      </c>
      <c r="X904" s="46"/>
      <c r="Y904" s="46"/>
      <c r="Z904" s="46"/>
    </row>
    <row r="905">
      <c r="A905" s="46"/>
      <c r="B905" s="16"/>
      <c r="C905" s="118"/>
      <c r="D905" s="126"/>
      <c r="E905" s="88"/>
      <c r="F905" s="118"/>
      <c r="G905" s="46"/>
      <c r="H905" s="46"/>
      <c r="I905" s="118"/>
      <c r="J905" s="46"/>
      <c r="K905" s="16" t="str">
        <f>IF(J905&lt;&gt;"",SUMIFS('💰 Transaction ขาย'!$F:$F,'💰 Transaction ขาย'!$K:$K,$J905,'💰 Transaction ขาย'!$J:$J,$B$1),"")</f>
        <v/>
      </c>
      <c r="L905" s="118"/>
      <c r="M905" s="46"/>
      <c r="N905" s="46"/>
      <c r="O905" s="46"/>
      <c r="P905" s="118"/>
      <c r="Q905" s="46"/>
      <c r="R905" s="46"/>
      <c r="S905" s="46"/>
      <c r="T905" s="46"/>
      <c r="U905" s="118"/>
      <c r="V905" s="46"/>
      <c r="W905" s="88" t="str">
        <f>IF(V905&lt;&gt;"",SUMIFS('📊 รายงานสินค้าคงเหลือ'!G:G,'📊 รายงานสินค้าคงเหลือ'!D:D,V905),"")</f>
        <v/>
      </c>
      <c r="X905" s="46"/>
      <c r="Y905" s="46"/>
      <c r="Z905" s="46"/>
    </row>
    <row r="906">
      <c r="A906" s="46"/>
      <c r="B906" s="16"/>
      <c r="C906" s="118"/>
      <c r="D906" s="126"/>
      <c r="E906" s="88"/>
      <c r="F906" s="118"/>
      <c r="G906" s="46"/>
      <c r="H906" s="46"/>
      <c r="I906" s="118"/>
      <c r="J906" s="46"/>
      <c r="K906" s="16" t="str">
        <f>IF(J906&lt;&gt;"",SUMIFS('💰 Transaction ขาย'!$F:$F,'💰 Transaction ขาย'!$K:$K,$J906,'💰 Transaction ขาย'!$J:$J,$B$1),"")</f>
        <v/>
      </c>
      <c r="L906" s="118"/>
      <c r="M906" s="46"/>
      <c r="N906" s="46"/>
      <c r="O906" s="46"/>
      <c r="P906" s="118"/>
      <c r="Q906" s="46"/>
      <c r="R906" s="46"/>
      <c r="S906" s="46"/>
      <c r="T906" s="46"/>
      <c r="U906" s="118"/>
      <c r="V906" s="46"/>
      <c r="W906" s="88" t="str">
        <f>IF(V906&lt;&gt;"",SUMIFS('📊 รายงานสินค้าคงเหลือ'!G:G,'📊 รายงานสินค้าคงเหลือ'!D:D,V906),"")</f>
        <v/>
      </c>
      <c r="X906" s="46"/>
      <c r="Y906" s="46"/>
      <c r="Z906" s="46"/>
    </row>
    <row r="907">
      <c r="A907" s="46"/>
      <c r="B907" s="16"/>
      <c r="C907" s="118"/>
      <c r="D907" s="126"/>
      <c r="E907" s="88"/>
      <c r="F907" s="118"/>
      <c r="G907" s="46"/>
      <c r="H907" s="46"/>
      <c r="I907" s="118"/>
      <c r="J907" s="46"/>
      <c r="K907" s="16" t="str">
        <f>IF(J907&lt;&gt;"",SUMIFS('💰 Transaction ขาย'!$F:$F,'💰 Transaction ขาย'!$K:$K,$J907,'💰 Transaction ขาย'!$J:$J,$B$1),"")</f>
        <v/>
      </c>
      <c r="L907" s="118"/>
      <c r="M907" s="46"/>
      <c r="N907" s="46"/>
      <c r="O907" s="46"/>
      <c r="P907" s="118"/>
      <c r="Q907" s="46"/>
      <c r="R907" s="46"/>
      <c r="S907" s="46"/>
      <c r="T907" s="46"/>
      <c r="U907" s="118"/>
      <c r="V907" s="46"/>
      <c r="W907" s="88" t="str">
        <f>IF(V907&lt;&gt;"",SUMIFS('📊 รายงานสินค้าคงเหลือ'!G:G,'📊 รายงานสินค้าคงเหลือ'!D:D,V907),"")</f>
        <v/>
      </c>
      <c r="X907" s="46"/>
      <c r="Y907" s="46"/>
      <c r="Z907" s="46"/>
    </row>
    <row r="908">
      <c r="A908" s="46"/>
      <c r="B908" s="16"/>
      <c r="C908" s="118"/>
      <c r="D908" s="126"/>
      <c r="E908" s="88"/>
      <c r="F908" s="118"/>
      <c r="G908" s="46"/>
      <c r="H908" s="46"/>
      <c r="I908" s="118"/>
      <c r="J908" s="46"/>
      <c r="K908" s="16" t="str">
        <f>IF(J908&lt;&gt;"",SUMIFS('💰 Transaction ขาย'!$F:$F,'💰 Transaction ขาย'!$K:$K,$J908,'💰 Transaction ขาย'!$J:$J,$B$1),"")</f>
        <v/>
      </c>
      <c r="L908" s="118"/>
      <c r="M908" s="46"/>
      <c r="N908" s="46"/>
      <c r="O908" s="46"/>
      <c r="P908" s="118"/>
      <c r="Q908" s="46"/>
      <c r="R908" s="46"/>
      <c r="S908" s="46"/>
      <c r="T908" s="46"/>
      <c r="U908" s="118"/>
      <c r="V908" s="46"/>
      <c r="W908" s="88" t="str">
        <f>IF(V908&lt;&gt;"",SUMIFS('📊 รายงานสินค้าคงเหลือ'!G:G,'📊 รายงานสินค้าคงเหลือ'!D:D,V908),"")</f>
        <v/>
      </c>
      <c r="X908" s="46"/>
      <c r="Y908" s="46"/>
      <c r="Z908" s="46"/>
    </row>
    <row r="909">
      <c r="A909" s="46"/>
      <c r="B909" s="16"/>
      <c r="C909" s="118"/>
      <c r="D909" s="126"/>
      <c r="E909" s="88"/>
      <c r="F909" s="118"/>
      <c r="G909" s="46"/>
      <c r="H909" s="46"/>
      <c r="I909" s="118"/>
      <c r="J909" s="46"/>
      <c r="K909" s="16" t="str">
        <f>IF(J909&lt;&gt;"",SUMIFS('💰 Transaction ขาย'!$F:$F,'💰 Transaction ขาย'!$K:$K,$J909,'💰 Transaction ขาย'!$J:$J,$B$1),"")</f>
        <v/>
      </c>
      <c r="L909" s="118"/>
      <c r="M909" s="46"/>
      <c r="N909" s="46"/>
      <c r="O909" s="46"/>
      <c r="P909" s="118"/>
      <c r="Q909" s="46"/>
      <c r="R909" s="46"/>
      <c r="S909" s="46"/>
      <c r="T909" s="46"/>
      <c r="U909" s="118"/>
      <c r="V909" s="46"/>
      <c r="W909" s="88" t="str">
        <f>IF(V909&lt;&gt;"",SUMIFS('📊 รายงานสินค้าคงเหลือ'!G:G,'📊 รายงานสินค้าคงเหลือ'!D:D,V909),"")</f>
        <v/>
      </c>
      <c r="X909" s="46"/>
      <c r="Y909" s="46"/>
      <c r="Z909" s="46"/>
    </row>
    <row r="910">
      <c r="A910" s="46"/>
      <c r="B910" s="16"/>
      <c r="C910" s="118"/>
      <c r="D910" s="126"/>
      <c r="E910" s="88"/>
      <c r="F910" s="118"/>
      <c r="G910" s="46"/>
      <c r="H910" s="46"/>
      <c r="I910" s="118"/>
      <c r="J910" s="46"/>
      <c r="K910" s="16" t="str">
        <f>IF(J910&lt;&gt;"",SUMIFS('💰 Transaction ขาย'!$F:$F,'💰 Transaction ขาย'!$K:$K,$J910,'💰 Transaction ขาย'!$J:$J,$B$1),"")</f>
        <v/>
      </c>
      <c r="L910" s="118"/>
      <c r="M910" s="46"/>
      <c r="N910" s="46"/>
      <c r="O910" s="46"/>
      <c r="P910" s="118"/>
      <c r="Q910" s="46"/>
      <c r="R910" s="46"/>
      <c r="S910" s="46"/>
      <c r="T910" s="46"/>
      <c r="U910" s="118"/>
      <c r="V910" s="46"/>
      <c r="W910" s="88" t="str">
        <f>IF(V910&lt;&gt;"",SUMIFS('📊 รายงานสินค้าคงเหลือ'!G:G,'📊 รายงานสินค้าคงเหลือ'!D:D,V910),"")</f>
        <v/>
      </c>
      <c r="X910" s="46"/>
      <c r="Y910" s="46"/>
      <c r="Z910" s="46"/>
    </row>
    <row r="911">
      <c r="A911" s="46"/>
      <c r="B911" s="16"/>
      <c r="C911" s="118"/>
      <c r="D911" s="126"/>
      <c r="E911" s="88"/>
      <c r="F911" s="118"/>
      <c r="G911" s="46"/>
      <c r="H911" s="46"/>
      <c r="I911" s="118"/>
      <c r="J911" s="46"/>
      <c r="K911" s="16" t="str">
        <f>IF(J911&lt;&gt;"",SUMIFS('💰 Transaction ขาย'!$F:$F,'💰 Transaction ขาย'!$K:$K,$J911,'💰 Transaction ขาย'!$J:$J,$B$1),"")</f>
        <v/>
      </c>
      <c r="L911" s="118"/>
      <c r="M911" s="46"/>
      <c r="N911" s="46"/>
      <c r="O911" s="46"/>
      <c r="P911" s="118"/>
      <c r="Q911" s="46"/>
      <c r="R911" s="46"/>
      <c r="S911" s="46"/>
      <c r="T911" s="46"/>
      <c r="U911" s="118"/>
      <c r="V911" s="46"/>
      <c r="W911" s="88" t="str">
        <f>IF(V911&lt;&gt;"",SUMIFS('📊 รายงานสินค้าคงเหลือ'!G:G,'📊 รายงานสินค้าคงเหลือ'!D:D,V911),"")</f>
        <v/>
      </c>
      <c r="X911" s="46"/>
      <c r="Y911" s="46"/>
      <c r="Z911" s="46"/>
    </row>
    <row r="912">
      <c r="A912" s="46"/>
      <c r="B912" s="16"/>
      <c r="C912" s="118"/>
      <c r="D912" s="126"/>
      <c r="E912" s="88"/>
      <c r="F912" s="118"/>
      <c r="G912" s="46"/>
      <c r="H912" s="46"/>
      <c r="I912" s="118"/>
      <c r="J912" s="46"/>
      <c r="K912" s="16" t="str">
        <f>IF(J912&lt;&gt;"",SUMIFS('💰 Transaction ขาย'!$F:$F,'💰 Transaction ขาย'!$K:$K,$J912,'💰 Transaction ขาย'!$J:$J,$B$1),"")</f>
        <v/>
      </c>
      <c r="L912" s="118"/>
      <c r="M912" s="46"/>
      <c r="N912" s="46"/>
      <c r="O912" s="46"/>
      <c r="P912" s="118"/>
      <c r="Q912" s="46"/>
      <c r="R912" s="46"/>
      <c r="S912" s="46"/>
      <c r="T912" s="46"/>
      <c r="U912" s="118"/>
      <c r="V912" s="46"/>
      <c r="W912" s="88" t="str">
        <f>IF(V912&lt;&gt;"",SUMIFS('📊 รายงานสินค้าคงเหลือ'!G:G,'📊 รายงานสินค้าคงเหลือ'!D:D,V912),"")</f>
        <v/>
      </c>
      <c r="X912" s="46"/>
      <c r="Y912" s="46"/>
      <c r="Z912" s="46"/>
    </row>
    <row r="913">
      <c r="A913" s="46"/>
      <c r="B913" s="16"/>
      <c r="C913" s="118"/>
      <c r="D913" s="126"/>
      <c r="E913" s="88"/>
      <c r="F913" s="118"/>
      <c r="G913" s="46"/>
      <c r="H913" s="46"/>
      <c r="I913" s="118"/>
      <c r="J913" s="46"/>
      <c r="K913" s="16" t="str">
        <f>IF(J913&lt;&gt;"",SUMIFS('💰 Transaction ขาย'!$F:$F,'💰 Transaction ขาย'!$K:$K,$J913,'💰 Transaction ขาย'!$J:$J,$B$1),"")</f>
        <v/>
      </c>
      <c r="L913" s="118"/>
      <c r="M913" s="46"/>
      <c r="N913" s="46"/>
      <c r="O913" s="46"/>
      <c r="P913" s="118"/>
      <c r="Q913" s="46"/>
      <c r="R913" s="46"/>
      <c r="S913" s="46"/>
      <c r="T913" s="46"/>
      <c r="U913" s="118"/>
      <c r="V913" s="46"/>
      <c r="W913" s="88" t="str">
        <f>IF(V913&lt;&gt;"",SUMIFS('📊 รายงานสินค้าคงเหลือ'!G:G,'📊 รายงานสินค้าคงเหลือ'!D:D,V913),"")</f>
        <v/>
      </c>
      <c r="X913" s="46"/>
      <c r="Y913" s="46"/>
      <c r="Z913" s="46"/>
    </row>
    <row r="914">
      <c r="A914" s="46"/>
      <c r="B914" s="16"/>
      <c r="C914" s="118"/>
      <c r="D914" s="126"/>
      <c r="E914" s="88"/>
      <c r="F914" s="118"/>
      <c r="G914" s="46"/>
      <c r="H914" s="46"/>
      <c r="I914" s="118"/>
      <c r="J914" s="46"/>
      <c r="K914" s="16" t="str">
        <f>IF(J914&lt;&gt;"",SUMIFS('💰 Transaction ขาย'!$F:$F,'💰 Transaction ขาย'!$K:$K,$J914,'💰 Transaction ขาย'!$J:$J,$B$1),"")</f>
        <v/>
      </c>
      <c r="L914" s="118"/>
      <c r="M914" s="46"/>
      <c r="N914" s="46"/>
      <c r="O914" s="46"/>
      <c r="P914" s="118"/>
      <c r="Q914" s="46"/>
      <c r="R914" s="46"/>
      <c r="S914" s="46"/>
      <c r="T914" s="46"/>
      <c r="U914" s="118"/>
      <c r="V914" s="46"/>
      <c r="W914" s="88" t="str">
        <f>IF(V914&lt;&gt;"",SUMIFS('📊 รายงานสินค้าคงเหลือ'!G:G,'📊 รายงานสินค้าคงเหลือ'!D:D,V914),"")</f>
        <v/>
      </c>
      <c r="X914" s="46"/>
      <c r="Y914" s="46"/>
      <c r="Z914" s="46"/>
    </row>
    <row r="915">
      <c r="A915" s="46"/>
      <c r="B915" s="16"/>
      <c r="C915" s="118"/>
      <c r="D915" s="126"/>
      <c r="E915" s="88"/>
      <c r="F915" s="118"/>
      <c r="G915" s="46"/>
      <c r="H915" s="46"/>
      <c r="I915" s="118"/>
      <c r="J915" s="46"/>
      <c r="K915" s="16" t="str">
        <f>IF(J915&lt;&gt;"",SUMIFS('💰 Transaction ขาย'!$F:$F,'💰 Transaction ขาย'!$K:$K,$J915,'💰 Transaction ขาย'!$J:$J,$B$1),"")</f>
        <v/>
      </c>
      <c r="L915" s="118"/>
      <c r="M915" s="46"/>
      <c r="N915" s="46"/>
      <c r="O915" s="46"/>
      <c r="P915" s="118"/>
      <c r="Q915" s="46"/>
      <c r="R915" s="46"/>
      <c r="S915" s="46"/>
      <c r="T915" s="46"/>
      <c r="U915" s="118"/>
      <c r="V915" s="46"/>
      <c r="W915" s="88" t="str">
        <f>IF(V915&lt;&gt;"",SUMIFS('📊 รายงานสินค้าคงเหลือ'!G:G,'📊 รายงานสินค้าคงเหลือ'!D:D,V915),"")</f>
        <v/>
      </c>
      <c r="X915" s="46"/>
      <c r="Y915" s="46"/>
      <c r="Z915" s="46"/>
    </row>
    <row r="916">
      <c r="A916" s="46"/>
      <c r="B916" s="16"/>
      <c r="C916" s="118"/>
      <c r="D916" s="126"/>
      <c r="E916" s="88"/>
      <c r="F916" s="118"/>
      <c r="G916" s="46"/>
      <c r="H916" s="46"/>
      <c r="I916" s="118"/>
      <c r="J916" s="46"/>
      <c r="K916" s="16" t="str">
        <f>IF(J916&lt;&gt;"",SUMIFS('💰 Transaction ขาย'!$F:$F,'💰 Transaction ขาย'!$K:$K,$J916,'💰 Transaction ขาย'!$J:$J,$B$1),"")</f>
        <v/>
      </c>
      <c r="L916" s="118"/>
      <c r="M916" s="46"/>
      <c r="N916" s="46"/>
      <c r="O916" s="46"/>
      <c r="P916" s="118"/>
      <c r="Q916" s="46"/>
      <c r="R916" s="46"/>
      <c r="S916" s="46"/>
      <c r="T916" s="46"/>
      <c r="U916" s="118"/>
      <c r="V916" s="46"/>
      <c r="W916" s="88" t="str">
        <f>IF(V916&lt;&gt;"",SUMIFS('📊 รายงานสินค้าคงเหลือ'!G:G,'📊 รายงานสินค้าคงเหลือ'!D:D,V916),"")</f>
        <v/>
      </c>
      <c r="X916" s="46"/>
      <c r="Y916" s="46"/>
      <c r="Z916" s="46"/>
    </row>
    <row r="917">
      <c r="A917" s="46"/>
      <c r="B917" s="16"/>
      <c r="C917" s="118"/>
      <c r="D917" s="126"/>
      <c r="E917" s="88"/>
      <c r="F917" s="118"/>
      <c r="G917" s="46"/>
      <c r="H917" s="46"/>
      <c r="I917" s="118"/>
      <c r="J917" s="46"/>
      <c r="K917" s="16" t="str">
        <f>IF(J917&lt;&gt;"",SUMIFS('💰 Transaction ขาย'!$F:$F,'💰 Transaction ขาย'!$K:$K,$J917,'💰 Transaction ขาย'!$J:$J,$B$1),"")</f>
        <v/>
      </c>
      <c r="L917" s="118"/>
      <c r="M917" s="46"/>
      <c r="N917" s="46"/>
      <c r="O917" s="46"/>
      <c r="P917" s="118"/>
      <c r="Q917" s="46"/>
      <c r="R917" s="46"/>
      <c r="S917" s="46"/>
      <c r="T917" s="46"/>
      <c r="U917" s="118"/>
      <c r="V917" s="46"/>
      <c r="W917" s="88" t="str">
        <f>IF(V917&lt;&gt;"",SUMIFS('📊 รายงานสินค้าคงเหลือ'!G:G,'📊 รายงานสินค้าคงเหลือ'!D:D,V917),"")</f>
        <v/>
      </c>
      <c r="X917" s="46"/>
      <c r="Y917" s="46"/>
      <c r="Z917" s="46"/>
    </row>
    <row r="918">
      <c r="A918" s="46"/>
      <c r="B918" s="16"/>
      <c r="C918" s="118"/>
      <c r="D918" s="126"/>
      <c r="E918" s="88"/>
      <c r="F918" s="118"/>
      <c r="G918" s="46"/>
      <c r="H918" s="46"/>
      <c r="I918" s="118"/>
      <c r="J918" s="46"/>
      <c r="K918" s="16" t="str">
        <f>IF(J918&lt;&gt;"",SUMIFS('💰 Transaction ขาย'!$F:$F,'💰 Transaction ขาย'!$K:$K,$J918,'💰 Transaction ขาย'!$J:$J,$B$1),"")</f>
        <v/>
      </c>
      <c r="L918" s="118"/>
      <c r="M918" s="46"/>
      <c r="N918" s="46"/>
      <c r="O918" s="46"/>
      <c r="P918" s="118"/>
      <c r="Q918" s="46"/>
      <c r="R918" s="46"/>
      <c r="S918" s="46"/>
      <c r="T918" s="46"/>
      <c r="U918" s="118"/>
      <c r="V918" s="46"/>
      <c r="W918" s="88" t="str">
        <f>IF(V918&lt;&gt;"",SUMIFS('📊 รายงานสินค้าคงเหลือ'!G:G,'📊 รายงานสินค้าคงเหลือ'!D:D,V918),"")</f>
        <v/>
      </c>
      <c r="X918" s="46"/>
      <c r="Y918" s="46"/>
      <c r="Z918" s="46"/>
    </row>
    <row r="919">
      <c r="A919" s="46"/>
      <c r="B919" s="16"/>
      <c r="C919" s="118"/>
      <c r="D919" s="126"/>
      <c r="E919" s="88"/>
      <c r="F919" s="118"/>
      <c r="G919" s="46"/>
      <c r="H919" s="46"/>
      <c r="I919" s="118"/>
      <c r="J919" s="46"/>
      <c r="K919" s="16" t="str">
        <f>IF(J919&lt;&gt;"",SUMIFS('💰 Transaction ขาย'!$F:$F,'💰 Transaction ขาย'!$K:$K,$J919,'💰 Transaction ขาย'!$J:$J,$B$1),"")</f>
        <v/>
      </c>
      <c r="L919" s="118"/>
      <c r="M919" s="46"/>
      <c r="N919" s="46"/>
      <c r="O919" s="46"/>
      <c r="P919" s="118"/>
      <c r="Q919" s="46"/>
      <c r="R919" s="46"/>
      <c r="S919" s="46"/>
      <c r="T919" s="46"/>
      <c r="U919" s="118"/>
      <c r="V919" s="46"/>
      <c r="W919" s="88" t="str">
        <f>IF(V919&lt;&gt;"",SUMIFS('📊 รายงานสินค้าคงเหลือ'!G:G,'📊 รายงานสินค้าคงเหลือ'!D:D,V919),"")</f>
        <v/>
      </c>
      <c r="X919" s="46"/>
      <c r="Y919" s="46"/>
      <c r="Z919" s="46"/>
    </row>
    <row r="920">
      <c r="A920" s="46"/>
      <c r="B920" s="16"/>
      <c r="C920" s="118"/>
      <c r="D920" s="126"/>
      <c r="E920" s="88"/>
      <c r="F920" s="118"/>
      <c r="G920" s="46"/>
      <c r="H920" s="46"/>
      <c r="I920" s="118"/>
      <c r="J920" s="46"/>
      <c r="K920" s="16" t="str">
        <f>IF(J920&lt;&gt;"",SUMIFS('💰 Transaction ขาย'!$F:$F,'💰 Transaction ขาย'!$K:$K,$J920,'💰 Transaction ขาย'!$J:$J,$B$1),"")</f>
        <v/>
      </c>
      <c r="L920" s="118"/>
      <c r="M920" s="46"/>
      <c r="N920" s="46"/>
      <c r="O920" s="46"/>
      <c r="P920" s="118"/>
      <c r="Q920" s="46"/>
      <c r="R920" s="46"/>
      <c r="S920" s="46"/>
      <c r="T920" s="46"/>
      <c r="U920" s="118"/>
      <c r="V920" s="46"/>
      <c r="W920" s="88" t="str">
        <f>IF(V920&lt;&gt;"",SUMIFS('📊 รายงานสินค้าคงเหลือ'!G:G,'📊 รายงานสินค้าคงเหลือ'!D:D,V920),"")</f>
        <v/>
      </c>
      <c r="X920" s="46"/>
      <c r="Y920" s="46"/>
      <c r="Z920" s="46"/>
    </row>
    <row r="921">
      <c r="A921" s="46"/>
      <c r="B921" s="16"/>
      <c r="C921" s="118"/>
      <c r="D921" s="126"/>
      <c r="E921" s="88"/>
      <c r="F921" s="118"/>
      <c r="G921" s="46"/>
      <c r="H921" s="46"/>
      <c r="I921" s="118"/>
      <c r="J921" s="46"/>
      <c r="K921" s="16" t="str">
        <f>IF(J921&lt;&gt;"",SUMIFS('💰 Transaction ขาย'!$F:$F,'💰 Transaction ขาย'!$K:$K,$J921,'💰 Transaction ขาย'!$J:$J,$B$1),"")</f>
        <v/>
      </c>
      <c r="L921" s="118"/>
      <c r="M921" s="46"/>
      <c r="N921" s="46"/>
      <c r="O921" s="46"/>
      <c r="P921" s="118"/>
      <c r="Q921" s="46"/>
      <c r="R921" s="46"/>
      <c r="S921" s="46"/>
      <c r="T921" s="46"/>
      <c r="U921" s="118"/>
      <c r="V921" s="46"/>
      <c r="W921" s="88" t="str">
        <f>IF(V921&lt;&gt;"",SUMIFS('📊 รายงานสินค้าคงเหลือ'!G:G,'📊 รายงานสินค้าคงเหลือ'!D:D,V921),"")</f>
        <v/>
      </c>
      <c r="X921" s="46"/>
      <c r="Y921" s="46"/>
      <c r="Z921" s="46"/>
    </row>
    <row r="922">
      <c r="A922" s="46"/>
      <c r="B922" s="16"/>
      <c r="C922" s="118"/>
      <c r="D922" s="126"/>
      <c r="E922" s="88"/>
      <c r="F922" s="118"/>
      <c r="G922" s="46"/>
      <c r="H922" s="46"/>
      <c r="I922" s="118"/>
      <c r="J922" s="46"/>
      <c r="K922" s="16" t="str">
        <f>IF(J922&lt;&gt;"",SUMIFS('💰 Transaction ขาย'!$F:$F,'💰 Transaction ขาย'!$K:$K,$J922,'💰 Transaction ขาย'!$J:$J,$B$1),"")</f>
        <v/>
      </c>
      <c r="L922" s="118"/>
      <c r="M922" s="46"/>
      <c r="N922" s="46"/>
      <c r="O922" s="46"/>
      <c r="P922" s="118"/>
      <c r="Q922" s="46"/>
      <c r="R922" s="46"/>
      <c r="S922" s="46"/>
      <c r="T922" s="46"/>
      <c r="U922" s="118"/>
      <c r="V922" s="46"/>
      <c r="W922" s="88" t="str">
        <f>IF(V922&lt;&gt;"",SUMIFS('📊 รายงานสินค้าคงเหลือ'!G:G,'📊 รายงานสินค้าคงเหลือ'!D:D,V922),"")</f>
        <v/>
      </c>
      <c r="X922" s="46"/>
      <c r="Y922" s="46"/>
      <c r="Z922" s="46"/>
    </row>
    <row r="923">
      <c r="A923" s="46"/>
      <c r="B923" s="16"/>
      <c r="C923" s="118"/>
      <c r="D923" s="126"/>
      <c r="E923" s="88"/>
      <c r="F923" s="118"/>
      <c r="G923" s="46"/>
      <c r="H923" s="46"/>
      <c r="I923" s="118"/>
      <c r="J923" s="46"/>
      <c r="K923" s="16" t="str">
        <f>IF(J923&lt;&gt;"",SUMIFS('💰 Transaction ขาย'!$F:$F,'💰 Transaction ขาย'!$K:$K,$J923,'💰 Transaction ขาย'!$J:$J,$B$1),"")</f>
        <v/>
      </c>
      <c r="L923" s="118"/>
      <c r="M923" s="46"/>
      <c r="N923" s="46"/>
      <c r="O923" s="46"/>
      <c r="P923" s="118"/>
      <c r="Q923" s="46"/>
      <c r="R923" s="46"/>
      <c r="S923" s="46"/>
      <c r="T923" s="46"/>
      <c r="U923" s="118"/>
      <c r="V923" s="46"/>
      <c r="W923" s="88" t="str">
        <f>IF(V923&lt;&gt;"",SUMIFS('📊 รายงานสินค้าคงเหลือ'!G:G,'📊 รายงานสินค้าคงเหลือ'!D:D,V923),"")</f>
        <v/>
      </c>
      <c r="X923" s="46"/>
      <c r="Y923" s="46"/>
      <c r="Z923" s="46"/>
    </row>
    <row r="924">
      <c r="A924" s="46"/>
      <c r="B924" s="16"/>
      <c r="C924" s="118"/>
      <c r="D924" s="126"/>
      <c r="E924" s="88"/>
      <c r="F924" s="118"/>
      <c r="G924" s="46"/>
      <c r="H924" s="46"/>
      <c r="I924" s="118"/>
      <c r="J924" s="46"/>
      <c r="K924" s="16" t="str">
        <f>IF(J924&lt;&gt;"",SUMIFS('💰 Transaction ขาย'!$F:$F,'💰 Transaction ขาย'!$K:$K,$J924,'💰 Transaction ขาย'!$J:$J,$B$1),"")</f>
        <v/>
      </c>
      <c r="L924" s="118"/>
      <c r="M924" s="46"/>
      <c r="N924" s="46"/>
      <c r="O924" s="46"/>
      <c r="P924" s="118"/>
      <c r="Q924" s="46"/>
      <c r="R924" s="46"/>
      <c r="S924" s="46"/>
      <c r="T924" s="46"/>
      <c r="U924" s="118"/>
      <c r="V924" s="46"/>
      <c r="W924" s="88" t="str">
        <f>IF(V924&lt;&gt;"",SUMIFS('📊 รายงานสินค้าคงเหลือ'!G:G,'📊 รายงานสินค้าคงเหลือ'!D:D,V924),"")</f>
        <v/>
      </c>
      <c r="X924" s="46"/>
      <c r="Y924" s="46"/>
      <c r="Z924" s="46"/>
    </row>
    <row r="925">
      <c r="A925" s="46"/>
      <c r="B925" s="16"/>
      <c r="C925" s="118"/>
      <c r="D925" s="126"/>
      <c r="E925" s="88"/>
      <c r="F925" s="118"/>
      <c r="G925" s="46"/>
      <c r="H925" s="46"/>
      <c r="I925" s="118"/>
      <c r="J925" s="46"/>
      <c r="K925" s="16" t="str">
        <f>IF(J925&lt;&gt;"",SUMIFS('💰 Transaction ขาย'!$F:$F,'💰 Transaction ขาย'!$K:$K,$J925,'💰 Transaction ขาย'!$J:$J,$B$1),"")</f>
        <v/>
      </c>
      <c r="L925" s="118"/>
      <c r="M925" s="46"/>
      <c r="N925" s="46"/>
      <c r="O925" s="46"/>
      <c r="P925" s="118"/>
      <c r="Q925" s="46"/>
      <c r="R925" s="46"/>
      <c r="S925" s="46"/>
      <c r="T925" s="46"/>
      <c r="U925" s="118"/>
      <c r="V925" s="46"/>
      <c r="W925" s="88" t="str">
        <f>IF(V925&lt;&gt;"",SUMIFS('📊 รายงานสินค้าคงเหลือ'!G:G,'📊 รายงานสินค้าคงเหลือ'!D:D,V925),"")</f>
        <v/>
      </c>
      <c r="X925" s="46"/>
      <c r="Y925" s="46"/>
      <c r="Z925" s="46"/>
    </row>
    <row r="926">
      <c r="A926" s="46"/>
      <c r="B926" s="16"/>
      <c r="C926" s="118"/>
      <c r="D926" s="126"/>
      <c r="E926" s="88"/>
      <c r="F926" s="118"/>
      <c r="G926" s="46"/>
      <c r="H926" s="46"/>
      <c r="I926" s="118"/>
      <c r="J926" s="46"/>
      <c r="K926" s="16" t="str">
        <f>IF(J926&lt;&gt;"",SUMIFS('💰 Transaction ขาย'!$F:$F,'💰 Transaction ขาย'!$K:$K,$J926,'💰 Transaction ขาย'!$J:$J,$B$1),"")</f>
        <v/>
      </c>
      <c r="L926" s="118"/>
      <c r="M926" s="46"/>
      <c r="N926" s="46"/>
      <c r="O926" s="46"/>
      <c r="P926" s="118"/>
      <c r="Q926" s="46"/>
      <c r="R926" s="46"/>
      <c r="S926" s="46"/>
      <c r="T926" s="46"/>
      <c r="U926" s="118"/>
      <c r="V926" s="46"/>
      <c r="W926" s="88" t="str">
        <f>IF(V926&lt;&gt;"",SUMIFS('📊 รายงานสินค้าคงเหลือ'!G:G,'📊 รายงานสินค้าคงเหลือ'!D:D,V926),"")</f>
        <v/>
      </c>
      <c r="X926" s="46"/>
      <c r="Y926" s="46"/>
      <c r="Z926" s="46"/>
    </row>
    <row r="927">
      <c r="A927" s="46"/>
      <c r="B927" s="16"/>
      <c r="C927" s="118"/>
      <c r="D927" s="126"/>
      <c r="E927" s="88"/>
      <c r="F927" s="118"/>
      <c r="G927" s="46"/>
      <c r="H927" s="46"/>
      <c r="I927" s="118"/>
      <c r="J927" s="46"/>
      <c r="K927" s="16" t="str">
        <f>IF(J927&lt;&gt;"",SUMIFS('💰 Transaction ขาย'!$F:$F,'💰 Transaction ขาย'!$K:$K,$J927,'💰 Transaction ขาย'!$J:$J,$B$1),"")</f>
        <v/>
      </c>
      <c r="L927" s="118"/>
      <c r="M927" s="46"/>
      <c r="N927" s="46"/>
      <c r="O927" s="46"/>
      <c r="P927" s="118"/>
      <c r="Q927" s="46"/>
      <c r="R927" s="46"/>
      <c r="S927" s="46"/>
      <c r="T927" s="46"/>
      <c r="U927" s="118"/>
      <c r="V927" s="46"/>
      <c r="W927" s="88" t="str">
        <f>IF(V927&lt;&gt;"",SUMIFS('📊 รายงานสินค้าคงเหลือ'!G:G,'📊 รายงานสินค้าคงเหลือ'!D:D,V927),"")</f>
        <v/>
      </c>
      <c r="X927" s="46"/>
      <c r="Y927" s="46"/>
      <c r="Z927" s="46"/>
    </row>
    <row r="928">
      <c r="A928" s="46"/>
      <c r="B928" s="16"/>
      <c r="C928" s="118"/>
      <c r="D928" s="126"/>
      <c r="E928" s="88"/>
      <c r="F928" s="118"/>
      <c r="G928" s="46"/>
      <c r="H928" s="46"/>
      <c r="I928" s="118"/>
      <c r="J928" s="46"/>
      <c r="K928" s="16" t="str">
        <f>IF(J928&lt;&gt;"",SUMIFS('💰 Transaction ขาย'!$F:$F,'💰 Transaction ขาย'!$K:$K,$J928,'💰 Transaction ขาย'!$J:$J,$B$1),"")</f>
        <v/>
      </c>
      <c r="L928" s="118"/>
      <c r="M928" s="46"/>
      <c r="N928" s="46"/>
      <c r="O928" s="46"/>
      <c r="P928" s="118"/>
      <c r="Q928" s="46"/>
      <c r="R928" s="46"/>
      <c r="S928" s="46"/>
      <c r="T928" s="46"/>
      <c r="U928" s="118"/>
      <c r="V928" s="46"/>
      <c r="W928" s="88" t="str">
        <f>IF(V928&lt;&gt;"",SUMIFS('📊 รายงานสินค้าคงเหลือ'!G:G,'📊 รายงานสินค้าคงเหลือ'!D:D,V928),"")</f>
        <v/>
      </c>
      <c r="X928" s="46"/>
      <c r="Y928" s="46"/>
      <c r="Z928" s="46"/>
    </row>
    <row r="929">
      <c r="A929" s="46"/>
      <c r="B929" s="16"/>
      <c r="C929" s="118"/>
      <c r="D929" s="126"/>
      <c r="E929" s="88"/>
      <c r="F929" s="118"/>
      <c r="G929" s="46"/>
      <c r="H929" s="46"/>
      <c r="I929" s="118"/>
      <c r="J929" s="46"/>
      <c r="K929" s="16" t="str">
        <f>IF(J929&lt;&gt;"",SUMIFS('💰 Transaction ขาย'!$F:$F,'💰 Transaction ขาย'!$K:$K,$J929,'💰 Transaction ขาย'!$J:$J,$B$1),"")</f>
        <v/>
      </c>
      <c r="L929" s="118"/>
      <c r="M929" s="46"/>
      <c r="N929" s="46"/>
      <c r="O929" s="46"/>
      <c r="P929" s="118"/>
      <c r="Q929" s="46"/>
      <c r="R929" s="46"/>
      <c r="S929" s="46"/>
      <c r="T929" s="46"/>
      <c r="U929" s="118"/>
      <c r="V929" s="46"/>
      <c r="W929" s="88" t="str">
        <f>IF(V929&lt;&gt;"",SUMIFS('📊 รายงานสินค้าคงเหลือ'!G:G,'📊 รายงานสินค้าคงเหลือ'!D:D,V929),"")</f>
        <v/>
      </c>
      <c r="X929" s="46"/>
      <c r="Y929" s="46"/>
      <c r="Z929" s="46"/>
    </row>
    <row r="930">
      <c r="A930" s="46"/>
      <c r="B930" s="16"/>
      <c r="C930" s="118"/>
      <c r="D930" s="126"/>
      <c r="E930" s="88"/>
      <c r="F930" s="118"/>
      <c r="G930" s="46"/>
      <c r="H930" s="46"/>
      <c r="I930" s="118"/>
      <c r="J930" s="46"/>
      <c r="K930" s="16" t="str">
        <f>IF(J930&lt;&gt;"",SUMIFS('💰 Transaction ขาย'!$F:$F,'💰 Transaction ขาย'!$K:$K,$J930,'💰 Transaction ขาย'!$J:$J,$B$1),"")</f>
        <v/>
      </c>
      <c r="L930" s="118"/>
      <c r="M930" s="46"/>
      <c r="N930" s="46"/>
      <c r="O930" s="46"/>
      <c r="P930" s="118"/>
      <c r="Q930" s="46"/>
      <c r="R930" s="46"/>
      <c r="S930" s="46"/>
      <c r="T930" s="46"/>
      <c r="U930" s="118"/>
      <c r="V930" s="46"/>
      <c r="W930" s="88" t="str">
        <f>IF(V930&lt;&gt;"",SUMIFS('📊 รายงานสินค้าคงเหลือ'!G:G,'📊 รายงานสินค้าคงเหลือ'!D:D,V930),"")</f>
        <v/>
      </c>
      <c r="X930" s="46"/>
      <c r="Y930" s="46"/>
      <c r="Z930" s="46"/>
    </row>
    <row r="931">
      <c r="A931" s="46"/>
      <c r="B931" s="16"/>
      <c r="C931" s="118"/>
      <c r="D931" s="126"/>
      <c r="E931" s="88"/>
      <c r="F931" s="118"/>
      <c r="G931" s="46"/>
      <c r="H931" s="46"/>
      <c r="I931" s="118"/>
      <c r="J931" s="46"/>
      <c r="K931" s="16" t="str">
        <f>IF(J931&lt;&gt;"",SUMIFS('💰 Transaction ขาย'!$F:$F,'💰 Transaction ขาย'!$K:$K,$J931,'💰 Transaction ขาย'!$J:$J,$B$1),"")</f>
        <v/>
      </c>
      <c r="L931" s="118"/>
      <c r="M931" s="46"/>
      <c r="N931" s="46"/>
      <c r="O931" s="46"/>
      <c r="P931" s="118"/>
      <c r="Q931" s="46"/>
      <c r="R931" s="46"/>
      <c r="S931" s="46"/>
      <c r="T931" s="46"/>
      <c r="U931" s="118"/>
      <c r="V931" s="46"/>
      <c r="W931" s="88" t="str">
        <f>IF(V931&lt;&gt;"",SUMIFS('📊 รายงานสินค้าคงเหลือ'!G:G,'📊 รายงานสินค้าคงเหลือ'!D:D,V931),"")</f>
        <v/>
      </c>
      <c r="X931" s="46"/>
      <c r="Y931" s="46"/>
      <c r="Z931" s="46"/>
    </row>
    <row r="932">
      <c r="A932" s="46"/>
      <c r="B932" s="16"/>
      <c r="C932" s="118"/>
      <c r="D932" s="126"/>
      <c r="E932" s="88"/>
      <c r="F932" s="118"/>
      <c r="G932" s="46"/>
      <c r="H932" s="46"/>
      <c r="I932" s="118"/>
      <c r="J932" s="46"/>
      <c r="K932" s="16" t="str">
        <f>IF(J932&lt;&gt;"",SUMIFS('💰 Transaction ขาย'!$F:$F,'💰 Transaction ขาย'!$K:$K,$J932,'💰 Transaction ขาย'!$J:$J,$B$1),"")</f>
        <v/>
      </c>
      <c r="L932" s="118"/>
      <c r="M932" s="46"/>
      <c r="N932" s="46"/>
      <c r="O932" s="46"/>
      <c r="P932" s="118"/>
      <c r="Q932" s="46"/>
      <c r="R932" s="46"/>
      <c r="S932" s="46"/>
      <c r="T932" s="46"/>
      <c r="U932" s="118"/>
      <c r="V932" s="46"/>
      <c r="W932" s="88" t="str">
        <f>IF(V932&lt;&gt;"",SUMIFS('📊 รายงานสินค้าคงเหลือ'!G:G,'📊 รายงานสินค้าคงเหลือ'!D:D,V932),"")</f>
        <v/>
      </c>
      <c r="X932" s="46"/>
      <c r="Y932" s="46"/>
      <c r="Z932" s="46"/>
    </row>
    <row r="933">
      <c r="A933" s="46"/>
      <c r="B933" s="16"/>
      <c r="C933" s="118"/>
      <c r="D933" s="126"/>
      <c r="E933" s="88"/>
      <c r="F933" s="118"/>
      <c r="G933" s="46"/>
      <c r="H933" s="46"/>
      <c r="I933" s="118"/>
      <c r="J933" s="46"/>
      <c r="K933" s="16" t="str">
        <f>IF(J933&lt;&gt;"",SUMIFS('💰 Transaction ขาย'!$F:$F,'💰 Transaction ขาย'!$K:$K,$J933,'💰 Transaction ขาย'!$J:$J,$B$1),"")</f>
        <v/>
      </c>
      <c r="L933" s="118"/>
      <c r="M933" s="46"/>
      <c r="N933" s="46"/>
      <c r="O933" s="46"/>
      <c r="P933" s="118"/>
      <c r="Q933" s="46"/>
      <c r="R933" s="46"/>
      <c r="S933" s="46"/>
      <c r="T933" s="46"/>
      <c r="U933" s="118"/>
      <c r="V933" s="46"/>
      <c r="W933" s="88" t="str">
        <f>IF(V933&lt;&gt;"",SUMIFS('📊 รายงานสินค้าคงเหลือ'!G:G,'📊 รายงานสินค้าคงเหลือ'!D:D,V933),"")</f>
        <v/>
      </c>
      <c r="X933" s="46"/>
      <c r="Y933" s="46"/>
      <c r="Z933" s="46"/>
    </row>
    <row r="934">
      <c r="A934" s="46"/>
      <c r="B934" s="16"/>
      <c r="C934" s="118"/>
      <c r="D934" s="126"/>
      <c r="E934" s="88"/>
      <c r="F934" s="118"/>
      <c r="G934" s="46"/>
      <c r="H934" s="46"/>
      <c r="I934" s="118"/>
      <c r="J934" s="46"/>
      <c r="K934" s="16" t="str">
        <f>IF(J934&lt;&gt;"",SUMIFS('💰 Transaction ขาย'!$F:$F,'💰 Transaction ขาย'!$K:$K,$J934,'💰 Transaction ขาย'!$J:$J,$B$1),"")</f>
        <v/>
      </c>
      <c r="L934" s="118"/>
      <c r="M934" s="46"/>
      <c r="N934" s="46"/>
      <c r="O934" s="46"/>
      <c r="P934" s="118"/>
      <c r="Q934" s="46"/>
      <c r="R934" s="46"/>
      <c r="S934" s="46"/>
      <c r="T934" s="46"/>
      <c r="U934" s="118"/>
      <c r="V934" s="46"/>
      <c r="W934" s="88" t="str">
        <f>IF(V934&lt;&gt;"",SUMIFS('📊 รายงานสินค้าคงเหลือ'!G:G,'📊 รายงานสินค้าคงเหลือ'!D:D,V934),"")</f>
        <v/>
      </c>
      <c r="X934" s="46"/>
      <c r="Y934" s="46"/>
      <c r="Z934" s="46"/>
    </row>
    <row r="935">
      <c r="A935" s="46"/>
      <c r="B935" s="16"/>
      <c r="C935" s="118"/>
      <c r="D935" s="126"/>
      <c r="E935" s="88"/>
      <c r="F935" s="118"/>
      <c r="G935" s="46"/>
      <c r="H935" s="46"/>
      <c r="I935" s="118"/>
      <c r="J935" s="46"/>
      <c r="K935" s="16" t="str">
        <f>IF(J935&lt;&gt;"",SUMIFS('💰 Transaction ขาย'!$F:$F,'💰 Transaction ขาย'!$K:$K,$J935,'💰 Transaction ขาย'!$J:$J,$B$1),"")</f>
        <v/>
      </c>
      <c r="L935" s="118"/>
      <c r="M935" s="46"/>
      <c r="N935" s="46"/>
      <c r="O935" s="46"/>
      <c r="P935" s="118"/>
      <c r="Q935" s="46"/>
      <c r="R935" s="46"/>
      <c r="S935" s="46"/>
      <c r="T935" s="46"/>
      <c r="U935" s="118"/>
      <c r="V935" s="46"/>
      <c r="W935" s="88" t="str">
        <f>IF(V935&lt;&gt;"",SUMIFS('📊 รายงานสินค้าคงเหลือ'!G:G,'📊 รายงานสินค้าคงเหลือ'!D:D,V935),"")</f>
        <v/>
      </c>
      <c r="X935" s="46"/>
      <c r="Y935" s="46"/>
      <c r="Z935" s="46"/>
    </row>
    <row r="936">
      <c r="A936" s="46"/>
      <c r="B936" s="16"/>
      <c r="C936" s="118"/>
      <c r="D936" s="126"/>
      <c r="E936" s="88"/>
      <c r="F936" s="118"/>
      <c r="G936" s="46"/>
      <c r="H936" s="46"/>
      <c r="I936" s="118"/>
      <c r="J936" s="46"/>
      <c r="K936" s="16" t="str">
        <f>IF(J936&lt;&gt;"",SUMIFS('💰 Transaction ขาย'!$F:$F,'💰 Transaction ขาย'!$K:$K,$J936,'💰 Transaction ขาย'!$J:$J,$B$1),"")</f>
        <v/>
      </c>
      <c r="L936" s="118"/>
      <c r="M936" s="46"/>
      <c r="N936" s="46"/>
      <c r="O936" s="46"/>
      <c r="P936" s="118"/>
      <c r="Q936" s="46"/>
      <c r="R936" s="46"/>
      <c r="S936" s="46"/>
      <c r="T936" s="46"/>
      <c r="U936" s="118"/>
      <c r="V936" s="46"/>
      <c r="W936" s="88" t="str">
        <f>IF(V936&lt;&gt;"",SUMIFS('📊 รายงานสินค้าคงเหลือ'!G:G,'📊 รายงานสินค้าคงเหลือ'!D:D,V936),"")</f>
        <v/>
      </c>
      <c r="X936" s="46"/>
      <c r="Y936" s="46"/>
      <c r="Z936" s="46"/>
    </row>
    <row r="937">
      <c r="A937" s="46"/>
      <c r="B937" s="16"/>
      <c r="C937" s="118"/>
      <c r="D937" s="126"/>
      <c r="E937" s="88"/>
      <c r="F937" s="118"/>
      <c r="G937" s="46"/>
      <c r="H937" s="46"/>
      <c r="I937" s="118"/>
      <c r="J937" s="46"/>
      <c r="K937" s="16" t="str">
        <f>IF(J937&lt;&gt;"",SUMIFS('💰 Transaction ขาย'!$F:$F,'💰 Transaction ขาย'!$K:$K,$J937,'💰 Transaction ขาย'!$J:$J,$B$1),"")</f>
        <v/>
      </c>
      <c r="L937" s="118"/>
      <c r="M937" s="46"/>
      <c r="N937" s="46"/>
      <c r="O937" s="46"/>
      <c r="P937" s="118"/>
      <c r="Q937" s="46"/>
      <c r="R937" s="46"/>
      <c r="S937" s="46"/>
      <c r="T937" s="46"/>
      <c r="U937" s="118"/>
      <c r="V937" s="46"/>
      <c r="W937" s="88" t="str">
        <f>IF(V937&lt;&gt;"",SUMIFS('📊 รายงานสินค้าคงเหลือ'!G:G,'📊 รายงานสินค้าคงเหลือ'!D:D,V937),"")</f>
        <v/>
      </c>
      <c r="X937" s="46"/>
      <c r="Y937" s="46"/>
      <c r="Z937" s="46"/>
    </row>
    <row r="938">
      <c r="A938" s="46"/>
      <c r="B938" s="16"/>
      <c r="C938" s="118"/>
      <c r="D938" s="126"/>
      <c r="E938" s="88"/>
      <c r="F938" s="118"/>
      <c r="G938" s="46"/>
      <c r="H938" s="46"/>
      <c r="I938" s="118"/>
      <c r="J938" s="46"/>
      <c r="K938" s="16" t="str">
        <f>IF(J938&lt;&gt;"",SUMIFS('💰 Transaction ขาย'!$F:$F,'💰 Transaction ขาย'!$K:$K,$J938,'💰 Transaction ขาย'!$J:$J,$B$1),"")</f>
        <v/>
      </c>
      <c r="L938" s="118"/>
      <c r="M938" s="46"/>
      <c r="N938" s="46"/>
      <c r="O938" s="46"/>
      <c r="P938" s="118"/>
      <c r="Q938" s="46"/>
      <c r="R938" s="46"/>
      <c r="S938" s="46"/>
      <c r="T938" s="46"/>
      <c r="U938" s="118"/>
      <c r="V938" s="46"/>
      <c r="W938" s="88" t="str">
        <f>IF(V938&lt;&gt;"",SUMIFS('📊 รายงานสินค้าคงเหลือ'!G:G,'📊 รายงานสินค้าคงเหลือ'!D:D,V938),"")</f>
        <v/>
      </c>
      <c r="X938" s="46"/>
      <c r="Y938" s="46"/>
      <c r="Z938" s="46"/>
    </row>
    <row r="939">
      <c r="A939" s="46"/>
      <c r="B939" s="16"/>
      <c r="C939" s="118"/>
      <c r="D939" s="126"/>
      <c r="E939" s="88"/>
      <c r="F939" s="118"/>
      <c r="G939" s="46"/>
      <c r="H939" s="46"/>
      <c r="I939" s="118"/>
      <c r="J939" s="46"/>
      <c r="K939" s="16" t="str">
        <f>IF(J939&lt;&gt;"",SUMIFS('💰 Transaction ขาย'!$F:$F,'💰 Transaction ขาย'!$K:$K,$J939,'💰 Transaction ขาย'!$J:$J,$B$1),"")</f>
        <v/>
      </c>
      <c r="L939" s="118"/>
      <c r="M939" s="46"/>
      <c r="N939" s="46"/>
      <c r="O939" s="46"/>
      <c r="P939" s="118"/>
      <c r="Q939" s="46"/>
      <c r="R939" s="46"/>
      <c r="S939" s="46"/>
      <c r="T939" s="46"/>
      <c r="U939" s="118"/>
      <c r="V939" s="46"/>
      <c r="W939" s="88" t="str">
        <f>IF(V939&lt;&gt;"",SUMIFS('📊 รายงานสินค้าคงเหลือ'!G:G,'📊 รายงานสินค้าคงเหลือ'!D:D,V939),"")</f>
        <v/>
      </c>
      <c r="X939" s="46"/>
      <c r="Y939" s="46"/>
      <c r="Z939" s="46"/>
    </row>
    <row r="940">
      <c r="A940" s="46"/>
      <c r="B940" s="16"/>
      <c r="C940" s="118"/>
      <c r="D940" s="126"/>
      <c r="E940" s="88"/>
      <c r="F940" s="118"/>
      <c r="G940" s="46"/>
      <c r="H940" s="46"/>
      <c r="I940" s="118"/>
      <c r="J940" s="46"/>
      <c r="K940" s="16" t="str">
        <f>IF(J940&lt;&gt;"",SUMIFS('💰 Transaction ขาย'!$F:$F,'💰 Transaction ขาย'!$K:$K,$J940,'💰 Transaction ขาย'!$J:$J,$B$1),"")</f>
        <v/>
      </c>
      <c r="L940" s="118"/>
      <c r="M940" s="46"/>
      <c r="N940" s="46"/>
      <c r="O940" s="46"/>
      <c r="P940" s="118"/>
      <c r="Q940" s="46"/>
      <c r="R940" s="46"/>
      <c r="S940" s="46"/>
      <c r="T940" s="46"/>
      <c r="U940" s="118"/>
      <c r="V940" s="46"/>
      <c r="W940" s="88" t="str">
        <f>IF(V940&lt;&gt;"",SUMIFS('📊 รายงานสินค้าคงเหลือ'!G:G,'📊 รายงานสินค้าคงเหลือ'!D:D,V940),"")</f>
        <v/>
      </c>
      <c r="X940" s="46"/>
      <c r="Y940" s="46"/>
      <c r="Z940" s="46"/>
    </row>
    <row r="941">
      <c r="A941" s="46"/>
      <c r="B941" s="16"/>
      <c r="C941" s="118"/>
      <c r="D941" s="126"/>
      <c r="E941" s="88"/>
      <c r="F941" s="118"/>
      <c r="G941" s="46"/>
      <c r="H941" s="46"/>
      <c r="I941" s="118"/>
      <c r="J941" s="46"/>
      <c r="K941" s="16" t="str">
        <f>IF(J941&lt;&gt;"",SUMIFS('💰 Transaction ขาย'!$F:$F,'💰 Transaction ขาย'!$K:$K,$J941,'💰 Transaction ขาย'!$J:$J,$B$1),"")</f>
        <v/>
      </c>
      <c r="L941" s="118"/>
      <c r="M941" s="46"/>
      <c r="N941" s="46"/>
      <c r="O941" s="46"/>
      <c r="P941" s="118"/>
      <c r="Q941" s="46"/>
      <c r="R941" s="46"/>
      <c r="S941" s="46"/>
      <c r="T941" s="46"/>
      <c r="U941" s="118"/>
      <c r="V941" s="46"/>
      <c r="W941" s="88" t="str">
        <f>IF(V941&lt;&gt;"",SUMIFS('📊 รายงานสินค้าคงเหลือ'!G:G,'📊 รายงานสินค้าคงเหลือ'!D:D,V941),"")</f>
        <v/>
      </c>
      <c r="X941" s="46"/>
      <c r="Y941" s="46"/>
      <c r="Z941" s="46"/>
    </row>
    <row r="942">
      <c r="A942" s="46"/>
      <c r="B942" s="16"/>
      <c r="C942" s="118"/>
      <c r="D942" s="126"/>
      <c r="E942" s="88"/>
      <c r="F942" s="118"/>
      <c r="G942" s="46"/>
      <c r="H942" s="46"/>
      <c r="I942" s="118"/>
      <c r="J942" s="46"/>
      <c r="K942" s="16" t="str">
        <f>IF(J942&lt;&gt;"",SUMIFS('💰 Transaction ขาย'!$F:$F,'💰 Transaction ขาย'!$K:$K,$J942,'💰 Transaction ขาย'!$J:$J,$B$1),"")</f>
        <v/>
      </c>
      <c r="L942" s="118"/>
      <c r="M942" s="46"/>
      <c r="N942" s="46"/>
      <c r="O942" s="46"/>
      <c r="P942" s="118"/>
      <c r="Q942" s="46"/>
      <c r="R942" s="46"/>
      <c r="S942" s="46"/>
      <c r="T942" s="46"/>
      <c r="U942" s="118"/>
      <c r="V942" s="46"/>
      <c r="W942" s="88" t="str">
        <f>IF(V942&lt;&gt;"",SUMIFS('📊 รายงานสินค้าคงเหลือ'!G:G,'📊 รายงานสินค้าคงเหลือ'!D:D,V942),"")</f>
        <v/>
      </c>
      <c r="X942" s="46"/>
      <c r="Y942" s="46"/>
      <c r="Z942" s="46"/>
    </row>
    <row r="943">
      <c r="A943" s="46"/>
      <c r="B943" s="16"/>
      <c r="C943" s="118"/>
      <c r="D943" s="126"/>
      <c r="E943" s="88"/>
      <c r="F943" s="118"/>
      <c r="G943" s="46"/>
      <c r="H943" s="46"/>
      <c r="I943" s="118"/>
      <c r="J943" s="46"/>
      <c r="K943" s="16" t="str">
        <f>IF(J943&lt;&gt;"",SUMIFS('💰 Transaction ขาย'!$F:$F,'💰 Transaction ขาย'!$K:$K,$J943,'💰 Transaction ขาย'!$J:$J,$B$1),"")</f>
        <v/>
      </c>
      <c r="L943" s="118"/>
      <c r="M943" s="46"/>
      <c r="N943" s="46"/>
      <c r="O943" s="46"/>
      <c r="P943" s="118"/>
      <c r="Q943" s="46"/>
      <c r="R943" s="46"/>
      <c r="S943" s="46"/>
      <c r="T943" s="46"/>
      <c r="U943" s="118"/>
      <c r="V943" s="46"/>
      <c r="W943" s="88" t="str">
        <f>IF(V943&lt;&gt;"",SUMIFS('📊 รายงานสินค้าคงเหลือ'!G:G,'📊 รายงานสินค้าคงเหลือ'!D:D,V943),"")</f>
        <v/>
      </c>
      <c r="X943" s="46"/>
      <c r="Y943" s="46"/>
      <c r="Z943" s="46"/>
    </row>
    <row r="944">
      <c r="A944" s="46"/>
      <c r="B944" s="16"/>
      <c r="C944" s="118"/>
      <c r="D944" s="126"/>
      <c r="E944" s="88"/>
      <c r="F944" s="118"/>
      <c r="G944" s="46"/>
      <c r="H944" s="46"/>
      <c r="I944" s="118"/>
      <c r="J944" s="46"/>
      <c r="K944" s="16" t="str">
        <f>IF(J944&lt;&gt;"",SUMIFS('💰 Transaction ขาย'!$F:$F,'💰 Transaction ขาย'!$K:$K,$J944,'💰 Transaction ขาย'!$J:$J,$B$1),"")</f>
        <v/>
      </c>
      <c r="L944" s="118"/>
      <c r="M944" s="46"/>
      <c r="N944" s="46"/>
      <c r="O944" s="46"/>
      <c r="P944" s="118"/>
      <c r="Q944" s="46"/>
      <c r="R944" s="46"/>
      <c r="S944" s="46"/>
      <c r="T944" s="46"/>
      <c r="U944" s="118"/>
      <c r="V944" s="46"/>
      <c r="W944" s="88" t="str">
        <f>IF(V944&lt;&gt;"",SUMIFS('📊 รายงานสินค้าคงเหลือ'!G:G,'📊 รายงานสินค้าคงเหลือ'!D:D,V944),"")</f>
        <v/>
      </c>
      <c r="X944" s="46"/>
      <c r="Y944" s="46"/>
      <c r="Z944" s="46"/>
    </row>
    <row r="945">
      <c r="A945" s="46"/>
      <c r="B945" s="16"/>
      <c r="C945" s="118"/>
      <c r="D945" s="126"/>
      <c r="E945" s="88"/>
      <c r="F945" s="118"/>
      <c r="G945" s="46"/>
      <c r="H945" s="46"/>
      <c r="I945" s="118"/>
      <c r="J945" s="46"/>
      <c r="K945" s="16" t="str">
        <f>IF(J945&lt;&gt;"",SUMIFS('💰 Transaction ขาย'!$F:$F,'💰 Transaction ขาย'!$K:$K,$J945,'💰 Transaction ขาย'!$J:$J,$B$1),"")</f>
        <v/>
      </c>
      <c r="L945" s="118"/>
      <c r="M945" s="46"/>
      <c r="N945" s="46"/>
      <c r="O945" s="46"/>
      <c r="P945" s="118"/>
      <c r="Q945" s="46"/>
      <c r="R945" s="46"/>
      <c r="S945" s="46"/>
      <c r="T945" s="46"/>
      <c r="U945" s="118"/>
      <c r="V945" s="46"/>
      <c r="W945" s="88" t="str">
        <f>IF(V945&lt;&gt;"",SUMIFS('📊 รายงานสินค้าคงเหลือ'!G:G,'📊 รายงานสินค้าคงเหลือ'!D:D,V945),"")</f>
        <v/>
      </c>
      <c r="X945" s="46"/>
      <c r="Y945" s="46"/>
      <c r="Z945" s="46"/>
    </row>
    <row r="946">
      <c r="A946" s="46"/>
      <c r="B946" s="16"/>
      <c r="C946" s="118"/>
      <c r="D946" s="126"/>
      <c r="E946" s="88"/>
      <c r="F946" s="118"/>
      <c r="G946" s="46"/>
      <c r="H946" s="46"/>
      <c r="I946" s="118"/>
      <c r="J946" s="46"/>
      <c r="K946" s="16" t="str">
        <f>IF(J946&lt;&gt;"",SUMIFS('💰 Transaction ขาย'!$F:$F,'💰 Transaction ขาย'!$K:$K,$J946,'💰 Transaction ขาย'!$J:$J,$B$1),"")</f>
        <v/>
      </c>
      <c r="L946" s="118"/>
      <c r="M946" s="46"/>
      <c r="N946" s="46"/>
      <c r="O946" s="46"/>
      <c r="P946" s="118"/>
      <c r="Q946" s="46"/>
      <c r="R946" s="46"/>
      <c r="S946" s="46"/>
      <c r="T946" s="46"/>
      <c r="U946" s="118"/>
      <c r="V946" s="46"/>
      <c r="W946" s="88" t="str">
        <f>IF(V946&lt;&gt;"",SUMIFS('📊 รายงานสินค้าคงเหลือ'!G:G,'📊 รายงานสินค้าคงเหลือ'!D:D,V946),"")</f>
        <v/>
      </c>
      <c r="X946" s="46"/>
      <c r="Y946" s="46"/>
      <c r="Z946" s="46"/>
    </row>
    <row r="947">
      <c r="A947" s="46"/>
      <c r="B947" s="16"/>
      <c r="C947" s="118"/>
      <c r="D947" s="126"/>
      <c r="E947" s="88"/>
      <c r="F947" s="118"/>
      <c r="G947" s="46"/>
      <c r="H947" s="46"/>
      <c r="I947" s="118"/>
      <c r="J947" s="46"/>
      <c r="K947" s="16" t="str">
        <f>IF(J947&lt;&gt;"",SUMIFS('💰 Transaction ขาย'!$F:$F,'💰 Transaction ขาย'!$K:$K,$J947,'💰 Transaction ขาย'!$J:$J,$B$1),"")</f>
        <v/>
      </c>
      <c r="L947" s="118"/>
      <c r="M947" s="46"/>
      <c r="N947" s="46"/>
      <c r="O947" s="46"/>
      <c r="P947" s="118"/>
      <c r="Q947" s="46"/>
      <c r="R947" s="46"/>
      <c r="S947" s="46"/>
      <c r="T947" s="46"/>
      <c r="U947" s="118"/>
      <c r="V947" s="46"/>
      <c r="W947" s="88" t="str">
        <f>IF(V947&lt;&gt;"",SUMIFS('📊 รายงานสินค้าคงเหลือ'!G:G,'📊 รายงานสินค้าคงเหลือ'!D:D,V947),"")</f>
        <v/>
      </c>
      <c r="X947" s="46"/>
      <c r="Y947" s="46"/>
      <c r="Z947" s="46"/>
    </row>
    <row r="948">
      <c r="A948" s="46"/>
      <c r="B948" s="16"/>
      <c r="C948" s="118"/>
      <c r="D948" s="126"/>
      <c r="E948" s="88"/>
      <c r="F948" s="118"/>
      <c r="G948" s="46"/>
      <c r="H948" s="46"/>
      <c r="I948" s="118"/>
      <c r="J948" s="46"/>
      <c r="K948" s="16" t="str">
        <f>IF(J948&lt;&gt;"",SUMIFS('💰 Transaction ขาย'!$F:$F,'💰 Transaction ขาย'!$K:$K,$J948,'💰 Transaction ขาย'!$J:$J,$B$1),"")</f>
        <v/>
      </c>
      <c r="L948" s="118"/>
      <c r="M948" s="46"/>
      <c r="N948" s="46"/>
      <c r="O948" s="46"/>
      <c r="P948" s="118"/>
      <c r="Q948" s="46"/>
      <c r="R948" s="46"/>
      <c r="S948" s="46"/>
      <c r="T948" s="46"/>
      <c r="U948" s="118"/>
      <c r="V948" s="46"/>
      <c r="W948" s="88" t="str">
        <f>IF(V948&lt;&gt;"",SUMIFS('📊 รายงานสินค้าคงเหลือ'!G:G,'📊 รายงานสินค้าคงเหลือ'!D:D,V948),"")</f>
        <v/>
      </c>
      <c r="X948" s="46"/>
      <c r="Y948" s="46"/>
      <c r="Z948" s="46"/>
    </row>
    <row r="949">
      <c r="A949" s="46"/>
      <c r="B949" s="16"/>
      <c r="C949" s="118"/>
      <c r="D949" s="126"/>
      <c r="E949" s="88"/>
      <c r="F949" s="118"/>
      <c r="G949" s="46"/>
      <c r="H949" s="46"/>
      <c r="I949" s="118"/>
      <c r="J949" s="46"/>
      <c r="K949" s="16" t="str">
        <f>IF(J949&lt;&gt;"",SUMIFS('💰 Transaction ขาย'!$F:$F,'💰 Transaction ขาย'!$K:$K,$J949,'💰 Transaction ขาย'!$J:$J,$B$1),"")</f>
        <v/>
      </c>
      <c r="L949" s="118"/>
      <c r="M949" s="46"/>
      <c r="N949" s="46"/>
      <c r="O949" s="46"/>
      <c r="P949" s="118"/>
      <c r="Q949" s="46"/>
      <c r="R949" s="46"/>
      <c r="S949" s="46"/>
      <c r="T949" s="46"/>
      <c r="U949" s="118"/>
      <c r="V949" s="46"/>
      <c r="W949" s="88" t="str">
        <f>IF(V949&lt;&gt;"",SUMIFS('📊 รายงานสินค้าคงเหลือ'!G:G,'📊 รายงานสินค้าคงเหลือ'!D:D,V949),"")</f>
        <v/>
      </c>
      <c r="X949" s="46"/>
      <c r="Y949" s="46"/>
      <c r="Z949" s="46"/>
    </row>
    <row r="950">
      <c r="A950" s="46"/>
      <c r="B950" s="16"/>
      <c r="C950" s="118"/>
      <c r="D950" s="126"/>
      <c r="E950" s="88"/>
      <c r="F950" s="118"/>
      <c r="G950" s="46"/>
      <c r="H950" s="46"/>
      <c r="I950" s="118"/>
      <c r="J950" s="46"/>
      <c r="K950" s="16" t="str">
        <f>IF(J950&lt;&gt;"",SUMIFS('💰 Transaction ขาย'!$F:$F,'💰 Transaction ขาย'!$K:$K,$J950,'💰 Transaction ขาย'!$J:$J,$B$1),"")</f>
        <v/>
      </c>
      <c r="L950" s="118"/>
      <c r="M950" s="46"/>
      <c r="N950" s="46"/>
      <c r="O950" s="46"/>
      <c r="P950" s="118"/>
      <c r="Q950" s="46"/>
      <c r="R950" s="46"/>
      <c r="S950" s="46"/>
      <c r="T950" s="46"/>
      <c r="U950" s="118"/>
      <c r="V950" s="46"/>
      <c r="W950" s="88" t="str">
        <f>IF(V950&lt;&gt;"",SUMIFS('📊 รายงานสินค้าคงเหลือ'!G:G,'📊 รายงานสินค้าคงเหลือ'!D:D,V950),"")</f>
        <v/>
      </c>
      <c r="X950" s="46"/>
      <c r="Y950" s="46"/>
      <c r="Z950" s="46"/>
    </row>
    <row r="951">
      <c r="A951" s="46"/>
      <c r="B951" s="16"/>
      <c r="C951" s="118"/>
      <c r="D951" s="126"/>
      <c r="E951" s="88"/>
      <c r="F951" s="118"/>
      <c r="G951" s="46"/>
      <c r="H951" s="46"/>
      <c r="I951" s="118"/>
      <c r="J951" s="46"/>
      <c r="K951" s="16" t="str">
        <f>IF(J951&lt;&gt;"",SUMIFS('💰 Transaction ขาย'!$F:$F,'💰 Transaction ขาย'!$K:$K,$J951,'💰 Transaction ขาย'!$J:$J,$B$1),"")</f>
        <v/>
      </c>
      <c r="L951" s="118"/>
      <c r="M951" s="46"/>
      <c r="N951" s="46"/>
      <c r="O951" s="46"/>
      <c r="P951" s="118"/>
      <c r="Q951" s="46"/>
      <c r="R951" s="46"/>
      <c r="S951" s="46"/>
      <c r="T951" s="46"/>
      <c r="U951" s="118"/>
      <c r="V951" s="46"/>
      <c r="W951" s="88" t="str">
        <f>IF(V951&lt;&gt;"",SUMIFS('📊 รายงานสินค้าคงเหลือ'!G:G,'📊 รายงานสินค้าคงเหลือ'!D:D,V951),"")</f>
        <v/>
      </c>
      <c r="X951" s="46"/>
      <c r="Y951" s="46"/>
      <c r="Z951" s="46"/>
    </row>
    <row r="952">
      <c r="A952" s="46"/>
      <c r="B952" s="16"/>
      <c r="C952" s="118"/>
      <c r="D952" s="126"/>
      <c r="E952" s="88"/>
      <c r="F952" s="118"/>
      <c r="G952" s="46"/>
      <c r="H952" s="46"/>
      <c r="I952" s="118"/>
      <c r="J952" s="46"/>
      <c r="K952" s="16" t="str">
        <f>IF(J952&lt;&gt;"",SUMIFS('💰 Transaction ขาย'!$F:$F,'💰 Transaction ขาย'!$K:$K,$J952,'💰 Transaction ขาย'!$J:$J,$B$1),"")</f>
        <v/>
      </c>
      <c r="L952" s="118"/>
      <c r="M952" s="46"/>
      <c r="N952" s="46"/>
      <c r="O952" s="46"/>
      <c r="P952" s="118"/>
      <c r="Q952" s="46"/>
      <c r="R952" s="46"/>
      <c r="S952" s="46"/>
      <c r="T952" s="46"/>
      <c r="U952" s="118"/>
      <c r="V952" s="46"/>
      <c r="W952" s="88" t="str">
        <f>IF(V952&lt;&gt;"",SUMIFS('📊 รายงานสินค้าคงเหลือ'!G:G,'📊 รายงานสินค้าคงเหลือ'!D:D,V952),"")</f>
        <v/>
      </c>
      <c r="X952" s="46"/>
      <c r="Y952" s="46"/>
      <c r="Z952" s="46"/>
    </row>
    <row r="953">
      <c r="A953" s="46"/>
      <c r="B953" s="16"/>
      <c r="C953" s="118"/>
      <c r="D953" s="126"/>
      <c r="E953" s="88"/>
      <c r="F953" s="118"/>
      <c r="G953" s="46"/>
      <c r="H953" s="46"/>
      <c r="I953" s="118"/>
      <c r="J953" s="46"/>
      <c r="K953" s="16" t="str">
        <f>IF(J953&lt;&gt;"",SUMIFS('💰 Transaction ขาย'!$F:$F,'💰 Transaction ขาย'!$K:$K,$J953,'💰 Transaction ขาย'!$J:$J,$B$1),"")</f>
        <v/>
      </c>
      <c r="L953" s="118"/>
      <c r="M953" s="46"/>
      <c r="N953" s="46"/>
      <c r="O953" s="46"/>
      <c r="P953" s="118"/>
      <c r="Q953" s="46"/>
      <c r="R953" s="46"/>
      <c r="S953" s="46"/>
      <c r="T953" s="46"/>
      <c r="U953" s="118"/>
      <c r="V953" s="46"/>
      <c r="W953" s="88" t="str">
        <f>IF(V953&lt;&gt;"",SUMIFS('📊 รายงานสินค้าคงเหลือ'!G:G,'📊 รายงานสินค้าคงเหลือ'!D:D,V953),"")</f>
        <v/>
      </c>
      <c r="X953" s="46"/>
      <c r="Y953" s="46"/>
      <c r="Z953" s="46"/>
    </row>
    <row r="954">
      <c r="A954" s="46"/>
      <c r="B954" s="16"/>
      <c r="C954" s="118"/>
      <c r="D954" s="126"/>
      <c r="E954" s="88"/>
      <c r="F954" s="118"/>
      <c r="G954" s="46"/>
      <c r="H954" s="46"/>
      <c r="I954" s="118"/>
      <c r="J954" s="46"/>
      <c r="K954" s="16" t="str">
        <f>IF(J954&lt;&gt;"",SUMIFS('💰 Transaction ขาย'!$F:$F,'💰 Transaction ขาย'!$K:$K,$J954,'💰 Transaction ขาย'!$J:$J,$B$1),"")</f>
        <v/>
      </c>
      <c r="L954" s="118"/>
      <c r="M954" s="46"/>
      <c r="N954" s="46"/>
      <c r="O954" s="46"/>
      <c r="P954" s="118"/>
      <c r="Q954" s="46"/>
      <c r="R954" s="46"/>
      <c r="S954" s="46"/>
      <c r="T954" s="46"/>
      <c r="U954" s="118"/>
      <c r="V954" s="46"/>
      <c r="W954" s="88" t="str">
        <f>IF(V954&lt;&gt;"",SUMIFS('📊 รายงานสินค้าคงเหลือ'!G:G,'📊 รายงานสินค้าคงเหลือ'!D:D,V954),"")</f>
        <v/>
      </c>
      <c r="X954" s="46"/>
      <c r="Y954" s="46"/>
      <c r="Z954" s="46"/>
    </row>
    <row r="955">
      <c r="A955" s="46"/>
      <c r="B955" s="16"/>
      <c r="C955" s="118"/>
      <c r="D955" s="126"/>
      <c r="E955" s="88"/>
      <c r="F955" s="118"/>
      <c r="G955" s="46"/>
      <c r="H955" s="46"/>
      <c r="I955" s="118"/>
      <c r="J955" s="46"/>
      <c r="K955" s="16" t="str">
        <f>IF(J955&lt;&gt;"",SUMIFS('💰 Transaction ขาย'!$F:$F,'💰 Transaction ขาย'!$K:$K,$J955,'💰 Transaction ขาย'!$J:$J,$B$1),"")</f>
        <v/>
      </c>
      <c r="L955" s="118"/>
      <c r="M955" s="46"/>
      <c r="N955" s="46"/>
      <c r="O955" s="46"/>
      <c r="P955" s="118"/>
      <c r="Q955" s="46"/>
      <c r="R955" s="46"/>
      <c r="S955" s="46"/>
      <c r="T955" s="46"/>
      <c r="U955" s="118"/>
      <c r="V955" s="46"/>
      <c r="W955" s="88" t="str">
        <f>IF(V955&lt;&gt;"",SUMIFS('📊 รายงานสินค้าคงเหลือ'!G:G,'📊 รายงานสินค้าคงเหลือ'!D:D,V955),"")</f>
        <v/>
      </c>
      <c r="X955" s="46"/>
      <c r="Y955" s="46"/>
      <c r="Z955" s="46"/>
    </row>
    <row r="956">
      <c r="A956" s="46"/>
      <c r="B956" s="16"/>
      <c r="C956" s="118"/>
      <c r="D956" s="126"/>
      <c r="E956" s="88"/>
      <c r="F956" s="118"/>
      <c r="G956" s="46"/>
      <c r="H956" s="46"/>
      <c r="I956" s="118"/>
      <c r="J956" s="46"/>
      <c r="K956" s="16" t="str">
        <f>IF(J956&lt;&gt;"",SUMIFS('💰 Transaction ขาย'!$F:$F,'💰 Transaction ขาย'!$K:$K,$J956,'💰 Transaction ขาย'!$J:$J,$B$1),"")</f>
        <v/>
      </c>
      <c r="L956" s="118"/>
      <c r="M956" s="46"/>
      <c r="N956" s="46"/>
      <c r="O956" s="46"/>
      <c r="P956" s="118"/>
      <c r="Q956" s="46"/>
      <c r="R956" s="46"/>
      <c r="S956" s="46"/>
      <c r="T956" s="46"/>
      <c r="U956" s="118"/>
      <c r="V956" s="46"/>
      <c r="W956" s="88" t="str">
        <f>IF(V956&lt;&gt;"",SUMIFS('📊 รายงานสินค้าคงเหลือ'!G:G,'📊 รายงานสินค้าคงเหลือ'!D:D,V956),"")</f>
        <v/>
      </c>
      <c r="X956" s="46"/>
      <c r="Y956" s="46"/>
      <c r="Z956" s="46"/>
    </row>
    <row r="957">
      <c r="A957" s="46"/>
      <c r="B957" s="16"/>
      <c r="C957" s="118"/>
      <c r="D957" s="126"/>
      <c r="E957" s="88"/>
      <c r="F957" s="118"/>
      <c r="G957" s="46"/>
      <c r="H957" s="46"/>
      <c r="I957" s="118"/>
      <c r="J957" s="46"/>
      <c r="K957" s="16" t="str">
        <f>IF(J957&lt;&gt;"",SUMIFS('💰 Transaction ขาย'!$F:$F,'💰 Transaction ขาย'!$K:$K,$J957,'💰 Transaction ขาย'!$J:$J,$B$1),"")</f>
        <v/>
      </c>
      <c r="L957" s="118"/>
      <c r="M957" s="46"/>
      <c r="N957" s="46"/>
      <c r="O957" s="46"/>
      <c r="P957" s="118"/>
      <c r="Q957" s="46"/>
      <c r="R957" s="46"/>
      <c r="S957" s="46"/>
      <c r="T957" s="46"/>
      <c r="U957" s="118"/>
      <c r="V957" s="46"/>
      <c r="W957" s="88" t="str">
        <f>IF(V957&lt;&gt;"",SUMIFS('📊 รายงานสินค้าคงเหลือ'!G:G,'📊 รายงานสินค้าคงเหลือ'!D:D,V957),"")</f>
        <v/>
      </c>
      <c r="X957" s="46"/>
      <c r="Y957" s="46"/>
      <c r="Z957" s="46"/>
    </row>
    <row r="958">
      <c r="A958" s="46"/>
      <c r="B958" s="16"/>
      <c r="C958" s="118"/>
      <c r="D958" s="126"/>
      <c r="E958" s="88"/>
      <c r="F958" s="118"/>
      <c r="G958" s="46"/>
      <c r="H958" s="46"/>
      <c r="I958" s="118"/>
      <c r="J958" s="46"/>
      <c r="K958" s="16" t="str">
        <f>IF(J958&lt;&gt;"",SUMIFS('💰 Transaction ขาย'!$F:$F,'💰 Transaction ขาย'!$K:$K,$J958,'💰 Transaction ขาย'!$J:$J,$B$1),"")</f>
        <v/>
      </c>
      <c r="L958" s="118"/>
      <c r="M958" s="46"/>
      <c r="N958" s="46"/>
      <c r="O958" s="46"/>
      <c r="P958" s="118"/>
      <c r="Q958" s="46"/>
      <c r="R958" s="46"/>
      <c r="S958" s="46"/>
      <c r="T958" s="46"/>
      <c r="U958" s="118"/>
      <c r="V958" s="46"/>
      <c r="W958" s="88" t="str">
        <f>IF(V958&lt;&gt;"",SUMIFS('📊 รายงานสินค้าคงเหลือ'!G:G,'📊 รายงานสินค้าคงเหลือ'!D:D,V958),"")</f>
        <v/>
      </c>
      <c r="X958" s="46"/>
      <c r="Y958" s="46"/>
      <c r="Z958" s="46"/>
    </row>
    <row r="959">
      <c r="A959" s="46"/>
      <c r="B959" s="16"/>
      <c r="C959" s="118"/>
      <c r="D959" s="126"/>
      <c r="E959" s="88"/>
      <c r="F959" s="118"/>
      <c r="G959" s="46"/>
      <c r="H959" s="46"/>
      <c r="I959" s="118"/>
      <c r="J959" s="46"/>
      <c r="K959" s="16" t="str">
        <f>IF(J959&lt;&gt;"",SUMIFS('💰 Transaction ขาย'!$F:$F,'💰 Transaction ขาย'!$K:$K,$J959,'💰 Transaction ขาย'!$J:$J,$B$1),"")</f>
        <v/>
      </c>
      <c r="L959" s="118"/>
      <c r="M959" s="46"/>
      <c r="N959" s="46"/>
      <c r="O959" s="46"/>
      <c r="P959" s="118"/>
      <c r="Q959" s="46"/>
      <c r="R959" s="46"/>
      <c r="S959" s="46"/>
      <c r="T959" s="46"/>
      <c r="U959" s="118"/>
      <c r="V959" s="46"/>
      <c r="W959" s="88" t="str">
        <f>IF(V959&lt;&gt;"",SUMIFS('📊 รายงานสินค้าคงเหลือ'!G:G,'📊 รายงานสินค้าคงเหลือ'!D:D,V959),"")</f>
        <v/>
      </c>
      <c r="X959" s="46"/>
      <c r="Y959" s="46"/>
      <c r="Z959" s="46"/>
    </row>
    <row r="960">
      <c r="A960" s="46"/>
      <c r="B960" s="16"/>
      <c r="C960" s="118"/>
      <c r="D960" s="126"/>
      <c r="E960" s="88"/>
      <c r="F960" s="118"/>
      <c r="G960" s="46"/>
      <c r="H960" s="46"/>
      <c r="I960" s="118"/>
      <c r="J960" s="46"/>
      <c r="K960" s="16" t="str">
        <f>IF(J960&lt;&gt;"",SUMIFS('💰 Transaction ขาย'!$F:$F,'💰 Transaction ขาย'!$K:$K,$J960,'💰 Transaction ขาย'!$J:$J,$B$1),"")</f>
        <v/>
      </c>
      <c r="L960" s="118"/>
      <c r="M960" s="46"/>
      <c r="N960" s="46"/>
      <c r="O960" s="46"/>
      <c r="P960" s="118"/>
      <c r="Q960" s="46"/>
      <c r="R960" s="46"/>
      <c r="S960" s="46"/>
      <c r="T960" s="46"/>
      <c r="U960" s="118"/>
      <c r="V960" s="46"/>
      <c r="W960" s="88" t="str">
        <f>IF(V960&lt;&gt;"",SUMIFS('📊 รายงานสินค้าคงเหลือ'!G:G,'📊 รายงานสินค้าคงเหลือ'!D:D,V960),"")</f>
        <v/>
      </c>
      <c r="X960" s="46"/>
      <c r="Y960" s="46"/>
      <c r="Z960" s="46"/>
    </row>
    <row r="961">
      <c r="A961" s="46"/>
      <c r="B961" s="16"/>
      <c r="C961" s="118"/>
      <c r="D961" s="126"/>
      <c r="E961" s="88"/>
      <c r="F961" s="118"/>
      <c r="G961" s="46"/>
      <c r="H961" s="46"/>
      <c r="I961" s="118"/>
      <c r="J961" s="46"/>
      <c r="K961" s="16" t="str">
        <f>IF(J961&lt;&gt;"",SUMIFS('💰 Transaction ขาย'!$F:$F,'💰 Transaction ขาย'!$K:$K,$J961,'💰 Transaction ขาย'!$J:$J,$B$1),"")</f>
        <v/>
      </c>
      <c r="L961" s="118"/>
      <c r="M961" s="46"/>
      <c r="N961" s="46"/>
      <c r="O961" s="46"/>
      <c r="P961" s="118"/>
      <c r="Q961" s="46"/>
      <c r="R961" s="46"/>
      <c r="S961" s="46"/>
      <c r="T961" s="46"/>
      <c r="U961" s="118"/>
      <c r="V961" s="46"/>
      <c r="W961" s="88" t="str">
        <f>IF(V961&lt;&gt;"",SUMIFS('📊 รายงานสินค้าคงเหลือ'!G:G,'📊 รายงานสินค้าคงเหลือ'!D:D,V961),"")</f>
        <v/>
      </c>
      <c r="X961" s="46"/>
      <c r="Y961" s="46"/>
      <c r="Z961" s="46"/>
    </row>
    <row r="962">
      <c r="A962" s="46"/>
      <c r="B962" s="16"/>
      <c r="C962" s="118"/>
      <c r="D962" s="126"/>
      <c r="E962" s="88"/>
      <c r="F962" s="118"/>
      <c r="G962" s="46"/>
      <c r="H962" s="46"/>
      <c r="I962" s="118"/>
      <c r="J962" s="46"/>
      <c r="K962" s="16" t="str">
        <f>IF(J962&lt;&gt;"",SUMIFS('💰 Transaction ขาย'!$F:$F,'💰 Transaction ขาย'!$K:$K,$J962,'💰 Transaction ขาย'!$J:$J,$B$1),"")</f>
        <v/>
      </c>
      <c r="L962" s="118"/>
      <c r="M962" s="46"/>
      <c r="N962" s="46"/>
      <c r="O962" s="46"/>
      <c r="P962" s="118"/>
      <c r="Q962" s="46"/>
      <c r="R962" s="46"/>
      <c r="S962" s="46"/>
      <c r="T962" s="46"/>
      <c r="U962" s="118"/>
      <c r="V962" s="46"/>
      <c r="W962" s="88" t="str">
        <f>IF(V962&lt;&gt;"",SUMIFS('📊 รายงานสินค้าคงเหลือ'!G:G,'📊 รายงานสินค้าคงเหลือ'!D:D,V962),"")</f>
        <v/>
      </c>
      <c r="X962" s="46"/>
      <c r="Y962" s="46"/>
      <c r="Z962" s="46"/>
    </row>
    <row r="963">
      <c r="A963" s="46"/>
      <c r="B963" s="16"/>
      <c r="C963" s="118"/>
      <c r="D963" s="126"/>
      <c r="E963" s="88"/>
      <c r="F963" s="118"/>
      <c r="G963" s="46"/>
      <c r="H963" s="46"/>
      <c r="I963" s="118"/>
      <c r="J963" s="46"/>
      <c r="K963" s="16" t="str">
        <f>IF(J963&lt;&gt;"",SUMIFS('💰 Transaction ขาย'!$F:$F,'💰 Transaction ขาย'!$K:$K,$J963,'💰 Transaction ขาย'!$J:$J,$B$1),"")</f>
        <v/>
      </c>
      <c r="L963" s="118"/>
      <c r="M963" s="46"/>
      <c r="N963" s="46"/>
      <c r="O963" s="46"/>
      <c r="P963" s="118"/>
      <c r="Q963" s="46"/>
      <c r="R963" s="46"/>
      <c r="S963" s="46"/>
      <c r="T963" s="46"/>
      <c r="U963" s="118"/>
      <c r="V963" s="46"/>
      <c r="W963" s="88" t="str">
        <f>IF(V963&lt;&gt;"",SUMIFS('📊 รายงานสินค้าคงเหลือ'!G:G,'📊 รายงานสินค้าคงเหลือ'!D:D,V963),"")</f>
        <v/>
      </c>
      <c r="X963" s="46"/>
      <c r="Y963" s="46"/>
      <c r="Z963" s="46"/>
    </row>
    <row r="964">
      <c r="A964" s="46"/>
      <c r="B964" s="16"/>
      <c r="C964" s="118"/>
      <c r="D964" s="126"/>
      <c r="E964" s="88"/>
      <c r="F964" s="118"/>
      <c r="G964" s="46"/>
      <c r="H964" s="46"/>
      <c r="I964" s="118"/>
      <c r="J964" s="46"/>
      <c r="K964" s="16" t="str">
        <f>IF(J964&lt;&gt;"",SUMIFS('💰 Transaction ขาย'!$F:$F,'💰 Transaction ขาย'!$K:$K,$J964,'💰 Transaction ขาย'!$J:$J,$B$1),"")</f>
        <v/>
      </c>
      <c r="L964" s="118"/>
      <c r="M964" s="46"/>
      <c r="N964" s="46"/>
      <c r="O964" s="46"/>
      <c r="P964" s="118"/>
      <c r="Q964" s="46"/>
      <c r="R964" s="46"/>
      <c r="S964" s="46"/>
      <c r="T964" s="46"/>
      <c r="U964" s="118"/>
      <c r="V964" s="46"/>
      <c r="W964" s="88" t="str">
        <f>IF(V964&lt;&gt;"",SUMIFS('📊 รายงานสินค้าคงเหลือ'!G:G,'📊 รายงานสินค้าคงเหลือ'!D:D,V964),"")</f>
        <v/>
      </c>
      <c r="X964" s="46"/>
      <c r="Y964" s="46"/>
      <c r="Z964" s="46"/>
    </row>
    <row r="965">
      <c r="A965" s="46"/>
      <c r="B965" s="16"/>
      <c r="C965" s="118"/>
      <c r="D965" s="126"/>
      <c r="E965" s="88"/>
      <c r="F965" s="118"/>
      <c r="G965" s="46"/>
      <c r="H965" s="46"/>
      <c r="I965" s="118"/>
      <c r="J965" s="46"/>
      <c r="K965" s="16" t="str">
        <f>IF(J965&lt;&gt;"",SUMIFS('💰 Transaction ขาย'!$F:$F,'💰 Transaction ขาย'!$K:$K,$J965,'💰 Transaction ขาย'!$J:$J,$B$1),"")</f>
        <v/>
      </c>
      <c r="L965" s="118"/>
      <c r="M965" s="46"/>
      <c r="N965" s="46"/>
      <c r="O965" s="46"/>
      <c r="P965" s="118"/>
      <c r="Q965" s="46"/>
      <c r="R965" s="46"/>
      <c r="S965" s="46"/>
      <c r="T965" s="46"/>
      <c r="U965" s="118"/>
      <c r="V965" s="46"/>
      <c r="W965" s="88" t="str">
        <f>IF(V965&lt;&gt;"",SUMIFS('📊 รายงานสินค้าคงเหลือ'!G:G,'📊 รายงานสินค้าคงเหลือ'!D:D,V965),"")</f>
        <v/>
      </c>
      <c r="X965" s="46"/>
      <c r="Y965" s="46"/>
      <c r="Z965" s="46"/>
    </row>
    <row r="966">
      <c r="A966" s="46"/>
      <c r="B966" s="16"/>
      <c r="C966" s="118"/>
      <c r="D966" s="126"/>
      <c r="E966" s="88"/>
      <c r="F966" s="118"/>
      <c r="G966" s="46"/>
      <c r="H966" s="46"/>
      <c r="I966" s="118"/>
      <c r="J966" s="46"/>
      <c r="K966" s="16" t="str">
        <f>IF(J966&lt;&gt;"",SUMIFS('💰 Transaction ขาย'!$F:$F,'💰 Transaction ขาย'!$K:$K,$J966,'💰 Transaction ขาย'!$J:$J,$B$1),"")</f>
        <v/>
      </c>
      <c r="L966" s="118"/>
      <c r="M966" s="46"/>
      <c r="N966" s="46"/>
      <c r="O966" s="46"/>
      <c r="P966" s="118"/>
      <c r="Q966" s="46"/>
      <c r="R966" s="46"/>
      <c r="S966" s="46"/>
      <c r="T966" s="46"/>
      <c r="U966" s="118"/>
      <c r="V966" s="46"/>
      <c r="W966" s="88" t="str">
        <f>IF(V966&lt;&gt;"",SUMIFS('📊 รายงานสินค้าคงเหลือ'!G:G,'📊 รายงานสินค้าคงเหลือ'!D:D,V966),"")</f>
        <v/>
      </c>
      <c r="X966" s="46"/>
      <c r="Y966" s="46"/>
      <c r="Z966" s="46"/>
    </row>
    <row r="967">
      <c r="A967" s="46"/>
      <c r="B967" s="16"/>
      <c r="C967" s="118"/>
      <c r="D967" s="126"/>
      <c r="E967" s="88"/>
      <c r="F967" s="118"/>
      <c r="G967" s="46"/>
      <c r="H967" s="46"/>
      <c r="I967" s="118"/>
      <c r="J967" s="46"/>
      <c r="K967" s="16" t="str">
        <f>IF(J967&lt;&gt;"",SUMIFS('💰 Transaction ขาย'!$F:$F,'💰 Transaction ขาย'!$K:$K,$J967,'💰 Transaction ขาย'!$J:$J,$B$1),"")</f>
        <v/>
      </c>
      <c r="L967" s="118"/>
      <c r="M967" s="46"/>
      <c r="N967" s="46"/>
      <c r="O967" s="46"/>
      <c r="P967" s="118"/>
      <c r="Q967" s="46"/>
      <c r="R967" s="46"/>
      <c r="S967" s="46"/>
      <c r="T967" s="46"/>
      <c r="U967" s="118"/>
      <c r="V967" s="46"/>
      <c r="W967" s="88" t="str">
        <f>IF(V967&lt;&gt;"",SUMIFS('📊 รายงานสินค้าคงเหลือ'!G:G,'📊 รายงานสินค้าคงเหลือ'!D:D,V967),"")</f>
        <v/>
      </c>
      <c r="X967" s="46"/>
      <c r="Y967" s="46"/>
      <c r="Z967" s="46"/>
    </row>
    <row r="968">
      <c r="A968" s="46"/>
      <c r="B968" s="16"/>
      <c r="C968" s="118"/>
      <c r="D968" s="126"/>
      <c r="E968" s="88"/>
      <c r="F968" s="118"/>
      <c r="G968" s="46"/>
      <c r="H968" s="46"/>
      <c r="I968" s="118"/>
      <c r="J968" s="46"/>
      <c r="K968" s="16" t="str">
        <f>IF(J968&lt;&gt;"",SUMIFS('💰 Transaction ขาย'!$F:$F,'💰 Transaction ขาย'!$K:$K,$J968,'💰 Transaction ขาย'!$J:$J,$B$1),"")</f>
        <v/>
      </c>
      <c r="L968" s="118"/>
      <c r="M968" s="46"/>
      <c r="N968" s="46"/>
      <c r="O968" s="46"/>
      <c r="P968" s="118"/>
      <c r="Q968" s="46"/>
      <c r="R968" s="46"/>
      <c r="S968" s="46"/>
      <c r="T968" s="46"/>
      <c r="U968" s="118"/>
      <c r="V968" s="46"/>
      <c r="W968" s="88" t="str">
        <f>IF(V968&lt;&gt;"",SUMIFS('📊 รายงานสินค้าคงเหลือ'!G:G,'📊 รายงานสินค้าคงเหลือ'!D:D,V968),"")</f>
        <v/>
      </c>
      <c r="X968" s="46"/>
      <c r="Y968" s="46"/>
      <c r="Z968" s="46"/>
    </row>
    <row r="969">
      <c r="A969" s="46"/>
      <c r="B969" s="16"/>
      <c r="C969" s="118"/>
      <c r="D969" s="126"/>
      <c r="E969" s="88"/>
      <c r="F969" s="118"/>
      <c r="G969" s="46"/>
      <c r="H969" s="46"/>
      <c r="I969" s="118"/>
      <c r="J969" s="46"/>
      <c r="K969" s="16" t="str">
        <f>IF(J969&lt;&gt;"",SUMIFS('💰 Transaction ขาย'!$F:$F,'💰 Transaction ขาย'!$K:$K,$J969,'💰 Transaction ขาย'!$J:$J,$B$1),"")</f>
        <v/>
      </c>
      <c r="L969" s="118"/>
      <c r="M969" s="46"/>
      <c r="N969" s="46"/>
      <c r="O969" s="46"/>
      <c r="P969" s="118"/>
      <c r="Q969" s="46"/>
      <c r="R969" s="46"/>
      <c r="S969" s="46"/>
      <c r="T969" s="46"/>
      <c r="U969" s="118"/>
      <c r="V969" s="46"/>
      <c r="W969" s="88" t="str">
        <f>IF(V969&lt;&gt;"",SUMIFS('📊 รายงานสินค้าคงเหลือ'!G:G,'📊 รายงานสินค้าคงเหลือ'!D:D,V969),"")</f>
        <v/>
      </c>
      <c r="X969" s="46"/>
      <c r="Y969" s="46"/>
      <c r="Z969" s="46"/>
    </row>
    <row r="970">
      <c r="A970" s="46"/>
      <c r="B970" s="16"/>
      <c r="C970" s="118"/>
      <c r="D970" s="126"/>
      <c r="E970" s="88"/>
      <c r="F970" s="118"/>
      <c r="G970" s="46"/>
      <c r="H970" s="46"/>
      <c r="I970" s="118"/>
      <c r="J970" s="46"/>
      <c r="K970" s="16" t="str">
        <f>IF(J970&lt;&gt;"",SUMIFS('💰 Transaction ขาย'!$F:$F,'💰 Transaction ขาย'!$K:$K,$J970,'💰 Transaction ขาย'!$J:$J,$B$1),"")</f>
        <v/>
      </c>
      <c r="L970" s="118"/>
      <c r="M970" s="46"/>
      <c r="N970" s="46"/>
      <c r="O970" s="46"/>
      <c r="P970" s="118"/>
      <c r="Q970" s="46"/>
      <c r="R970" s="46"/>
      <c r="S970" s="46"/>
      <c r="T970" s="46"/>
      <c r="U970" s="118"/>
      <c r="V970" s="46"/>
      <c r="W970" s="88" t="str">
        <f>IF(V970&lt;&gt;"",SUMIFS('📊 รายงานสินค้าคงเหลือ'!G:G,'📊 รายงานสินค้าคงเหลือ'!D:D,V970),"")</f>
        <v/>
      </c>
      <c r="X970" s="46"/>
      <c r="Y970" s="46"/>
      <c r="Z970" s="46"/>
    </row>
    <row r="971">
      <c r="A971" s="46"/>
      <c r="B971" s="16"/>
      <c r="C971" s="118"/>
      <c r="D971" s="126"/>
      <c r="E971" s="88"/>
      <c r="F971" s="118"/>
      <c r="G971" s="46"/>
      <c r="H971" s="46"/>
      <c r="I971" s="118"/>
      <c r="J971" s="46"/>
      <c r="K971" s="16" t="str">
        <f>IF(J971&lt;&gt;"",SUMIFS('💰 Transaction ขาย'!$F:$F,'💰 Transaction ขาย'!$K:$K,$J971,'💰 Transaction ขาย'!$J:$J,$B$1),"")</f>
        <v/>
      </c>
      <c r="L971" s="118"/>
      <c r="M971" s="46"/>
      <c r="N971" s="46"/>
      <c r="O971" s="46"/>
      <c r="P971" s="118"/>
      <c r="Q971" s="46"/>
      <c r="R971" s="46"/>
      <c r="S971" s="46"/>
      <c r="T971" s="46"/>
      <c r="U971" s="118"/>
      <c r="V971" s="46"/>
      <c r="W971" s="88" t="str">
        <f>IF(V971&lt;&gt;"",SUMIFS('📊 รายงานสินค้าคงเหลือ'!G:G,'📊 รายงานสินค้าคงเหลือ'!D:D,V971),"")</f>
        <v/>
      </c>
      <c r="X971" s="46"/>
      <c r="Y971" s="46"/>
      <c r="Z971" s="46"/>
    </row>
    <row r="972">
      <c r="A972" s="46"/>
      <c r="B972" s="16"/>
      <c r="C972" s="118"/>
      <c r="D972" s="126"/>
      <c r="E972" s="88"/>
      <c r="F972" s="118"/>
      <c r="G972" s="46"/>
      <c r="H972" s="46"/>
      <c r="I972" s="118"/>
      <c r="J972" s="46"/>
      <c r="K972" s="16" t="str">
        <f>IF(J972&lt;&gt;"",SUMIFS('💰 Transaction ขาย'!$F:$F,'💰 Transaction ขาย'!$K:$K,$J972,'💰 Transaction ขาย'!$J:$J,$B$1),"")</f>
        <v/>
      </c>
      <c r="L972" s="118"/>
      <c r="M972" s="46"/>
      <c r="N972" s="46"/>
      <c r="O972" s="46"/>
      <c r="P972" s="118"/>
      <c r="Q972" s="46"/>
      <c r="R972" s="46"/>
      <c r="S972" s="46"/>
      <c r="T972" s="46"/>
      <c r="U972" s="118"/>
      <c r="V972" s="46"/>
      <c r="W972" s="88" t="str">
        <f>IF(V972&lt;&gt;"",SUMIFS('📊 รายงานสินค้าคงเหลือ'!G:G,'📊 รายงานสินค้าคงเหลือ'!D:D,V972),"")</f>
        <v/>
      </c>
      <c r="X972" s="46"/>
      <c r="Y972" s="46"/>
      <c r="Z972" s="46"/>
    </row>
    <row r="973">
      <c r="A973" s="46"/>
      <c r="B973" s="16"/>
      <c r="C973" s="118"/>
      <c r="D973" s="126"/>
      <c r="E973" s="88"/>
      <c r="F973" s="118"/>
      <c r="G973" s="46"/>
      <c r="H973" s="46"/>
      <c r="I973" s="118"/>
      <c r="J973" s="46"/>
      <c r="K973" s="16" t="str">
        <f>IF(J973&lt;&gt;"",SUMIFS('💰 Transaction ขาย'!$F:$F,'💰 Transaction ขาย'!$K:$K,$J973,'💰 Transaction ขาย'!$J:$J,$B$1),"")</f>
        <v/>
      </c>
      <c r="L973" s="118"/>
      <c r="M973" s="46"/>
      <c r="N973" s="46"/>
      <c r="O973" s="46"/>
      <c r="P973" s="118"/>
      <c r="Q973" s="46"/>
      <c r="R973" s="46"/>
      <c r="S973" s="46"/>
      <c r="T973" s="46"/>
      <c r="U973" s="118"/>
      <c r="V973" s="46"/>
      <c r="W973" s="88" t="str">
        <f>IF(V973&lt;&gt;"",SUMIFS('📊 รายงานสินค้าคงเหลือ'!G:G,'📊 รายงานสินค้าคงเหลือ'!D:D,V973),"")</f>
        <v/>
      </c>
      <c r="X973" s="46"/>
      <c r="Y973" s="46"/>
      <c r="Z973" s="46"/>
    </row>
    <row r="974">
      <c r="A974" s="46"/>
      <c r="B974" s="16"/>
      <c r="C974" s="118"/>
      <c r="D974" s="126"/>
      <c r="E974" s="88"/>
      <c r="F974" s="118"/>
      <c r="G974" s="46"/>
      <c r="H974" s="46"/>
      <c r="I974" s="118"/>
      <c r="J974" s="46"/>
      <c r="K974" s="16" t="str">
        <f>IF(J974&lt;&gt;"",SUMIFS('💰 Transaction ขาย'!$F:$F,'💰 Transaction ขาย'!$K:$K,$J974,'💰 Transaction ขาย'!$J:$J,$B$1),"")</f>
        <v/>
      </c>
      <c r="L974" s="118"/>
      <c r="M974" s="46"/>
      <c r="N974" s="46"/>
      <c r="O974" s="46"/>
      <c r="P974" s="118"/>
      <c r="Q974" s="46"/>
      <c r="R974" s="46"/>
      <c r="S974" s="46"/>
      <c r="T974" s="46"/>
      <c r="U974" s="118"/>
      <c r="V974" s="46"/>
      <c r="W974" s="88" t="str">
        <f>IF(V974&lt;&gt;"",SUMIFS('📊 รายงานสินค้าคงเหลือ'!G:G,'📊 รายงานสินค้าคงเหลือ'!D:D,V974),"")</f>
        <v/>
      </c>
      <c r="X974" s="46"/>
      <c r="Y974" s="46"/>
      <c r="Z974" s="46"/>
    </row>
    <row r="975">
      <c r="A975" s="46"/>
      <c r="B975" s="16"/>
      <c r="C975" s="118"/>
      <c r="D975" s="126"/>
      <c r="E975" s="88"/>
      <c r="F975" s="118"/>
      <c r="G975" s="46"/>
      <c r="H975" s="46"/>
      <c r="I975" s="118"/>
      <c r="J975" s="46"/>
      <c r="K975" s="16" t="str">
        <f>IF(J975&lt;&gt;"",SUMIFS('💰 Transaction ขาย'!$F:$F,'💰 Transaction ขาย'!$K:$K,$J975,'💰 Transaction ขาย'!$J:$J,$B$1),"")</f>
        <v/>
      </c>
      <c r="L975" s="118"/>
      <c r="M975" s="46"/>
      <c r="N975" s="46"/>
      <c r="O975" s="46"/>
      <c r="P975" s="118"/>
      <c r="Q975" s="46"/>
      <c r="R975" s="46"/>
      <c r="S975" s="46"/>
      <c r="T975" s="46"/>
      <c r="U975" s="118"/>
      <c r="V975" s="46"/>
      <c r="W975" s="88" t="str">
        <f>IF(V975&lt;&gt;"",SUMIFS('📊 รายงานสินค้าคงเหลือ'!G:G,'📊 รายงานสินค้าคงเหลือ'!D:D,V975),"")</f>
        <v/>
      </c>
      <c r="X975" s="46"/>
      <c r="Y975" s="46"/>
      <c r="Z975" s="46"/>
    </row>
    <row r="976">
      <c r="A976" s="46"/>
      <c r="B976" s="16"/>
      <c r="C976" s="118"/>
      <c r="D976" s="126"/>
      <c r="E976" s="88"/>
      <c r="F976" s="118"/>
      <c r="G976" s="46"/>
      <c r="H976" s="46"/>
      <c r="I976" s="118"/>
      <c r="J976" s="46"/>
      <c r="K976" s="16" t="str">
        <f>IF(J976&lt;&gt;"",SUMIFS('💰 Transaction ขาย'!$F:$F,'💰 Transaction ขาย'!$K:$K,$J976,'💰 Transaction ขาย'!$J:$J,$B$1),"")</f>
        <v/>
      </c>
      <c r="L976" s="118"/>
      <c r="M976" s="46"/>
      <c r="N976" s="46"/>
      <c r="O976" s="46"/>
      <c r="P976" s="118"/>
      <c r="Q976" s="46"/>
      <c r="R976" s="46"/>
      <c r="S976" s="46"/>
      <c r="T976" s="46"/>
      <c r="U976" s="118"/>
      <c r="V976" s="46"/>
      <c r="W976" s="88" t="str">
        <f>IF(V976&lt;&gt;"",SUMIFS('📊 รายงานสินค้าคงเหลือ'!G:G,'📊 รายงานสินค้าคงเหลือ'!D:D,V976),"")</f>
        <v/>
      </c>
      <c r="X976" s="46"/>
      <c r="Y976" s="46"/>
      <c r="Z976" s="46"/>
    </row>
    <row r="977">
      <c r="A977" s="46"/>
      <c r="B977" s="16"/>
      <c r="C977" s="118"/>
      <c r="D977" s="126"/>
      <c r="E977" s="88"/>
      <c r="F977" s="118"/>
      <c r="G977" s="46"/>
      <c r="H977" s="46"/>
      <c r="I977" s="118"/>
      <c r="J977" s="46"/>
      <c r="K977" s="16" t="str">
        <f>IF(J977&lt;&gt;"",SUMIFS('💰 Transaction ขาย'!$F:$F,'💰 Transaction ขาย'!$K:$K,$J977,'💰 Transaction ขาย'!$J:$J,$B$1),"")</f>
        <v/>
      </c>
      <c r="L977" s="118"/>
      <c r="M977" s="46"/>
      <c r="N977" s="46"/>
      <c r="O977" s="46"/>
      <c r="P977" s="118"/>
      <c r="Q977" s="46"/>
      <c r="R977" s="46"/>
      <c r="S977" s="46"/>
      <c r="T977" s="46"/>
      <c r="U977" s="118"/>
      <c r="V977" s="46"/>
      <c r="W977" s="88" t="str">
        <f>IF(V977&lt;&gt;"",SUMIFS('📊 รายงานสินค้าคงเหลือ'!G:G,'📊 รายงานสินค้าคงเหลือ'!D:D,V977),"")</f>
        <v/>
      </c>
      <c r="X977" s="46"/>
      <c r="Y977" s="46"/>
      <c r="Z977" s="46"/>
    </row>
    <row r="978">
      <c r="A978" s="46"/>
      <c r="B978" s="16"/>
      <c r="C978" s="118"/>
      <c r="D978" s="126"/>
      <c r="E978" s="88"/>
      <c r="F978" s="118"/>
      <c r="G978" s="46"/>
      <c r="H978" s="46"/>
      <c r="I978" s="118"/>
      <c r="J978" s="46"/>
      <c r="K978" s="16" t="str">
        <f>IF(J978&lt;&gt;"",SUMIFS('💰 Transaction ขาย'!$F:$F,'💰 Transaction ขาย'!$K:$K,$J978,'💰 Transaction ขาย'!$J:$J,$B$1),"")</f>
        <v/>
      </c>
      <c r="L978" s="118"/>
      <c r="M978" s="46"/>
      <c r="N978" s="46"/>
      <c r="O978" s="46"/>
      <c r="P978" s="118"/>
      <c r="Q978" s="46"/>
      <c r="R978" s="46"/>
      <c r="S978" s="46"/>
      <c r="T978" s="46"/>
      <c r="U978" s="118"/>
      <c r="V978" s="46"/>
      <c r="W978" s="88" t="str">
        <f>IF(V978&lt;&gt;"",SUMIFS('📊 รายงานสินค้าคงเหลือ'!G:G,'📊 รายงานสินค้าคงเหลือ'!D:D,V978),"")</f>
        <v/>
      </c>
      <c r="X978" s="46"/>
      <c r="Y978" s="46"/>
      <c r="Z978" s="46"/>
    </row>
    <row r="979">
      <c r="A979" s="46"/>
      <c r="B979" s="16"/>
      <c r="C979" s="118"/>
      <c r="D979" s="126"/>
      <c r="E979" s="88"/>
      <c r="F979" s="118"/>
      <c r="G979" s="46"/>
      <c r="H979" s="46"/>
      <c r="I979" s="118"/>
      <c r="J979" s="46"/>
      <c r="K979" s="16" t="str">
        <f>IF(J979&lt;&gt;"",SUMIFS('💰 Transaction ขาย'!$F:$F,'💰 Transaction ขาย'!$K:$K,$J979,'💰 Transaction ขาย'!$J:$J,$B$1),"")</f>
        <v/>
      </c>
      <c r="L979" s="118"/>
      <c r="M979" s="46"/>
      <c r="N979" s="46"/>
      <c r="O979" s="46"/>
      <c r="P979" s="118"/>
      <c r="Q979" s="46"/>
      <c r="R979" s="46"/>
      <c r="S979" s="46"/>
      <c r="T979" s="46"/>
      <c r="U979" s="118"/>
      <c r="V979" s="46"/>
      <c r="W979" s="88" t="str">
        <f>IF(V979&lt;&gt;"",SUMIFS('📊 รายงานสินค้าคงเหลือ'!G:G,'📊 รายงานสินค้าคงเหลือ'!D:D,V979),"")</f>
        <v/>
      </c>
      <c r="X979" s="46"/>
      <c r="Y979" s="46"/>
      <c r="Z979" s="46"/>
    </row>
    <row r="980">
      <c r="A980" s="46"/>
      <c r="B980" s="16"/>
      <c r="C980" s="118"/>
      <c r="D980" s="126"/>
      <c r="E980" s="88"/>
      <c r="F980" s="118"/>
      <c r="G980" s="46"/>
      <c r="H980" s="46"/>
      <c r="I980" s="118"/>
      <c r="J980" s="46"/>
      <c r="K980" s="16" t="str">
        <f>IF(J980&lt;&gt;"",SUMIFS('💰 Transaction ขาย'!$F:$F,'💰 Transaction ขาย'!$K:$K,$J980,'💰 Transaction ขาย'!$J:$J,$B$1),"")</f>
        <v/>
      </c>
      <c r="L980" s="118"/>
      <c r="M980" s="46"/>
      <c r="N980" s="46"/>
      <c r="O980" s="46"/>
      <c r="P980" s="118"/>
      <c r="Q980" s="46"/>
      <c r="R980" s="46"/>
      <c r="S980" s="46"/>
      <c r="T980" s="46"/>
      <c r="U980" s="118"/>
      <c r="V980" s="46"/>
      <c r="W980" s="88" t="str">
        <f>IF(V980&lt;&gt;"",SUMIFS('📊 รายงานสินค้าคงเหลือ'!G:G,'📊 รายงานสินค้าคงเหลือ'!D:D,V980),"")</f>
        <v/>
      </c>
      <c r="X980" s="46"/>
      <c r="Y980" s="46"/>
      <c r="Z980" s="46"/>
    </row>
    <row r="981">
      <c r="A981" s="46"/>
      <c r="B981" s="16"/>
      <c r="C981" s="118"/>
      <c r="D981" s="126"/>
      <c r="E981" s="88"/>
      <c r="F981" s="118"/>
      <c r="G981" s="46"/>
      <c r="H981" s="46"/>
      <c r="I981" s="118"/>
      <c r="J981" s="46"/>
      <c r="K981" s="16" t="str">
        <f>IF(J981&lt;&gt;"",SUMIFS('💰 Transaction ขาย'!$F:$F,'💰 Transaction ขาย'!$K:$K,$J981,'💰 Transaction ขาย'!$J:$J,$B$1),"")</f>
        <v/>
      </c>
      <c r="L981" s="118"/>
      <c r="M981" s="46"/>
      <c r="N981" s="46"/>
      <c r="O981" s="46"/>
      <c r="P981" s="118"/>
      <c r="Q981" s="46"/>
      <c r="R981" s="46"/>
      <c r="S981" s="46"/>
      <c r="T981" s="46"/>
      <c r="U981" s="118"/>
      <c r="V981" s="46"/>
      <c r="W981" s="88" t="str">
        <f>IF(V981&lt;&gt;"",SUMIFS('📊 รายงานสินค้าคงเหลือ'!G:G,'📊 รายงานสินค้าคงเหลือ'!D:D,V981),"")</f>
        <v/>
      </c>
      <c r="X981" s="46"/>
      <c r="Y981" s="46"/>
      <c r="Z981" s="46"/>
    </row>
    <row r="982">
      <c r="A982" s="46"/>
      <c r="B982" s="16"/>
      <c r="C982" s="118"/>
      <c r="D982" s="126"/>
      <c r="E982" s="88"/>
      <c r="F982" s="118"/>
      <c r="G982" s="46"/>
      <c r="H982" s="46"/>
      <c r="I982" s="118"/>
      <c r="J982" s="46"/>
      <c r="K982" s="16" t="str">
        <f>IF(J982&lt;&gt;"",SUMIFS('💰 Transaction ขาย'!$F:$F,'💰 Transaction ขาย'!$K:$K,$J982,'💰 Transaction ขาย'!$J:$J,$B$1),"")</f>
        <v/>
      </c>
      <c r="L982" s="118"/>
      <c r="M982" s="46"/>
      <c r="N982" s="46"/>
      <c r="O982" s="46"/>
      <c r="P982" s="118"/>
      <c r="Q982" s="46"/>
      <c r="R982" s="46"/>
      <c r="S982" s="46"/>
      <c r="T982" s="46"/>
      <c r="U982" s="118"/>
      <c r="V982" s="46"/>
      <c r="W982" s="88" t="str">
        <f>IF(V982&lt;&gt;"",SUMIFS('📊 รายงานสินค้าคงเหลือ'!G:G,'📊 รายงานสินค้าคงเหลือ'!D:D,V982),"")</f>
        <v/>
      </c>
      <c r="X982" s="46"/>
      <c r="Y982" s="46"/>
      <c r="Z982" s="46"/>
    </row>
    <row r="983">
      <c r="A983" s="46"/>
      <c r="B983" s="16"/>
      <c r="C983" s="118"/>
      <c r="D983" s="126"/>
      <c r="E983" s="88"/>
      <c r="F983" s="118"/>
      <c r="G983" s="46"/>
      <c r="H983" s="46"/>
      <c r="I983" s="118"/>
      <c r="J983" s="46"/>
      <c r="K983" s="16" t="str">
        <f>IF(J983&lt;&gt;"",SUMIFS('💰 Transaction ขาย'!$F:$F,'💰 Transaction ขาย'!$K:$K,$J983,'💰 Transaction ขาย'!$J:$J,$B$1),"")</f>
        <v/>
      </c>
      <c r="L983" s="118"/>
      <c r="M983" s="46"/>
      <c r="N983" s="46"/>
      <c r="O983" s="46"/>
      <c r="P983" s="118"/>
      <c r="Q983" s="46"/>
      <c r="R983" s="46"/>
      <c r="S983" s="46"/>
      <c r="T983" s="46"/>
      <c r="U983" s="118"/>
      <c r="V983" s="46"/>
      <c r="W983" s="88" t="str">
        <f>IF(V983&lt;&gt;"",SUMIFS('📊 รายงานสินค้าคงเหลือ'!G:G,'📊 รายงานสินค้าคงเหลือ'!D:D,V983),"")</f>
        <v/>
      </c>
      <c r="X983" s="46"/>
      <c r="Y983" s="46"/>
      <c r="Z983" s="46"/>
    </row>
    <row r="984">
      <c r="A984" s="46"/>
      <c r="B984" s="16"/>
      <c r="C984" s="118"/>
      <c r="D984" s="126"/>
      <c r="E984" s="88"/>
      <c r="F984" s="118"/>
      <c r="G984" s="46"/>
      <c r="H984" s="46"/>
      <c r="I984" s="118"/>
      <c r="J984" s="46"/>
      <c r="K984" s="16" t="str">
        <f>IF(J984&lt;&gt;"",SUMIFS('💰 Transaction ขาย'!$F:$F,'💰 Transaction ขาย'!$K:$K,$J984,'💰 Transaction ขาย'!$J:$J,$B$1),"")</f>
        <v/>
      </c>
      <c r="L984" s="118"/>
      <c r="M984" s="46"/>
      <c r="N984" s="46"/>
      <c r="O984" s="46"/>
      <c r="P984" s="118"/>
      <c r="Q984" s="46"/>
      <c r="R984" s="46"/>
      <c r="S984" s="46"/>
      <c r="T984" s="46"/>
      <c r="U984" s="118"/>
      <c r="V984" s="46"/>
      <c r="W984" s="88" t="str">
        <f>IF(V984&lt;&gt;"",SUMIFS('📊 รายงานสินค้าคงเหลือ'!G:G,'📊 รายงานสินค้าคงเหลือ'!D:D,V984),"")</f>
        <v/>
      </c>
      <c r="X984" s="46"/>
      <c r="Y984" s="46"/>
      <c r="Z984" s="46"/>
    </row>
    <row r="985">
      <c r="A985" s="46"/>
      <c r="B985" s="16"/>
      <c r="C985" s="118"/>
      <c r="D985" s="126"/>
      <c r="E985" s="88"/>
      <c r="F985" s="118"/>
      <c r="G985" s="46"/>
      <c r="H985" s="46"/>
      <c r="I985" s="118"/>
      <c r="J985" s="46"/>
      <c r="K985" s="16" t="str">
        <f>IF(J985&lt;&gt;"",SUMIFS('💰 Transaction ขาย'!$F:$F,'💰 Transaction ขาย'!$K:$K,$J985,'💰 Transaction ขาย'!$J:$J,$B$1),"")</f>
        <v/>
      </c>
      <c r="L985" s="118"/>
      <c r="M985" s="46"/>
      <c r="N985" s="46"/>
      <c r="O985" s="46"/>
      <c r="P985" s="118"/>
      <c r="Q985" s="46"/>
      <c r="R985" s="46"/>
      <c r="S985" s="46"/>
      <c r="T985" s="46"/>
      <c r="U985" s="118"/>
      <c r="V985" s="46"/>
      <c r="W985" s="88" t="str">
        <f>IF(V985&lt;&gt;"",SUMIFS('📊 รายงานสินค้าคงเหลือ'!G:G,'📊 รายงานสินค้าคงเหลือ'!D:D,V985),"")</f>
        <v/>
      </c>
      <c r="X985" s="46"/>
      <c r="Y985" s="46"/>
      <c r="Z985" s="46"/>
    </row>
    <row r="986">
      <c r="A986" s="46"/>
      <c r="B986" s="16"/>
      <c r="C986" s="118"/>
      <c r="D986" s="126"/>
      <c r="E986" s="88"/>
      <c r="F986" s="118"/>
      <c r="G986" s="46"/>
      <c r="H986" s="46"/>
      <c r="I986" s="118"/>
      <c r="J986" s="46"/>
      <c r="K986" s="16" t="str">
        <f>IF(J986&lt;&gt;"",SUMIFS('💰 Transaction ขาย'!$F:$F,'💰 Transaction ขาย'!$K:$K,$J986,'💰 Transaction ขาย'!$J:$J,$B$1),"")</f>
        <v/>
      </c>
      <c r="L986" s="118"/>
      <c r="M986" s="46"/>
      <c r="N986" s="46"/>
      <c r="O986" s="46"/>
      <c r="P986" s="118"/>
      <c r="Q986" s="46"/>
      <c r="R986" s="46"/>
      <c r="S986" s="46"/>
      <c r="T986" s="46"/>
      <c r="U986" s="118"/>
      <c r="V986" s="46"/>
      <c r="W986" s="88" t="str">
        <f>IF(V986&lt;&gt;"",SUMIFS('📊 รายงานสินค้าคงเหลือ'!G:G,'📊 รายงานสินค้าคงเหลือ'!D:D,V986),"")</f>
        <v/>
      </c>
      <c r="X986" s="46"/>
      <c r="Y986" s="46"/>
      <c r="Z986" s="46"/>
    </row>
    <row r="987">
      <c r="A987" s="46"/>
      <c r="B987" s="16"/>
      <c r="C987" s="118"/>
      <c r="D987" s="126"/>
      <c r="E987" s="88"/>
      <c r="F987" s="118"/>
      <c r="G987" s="46"/>
      <c r="H987" s="46"/>
      <c r="I987" s="118"/>
      <c r="J987" s="46"/>
      <c r="K987" s="16" t="str">
        <f>IF(J987&lt;&gt;"",SUMIFS('💰 Transaction ขาย'!$F:$F,'💰 Transaction ขาย'!$K:$K,$J987,'💰 Transaction ขาย'!$J:$J,$B$1),"")</f>
        <v/>
      </c>
      <c r="L987" s="118"/>
      <c r="M987" s="46"/>
      <c r="N987" s="46"/>
      <c r="O987" s="46"/>
      <c r="P987" s="118"/>
      <c r="Q987" s="46"/>
      <c r="R987" s="46"/>
      <c r="S987" s="46"/>
      <c r="T987" s="46"/>
      <c r="U987" s="118"/>
      <c r="V987" s="46"/>
      <c r="W987" s="88" t="str">
        <f>IF(V987&lt;&gt;"",SUMIFS('📊 รายงานสินค้าคงเหลือ'!G:G,'📊 รายงานสินค้าคงเหลือ'!D:D,V987),"")</f>
        <v/>
      </c>
      <c r="X987" s="46"/>
      <c r="Y987" s="46"/>
      <c r="Z987" s="46"/>
    </row>
    <row r="988">
      <c r="A988" s="46"/>
      <c r="B988" s="16"/>
      <c r="C988" s="118"/>
      <c r="D988" s="126"/>
      <c r="E988" s="88"/>
      <c r="F988" s="118"/>
      <c r="G988" s="46"/>
      <c r="H988" s="46"/>
      <c r="I988" s="118"/>
      <c r="J988" s="46"/>
      <c r="K988" s="16" t="str">
        <f>IF(J988&lt;&gt;"",SUMIFS('💰 Transaction ขาย'!$F:$F,'💰 Transaction ขาย'!$K:$K,$J988,'💰 Transaction ขาย'!$J:$J,$B$1),"")</f>
        <v/>
      </c>
      <c r="L988" s="118"/>
      <c r="M988" s="46"/>
      <c r="N988" s="46"/>
      <c r="O988" s="46"/>
      <c r="P988" s="118"/>
      <c r="Q988" s="46"/>
      <c r="R988" s="46"/>
      <c r="S988" s="46"/>
      <c r="T988" s="46"/>
      <c r="U988" s="118"/>
      <c r="V988" s="46"/>
      <c r="W988" s="88" t="str">
        <f>IF(V988&lt;&gt;"",SUMIFS('📊 รายงานสินค้าคงเหลือ'!G:G,'📊 รายงานสินค้าคงเหลือ'!D:D,V988),"")</f>
        <v/>
      </c>
      <c r="X988" s="46"/>
      <c r="Y988" s="46"/>
      <c r="Z988" s="46"/>
    </row>
    <row r="989">
      <c r="A989" s="46"/>
      <c r="B989" s="16"/>
      <c r="C989" s="118"/>
      <c r="D989" s="126"/>
      <c r="E989" s="88"/>
      <c r="F989" s="118"/>
      <c r="G989" s="46"/>
      <c r="H989" s="46"/>
      <c r="I989" s="118"/>
      <c r="J989" s="46"/>
      <c r="K989" s="16" t="str">
        <f>IF(J989&lt;&gt;"",SUMIFS('💰 Transaction ขาย'!$F:$F,'💰 Transaction ขาย'!$K:$K,$J989,'💰 Transaction ขาย'!$J:$J,$B$1),"")</f>
        <v/>
      </c>
      <c r="L989" s="118"/>
      <c r="M989" s="46"/>
      <c r="N989" s="46"/>
      <c r="O989" s="46"/>
      <c r="P989" s="118"/>
      <c r="Q989" s="46"/>
      <c r="R989" s="46"/>
      <c r="S989" s="46"/>
      <c r="T989" s="46"/>
      <c r="U989" s="118"/>
      <c r="V989" s="46"/>
      <c r="W989" s="88" t="str">
        <f>IF(V989&lt;&gt;"",SUMIFS('📊 รายงานสินค้าคงเหลือ'!G:G,'📊 รายงานสินค้าคงเหลือ'!D:D,V989),"")</f>
        <v/>
      </c>
      <c r="X989" s="46"/>
      <c r="Y989" s="46"/>
      <c r="Z989" s="46"/>
    </row>
    <row r="990">
      <c r="A990" s="46"/>
      <c r="B990" s="16"/>
      <c r="C990" s="118"/>
      <c r="D990" s="126"/>
      <c r="E990" s="88"/>
      <c r="F990" s="118"/>
      <c r="G990" s="46"/>
      <c r="H990" s="46"/>
      <c r="I990" s="118"/>
      <c r="J990" s="46"/>
      <c r="K990" s="16" t="str">
        <f>IF(J990&lt;&gt;"",SUMIFS('💰 Transaction ขาย'!$F:$F,'💰 Transaction ขาย'!$K:$K,$J990,'💰 Transaction ขาย'!$J:$J,$B$1),"")</f>
        <v/>
      </c>
      <c r="L990" s="118"/>
      <c r="M990" s="46"/>
      <c r="N990" s="46"/>
      <c r="O990" s="46"/>
      <c r="P990" s="118"/>
      <c r="Q990" s="46"/>
      <c r="R990" s="46"/>
      <c r="S990" s="46"/>
      <c r="T990" s="46"/>
      <c r="U990" s="118"/>
      <c r="V990" s="46"/>
      <c r="W990" s="88" t="str">
        <f>IF(V990&lt;&gt;"",SUMIFS('📊 รายงานสินค้าคงเหลือ'!G:G,'📊 รายงานสินค้าคงเหลือ'!D:D,V990),"")</f>
        <v/>
      </c>
      <c r="X990" s="46"/>
      <c r="Y990" s="46"/>
      <c r="Z990" s="46"/>
    </row>
    <row r="991">
      <c r="A991" s="46"/>
      <c r="B991" s="16"/>
      <c r="C991" s="118"/>
      <c r="D991" s="126"/>
      <c r="E991" s="88"/>
      <c r="F991" s="118"/>
      <c r="G991" s="46"/>
      <c r="H991" s="46"/>
      <c r="I991" s="118"/>
      <c r="J991" s="46"/>
      <c r="K991" s="16" t="str">
        <f>IF(J991&lt;&gt;"",SUMIFS('💰 Transaction ขาย'!$F:$F,'💰 Transaction ขาย'!$K:$K,$J991,'💰 Transaction ขาย'!$J:$J,$B$1),"")</f>
        <v/>
      </c>
      <c r="L991" s="118"/>
      <c r="M991" s="46"/>
      <c r="N991" s="46"/>
      <c r="O991" s="46"/>
      <c r="P991" s="118"/>
      <c r="Q991" s="46"/>
      <c r="R991" s="46"/>
      <c r="S991" s="46"/>
      <c r="T991" s="46"/>
      <c r="U991" s="118"/>
      <c r="V991" s="46"/>
      <c r="W991" s="88" t="str">
        <f>IF(V991&lt;&gt;"",SUMIFS('📊 รายงานสินค้าคงเหลือ'!G:G,'📊 รายงานสินค้าคงเหลือ'!D:D,V991),"")</f>
        <v/>
      </c>
      <c r="X991" s="46"/>
      <c r="Y991" s="46"/>
      <c r="Z991" s="46"/>
    </row>
    <row r="992">
      <c r="A992" s="46"/>
      <c r="B992" s="16"/>
      <c r="C992" s="118"/>
      <c r="D992" s="126"/>
      <c r="E992" s="88"/>
      <c r="F992" s="118"/>
      <c r="G992" s="46"/>
      <c r="H992" s="46"/>
      <c r="I992" s="118"/>
      <c r="J992" s="46"/>
      <c r="K992" s="16" t="str">
        <f>IF(J992&lt;&gt;"",SUMIFS('💰 Transaction ขาย'!$F:$F,'💰 Transaction ขาย'!$K:$K,$J992,'💰 Transaction ขาย'!$J:$J,$B$1),"")</f>
        <v/>
      </c>
      <c r="L992" s="118"/>
      <c r="M992" s="46"/>
      <c r="N992" s="46"/>
      <c r="O992" s="46"/>
      <c r="P992" s="118"/>
      <c r="Q992" s="46"/>
      <c r="R992" s="46"/>
      <c r="S992" s="46"/>
      <c r="T992" s="46"/>
      <c r="U992" s="118"/>
      <c r="V992" s="46"/>
      <c r="W992" s="88" t="str">
        <f>IF(V992&lt;&gt;"",SUMIFS('📊 รายงานสินค้าคงเหลือ'!G:G,'📊 รายงานสินค้าคงเหลือ'!D:D,V992),"")</f>
        <v/>
      </c>
      <c r="X992" s="46"/>
      <c r="Y992" s="46"/>
      <c r="Z992" s="46"/>
    </row>
    <row r="993">
      <c r="A993" s="46"/>
      <c r="B993" s="16"/>
      <c r="C993" s="118"/>
      <c r="D993" s="126"/>
      <c r="E993" s="88"/>
      <c r="F993" s="118"/>
      <c r="G993" s="46"/>
      <c r="H993" s="46"/>
      <c r="I993" s="118"/>
      <c r="J993" s="46"/>
      <c r="K993" s="16" t="str">
        <f>IF(J993&lt;&gt;"",SUMIFS('💰 Transaction ขาย'!$F:$F,'💰 Transaction ขาย'!$K:$K,$J993,'💰 Transaction ขาย'!$J:$J,$B$1),"")</f>
        <v/>
      </c>
      <c r="L993" s="118"/>
      <c r="M993" s="46"/>
      <c r="N993" s="46"/>
      <c r="O993" s="46"/>
      <c r="P993" s="118"/>
      <c r="Q993" s="46"/>
      <c r="R993" s="46"/>
      <c r="S993" s="46"/>
      <c r="T993" s="46"/>
      <c r="U993" s="118"/>
      <c r="V993" s="46"/>
      <c r="W993" s="88" t="str">
        <f>IF(V993&lt;&gt;"",SUMIFS('📊 รายงานสินค้าคงเหลือ'!G:G,'📊 รายงานสินค้าคงเหลือ'!D:D,V993),"")</f>
        <v/>
      </c>
      <c r="X993" s="46"/>
      <c r="Y993" s="46"/>
      <c r="Z993" s="46"/>
    </row>
    <row r="994">
      <c r="A994" s="46"/>
      <c r="B994" s="16"/>
      <c r="C994" s="118"/>
      <c r="D994" s="126"/>
      <c r="E994" s="88"/>
      <c r="F994" s="118"/>
      <c r="G994" s="46"/>
      <c r="H994" s="46"/>
      <c r="I994" s="118"/>
      <c r="J994" s="46"/>
      <c r="K994" s="16" t="str">
        <f>IF(J994&lt;&gt;"",SUMIFS('💰 Transaction ขาย'!$F:$F,'💰 Transaction ขาย'!$K:$K,$J994,'💰 Transaction ขาย'!$J:$J,$B$1),"")</f>
        <v/>
      </c>
      <c r="L994" s="118"/>
      <c r="M994" s="46"/>
      <c r="N994" s="46"/>
      <c r="O994" s="46"/>
      <c r="P994" s="118"/>
      <c r="Q994" s="46"/>
      <c r="R994" s="46"/>
      <c r="S994" s="46"/>
      <c r="T994" s="46"/>
      <c r="U994" s="118"/>
      <c r="V994" s="46"/>
      <c r="W994" s="88" t="str">
        <f>IF(V994&lt;&gt;"",SUMIFS('📊 รายงานสินค้าคงเหลือ'!G:G,'📊 รายงานสินค้าคงเหลือ'!D:D,V994),"")</f>
        <v/>
      </c>
      <c r="X994" s="46"/>
      <c r="Y994" s="46"/>
      <c r="Z994" s="46"/>
    </row>
    <row r="995">
      <c r="A995" s="46"/>
      <c r="B995" s="16"/>
      <c r="C995" s="118"/>
      <c r="D995" s="126"/>
      <c r="E995" s="88"/>
      <c r="F995" s="118"/>
      <c r="G995" s="46"/>
      <c r="H995" s="46"/>
      <c r="I995" s="118"/>
      <c r="J995" s="46"/>
      <c r="K995" s="16" t="str">
        <f>IF(J995&lt;&gt;"",SUMIFS('💰 Transaction ขาย'!$F:$F,'💰 Transaction ขาย'!$K:$K,$J995,'💰 Transaction ขาย'!$J:$J,$B$1),"")</f>
        <v/>
      </c>
      <c r="L995" s="118"/>
      <c r="M995" s="46"/>
      <c r="N995" s="46"/>
      <c r="O995" s="46"/>
      <c r="P995" s="118"/>
      <c r="Q995" s="46"/>
      <c r="R995" s="46"/>
      <c r="S995" s="46"/>
      <c r="T995" s="46"/>
      <c r="U995" s="118"/>
      <c r="V995" s="46"/>
      <c r="W995" s="88" t="str">
        <f>IF(V995&lt;&gt;"",SUMIFS('📊 รายงานสินค้าคงเหลือ'!G:G,'📊 รายงานสินค้าคงเหลือ'!D:D,V995),"")</f>
        <v/>
      </c>
      <c r="X995" s="46"/>
      <c r="Y995" s="46"/>
      <c r="Z995" s="46"/>
    </row>
    <row r="996">
      <c r="A996" s="46"/>
      <c r="B996" s="16"/>
      <c r="C996" s="118"/>
      <c r="D996" s="126"/>
      <c r="E996" s="88"/>
      <c r="F996" s="118"/>
      <c r="G996" s="46"/>
      <c r="H996" s="46"/>
      <c r="I996" s="118"/>
      <c r="J996" s="46"/>
      <c r="K996" s="16" t="str">
        <f>IF(J996&lt;&gt;"",SUMIFS('💰 Transaction ขาย'!$F:$F,'💰 Transaction ขาย'!$K:$K,$J996,'💰 Transaction ขาย'!$J:$J,$B$1),"")</f>
        <v/>
      </c>
      <c r="L996" s="118"/>
      <c r="M996" s="46"/>
      <c r="N996" s="46"/>
      <c r="O996" s="46"/>
      <c r="P996" s="118"/>
      <c r="Q996" s="46"/>
      <c r="R996" s="46"/>
      <c r="S996" s="46"/>
      <c r="T996" s="46"/>
      <c r="U996" s="118"/>
      <c r="V996" s="46"/>
      <c r="W996" s="88" t="str">
        <f>IF(V996&lt;&gt;"",SUMIFS('📊 รายงานสินค้าคงเหลือ'!G:G,'📊 รายงานสินค้าคงเหลือ'!D:D,V996),"")</f>
        <v/>
      </c>
      <c r="X996" s="46"/>
      <c r="Y996" s="46"/>
      <c r="Z996" s="46"/>
    </row>
    <row r="997">
      <c r="A997" s="46"/>
      <c r="B997" s="16"/>
      <c r="C997" s="118"/>
      <c r="D997" s="126"/>
      <c r="E997" s="88"/>
      <c r="F997" s="118"/>
      <c r="G997" s="46"/>
      <c r="H997" s="46"/>
      <c r="I997" s="118"/>
      <c r="J997" s="46"/>
      <c r="K997" s="16" t="str">
        <f>IF(J997&lt;&gt;"",SUMIFS('💰 Transaction ขาย'!$F:$F,'💰 Transaction ขาย'!$K:$K,$J997,'💰 Transaction ขาย'!$J:$J,$B$1),"")</f>
        <v/>
      </c>
      <c r="L997" s="118"/>
      <c r="M997" s="46"/>
      <c r="N997" s="46"/>
      <c r="O997" s="46"/>
      <c r="P997" s="118"/>
      <c r="Q997" s="46"/>
      <c r="R997" s="46"/>
      <c r="S997" s="46"/>
      <c r="T997" s="46"/>
      <c r="U997" s="118"/>
      <c r="V997" s="46"/>
      <c r="W997" s="88" t="str">
        <f>IF(V997&lt;&gt;"",SUMIFS('📊 รายงานสินค้าคงเหลือ'!G:G,'📊 รายงานสินค้าคงเหลือ'!D:D,V997),"")</f>
        <v/>
      </c>
      <c r="X997" s="46"/>
      <c r="Y997" s="46"/>
      <c r="Z997" s="46"/>
    </row>
    <row r="998">
      <c r="A998" s="46"/>
      <c r="B998" s="16"/>
      <c r="C998" s="118"/>
      <c r="D998" s="126"/>
      <c r="E998" s="88"/>
      <c r="F998" s="118"/>
      <c r="G998" s="46"/>
      <c r="H998" s="46"/>
      <c r="I998" s="118"/>
      <c r="J998" s="46"/>
      <c r="K998" s="16" t="str">
        <f>IF(J998&lt;&gt;"",SUMIFS('💰 Transaction ขาย'!$F:$F,'💰 Transaction ขาย'!$K:$K,$J998,'💰 Transaction ขาย'!$J:$J,$B$1),"")</f>
        <v/>
      </c>
      <c r="L998" s="118"/>
      <c r="M998" s="46"/>
      <c r="N998" s="46"/>
      <c r="O998" s="46"/>
      <c r="P998" s="118"/>
      <c r="Q998" s="46"/>
      <c r="R998" s="46"/>
      <c r="S998" s="46"/>
      <c r="T998" s="46"/>
      <c r="U998" s="118"/>
      <c r="V998" s="46"/>
      <c r="W998" s="88" t="str">
        <f>IF(V998&lt;&gt;"",SUMIFS('📊 รายงานสินค้าคงเหลือ'!G:G,'📊 รายงานสินค้าคงเหลือ'!D:D,V998),"")</f>
        <v/>
      </c>
      <c r="X998" s="46"/>
      <c r="Y998" s="46"/>
      <c r="Z998" s="46"/>
    </row>
    <row r="999">
      <c r="A999" s="46"/>
      <c r="B999" s="16"/>
      <c r="C999" s="118"/>
      <c r="D999" s="126"/>
      <c r="E999" s="88"/>
      <c r="F999" s="118"/>
      <c r="G999" s="46"/>
      <c r="H999" s="46"/>
      <c r="I999" s="118"/>
      <c r="J999" s="46"/>
      <c r="K999" s="16" t="str">
        <f>IF(J999&lt;&gt;"",SUMIFS('💰 Transaction ขาย'!$F:$F,'💰 Transaction ขาย'!$K:$K,$J999,'💰 Transaction ขาย'!$J:$J,$B$1),"")</f>
        <v/>
      </c>
      <c r="L999" s="118"/>
      <c r="M999" s="46"/>
      <c r="N999" s="46"/>
      <c r="O999" s="46"/>
      <c r="P999" s="118"/>
      <c r="Q999" s="46"/>
      <c r="R999" s="46"/>
      <c r="S999" s="46"/>
      <c r="T999" s="46"/>
      <c r="U999" s="118"/>
      <c r="V999" s="46"/>
      <c r="W999" s="88" t="str">
        <f>IF(V999&lt;&gt;"",SUMIFS('📊 รายงานสินค้าคงเหลือ'!G:G,'📊 รายงานสินค้าคงเหลือ'!D:D,V999),"")</f>
        <v/>
      </c>
      <c r="X999" s="46"/>
      <c r="Y999" s="46"/>
      <c r="Z999" s="46"/>
    </row>
    <row r="1000">
      <c r="A1000" s="46"/>
      <c r="B1000" s="16"/>
      <c r="C1000" s="118"/>
      <c r="D1000" s="126"/>
      <c r="E1000" s="88"/>
      <c r="F1000" s="118"/>
      <c r="G1000" s="46"/>
      <c r="H1000" s="46"/>
      <c r="I1000" s="118"/>
      <c r="J1000" s="46"/>
      <c r="K1000" s="16"/>
      <c r="L1000" s="118"/>
      <c r="M1000" s="46"/>
      <c r="N1000" s="46"/>
      <c r="O1000" s="46"/>
      <c r="P1000" s="118"/>
      <c r="Q1000" s="46"/>
      <c r="R1000" s="46"/>
      <c r="S1000" s="46"/>
      <c r="T1000" s="46"/>
      <c r="U1000" s="118"/>
      <c r="V1000" s="46"/>
      <c r="W1000" s="88" t="str">
        <f>IF(V1000&lt;&gt;"",SUMIFS('📊 รายงานสินค้าคงเหลือ'!G:G,'📊 รายงานสินค้าคงเหลือ'!D:D,V1000),"")</f>
        <v/>
      </c>
      <c r="X1000" s="46"/>
      <c r="Y1000" s="46"/>
      <c r="Z1000" s="46"/>
    </row>
    <row r="1001">
      <c r="A1001" s="46"/>
      <c r="B1001" s="16"/>
      <c r="C1001" s="118"/>
      <c r="D1001" s="126"/>
      <c r="E1001" s="88"/>
      <c r="F1001" s="118"/>
      <c r="G1001" s="46"/>
      <c r="H1001" s="46"/>
      <c r="I1001" s="118"/>
      <c r="J1001" s="46"/>
      <c r="K1001" s="16"/>
      <c r="L1001" s="118"/>
      <c r="M1001" s="46"/>
      <c r="N1001" s="46"/>
      <c r="O1001" s="46"/>
      <c r="P1001" s="118"/>
      <c r="Q1001" s="46"/>
      <c r="R1001" s="46"/>
      <c r="S1001" s="46"/>
      <c r="T1001" s="46"/>
      <c r="U1001" s="118"/>
      <c r="V1001" s="46"/>
      <c r="W1001" s="88" t="str">
        <f>IF(V1001&lt;&gt;"",SUMIFS('📊 รายงานสินค้าคงเหลือ'!G:G,'📊 รายงานสินค้าคงเหลือ'!D:D,V1001),"")</f>
        <v/>
      </c>
      <c r="X1001" s="46"/>
      <c r="Y1001" s="46"/>
      <c r="Z1001" s="46"/>
    </row>
    <row r="1002">
      <c r="A1002" s="46"/>
      <c r="B1002" s="16"/>
      <c r="C1002" s="118"/>
      <c r="D1002" s="126"/>
      <c r="E1002" s="88"/>
      <c r="F1002" s="118"/>
      <c r="G1002" s="46"/>
      <c r="H1002" s="46"/>
      <c r="I1002" s="118"/>
      <c r="J1002" s="46"/>
      <c r="K1002" s="16"/>
      <c r="L1002" s="118"/>
      <c r="M1002" s="46"/>
      <c r="N1002" s="46"/>
      <c r="O1002" s="46"/>
      <c r="P1002" s="118"/>
      <c r="Q1002" s="46"/>
      <c r="R1002" s="46"/>
      <c r="S1002" s="46"/>
      <c r="T1002" s="46"/>
      <c r="U1002" s="118"/>
      <c r="V1002" s="46"/>
      <c r="W1002" s="88" t="str">
        <f>IF(V1002&lt;&gt;"",SUMIFS('📊 รายงานสินค้าคงเหลือ'!G:G,'📊 รายงานสินค้าคงเหลือ'!D:D,V1002),"")</f>
        <v/>
      </c>
      <c r="X1002" s="46"/>
      <c r="Y1002" s="46"/>
      <c r="Z1002" s="46"/>
    </row>
    <row r="1003">
      <c r="A1003" s="46"/>
      <c r="B1003" s="16"/>
      <c r="C1003" s="118"/>
      <c r="D1003" s="126"/>
      <c r="E1003" s="88"/>
      <c r="F1003" s="118"/>
      <c r="G1003" s="46"/>
      <c r="H1003" s="46"/>
      <c r="I1003" s="118"/>
      <c r="J1003" s="46"/>
      <c r="K1003" s="16"/>
      <c r="L1003" s="118"/>
      <c r="M1003" s="46"/>
      <c r="N1003" s="46"/>
      <c r="O1003" s="46"/>
      <c r="P1003" s="118"/>
      <c r="Q1003" s="46"/>
      <c r="R1003" s="46"/>
      <c r="S1003" s="46"/>
      <c r="T1003" s="46"/>
      <c r="U1003" s="118"/>
      <c r="V1003" s="46"/>
      <c r="W1003" s="88" t="str">
        <f>IF(V1003&lt;&gt;"",SUMIFS('📊 รายงานสินค้าคงเหลือ'!G:G,'📊 รายงานสินค้าคงเหลือ'!D:D,V1003),"")</f>
        <v/>
      </c>
      <c r="X1003" s="46"/>
      <c r="Y1003" s="46"/>
      <c r="Z1003" s="46"/>
    </row>
    <row r="1004">
      <c r="A1004" s="46"/>
      <c r="B1004" s="16"/>
      <c r="C1004" s="118"/>
      <c r="D1004" s="126"/>
      <c r="E1004" s="88"/>
      <c r="F1004" s="118"/>
      <c r="G1004" s="46"/>
      <c r="H1004" s="46"/>
      <c r="I1004" s="118"/>
      <c r="J1004" s="46"/>
      <c r="K1004" s="16"/>
      <c r="L1004" s="118"/>
      <c r="M1004" s="46"/>
      <c r="N1004" s="46"/>
      <c r="O1004" s="46"/>
      <c r="P1004" s="118"/>
      <c r="Q1004" s="46"/>
      <c r="R1004" s="46"/>
      <c r="S1004" s="46"/>
      <c r="T1004" s="46"/>
      <c r="U1004" s="118"/>
      <c r="V1004" s="46"/>
      <c r="W1004" s="88" t="str">
        <f>IF(V1004&lt;&gt;"",SUMIFS('📊 รายงานสินค้าคงเหลือ'!G:G,'📊 รายงานสินค้าคงเหลือ'!D:D,V1004),"")</f>
        <v/>
      </c>
      <c r="X1004" s="46"/>
      <c r="Y1004" s="46"/>
      <c r="Z1004" s="46"/>
    </row>
    <row r="1005">
      <c r="A1005" s="46"/>
      <c r="B1005" s="16"/>
      <c r="C1005" s="118"/>
      <c r="D1005" s="126"/>
      <c r="E1005" s="88"/>
      <c r="F1005" s="118"/>
      <c r="G1005" s="46"/>
      <c r="H1005" s="46"/>
      <c r="I1005" s="118"/>
      <c r="J1005" s="46"/>
      <c r="K1005" s="16"/>
      <c r="L1005" s="118"/>
      <c r="M1005" s="46"/>
      <c r="N1005" s="46"/>
      <c r="O1005" s="46"/>
      <c r="P1005" s="118"/>
      <c r="Q1005" s="46"/>
      <c r="R1005" s="46"/>
      <c r="S1005" s="46"/>
      <c r="T1005" s="46"/>
      <c r="U1005" s="118"/>
      <c r="V1005" s="46"/>
      <c r="W1005" s="88" t="str">
        <f>IF(V1005&lt;&gt;"",SUMIFS('📊 รายงานสินค้าคงเหลือ'!G:G,'📊 รายงานสินค้าคงเหลือ'!D:D,V1005),"")</f>
        <v/>
      </c>
      <c r="X1005" s="46"/>
      <c r="Y1005" s="46"/>
      <c r="Z1005" s="46"/>
    </row>
    <row r="1006">
      <c r="A1006" s="46"/>
      <c r="B1006" s="16"/>
      <c r="C1006" s="118"/>
      <c r="D1006" s="126"/>
      <c r="E1006" s="88"/>
      <c r="F1006" s="118"/>
      <c r="G1006" s="46"/>
      <c r="H1006" s="46"/>
      <c r="I1006" s="118"/>
      <c r="J1006" s="46"/>
      <c r="K1006" s="16"/>
      <c r="L1006" s="118"/>
      <c r="M1006" s="46"/>
      <c r="N1006" s="46"/>
      <c r="O1006" s="46"/>
      <c r="P1006" s="118"/>
      <c r="Q1006" s="46"/>
      <c r="R1006" s="46"/>
      <c r="S1006" s="46"/>
      <c r="T1006" s="46"/>
      <c r="U1006" s="118"/>
      <c r="V1006" s="46"/>
      <c r="W1006" s="88" t="str">
        <f>IF(V1006&lt;&gt;"",SUMIFS('📊 รายงานสินค้าคงเหลือ'!G:G,'📊 รายงานสินค้าคงเหลือ'!D:D,V1006),"")</f>
        <v/>
      </c>
      <c r="X1006" s="46"/>
      <c r="Y1006" s="46"/>
      <c r="Z1006" s="46"/>
    </row>
    <row r="1007">
      <c r="A1007" s="46"/>
      <c r="B1007" s="16"/>
      <c r="C1007" s="118"/>
      <c r="D1007" s="126"/>
      <c r="E1007" s="88"/>
      <c r="F1007" s="118"/>
      <c r="G1007" s="46"/>
      <c r="H1007" s="46"/>
      <c r="I1007" s="118"/>
      <c r="J1007" s="46"/>
      <c r="K1007" s="16"/>
      <c r="L1007" s="118"/>
      <c r="M1007" s="46"/>
      <c r="N1007" s="46"/>
      <c r="O1007" s="46"/>
      <c r="P1007" s="118"/>
      <c r="Q1007" s="46"/>
      <c r="R1007" s="46"/>
      <c r="S1007" s="46"/>
      <c r="T1007" s="46"/>
      <c r="U1007" s="118"/>
      <c r="V1007" s="46"/>
      <c r="W1007" s="88" t="str">
        <f>IF(V1007&lt;&gt;"",SUMIFS('📊 รายงานสินค้าคงเหลือ'!G:G,'📊 รายงานสินค้าคงเหลือ'!D:D,V1007),"")</f>
        <v/>
      </c>
      <c r="X1007" s="46"/>
      <c r="Y1007" s="46"/>
      <c r="Z1007" s="46"/>
    </row>
    <row r="1008">
      <c r="A1008" s="46"/>
      <c r="B1008" s="16"/>
      <c r="C1008" s="118"/>
      <c r="D1008" s="126"/>
      <c r="E1008" s="88"/>
      <c r="F1008" s="118"/>
      <c r="G1008" s="46"/>
      <c r="H1008" s="46"/>
      <c r="I1008" s="118"/>
      <c r="J1008" s="46"/>
      <c r="K1008" s="16"/>
      <c r="L1008" s="118"/>
      <c r="M1008" s="46"/>
      <c r="N1008" s="46"/>
      <c r="O1008" s="46"/>
      <c r="P1008" s="118"/>
      <c r="Q1008" s="46"/>
      <c r="R1008" s="46"/>
      <c r="S1008" s="46"/>
      <c r="T1008" s="46"/>
      <c r="U1008" s="118"/>
      <c r="V1008" s="46"/>
      <c r="W1008" s="88" t="str">
        <f>IF(V1008&lt;&gt;"",SUMIFS('📊 รายงานสินค้าคงเหลือ'!G:G,'📊 รายงานสินค้าคงเหลือ'!D:D,V1008),"")</f>
        <v/>
      </c>
      <c r="X1008" s="46"/>
      <c r="Y1008" s="46"/>
      <c r="Z1008" s="46"/>
    </row>
    <row r="1009">
      <c r="A1009" s="46"/>
      <c r="B1009" s="16"/>
      <c r="C1009" s="118"/>
      <c r="D1009" s="126"/>
      <c r="E1009" s="88"/>
      <c r="F1009" s="118"/>
      <c r="G1009" s="46"/>
      <c r="H1009" s="46"/>
      <c r="I1009" s="118"/>
      <c r="J1009" s="46"/>
      <c r="K1009" s="16"/>
      <c r="L1009" s="118"/>
      <c r="M1009" s="46"/>
      <c r="N1009" s="46"/>
      <c r="O1009" s="46"/>
      <c r="P1009" s="118"/>
      <c r="Q1009" s="46"/>
      <c r="R1009" s="46"/>
      <c r="S1009" s="46"/>
      <c r="T1009" s="46"/>
      <c r="U1009" s="118"/>
      <c r="V1009" s="46"/>
      <c r="W1009" s="88" t="str">
        <f>IF(V1009&lt;&gt;"",SUMIFS('📊 รายงานสินค้าคงเหลือ'!G:G,'📊 รายงานสินค้าคงเหลือ'!D:D,V1009),"")</f>
        <v/>
      </c>
      <c r="X1009" s="46"/>
      <c r="Y1009" s="46"/>
      <c r="Z1009" s="46"/>
    </row>
    <row r="1010">
      <c r="A1010" s="46"/>
      <c r="B1010" s="16"/>
      <c r="C1010" s="118"/>
      <c r="D1010" s="126"/>
      <c r="E1010" s="88"/>
      <c r="F1010" s="118"/>
      <c r="G1010" s="46"/>
      <c r="H1010" s="46"/>
      <c r="I1010" s="118"/>
      <c r="J1010" s="46"/>
      <c r="K1010" s="16"/>
      <c r="L1010" s="118"/>
      <c r="M1010" s="46"/>
      <c r="N1010" s="46"/>
      <c r="O1010" s="46"/>
      <c r="P1010" s="118"/>
      <c r="Q1010" s="46"/>
      <c r="R1010" s="46"/>
      <c r="S1010" s="46"/>
      <c r="T1010" s="46"/>
      <c r="U1010" s="118"/>
      <c r="V1010" s="46"/>
      <c r="W1010" s="88" t="str">
        <f>IF(V1010&lt;&gt;"",SUMIFS('📊 รายงานสินค้าคงเหลือ'!G:G,'📊 รายงานสินค้าคงเหลือ'!D:D,V1010),"")</f>
        <v/>
      </c>
      <c r="X1010" s="46"/>
      <c r="Y1010" s="46"/>
      <c r="Z1010" s="46"/>
    </row>
    <row r="1011">
      <c r="A1011" s="46"/>
      <c r="B1011" s="16"/>
      <c r="C1011" s="118"/>
      <c r="D1011" s="126"/>
      <c r="E1011" s="88"/>
      <c r="F1011" s="118"/>
      <c r="G1011" s="46"/>
      <c r="H1011" s="46"/>
      <c r="I1011" s="118"/>
      <c r="J1011" s="46"/>
      <c r="K1011" s="16"/>
      <c r="L1011" s="118"/>
      <c r="M1011" s="46"/>
      <c r="N1011" s="46"/>
      <c r="O1011" s="46"/>
      <c r="P1011" s="118"/>
      <c r="Q1011" s="46"/>
      <c r="R1011" s="46"/>
      <c r="S1011" s="46"/>
      <c r="T1011" s="46"/>
      <c r="U1011" s="118"/>
      <c r="V1011" s="46"/>
      <c r="W1011" s="88" t="str">
        <f>IF(V1011&lt;&gt;"",SUMIFS('📊 รายงานสินค้าคงเหลือ'!G:G,'📊 รายงานสินค้าคงเหลือ'!D:D,V1011),"")</f>
        <v/>
      </c>
      <c r="X1011" s="46"/>
      <c r="Y1011" s="46"/>
      <c r="Z1011" s="46"/>
    </row>
    <row r="1012">
      <c r="A1012" s="46"/>
      <c r="B1012" s="16"/>
      <c r="C1012" s="118"/>
      <c r="D1012" s="126"/>
      <c r="E1012" s="88"/>
      <c r="F1012" s="118"/>
      <c r="G1012" s="46"/>
      <c r="H1012" s="46"/>
      <c r="I1012" s="118"/>
      <c r="J1012" s="46"/>
      <c r="K1012" s="16"/>
      <c r="L1012" s="118"/>
      <c r="M1012" s="46"/>
      <c r="N1012" s="46"/>
      <c r="O1012" s="46"/>
      <c r="P1012" s="118"/>
      <c r="Q1012" s="46"/>
      <c r="R1012" s="46"/>
      <c r="S1012" s="46"/>
      <c r="T1012" s="46"/>
      <c r="U1012" s="118"/>
      <c r="V1012" s="46"/>
      <c r="W1012" s="88" t="str">
        <f>IF(V1012&lt;&gt;"",SUMIFS('📊 รายงานสินค้าคงเหลือ'!G:G,'📊 รายงานสินค้าคงเหลือ'!D:D,V1012),"")</f>
        <v/>
      </c>
      <c r="X1012" s="46"/>
      <c r="Y1012" s="46"/>
      <c r="Z1012" s="46"/>
    </row>
    <row r="1013">
      <c r="A1013" s="46"/>
      <c r="B1013" s="16"/>
      <c r="C1013" s="118"/>
      <c r="D1013" s="126"/>
      <c r="E1013" s="88"/>
      <c r="F1013" s="118"/>
      <c r="G1013" s="46"/>
      <c r="H1013" s="46"/>
      <c r="I1013" s="118"/>
      <c r="J1013" s="46"/>
      <c r="K1013" s="16"/>
      <c r="L1013" s="118"/>
      <c r="M1013" s="46"/>
      <c r="N1013" s="46"/>
      <c r="O1013" s="46"/>
      <c r="P1013" s="118"/>
      <c r="Q1013" s="46"/>
      <c r="R1013" s="46"/>
      <c r="S1013" s="46"/>
      <c r="T1013" s="46"/>
      <c r="U1013" s="118"/>
      <c r="V1013" s="46"/>
      <c r="W1013" s="88" t="str">
        <f>IF(V1013&lt;&gt;"",SUMIFS('📊 รายงานสินค้าคงเหลือ'!G:G,'📊 รายงานสินค้าคงเหลือ'!D:D,V1013),"")</f>
        <v/>
      </c>
      <c r="X1013" s="46"/>
      <c r="Y1013" s="46"/>
      <c r="Z1013" s="46"/>
    </row>
    <row r="1014">
      <c r="A1014" s="46"/>
      <c r="B1014" s="16"/>
      <c r="C1014" s="118"/>
      <c r="D1014" s="126"/>
      <c r="E1014" s="88"/>
      <c r="F1014" s="118"/>
      <c r="G1014" s="46"/>
      <c r="H1014" s="46"/>
      <c r="I1014" s="118"/>
      <c r="J1014" s="46"/>
      <c r="K1014" s="16"/>
      <c r="L1014" s="118"/>
      <c r="M1014" s="46"/>
      <c r="N1014" s="46"/>
      <c r="O1014" s="46"/>
      <c r="P1014" s="118"/>
      <c r="Q1014" s="46"/>
      <c r="R1014" s="46"/>
      <c r="S1014" s="46"/>
      <c r="T1014" s="46"/>
      <c r="U1014" s="118"/>
      <c r="V1014" s="46"/>
      <c r="W1014" s="88" t="str">
        <f>IF(V1014&lt;&gt;"",SUMIFS('📊 รายงานสินค้าคงเหลือ'!G:G,'📊 รายงานสินค้าคงเหลือ'!D:D,V1014),"")</f>
        <v/>
      </c>
      <c r="X1014" s="46"/>
      <c r="Y1014" s="46"/>
      <c r="Z1014" s="46"/>
    </row>
    <row r="1015">
      <c r="A1015" s="46"/>
      <c r="B1015" s="16"/>
      <c r="C1015" s="118"/>
      <c r="D1015" s="126"/>
      <c r="E1015" s="88"/>
      <c r="F1015" s="118"/>
      <c r="G1015" s="46"/>
      <c r="H1015" s="46"/>
      <c r="I1015" s="118"/>
      <c r="J1015" s="46"/>
      <c r="K1015" s="16"/>
      <c r="L1015" s="118"/>
      <c r="M1015" s="46"/>
      <c r="N1015" s="46"/>
      <c r="O1015" s="46"/>
      <c r="P1015" s="118"/>
      <c r="Q1015" s="46"/>
      <c r="R1015" s="46"/>
      <c r="S1015" s="46"/>
      <c r="T1015" s="46"/>
      <c r="U1015" s="118"/>
      <c r="V1015" s="46"/>
      <c r="W1015" s="88" t="str">
        <f>IF(V1015&lt;&gt;"",SUMIFS('📊 รายงานสินค้าคงเหลือ'!G:G,'📊 รายงานสินค้าคงเหลือ'!D:D,V1015),"")</f>
        <v/>
      </c>
      <c r="X1015" s="46"/>
      <c r="Y1015" s="46"/>
      <c r="Z1015" s="46"/>
    </row>
    <row r="1016">
      <c r="A1016" s="46"/>
      <c r="B1016" s="16"/>
      <c r="C1016" s="118"/>
      <c r="D1016" s="126"/>
      <c r="E1016" s="88"/>
      <c r="F1016" s="118"/>
      <c r="G1016" s="46"/>
      <c r="H1016" s="46"/>
      <c r="I1016" s="118"/>
      <c r="J1016" s="46"/>
      <c r="K1016" s="16"/>
      <c r="L1016" s="118"/>
      <c r="M1016" s="46"/>
      <c r="N1016" s="46"/>
      <c r="O1016" s="46"/>
      <c r="P1016" s="118"/>
      <c r="Q1016" s="46"/>
      <c r="R1016" s="46"/>
      <c r="S1016" s="46"/>
      <c r="T1016" s="46"/>
      <c r="U1016" s="118"/>
      <c r="V1016" s="46"/>
      <c r="W1016" s="88" t="str">
        <f>IF(V1016&lt;&gt;"",SUMIFS('📊 รายงานสินค้าคงเหลือ'!G:G,'📊 รายงานสินค้าคงเหลือ'!D:D,V1016),"")</f>
        <v/>
      </c>
      <c r="X1016" s="46"/>
      <c r="Y1016" s="46"/>
      <c r="Z1016" s="46"/>
    </row>
    <row r="1017">
      <c r="A1017" s="46"/>
      <c r="B1017" s="16"/>
      <c r="C1017" s="118"/>
      <c r="D1017" s="126"/>
      <c r="E1017" s="88"/>
      <c r="F1017" s="118"/>
      <c r="G1017" s="46"/>
      <c r="H1017" s="46"/>
      <c r="I1017" s="118"/>
      <c r="J1017" s="46"/>
      <c r="K1017" s="16"/>
      <c r="L1017" s="118"/>
      <c r="M1017" s="46"/>
      <c r="N1017" s="46"/>
      <c r="O1017" s="46"/>
      <c r="P1017" s="118"/>
      <c r="Q1017" s="46"/>
      <c r="R1017" s="46"/>
      <c r="S1017" s="46"/>
      <c r="T1017" s="46"/>
      <c r="U1017" s="118"/>
      <c r="V1017" s="46"/>
      <c r="W1017" s="88" t="str">
        <f>IF(V1017&lt;&gt;"",SUMIFS('📊 รายงานสินค้าคงเหลือ'!G:G,'📊 รายงานสินค้าคงเหลือ'!D:D,V1017),"")</f>
        <v/>
      </c>
      <c r="X1017" s="46"/>
      <c r="Y1017" s="46"/>
      <c r="Z1017" s="46"/>
    </row>
    <row r="1018">
      <c r="A1018" s="46"/>
      <c r="B1018" s="16"/>
      <c r="C1018" s="118"/>
      <c r="D1018" s="126"/>
      <c r="E1018" s="88"/>
      <c r="F1018" s="118"/>
      <c r="G1018" s="46"/>
      <c r="H1018" s="46"/>
      <c r="I1018" s="118"/>
      <c r="J1018" s="46"/>
      <c r="K1018" s="16"/>
      <c r="L1018" s="118"/>
      <c r="M1018" s="46"/>
      <c r="N1018" s="46"/>
      <c r="O1018" s="46"/>
      <c r="P1018" s="118"/>
      <c r="Q1018" s="46"/>
      <c r="R1018" s="46"/>
      <c r="S1018" s="46"/>
      <c r="T1018" s="46"/>
      <c r="U1018" s="118"/>
      <c r="V1018" s="46"/>
      <c r="W1018" s="88" t="str">
        <f>IF(V1018&lt;&gt;"",SUMIFS('📊 รายงานสินค้าคงเหลือ'!G:G,'📊 รายงานสินค้าคงเหลือ'!D:D,V1018),"")</f>
        <v/>
      </c>
      <c r="X1018" s="46"/>
      <c r="Y1018" s="46"/>
      <c r="Z1018" s="46"/>
    </row>
    <row r="1019">
      <c r="A1019" s="46"/>
      <c r="B1019" s="16"/>
      <c r="C1019" s="118"/>
      <c r="D1019" s="126"/>
      <c r="E1019" s="88"/>
      <c r="F1019" s="118"/>
      <c r="G1019" s="46"/>
      <c r="H1019" s="46"/>
      <c r="I1019" s="118"/>
      <c r="J1019" s="46"/>
      <c r="K1019" s="16"/>
      <c r="L1019" s="118"/>
      <c r="M1019" s="46"/>
      <c r="N1019" s="46"/>
      <c r="O1019" s="46"/>
      <c r="P1019" s="118"/>
      <c r="Q1019" s="46"/>
      <c r="R1019" s="46"/>
      <c r="S1019" s="46"/>
      <c r="T1019" s="46"/>
      <c r="U1019" s="118"/>
      <c r="V1019" s="46"/>
      <c r="W1019" s="88" t="str">
        <f>IF(V1019&lt;&gt;"",SUMIFS('📊 รายงานสินค้าคงเหลือ'!G:G,'📊 รายงานสินค้าคงเหลือ'!D:D,V1019),"")</f>
        <v/>
      </c>
      <c r="X1019" s="46"/>
      <c r="Y1019" s="46"/>
      <c r="Z1019" s="46"/>
    </row>
    <row r="1020">
      <c r="A1020" s="46"/>
      <c r="B1020" s="16"/>
      <c r="C1020" s="118"/>
      <c r="D1020" s="126"/>
      <c r="E1020" s="88"/>
      <c r="F1020" s="118"/>
      <c r="G1020" s="46"/>
      <c r="H1020" s="46"/>
      <c r="I1020" s="118"/>
      <c r="J1020" s="46"/>
      <c r="K1020" s="16"/>
      <c r="L1020" s="118"/>
      <c r="M1020" s="46"/>
      <c r="N1020" s="46"/>
      <c r="O1020" s="46"/>
      <c r="P1020" s="118"/>
      <c r="Q1020" s="46"/>
      <c r="R1020" s="46"/>
      <c r="S1020" s="46"/>
      <c r="T1020" s="46"/>
      <c r="U1020" s="118"/>
      <c r="V1020" s="46"/>
      <c r="W1020" s="88" t="str">
        <f>IF(V1020&lt;&gt;"",SUMIFS('📊 รายงานสินค้าคงเหลือ'!G:G,'📊 รายงานสินค้าคงเหลือ'!D:D,V1020),"")</f>
        <v/>
      </c>
      <c r="X1020" s="46"/>
      <c r="Y1020" s="46"/>
      <c r="Z1020" s="46"/>
    </row>
    <row r="1021">
      <c r="A1021" s="46"/>
      <c r="B1021" s="16"/>
      <c r="C1021" s="118"/>
      <c r="D1021" s="126"/>
      <c r="E1021" s="88"/>
      <c r="F1021" s="118"/>
      <c r="G1021" s="46"/>
      <c r="H1021" s="46"/>
      <c r="I1021" s="118"/>
      <c r="J1021" s="46"/>
      <c r="K1021" s="16"/>
      <c r="L1021" s="118"/>
      <c r="M1021" s="46"/>
      <c r="N1021" s="46"/>
      <c r="O1021" s="46"/>
      <c r="P1021" s="118"/>
      <c r="Q1021" s="46"/>
      <c r="R1021" s="46"/>
      <c r="S1021" s="46"/>
      <c r="T1021" s="46"/>
      <c r="U1021" s="118"/>
      <c r="V1021" s="46"/>
      <c r="W1021" s="88" t="str">
        <f>IF(V1021&lt;&gt;"",SUMIFS('📊 รายงานสินค้าคงเหลือ'!G:G,'📊 รายงานสินค้าคงเหลือ'!D:D,V1021),"")</f>
        <v/>
      </c>
      <c r="X1021" s="46"/>
      <c r="Y1021" s="46"/>
      <c r="Z1021" s="46"/>
    </row>
    <row r="1022">
      <c r="A1022" s="46"/>
      <c r="B1022" s="16"/>
      <c r="C1022" s="118"/>
      <c r="D1022" s="126"/>
      <c r="E1022" s="88"/>
      <c r="F1022" s="118"/>
      <c r="G1022" s="46"/>
      <c r="H1022" s="46"/>
      <c r="I1022" s="118"/>
      <c r="J1022" s="46"/>
      <c r="K1022" s="16"/>
      <c r="L1022" s="118"/>
      <c r="M1022" s="46"/>
      <c r="N1022" s="46"/>
      <c r="O1022" s="46"/>
      <c r="P1022" s="118"/>
      <c r="Q1022" s="46"/>
      <c r="R1022" s="46"/>
      <c r="S1022" s="46"/>
      <c r="T1022" s="46"/>
      <c r="U1022" s="118"/>
      <c r="V1022" s="46"/>
      <c r="W1022" s="88" t="str">
        <f>IF(V1022&lt;&gt;"",SUMIFS('📊 รายงานสินค้าคงเหลือ'!G:G,'📊 รายงานสินค้าคงเหลือ'!D:D,V1022),"")</f>
        <v/>
      </c>
      <c r="X1022" s="46"/>
      <c r="Y1022" s="46"/>
      <c r="Z1022" s="46"/>
    </row>
    <row r="1023">
      <c r="A1023" s="46"/>
      <c r="B1023" s="16"/>
      <c r="C1023" s="118"/>
      <c r="D1023" s="126"/>
      <c r="E1023" s="88"/>
      <c r="F1023" s="118"/>
      <c r="G1023" s="46"/>
      <c r="H1023" s="46"/>
      <c r="I1023" s="118"/>
      <c r="J1023" s="46"/>
      <c r="K1023" s="16"/>
      <c r="L1023" s="118"/>
      <c r="M1023" s="46"/>
      <c r="N1023" s="46"/>
      <c r="O1023" s="46"/>
      <c r="P1023" s="118"/>
      <c r="Q1023" s="46"/>
      <c r="R1023" s="46"/>
      <c r="S1023" s="46"/>
      <c r="T1023" s="46"/>
      <c r="U1023" s="118"/>
      <c r="V1023" s="46"/>
      <c r="W1023" s="88" t="str">
        <f>IF(V1023&lt;&gt;"",SUMIFS('📊 รายงานสินค้าคงเหลือ'!G:G,'📊 รายงานสินค้าคงเหลือ'!D:D,V1023),"")</f>
        <v/>
      </c>
      <c r="X1023" s="46"/>
      <c r="Y1023" s="46"/>
      <c r="Z1023" s="46"/>
    </row>
    <row r="1024">
      <c r="A1024" s="46"/>
      <c r="B1024" s="16"/>
      <c r="C1024" s="118"/>
      <c r="D1024" s="126"/>
      <c r="E1024" s="88"/>
      <c r="F1024" s="118"/>
      <c r="G1024" s="46"/>
      <c r="H1024" s="46"/>
      <c r="I1024" s="118"/>
      <c r="J1024" s="46"/>
      <c r="K1024" s="16"/>
      <c r="L1024" s="118"/>
      <c r="M1024" s="46"/>
      <c r="N1024" s="46"/>
      <c r="O1024" s="46"/>
      <c r="P1024" s="118"/>
      <c r="Q1024" s="46"/>
      <c r="R1024" s="46"/>
      <c r="S1024" s="46"/>
      <c r="T1024" s="46"/>
      <c r="U1024" s="118"/>
      <c r="V1024" s="46"/>
      <c r="W1024" s="88" t="str">
        <f>IF(V1024&lt;&gt;"",SUMIFS('📊 รายงานสินค้าคงเหลือ'!G:G,'📊 รายงานสินค้าคงเหลือ'!D:D,V1024),"")</f>
        <v/>
      </c>
      <c r="X1024" s="46"/>
      <c r="Y1024" s="46"/>
      <c r="Z1024" s="46"/>
    </row>
    <row r="1025">
      <c r="A1025" s="46"/>
      <c r="B1025" s="16"/>
      <c r="C1025" s="118"/>
      <c r="D1025" s="126"/>
      <c r="E1025" s="88"/>
      <c r="F1025" s="118"/>
      <c r="G1025" s="46"/>
      <c r="H1025" s="46"/>
      <c r="I1025" s="118"/>
      <c r="J1025" s="46"/>
      <c r="K1025" s="16"/>
      <c r="L1025" s="118"/>
      <c r="M1025" s="46"/>
      <c r="N1025" s="46"/>
      <c r="O1025" s="46"/>
      <c r="P1025" s="118"/>
      <c r="Q1025" s="46"/>
      <c r="R1025" s="46"/>
      <c r="S1025" s="46"/>
      <c r="T1025" s="46"/>
      <c r="U1025" s="118"/>
      <c r="V1025" s="46"/>
      <c r="W1025" s="88" t="str">
        <f>IF(V1025&lt;&gt;"",SUMIFS('📊 รายงานสินค้าคงเหลือ'!G:G,'📊 รายงานสินค้าคงเหลือ'!D:D,V1025),"")</f>
        <v/>
      </c>
      <c r="X1025" s="46"/>
      <c r="Y1025" s="46"/>
      <c r="Z1025" s="46"/>
    </row>
    <row r="1026">
      <c r="A1026" s="46"/>
      <c r="B1026" s="16"/>
      <c r="C1026" s="118"/>
      <c r="D1026" s="126"/>
      <c r="E1026" s="88"/>
      <c r="F1026" s="118"/>
      <c r="G1026" s="46"/>
      <c r="H1026" s="46"/>
      <c r="I1026" s="118"/>
      <c r="J1026" s="46"/>
      <c r="K1026" s="16"/>
      <c r="L1026" s="118"/>
      <c r="M1026" s="46"/>
      <c r="N1026" s="46"/>
      <c r="O1026" s="46"/>
      <c r="P1026" s="118"/>
      <c r="Q1026" s="46"/>
      <c r="R1026" s="46"/>
      <c r="S1026" s="46"/>
      <c r="T1026" s="46"/>
      <c r="U1026" s="118"/>
      <c r="V1026" s="46"/>
      <c r="W1026" s="88" t="str">
        <f>IF(V1026&lt;&gt;"",SUMIFS('📊 รายงานสินค้าคงเหลือ'!G:G,'📊 รายงานสินค้าคงเหลือ'!D:D,V1026),"")</f>
        <v/>
      </c>
      <c r="X1026" s="46"/>
      <c r="Y1026" s="46"/>
      <c r="Z1026" s="46"/>
    </row>
    <row r="1027">
      <c r="A1027" s="46"/>
      <c r="B1027" s="16"/>
      <c r="C1027" s="118"/>
      <c r="D1027" s="126"/>
      <c r="E1027" s="88"/>
      <c r="F1027" s="118"/>
      <c r="G1027" s="46"/>
      <c r="H1027" s="46"/>
      <c r="I1027" s="118"/>
      <c r="J1027" s="46"/>
      <c r="K1027" s="16"/>
      <c r="L1027" s="118"/>
      <c r="M1027" s="46"/>
      <c r="N1027" s="46"/>
      <c r="O1027" s="46"/>
      <c r="P1027" s="118"/>
      <c r="Q1027" s="46"/>
      <c r="R1027" s="46"/>
      <c r="S1027" s="46"/>
      <c r="T1027" s="46"/>
      <c r="U1027" s="118"/>
      <c r="V1027" s="46"/>
      <c r="W1027" s="88" t="str">
        <f>IF(V1027&lt;&gt;"",SUMIFS('📊 รายงานสินค้าคงเหลือ'!G:G,'📊 รายงานสินค้าคงเหลือ'!D:D,V1027),"")</f>
        <v/>
      </c>
      <c r="X1027" s="46"/>
      <c r="Y1027" s="46"/>
      <c r="Z1027" s="46"/>
    </row>
    <row r="1028">
      <c r="A1028" s="46"/>
      <c r="B1028" s="16"/>
      <c r="C1028" s="118"/>
      <c r="D1028" s="126"/>
      <c r="E1028" s="88"/>
      <c r="F1028" s="118"/>
      <c r="G1028" s="46"/>
      <c r="H1028" s="46"/>
      <c r="I1028" s="118"/>
      <c r="J1028" s="46"/>
      <c r="K1028" s="16"/>
      <c r="L1028" s="118"/>
      <c r="M1028" s="46"/>
      <c r="N1028" s="46"/>
      <c r="O1028" s="46"/>
      <c r="P1028" s="118"/>
      <c r="Q1028" s="46"/>
      <c r="R1028" s="46"/>
      <c r="S1028" s="46"/>
      <c r="T1028" s="46"/>
      <c r="U1028" s="118"/>
      <c r="V1028" s="46"/>
      <c r="W1028" s="88" t="str">
        <f>IF(V1028&lt;&gt;"",SUMIFS('📊 รายงานสินค้าคงเหลือ'!G:G,'📊 รายงานสินค้าคงเหลือ'!D:D,V1028),"")</f>
        <v/>
      </c>
      <c r="X1028" s="46"/>
      <c r="Y1028" s="46"/>
      <c r="Z1028" s="46"/>
    </row>
    <row r="1029">
      <c r="A1029" s="46"/>
      <c r="B1029" s="16"/>
      <c r="C1029" s="118"/>
      <c r="D1029" s="126"/>
      <c r="E1029" s="88"/>
      <c r="F1029" s="118"/>
      <c r="G1029" s="46"/>
      <c r="H1029" s="46"/>
      <c r="I1029" s="118"/>
      <c r="J1029" s="46"/>
      <c r="K1029" s="16"/>
      <c r="L1029" s="118"/>
      <c r="M1029" s="46"/>
      <c r="N1029" s="46"/>
      <c r="O1029" s="46"/>
      <c r="P1029" s="118"/>
      <c r="Q1029" s="46"/>
      <c r="R1029" s="46"/>
      <c r="S1029" s="46"/>
      <c r="T1029" s="46"/>
      <c r="U1029" s="118"/>
      <c r="V1029" s="46"/>
      <c r="W1029" s="88" t="str">
        <f>IF(V1029&lt;&gt;"",SUMIFS('📊 รายงานสินค้าคงเหลือ'!G:G,'📊 รายงานสินค้าคงเหลือ'!D:D,V1029),"")</f>
        <v/>
      </c>
      <c r="X1029" s="46"/>
      <c r="Y1029" s="46"/>
      <c r="Z1029" s="46"/>
    </row>
    <row r="1030">
      <c r="A1030" s="46"/>
      <c r="B1030" s="16"/>
      <c r="C1030" s="118"/>
      <c r="D1030" s="126"/>
      <c r="E1030" s="88"/>
      <c r="F1030" s="118"/>
      <c r="G1030" s="46"/>
      <c r="H1030" s="46"/>
      <c r="I1030" s="118"/>
      <c r="J1030" s="46"/>
      <c r="K1030" s="16"/>
      <c r="L1030" s="118"/>
      <c r="M1030" s="46"/>
      <c r="N1030" s="46"/>
      <c r="O1030" s="46"/>
      <c r="P1030" s="118"/>
      <c r="Q1030" s="46"/>
      <c r="R1030" s="46"/>
      <c r="S1030" s="46"/>
      <c r="T1030" s="46"/>
      <c r="U1030" s="118"/>
      <c r="V1030" s="46"/>
      <c r="W1030" s="88" t="str">
        <f>IF(V1030&lt;&gt;"",SUMIFS('📊 รายงานสินค้าคงเหลือ'!G:G,'📊 รายงานสินค้าคงเหลือ'!D:D,V1030),"")</f>
        <v/>
      </c>
      <c r="X1030" s="46"/>
      <c r="Y1030" s="46"/>
      <c r="Z1030" s="46"/>
    </row>
    <row r="1031">
      <c r="A1031" s="46"/>
      <c r="B1031" s="16"/>
      <c r="C1031" s="118"/>
      <c r="D1031" s="126"/>
      <c r="E1031" s="88"/>
      <c r="F1031" s="118"/>
      <c r="G1031" s="46"/>
      <c r="H1031" s="46"/>
      <c r="I1031" s="118"/>
      <c r="J1031" s="46"/>
      <c r="K1031" s="16"/>
      <c r="L1031" s="118"/>
      <c r="M1031" s="46"/>
      <c r="N1031" s="46"/>
      <c r="O1031" s="46"/>
      <c r="P1031" s="118"/>
      <c r="Q1031" s="46"/>
      <c r="R1031" s="46"/>
      <c r="S1031" s="46"/>
      <c r="T1031" s="46"/>
      <c r="U1031" s="118"/>
      <c r="V1031" s="46"/>
      <c r="W1031" s="88" t="str">
        <f>IF(V1031&lt;&gt;"",SUMIFS('📊 รายงานสินค้าคงเหลือ'!G:G,'📊 รายงานสินค้าคงเหลือ'!D:D,V1031),"")</f>
        <v/>
      </c>
      <c r="X1031" s="46"/>
      <c r="Y1031" s="46"/>
      <c r="Z1031" s="46"/>
    </row>
    <row r="1032">
      <c r="A1032" s="46"/>
      <c r="B1032" s="16"/>
      <c r="C1032" s="118"/>
      <c r="D1032" s="126"/>
      <c r="E1032" s="88"/>
      <c r="F1032" s="118"/>
      <c r="G1032" s="46"/>
      <c r="H1032" s="46"/>
      <c r="I1032" s="118"/>
      <c r="J1032" s="46"/>
      <c r="K1032" s="16"/>
      <c r="L1032" s="118"/>
      <c r="M1032" s="46"/>
      <c r="N1032" s="46"/>
      <c r="O1032" s="46"/>
      <c r="P1032" s="118"/>
      <c r="Q1032" s="46"/>
      <c r="R1032" s="46"/>
      <c r="S1032" s="46"/>
      <c r="T1032" s="46"/>
      <c r="U1032" s="118"/>
      <c r="V1032" s="46"/>
      <c r="W1032" s="88" t="str">
        <f>IF(V1032&lt;&gt;"",SUMIFS('📊 รายงานสินค้าคงเหลือ'!G:G,'📊 รายงานสินค้าคงเหลือ'!D:D,V1032),"")</f>
        <v/>
      </c>
      <c r="X1032" s="46"/>
      <c r="Y1032" s="46"/>
      <c r="Z1032" s="46"/>
    </row>
    <row r="1033">
      <c r="A1033" s="46"/>
      <c r="B1033" s="16"/>
      <c r="C1033" s="118"/>
      <c r="D1033" s="126"/>
      <c r="E1033" s="88"/>
      <c r="F1033" s="118"/>
      <c r="G1033" s="46"/>
      <c r="H1033" s="46"/>
      <c r="I1033" s="118"/>
      <c r="J1033" s="46"/>
      <c r="K1033" s="16"/>
      <c r="L1033" s="118"/>
      <c r="M1033" s="46"/>
      <c r="N1033" s="46"/>
      <c r="O1033" s="46"/>
      <c r="P1033" s="118"/>
      <c r="Q1033" s="46"/>
      <c r="R1033" s="46"/>
      <c r="S1033" s="46"/>
      <c r="T1033" s="46"/>
      <c r="U1033" s="118"/>
      <c r="V1033" s="46"/>
      <c r="W1033" s="88" t="str">
        <f>IF(V1033&lt;&gt;"",SUMIFS('📊 รายงานสินค้าคงเหลือ'!G:G,'📊 รายงานสินค้าคงเหลือ'!D:D,V1033),"")</f>
        <v/>
      </c>
      <c r="X1033" s="46"/>
      <c r="Y1033" s="46"/>
      <c r="Z1033" s="46"/>
    </row>
    <row r="1034">
      <c r="A1034" s="46"/>
      <c r="B1034" s="16"/>
      <c r="C1034" s="118"/>
      <c r="D1034" s="126"/>
      <c r="E1034" s="88"/>
      <c r="F1034" s="118"/>
      <c r="G1034" s="46"/>
      <c r="H1034" s="46"/>
      <c r="I1034" s="118"/>
      <c r="J1034" s="46"/>
      <c r="K1034" s="16"/>
      <c r="L1034" s="118"/>
      <c r="M1034" s="46"/>
      <c r="N1034" s="46"/>
      <c r="O1034" s="46"/>
      <c r="P1034" s="118"/>
      <c r="Q1034" s="46"/>
      <c r="R1034" s="46"/>
      <c r="S1034" s="46"/>
      <c r="T1034" s="46"/>
      <c r="U1034" s="118"/>
      <c r="V1034" s="46"/>
      <c r="W1034" s="88" t="str">
        <f>IF(V1034&lt;&gt;"",SUMIFS('📊 รายงานสินค้าคงเหลือ'!G:G,'📊 รายงานสินค้าคงเหลือ'!D:D,V1034),"")</f>
        <v/>
      </c>
      <c r="X1034" s="46"/>
      <c r="Y1034" s="46"/>
      <c r="Z1034" s="46"/>
    </row>
    <row r="1035">
      <c r="A1035" s="46"/>
      <c r="B1035" s="16"/>
      <c r="C1035" s="118"/>
      <c r="D1035" s="126"/>
      <c r="E1035" s="88"/>
      <c r="F1035" s="118"/>
      <c r="G1035" s="46"/>
      <c r="H1035" s="46"/>
      <c r="I1035" s="118"/>
      <c r="J1035" s="46"/>
      <c r="K1035" s="16"/>
      <c r="L1035" s="118"/>
      <c r="M1035" s="46"/>
      <c r="N1035" s="46"/>
      <c r="O1035" s="46"/>
      <c r="P1035" s="118"/>
      <c r="Q1035" s="46"/>
      <c r="R1035" s="46"/>
      <c r="S1035" s="46"/>
      <c r="T1035" s="46"/>
      <c r="U1035" s="118"/>
      <c r="V1035" s="46"/>
      <c r="W1035" s="88" t="str">
        <f>IF(V1035&lt;&gt;"",SUMIFS('📊 รายงานสินค้าคงเหลือ'!G:G,'📊 รายงานสินค้าคงเหลือ'!D:D,V1035),"")</f>
        <v/>
      </c>
      <c r="X1035" s="46"/>
      <c r="Y1035" s="46"/>
      <c r="Z1035" s="46"/>
    </row>
    <row r="1036">
      <c r="A1036" s="46"/>
      <c r="B1036" s="16"/>
      <c r="C1036" s="118"/>
      <c r="D1036" s="126"/>
      <c r="E1036" s="88"/>
      <c r="F1036" s="118"/>
      <c r="G1036" s="46"/>
      <c r="H1036" s="46"/>
      <c r="I1036" s="118"/>
      <c r="J1036" s="46"/>
      <c r="K1036" s="16"/>
      <c r="L1036" s="118"/>
      <c r="M1036" s="46"/>
      <c r="N1036" s="46"/>
      <c r="O1036" s="46"/>
      <c r="P1036" s="118"/>
      <c r="Q1036" s="46"/>
      <c r="R1036" s="46"/>
      <c r="S1036" s="46"/>
      <c r="T1036" s="46"/>
      <c r="U1036" s="118"/>
      <c r="V1036" s="46"/>
      <c r="W1036" s="88" t="str">
        <f>IF(V1036&lt;&gt;"",SUMIFS('📊 รายงานสินค้าคงเหลือ'!G:G,'📊 รายงานสินค้าคงเหลือ'!D:D,V1036),"")</f>
        <v/>
      </c>
      <c r="X1036" s="46"/>
      <c r="Y1036" s="46"/>
      <c r="Z1036" s="46"/>
    </row>
    <row r="1037">
      <c r="A1037" s="46"/>
      <c r="B1037" s="16"/>
      <c r="C1037" s="118"/>
      <c r="D1037" s="126"/>
      <c r="E1037" s="88"/>
      <c r="F1037" s="118"/>
      <c r="G1037" s="46"/>
      <c r="H1037" s="46"/>
      <c r="I1037" s="118"/>
      <c r="J1037" s="46"/>
      <c r="K1037" s="16"/>
      <c r="L1037" s="118"/>
      <c r="M1037" s="46"/>
      <c r="N1037" s="46"/>
      <c r="O1037" s="46"/>
      <c r="P1037" s="118"/>
      <c r="Q1037" s="46"/>
      <c r="R1037" s="46"/>
      <c r="S1037" s="46"/>
      <c r="T1037" s="46"/>
      <c r="U1037" s="118"/>
      <c r="V1037" s="46"/>
      <c r="W1037" s="88" t="str">
        <f>IF(V1037&lt;&gt;"",SUMIFS('📊 รายงานสินค้าคงเหลือ'!G:G,'📊 รายงานสินค้าคงเหลือ'!D:D,V1037),"")</f>
        <v/>
      </c>
      <c r="X1037" s="46"/>
      <c r="Y1037" s="46"/>
      <c r="Z1037" s="46"/>
    </row>
    <row r="1038">
      <c r="A1038" s="46"/>
      <c r="B1038" s="16"/>
      <c r="C1038" s="118"/>
      <c r="D1038" s="126"/>
      <c r="E1038" s="88"/>
      <c r="F1038" s="118"/>
      <c r="G1038" s="46"/>
      <c r="H1038" s="46"/>
      <c r="I1038" s="118"/>
      <c r="J1038" s="46"/>
      <c r="K1038" s="16"/>
      <c r="L1038" s="118"/>
      <c r="M1038" s="46"/>
      <c r="N1038" s="46"/>
      <c r="O1038" s="46"/>
      <c r="P1038" s="118"/>
      <c r="Q1038" s="46"/>
      <c r="R1038" s="46"/>
      <c r="S1038" s="46"/>
      <c r="T1038" s="46"/>
      <c r="U1038" s="118"/>
      <c r="V1038" s="46"/>
      <c r="W1038" s="88" t="str">
        <f>IF(V1038&lt;&gt;"",SUMIFS('📊 รายงานสินค้าคงเหลือ'!G:G,'📊 รายงานสินค้าคงเหลือ'!D:D,V1038),"")</f>
        <v/>
      </c>
      <c r="X1038" s="46"/>
      <c r="Y1038" s="46"/>
      <c r="Z1038" s="46"/>
    </row>
    <row r="1039">
      <c r="A1039" s="46"/>
      <c r="B1039" s="16"/>
      <c r="C1039" s="118"/>
      <c r="D1039" s="126"/>
      <c r="E1039" s="88"/>
      <c r="F1039" s="118"/>
      <c r="G1039" s="46"/>
      <c r="H1039" s="46"/>
      <c r="I1039" s="118"/>
      <c r="J1039" s="46"/>
      <c r="K1039" s="16"/>
      <c r="L1039" s="118"/>
      <c r="M1039" s="46"/>
      <c r="N1039" s="46"/>
      <c r="O1039" s="46"/>
      <c r="P1039" s="118"/>
      <c r="Q1039" s="46"/>
      <c r="R1039" s="46"/>
      <c r="S1039" s="46"/>
      <c r="T1039" s="46"/>
      <c r="U1039" s="118"/>
      <c r="V1039" s="46"/>
      <c r="W1039" s="88" t="str">
        <f>IF(V1039&lt;&gt;"",SUMIFS('📊 รายงานสินค้าคงเหลือ'!G:G,'📊 รายงานสินค้าคงเหลือ'!D:D,V1039),"")</f>
        <v/>
      </c>
      <c r="X1039" s="46"/>
      <c r="Y1039" s="46"/>
      <c r="Z1039" s="46"/>
    </row>
    <row r="1040">
      <c r="A1040" s="46"/>
      <c r="B1040" s="16"/>
      <c r="C1040" s="118"/>
      <c r="D1040" s="126"/>
      <c r="E1040" s="88"/>
      <c r="F1040" s="118"/>
      <c r="G1040" s="46"/>
      <c r="H1040" s="46"/>
      <c r="I1040" s="118"/>
      <c r="J1040" s="46"/>
      <c r="K1040" s="16"/>
      <c r="L1040" s="118"/>
      <c r="M1040" s="46"/>
      <c r="N1040" s="46"/>
      <c r="O1040" s="46"/>
      <c r="P1040" s="118"/>
      <c r="Q1040" s="46"/>
      <c r="R1040" s="46"/>
      <c r="S1040" s="46"/>
      <c r="T1040" s="46"/>
      <c r="U1040" s="118"/>
      <c r="V1040" s="46"/>
      <c r="W1040" s="88" t="str">
        <f>IF(V1040&lt;&gt;"",SUMIFS('📊 รายงานสินค้าคงเหลือ'!G:G,'📊 รายงานสินค้าคงเหลือ'!D:D,V1040),"")</f>
        <v/>
      </c>
      <c r="X1040" s="46"/>
      <c r="Y1040" s="46"/>
      <c r="Z1040" s="46"/>
    </row>
    <row r="1041">
      <c r="A1041" s="46"/>
      <c r="B1041" s="16"/>
      <c r="C1041" s="118"/>
      <c r="D1041" s="126"/>
      <c r="E1041" s="88"/>
      <c r="F1041" s="118"/>
      <c r="G1041" s="46"/>
      <c r="H1041" s="46"/>
      <c r="I1041" s="118"/>
      <c r="J1041" s="46"/>
      <c r="K1041" s="16"/>
      <c r="L1041" s="118"/>
      <c r="M1041" s="46"/>
      <c r="N1041" s="46"/>
      <c r="O1041" s="46"/>
      <c r="P1041" s="118"/>
      <c r="Q1041" s="46"/>
      <c r="R1041" s="46"/>
      <c r="S1041" s="46"/>
      <c r="T1041" s="46"/>
      <c r="U1041" s="118"/>
      <c r="V1041" s="46"/>
      <c r="W1041" s="88" t="str">
        <f>IF(V1041&lt;&gt;"",SUMIFS('📊 รายงานสินค้าคงเหลือ'!G:G,'📊 รายงานสินค้าคงเหลือ'!D:D,V1041),"")</f>
        <v/>
      </c>
      <c r="X1041" s="46"/>
      <c r="Y1041" s="46"/>
      <c r="Z1041" s="46"/>
    </row>
    <row r="1042">
      <c r="A1042" s="46"/>
      <c r="B1042" s="16"/>
      <c r="C1042" s="118"/>
      <c r="D1042" s="126"/>
      <c r="E1042" s="88"/>
      <c r="F1042" s="118"/>
      <c r="G1042" s="46"/>
      <c r="H1042" s="46"/>
      <c r="I1042" s="118"/>
      <c r="J1042" s="46"/>
      <c r="K1042" s="16"/>
      <c r="L1042" s="118"/>
      <c r="M1042" s="46"/>
      <c r="N1042" s="46"/>
      <c r="O1042" s="46"/>
      <c r="P1042" s="118"/>
      <c r="Q1042" s="46"/>
      <c r="R1042" s="46"/>
      <c r="S1042" s="46"/>
      <c r="T1042" s="46"/>
      <c r="U1042" s="118"/>
      <c r="V1042" s="46"/>
      <c r="W1042" s="88" t="str">
        <f>IF(V1042&lt;&gt;"",SUMIFS('📊 รายงานสินค้าคงเหลือ'!G:G,'📊 รายงานสินค้าคงเหลือ'!D:D,V1042),"")</f>
        <v/>
      </c>
      <c r="X1042" s="46"/>
      <c r="Y1042" s="46"/>
      <c r="Z1042" s="46"/>
    </row>
    <row r="1043">
      <c r="A1043" s="46"/>
      <c r="B1043" s="16"/>
      <c r="C1043" s="118"/>
      <c r="D1043" s="126"/>
      <c r="E1043" s="88"/>
      <c r="F1043" s="118"/>
      <c r="G1043" s="46"/>
      <c r="H1043" s="46"/>
      <c r="I1043" s="118"/>
      <c r="J1043" s="46"/>
      <c r="K1043" s="16"/>
      <c r="L1043" s="118"/>
      <c r="M1043" s="46"/>
      <c r="N1043" s="46"/>
      <c r="O1043" s="46"/>
      <c r="P1043" s="118"/>
      <c r="Q1043" s="46"/>
      <c r="R1043" s="46"/>
      <c r="S1043" s="46"/>
      <c r="T1043" s="46"/>
      <c r="U1043" s="118"/>
      <c r="V1043" s="46"/>
      <c r="W1043" s="88" t="str">
        <f>IF(V1043&lt;&gt;"",SUMIFS('📊 รายงานสินค้าคงเหลือ'!G:G,'📊 รายงานสินค้าคงเหลือ'!D:D,V1043),"")</f>
        <v/>
      </c>
      <c r="X1043" s="46"/>
      <c r="Y1043" s="46"/>
      <c r="Z1043" s="46"/>
    </row>
    <row r="1044">
      <c r="A1044" s="46"/>
      <c r="B1044" s="16"/>
      <c r="C1044" s="118"/>
      <c r="D1044" s="126"/>
      <c r="E1044" s="88"/>
      <c r="F1044" s="118"/>
      <c r="G1044" s="46"/>
      <c r="H1044" s="46"/>
      <c r="I1044" s="118"/>
      <c r="J1044" s="46"/>
      <c r="K1044" s="16"/>
      <c r="L1044" s="118"/>
      <c r="M1044" s="46"/>
      <c r="N1044" s="46"/>
      <c r="O1044" s="46"/>
      <c r="P1044" s="118"/>
      <c r="Q1044" s="46"/>
      <c r="R1044" s="46"/>
      <c r="S1044" s="46"/>
      <c r="T1044" s="46"/>
      <c r="U1044" s="118"/>
      <c r="V1044" s="46"/>
      <c r="W1044" s="88" t="str">
        <f>IF(V1044&lt;&gt;"",SUMIFS('📊 รายงานสินค้าคงเหลือ'!G:G,'📊 รายงานสินค้าคงเหลือ'!D:D,V1044),"")</f>
        <v/>
      </c>
      <c r="X1044" s="46"/>
      <c r="Y1044" s="46"/>
      <c r="Z1044" s="46"/>
    </row>
    <row r="1045">
      <c r="A1045" s="46"/>
      <c r="B1045" s="16"/>
      <c r="C1045" s="118"/>
      <c r="D1045" s="126"/>
      <c r="E1045" s="88"/>
      <c r="F1045" s="118"/>
      <c r="G1045" s="46"/>
      <c r="H1045" s="46"/>
      <c r="I1045" s="118"/>
      <c r="J1045" s="46"/>
      <c r="K1045" s="16"/>
      <c r="L1045" s="118"/>
      <c r="M1045" s="46"/>
      <c r="N1045" s="46"/>
      <c r="O1045" s="46"/>
      <c r="P1045" s="118"/>
      <c r="Q1045" s="46"/>
      <c r="R1045" s="46"/>
      <c r="S1045" s="46"/>
      <c r="T1045" s="46"/>
      <c r="U1045" s="118"/>
      <c r="V1045" s="46"/>
      <c r="W1045" s="88" t="str">
        <f>IF(V1045&lt;&gt;"",SUMIFS('📊 รายงานสินค้าคงเหลือ'!G:G,'📊 รายงานสินค้าคงเหลือ'!D:D,V1045),"")</f>
        <v/>
      </c>
      <c r="X1045" s="46"/>
      <c r="Y1045" s="46"/>
      <c r="Z1045" s="46"/>
    </row>
    <row r="1046">
      <c r="A1046" s="46"/>
      <c r="B1046" s="16"/>
      <c r="C1046" s="118"/>
      <c r="D1046" s="126"/>
      <c r="E1046" s="88"/>
      <c r="F1046" s="118"/>
      <c r="G1046" s="46"/>
      <c r="H1046" s="46"/>
      <c r="I1046" s="118"/>
      <c r="J1046" s="46"/>
      <c r="K1046" s="16"/>
      <c r="L1046" s="118"/>
      <c r="M1046" s="46"/>
      <c r="N1046" s="46"/>
      <c r="O1046" s="46"/>
      <c r="P1046" s="118"/>
      <c r="Q1046" s="46"/>
      <c r="R1046" s="46"/>
      <c r="S1046" s="46"/>
      <c r="T1046" s="46"/>
      <c r="U1046" s="118"/>
      <c r="V1046" s="46"/>
      <c r="W1046" s="88" t="str">
        <f>IF(V1046&lt;&gt;"",SUMIFS('📊 รายงานสินค้าคงเหลือ'!G:G,'📊 รายงานสินค้าคงเหลือ'!D:D,V1046),"")</f>
        <v/>
      </c>
      <c r="X1046" s="46"/>
      <c r="Y1046" s="46"/>
      <c r="Z1046" s="46"/>
    </row>
    <row r="1047">
      <c r="A1047" s="46"/>
      <c r="B1047" s="16"/>
      <c r="C1047" s="118"/>
      <c r="D1047" s="126"/>
      <c r="E1047" s="88"/>
      <c r="F1047" s="118"/>
      <c r="G1047" s="46"/>
      <c r="H1047" s="46"/>
      <c r="I1047" s="118"/>
      <c r="J1047" s="46"/>
      <c r="K1047" s="16"/>
      <c r="L1047" s="118"/>
      <c r="M1047" s="46"/>
      <c r="N1047" s="46"/>
      <c r="O1047" s="46"/>
      <c r="P1047" s="118"/>
      <c r="Q1047" s="46"/>
      <c r="R1047" s="46"/>
      <c r="S1047" s="46"/>
      <c r="T1047" s="46"/>
      <c r="U1047" s="118"/>
      <c r="V1047" s="46"/>
      <c r="W1047" s="88" t="str">
        <f>IF(V1047&lt;&gt;"",SUMIFS('📊 รายงานสินค้าคงเหลือ'!G:G,'📊 รายงานสินค้าคงเหลือ'!D:D,V1047),"")</f>
        <v/>
      </c>
      <c r="X1047" s="46"/>
      <c r="Y1047" s="46"/>
      <c r="Z1047" s="46"/>
    </row>
    <row r="1048">
      <c r="A1048" s="46"/>
      <c r="B1048" s="16"/>
      <c r="C1048" s="118"/>
      <c r="D1048" s="126"/>
      <c r="E1048" s="88"/>
      <c r="F1048" s="118"/>
      <c r="G1048" s="46"/>
      <c r="H1048" s="46"/>
      <c r="I1048" s="118"/>
      <c r="J1048" s="46"/>
      <c r="K1048" s="16"/>
      <c r="L1048" s="118"/>
      <c r="M1048" s="46"/>
      <c r="N1048" s="46"/>
      <c r="O1048" s="46"/>
      <c r="P1048" s="118"/>
      <c r="Q1048" s="46"/>
      <c r="R1048" s="46"/>
      <c r="S1048" s="46"/>
      <c r="T1048" s="46"/>
      <c r="U1048" s="118"/>
      <c r="V1048" s="46"/>
      <c r="W1048" s="88" t="str">
        <f>IF(V1048&lt;&gt;"",SUMIFS('📊 รายงานสินค้าคงเหลือ'!G:G,'📊 รายงานสินค้าคงเหลือ'!D:D,V1048),"")</f>
        <v/>
      </c>
      <c r="X1048" s="46"/>
      <c r="Y1048" s="46"/>
      <c r="Z1048" s="46"/>
    </row>
    <row r="1049">
      <c r="A1049" s="46"/>
      <c r="B1049" s="16"/>
      <c r="C1049" s="118"/>
      <c r="D1049" s="126"/>
      <c r="E1049" s="88"/>
      <c r="F1049" s="118"/>
      <c r="G1049" s="46"/>
      <c r="H1049" s="46"/>
      <c r="I1049" s="118"/>
      <c r="J1049" s="46"/>
      <c r="K1049" s="16"/>
      <c r="L1049" s="118"/>
      <c r="M1049" s="46"/>
      <c r="N1049" s="46"/>
      <c r="O1049" s="46"/>
      <c r="P1049" s="118"/>
      <c r="Q1049" s="46"/>
      <c r="R1049" s="46"/>
      <c r="S1049" s="46"/>
      <c r="T1049" s="46"/>
      <c r="U1049" s="118"/>
      <c r="V1049" s="46"/>
      <c r="W1049" s="88" t="str">
        <f>IF(V1049&lt;&gt;"",SUMIFS('📊 รายงานสินค้าคงเหลือ'!G:G,'📊 รายงานสินค้าคงเหลือ'!D:D,V1049),"")</f>
        <v/>
      </c>
      <c r="X1049" s="46"/>
      <c r="Y1049" s="46"/>
      <c r="Z1049" s="46"/>
    </row>
    <row r="1050">
      <c r="A1050" s="46"/>
      <c r="B1050" s="16"/>
      <c r="C1050" s="118"/>
      <c r="D1050" s="126"/>
      <c r="E1050" s="88"/>
      <c r="F1050" s="118"/>
      <c r="G1050" s="46"/>
      <c r="H1050" s="46"/>
      <c r="I1050" s="118"/>
      <c r="J1050" s="46"/>
      <c r="K1050" s="16"/>
      <c r="L1050" s="118"/>
      <c r="M1050" s="46"/>
      <c r="N1050" s="46"/>
      <c r="O1050" s="46"/>
      <c r="P1050" s="118"/>
      <c r="Q1050" s="46"/>
      <c r="R1050" s="46"/>
      <c r="S1050" s="46"/>
      <c r="T1050" s="46"/>
      <c r="U1050" s="118"/>
      <c r="V1050" s="46"/>
      <c r="W1050" s="88" t="str">
        <f>IF(V1050&lt;&gt;"",SUMIFS('📊 รายงานสินค้าคงเหลือ'!G:G,'📊 รายงานสินค้าคงเหลือ'!D:D,V1050),"")</f>
        <v/>
      </c>
      <c r="X1050" s="46"/>
      <c r="Y1050" s="46"/>
      <c r="Z1050" s="46"/>
    </row>
    <row r="1051">
      <c r="A1051" s="46"/>
      <c r="B1051" s="16"/>
      <c r="C1051" s="118"/>
      <c r="D1051" s="126"/>
      <c r="E1051" s="88"/>
      <c r="F1051" s="118"/>
      <c r="G1051" s="46"/>
      <c r="H1051" s="46"/>
      <c r="I1051" s="118"/>
      <c r="J1051" s="46"/>
      <c r="K1051" s="16"/>
      <c r="L1051" s="118"/>
      <c r="M1051" s="46"/>
      <c r="N1051" s="46"/>
      <c r="O1051" s="46"/>
      <c r="P1051" s="118"/>
      <c r="Q1051" s="46"/>
      <c r="R1051" s="46"/>
      <c r="S1051" s="46"/>
      <c r="T1051" s="46"/>
      <c r="U1051" s="118"/>
      <c r="V1051" s="46"/>
      <c r="W1051" s="88" t="str">
        <f>IF(V1051&lt;&gt;"",SUMIFS('📊 รายงานสินค้าคงเหลือ'!G:G,'📊 รายงานสินค้าคงเหลือ'!D:D,V1051),"")</f>
        <v/>
      </c>
      <c r="X1051" s="46"/>
      <c r="Y1051" s="46"/>
      <c r="Z1051" s="46"/>
    </row>
    <row r="1052">
      <c r="A1052" s="46"/>
      <c r="B1052" s="16"/>
      <c r="C1052" s="118"/>
      <c r="D1052" s="126"/>
      <c r="E1052" s="88"/>
      <c r="F1052" s="118"/>
      <c r="G1052" s="46"/>
      <c r="H1052" s="46"/>
      <c r="I1052" s="118"/>
      <c r="J1052" s="46"/>
      <c r="K1052" s="16"/>
      <c r="L1052" s="118"/>
      <c r="M1052" s="46"/>
      <c r="N1052" s="46"/>
      <c r="O1052" s="46"/>
      <c r="P1052" s="118"/>
      <c r="Q1052" s="46"/>
      <c r="R1052" s="46"/>
      <c r="S1052" s="46"/>
      <c r="T1052" s="46"/>
      <c r="U1052" s="118"/>
      <c r="V1052" s="46"/>
      <c r="W1052" s="88" t="str">
        <f>IF(V1052&lt;&gt;"",SUMIFS('📊 รายงานสินค้าคงเหลือ'!G:G,'📊 รายงานสินค้าคงเหลือ'!D:D,V1052),"")</f>
        <v/>
      </c>
      <c r="X1052" s="46"/>
      <c r="Y1052" s="46"/>
      <c r="Z1052" s="46"/>
    </row>
    <row r="1053">
      <c r="A1053" s="46"/>
      <c r="B1053" s="16"/>
      <c r="C1053" s="118"/>
      <c r="D1053" s="126"/>
      <c r="E1053" s="88"/>
      <c r="F1053" s="118"/>
      <c r="G1053" s="46"/>
      <c r="H1053" s="46"/>
      <c r="I1053" s="118"/>
      <c r="J1053" s="46"/>
      <c r="K1053" s="16"/>
      <c r="L1053" s="118"/>
      <c r="M1053" s="46"/>
      <c r="N1053" s="46"/>
      <c r="O1053" s="46"/>
      <c r="P1053" s="118"/>
      <c r="Q1053" s="46"/>
      <c r="R1053" s="46"/>
      <c r="S1053" s="46"/>
      <c r="T1053" s="46"/>
      <c r="U1053" s="118"/>
      <c r="V1053" s="46"/>
      <c r="W1053" s="88" t="str">
        <f>IF(V1053&lt;&gt;"",SUMIFS('📊 รายงานสินค้าคงเหลือ'!G:G,'📊 รายงานสินค้าคงเหลือ'!D:D,V1053),"")</f>
        <v/>
      </c>
      <c r="X1053" s="46"/>
      <c r="Y1053" s="46"/>
      <c r="Z1053" s="46"/>
    </row>
    <row r="1054">
      <c r="A1054" s="46"/>
      <c r="B1054" s="16"/>
      <c r="C1054" s="118"/>
      <c r="D1054" s="126"/>
      <c r="E1054" s="88"/>
      <c r="F1054" s="118"/>
      <c r="G1054" s="46"/>
      <c r="H1054" s="46"/>
      <c r="I1054" s="118"/>
      <c r="J1054" s="46"/>
      <c r="K1054" s="16"/>
      <c r="L1054" s="118"/>
      <c r="M1054" s="46"/>
      <c r="N1054" s="46"/>
      <c r="O1054" s="46"/>
      <c r="P1054" s="118"/>
      <c r="Q1054" s="46"/>
      <c r="R1054" s="46"/>
      <c r="S1054" s="46"/>
      <c r="T1054" s="46"/>
      <c r="U1054" s="118"/>
      <c r="V1054" s="46"/>
      <c r="W1054" s="88" t="str">
        <f>IF(V1054&lt;&gt;"",SUMIFS('📊 รายงานสินค้าคงเหลือ'!G:G,'📊 รายงานสินค้าคงเหลือ'!D:D,V1054),"")</f>
        <v/>
      </c>
      <c r="X1054" s="46"/>
      <c r="Y1054" s="46"/>
      <c r="Z1054" s="46"/>
    </row>
    <row r="1055">
      <c r="A1055" s="46"/>
      <c r="B1055" s="16"/>
      <c r="C1055" s="118"/>
      <c r="D1055" s="126"/>
      <c r="E1055" s="88"/>
      <c r="F1055" s="118"/>
      <c r="G1055" s="46"/>
      <c r="H1055" s="46"/>
      <c r="I1055" s="118"/>
      <c r="J1055" s="46"/>
      <c r="K1055" s="16"/>
      <c r="L1055" s="118"/>
      <c r="M1055" s="46"/>
      <c r="N1055" s="46"/>
      <c r="O1055" s="46"/>
      <c r="P1055" s="118"/>
      <c r="Q1055" s="46"/>
      <c r="R1055" s="46"/>
      <c r="S1055" s="46"/>
      <c r="T1055" s="46"/>
      <c r="U1055" s="118"/>
      <c r="V1055" s="46"/>
      <c r="W1055" s="88" t="str">
        <f>IF(V1055&lt;&gt;"",SUMIFS('📊 รายงานสินค้าคงเหลือ'!G:G,'📊 รายงานสินค้าคงเหลือ'!D:D,V1055),"")</f>
        <v/>
      </c>
      <c r="X1055" s="46"/>
      <c r="Y1055" s="46"/>
      <c r="Z1055" s="46"/>
    </row>
    <row r="1056">
      <c r="A1056" s="46"/>
      <c r="B1056" s="16"/>
      <c r="C1056" s="118"/>
      <c r="D1056" s="126"/>
      <c r="E1056" s="88"/>
      <c r="F1056" s="118"/>
      <c r="G1056" s="46"/>
      <c r="H1056" s="46"/>
      <c r="I1056" s="118"/>
      <c r="J1056" s="46"/>
      <c r="K1056" s="16"/>
      <c r="L1056" s="118"/>
      <c r="M1056" s="46"/>
      <c r="N1056" s="46"/>
      <c r="O1056" s="46"/>
      <c r="P1056" s="118"/>
      <c r="Q1056" s="46"/>
      <c r="R1056" s="46"/>
      <c r="S1056" s="46"/>
      <c r="T1056" s="46"/>
      <c r="U1056" s="118"/>
      <c r="V1056" s="46"/>
      <c r="W1056" s="88" t="str">
        <f>IF(V1056&lt;&gt;"",SUMIFS('📊 รายงานสินค้าคงเหลือ'!G:G,'📊 รายงานสินค้าคงเหลือ'!D:D,V1056),"")</f>
        <v/>
      </c>
      <c r="X1056" s="46"/>
      <c r="Y1056" s="46"/>
      <c r="Z1056" s="46"/>
    </row>
    <row r="1057">
      <c r="A1057" s="46"/>
      <c r="B1057" s="16"/>
      <c r="C1057" s="118"/>
      <c r="D1057" s="126"/>
      <c r="E1057" s="88"/>
      <c r="F1057" s="118"/>
      <c r="G1057" s="46"/>
      <c r="H1057" s="46"/>
      <c r="I1057" s="118"/>
      <c r="J1057" s="46"/>
      <c r="K1057" s="16"/>
      <c r="L1057" s="118"/>
      <c r="M1057" s="46"/>
      <c r="N1057" s="46"/>
      <c r="O1057" s="46"/>
      <c r="P1057" s="118"/>
      <c r="Q1057" s="46"/>
      <c r="R1057" s="46"/>
      <c r="S1057" s="46"/>
      <c r="T1057" s="46"/>
      <c r="U1057" s="118"/>
      <c r="V1057" s="46"/>
      <c r="W1057" s="88" t="str">
        <f>IF(V1057&lt;&gt;"",SUMIFS('📊 รายงานสินค้าคงเหลือ'!G:G,'📊 รายงานสินค้าคงเหลือ'!D:D,V1057),"")</f>
        <v/>
      </c>
      <c r="X1057" s="46"/>
      <c r="Y1057" s="46"/>
      <c r="Z1057" s="46"/>
    </row>
    <row r="1058">
      <c r="A1058" s="46"/>
      <c r="B1058" s="16"/>
      <c r="C1058" s="118"/>
      <c r="D1058" s="126"/>
      <c r="E1058" s="88"/>
      <c r="F1058" s="118"/>
      <c r="G1058" s="46"/>
      <c r="H1058" s="46"/>
      <c r="I1058" s="118"/>
      <c r="J1058" s="46"/>
      <c r="K1058" s="16"/>
      <c r="L1058" s="118"/>
      <c r="M1058" s="46"/>
      <c r="N1058" s="46"/>
      <c r="O1058" s="46"/>
      <c r="P1058" s="118"/>
      <c r="Q1058" s="46"/>
      <c r="R1058" s="46"/>
      <c r="S1058" s="46"/>
      <c r="T1058" s="46"/>
      <c r="U1058" s="118"/>
      <c r="V1058" s="46"/>
      <c r="W1058" s="88" t="str">
        <f>IF(V1058&lt;&gt;"",SUMIFS('📊 รายงานสินค้าคงเหลือ'!G:G,'📊 รายงานสินค้าคงเหลือ'!D:D,V1058),"")</f>
        <v/>
      </c>
      <c r="X1058" s="46"/>
      <c r="Y1058" s="46"/>
      <c r="Z1058" s="46"/>
    </row>
    <row r="1059">
      <c r="A1059" s="46"/>
      <c r="B1059" s="16"/>
      <c r="C1059" s="118"/>
      <c r="D1059" s="126"/>
      <c r="E1059" s="88"/>
      <c r="F1059" s="118"/>
      <c r="G1059" s="46"/>
      <c r="H1059" s="46"/>
      <c r="I1059" s="118"/>
      <c r="J1059" s="46"/>
      <c r="K1059" s="16"/>
      <c r="L1059" s="118"/>
      <c r="M1059" s="46"/>
      <c r="N1059" s="46"/>
      <c r="O1059" s="46"/>
      <c r="P1059" s="118"/>
      <c r="Q1059" s="46"/>
      <c r="R1059" s="46"/>
      <c r="S1059" s="46"/>
      <c r="T1059" s="46"/>
      <c r="U1059" s="118"/>
      <c r="V1059" s="46"/>
      <c r="W1059" s="88" t="str">
        <f>IF(V1059&lt;&gt;"",SUMIFS('📊 รายงานสินค้าคงเหลือ'!G:G,'📊 รายงานสินค้าคงเหลือ'!D:D,V1059),"")</f>
        <v/>
      </c>
      <c r="X1059" s="46"/>
      <c r="Y1059" s="46"/>
      <c r="Z1059" s="46"/>
    </row>
    <row r="1060">
      <c r="A1060" s="46"/>
      <c r="B1060" s="16"/>
      <c r="C1060" s="118"/>
      <c r="D1060" s="126"/>
      <c r="E1060" s="88"/>
      <c r="F1060" s="118"/>
      <c r="G1060" s="46"/>
      <c r="H1060" s="46"/>
      <c r="I1060" s="118"/>
      <c r="J1060" s="46"/>
      <c r="K1060" s="16"/>
      <c r="L1060" s="118"/>
      <c r="M1060" s="46"/>
      <c r="N1060" s="46"/>
      <c r="O1060" s="46"/>
      <c r="P1060" s="118"/>
      <c r="Q1060" s="46"/>
      <c r="R1060" s="46"/>
      <c r="S1060" s="46"/>
      <c r="T1060" s="46"/>
      <c r="U1060" s="118"/>
      <c r="V1060" s="46"/>
      <c r="W1060" s="88" t="str">
        <f>IF(V1060&lt;&gt;"",SUMIFS('📊 รายงานสินค้าคงเหลือ'!G:G,'📊 รายงานสินค้าคงเหลือ'!D:D,V1060),"")</f>
        <v/>
      </c>
      <c r="X1060" s="46"/>
      <c r="Y1060" s="46"/>
      <c r="Z1060" s="46"/>
    </row>
    <row r="1061">
      <c r="A1061" s="46"/>
      <c r="B1061" s="16"/>
      <c r="C1061" s="118"/>
      <c r="D1061" s="126"/>
      <c r="E1061" s="88"/>
      <c r="F1061" s="118"/>
      <c r="G1061" s="46"/>
      <c r="H1061" s="46"/>
      <c r="I1061" s="118"/>
      <c r="J1061" s="46"/>
      <c r="K1061" s="16"/>
      <c r="L1061" s="118"/>
      <c r="M1061" s="46"/>
      <c r="N1061" s="46"/>
      <c r="O1061" s="46"/>
      <c r="P1061" s="118"/>
      <c r="Q1061" s="46"/>
      <c r="R1061" s="46"/>
      <c r="S1061" s="46"/>
      <c r="T1061" s="46"/>
      <c r="U1061" s="118"/>
      <c r="V1061" s="46"/>
      <c r="W1061" s="88" t="str">
        <f>IF(V1061&lt;&gt;"",SUMIFS('📊 รายงานสินค้าคงเหลือ'!G:G,'📊 รายงานสินค้าคงเหลือ'!D:D,V1061),"")</f>
        <v/>
      </c>
      <c r="X1061" s="46"/>
      <c r="Y1061" s="46"/>
      <c r="Z1061" s="46"/>
    </row>
    <row r="1062">
      <c r="A1062" s="46"/>
      <c r="B1062" s="16"/>
      <c r="C1062" s="118"/>
      <c r="D1062" s="126"/>
      <c r="E1062" s="88"/>
      <c r="F1062" s="118"/>
      <c r="G1062" s="46"/>
      <c r="H1062" s="46"/>
      <c r="I1062" s="118"/>
      <c r="J1062" s="46"/>
      <c r="K1062" s="16"/>
      <c r="L1062" s="118"/>
      <c r="M1062" s="46"/>
      <c r="N1062" s="46"/>
      <c r="O1062" s="46"/>
      <c r="P1062" s="118"/>
      <c r="Q1062" s="46"/>
      <c r="R1062" s="46"/>
      <c r="S1062" s="46"/>
      <c r="T1062" s="46"/>
      <c r="U1062" s="118"/>
      <c r="V1062" s="46"/>
      <c r="W1062" s="88" t="str">
        <f>IF(V1062&lt;&gt;"",SUMIFS('📊 รายงานสินค้าคงเหลือ'!G:G,'📊 รายงานสินค้าคงเหลือ'!D:D,V1062),"")</f>
        <v/>
      </c>
      <c r="X1062" s="46"/>
      <c r="Y1062" s="46"/>
      <c r="Z1062" s="46"/>
    </row>
    <row r="1063">
      <c r="A1063" s="46"/>
      <c r="B1063" s="16"/>
      <c r="C1063" s="118"/>
      <c r="D1063" s="126"/>
      <c r="E1063" s="88"/>
      <c r="F1063" s="118"/>
      <c r="G1063" s="46"/>
      <c r="H1063" s="46"/>
      <c r="I1063" s="118"/>
      <c r="J1063" s="46"/>
      <c r="K1063" s="16"/>
      <c r="L1063" s="118"/>
      <c r="M1063" s="46"/>
      <c r="N1063" s="46"/>
      <c r="O1063" s="46"/>
      <c r="P1063" s="118"/>
      <c r="Q1063" s="46"/>
      <c r="R1063" s="46"/>
      <c r="S1063" s="46"/>
      <c r="T1063" s="46"/>
      <c r="U1063" s="118"/>
      <c r="V1063" s="46"/>
      <c r="W1063" s="88" t="str">
        <f>IF(V1063&lt;&gt;"",SUMIFS('📊 รายงานสินค้าคงเหลือ'!G:G,'📊 รายงานสินค้าคงเหลือ'!D:D,V1063),"")</f>
        <v/>
      </c>
      <c r="X1063" s="46"/>
      <c r="Y1063" s="46"/>
      <c r="Z1063" s="46"/>
    </row>
    <row r="1064">
      <c r="A1064" s="46"/>
      <c r="B1064" s="16"/>
      <c r="C1064" s="118"/>
      <c r="D1064" s="126"/>
      <c r="E1064" s="88"/>
      <c r="F1064" s="118"/>
      <c r="G1064" s="46"/>
      <c r="H1064" s="46"/>
      <c r="I1064" s="118"/>
      <c r="J1064" s="46"/>
      <c r="K1064" s="16"/>
      <c r="L1064" s="118"/>
      <c r="M1064" s="46"/>
      <c r="N1064" s="46"/>
      <c r="O1064" s="46"/>
      <c r="P1064" s="118"/>
      <c r="Q1064" s="46"/>
      <c r="R1064" s="46"/>
      <c r="S1064" s="46"/>
      <c r="T1064" s="46"/>
      <c r="U1064" s="118"/>
      <c r="V1064" s="46"/>
      <c r="W1064" s="88" t="str">
        <f>IF(V1064&lt;&gt;"",SUMIFS('📊 รายงานสินค้าคงเหลือ'!G:G,'📊 รายงานสินค้าคงเหลือ'!D:D,V1064),"")</f>
        <v/>
      </c>
      <c r="X1064" s="46"/>
      <c r="Y1064" s="46"/>
      <c r="Z1064" s="46"/>
    </row>
    <row r="1065">
      <c r="A1065" s="46"/>
      <c r="B1065" s="16"/>
      <c r="C1065" s="118"/>
      <c r="D1065" s="126"/>
      <c r="E1065" s="88"/>
      <c r="F1065" s="118"/>
      <c r="G1065" s="46"/>
      <c r="H1065" s="46"/>
      <c r="I1065" s="118"/>
      <c r="J1065" s="46"/>
      <c r="K1065" s="16"/>
      <c r="L1065" s="118"/>
      <c r="M1065" s="46"/>
      <c r="N1065" s="46"/>
      <c r="O1065" s="46"/>
      <c r="P1065" s="118"/>
      <c r="Q1065" s="46"/>
      <c r="R1065" s="46"/>
      <c r="S1065" s="46"/>
      <c r="T1065" s="46"/>
      <c r="U1065" s="118"/>
      <c r="V1065" s="46"/>
      <c r="W1065" s="88" t="str">
        <f>IF(V1065&lt;&gt;"",SUMIFS('📊 รายงานสินค้าคงเหลือ'!G:G,'📊 รายงานสินค้าคงเหลือ'!D:D,V1065),"")</f>
        <v/>
      </c>
      <c r="X1065" s="46"/>
      <c r="Y1065" s="46"/>
      <c r="Z1065" s="46"/>
    </row>
    <row r="1066">
      <c r="A1066" s="46"/>
      <c r="B1066" s="16"/>
      <c r="C1066" s="118"/>
      <c r="D1066" s="126"/>
      <c r="E1066" s="88"/>
      <c r="F1066" s="118"/>
      <c r="G1066" s="46"/>
      <c r="H1066" s="46"/>
      <c r="I1066" s="118"/>
      <c r="J1066" s="46"/>
      <c r="K1066" s="16"/>
      <c r="L1066" s="118"/>
      <c r="M1066" s="46"/>
      <c r="N1066" s="46"/>
      <c r="O1066" s="46"/>
      <c r="P1066" s="118"/>
      <c r="Q1066" s="46"/>
      <c r="R1066" s="46"/>
      <c r="S1066" s="46"/>
      <c r="T1066" s="46"/>
      <c r="U1066" s="118"/>
      <c r="V1066" s="46"/>
      <c r="W1066" s="88" t="str">
        <f>IF(V1066&lt;&gt;"",SUMIFS('📊 รายงานสินค้าคงเหลือ'!G:G,'📊 รายงานสินค้าคงเหลือ'!D:D,V1066),"")</f>
        <v/>
      </c>
      <c r="X1066" s="46"/>
      <c r="Y1066" s="46"/>
      <c r="Z1066" s="46"/>
    </row>
    <row r="1067">
      <c r="A1067" s="46"/>
      <c r="B1067" s="16"/>
      <c r="C1067" s="118"/>
      <c r="D1067" s="126"/>
      <c r="E1067" s="88"/>
      <c r="F1067" s="118"/>
      <c r="G1067" s="46"/>
      <c r="H1067" s="46"/>
      <c r="I1067" s="118"/>
      <c r="J1067" s="46"/>
      <c r="K1067" s="16"/>
      <c r="L1067" s="118"/>
      <c r="M1067" s="46"/>
      <c r="N1067" s="46"/>
      <c r="O1067" s="46"/>
      <c r="P1067" s="118"/>
      <c r="Q1067" s="46"/>
      <c r="R1067" s="46"/>
      <c r="S1067" s="46"/>
      <c r="T1067" s="46"/>
      <c r="U1067" s="118"/>
      <c r="V1067" s="46"/>
      <c r="W1067" s="88" t="str">
        <f>IF(V1067&lt;&gt;"",SUMIFS('📊 รายงานสินค้าคงเหลือ'!G:G,'📊 รายงานสินค้าคงเหลือ'!D:D,V1067),"")</f>
        <v/>
      </c>
      <c r="X1067" s="46"/>
      <c r="Y1067" s="46"/>
      <c r="Z1067" s="46"/>
    </row>
    <row r="1068">
      <c r="A1068" s="46"/>
      <c r="B1068" s="16"/>
      <c r="C1068" s="118"/>
      <c r="D1068" s="126"/>
      <c r="E1068" s="88"/>
      <c r="F1068" s="118"/>
      <c r="G1068" s="46"/>
      <c r="H1068" s="46"/>
      <c r="I1068" s="118"/>
      <c r="J1068" s="46"/>
      <c r="K1068" s="16"/>
      <c r="L1068" s="118"/>
      <c r="M1068" s="46"/>
      <c r="N1068" s="46"/>
      <c r="O1068" s="46"/>
      <c r="P1068" s="118"/>
      <c r="Q1068" s="46"/>
      <c r="R1068" s="46"/>
      <c r="S1068" s="46"/>
      <c r="T1068" s="46"/>
      <c r="U1068" s="118"/>
      <c r="V1068" s="46"/>
      <c r="W1068" s="88" t="str">
        <f>IF(V1068&lt;&gt;"",SUMIFS('📊 รายงานสินค้าคงเหลือ'!G:G,'📊 รายงานสินค้าคงเหลือ'!D:D,V1068),"")</f>
        <v/>
      </c>
      <c r="X1068" s="46"/>
      <c r="Y1068" s="46"/>
      <c r="Z1068" s="46"/>
    </row>
    <row r="1069">
      <c r="A1069" s="46"/>
      <c r="B1069" s="16"/>
      <c r="C1069" s="118"/>
      <c r="D1069" s="126"/>
      <c r="E1069" s="88"/>
      <c r="F1069" s="118"/>
      <c r="G1069" s="46"/>
      <c r="H1069" s="46"/>
      <c r="I1069" s="118"/>
      <c r="J1069" s="46"/>
      <c r="K1069" s="16"/>
      <c r="L1069" s="118"/>
      <c r="M1069" s="46"/>
      <c r="N1069" s="46"/>
      <c r="O1069" s="46"/>
      <c r="P1069" s="118"/>
      <c r="Q1069" s="46"/>
      <c r="R1069" s="46"/>
      <c r="S1069" s="46"/>
      <c r="T1069" s="46"/>
      <c r="U1069" s="118"/>
      <c r="V1069" s="46"/>
      <c r="W1069" s="88" t="str">
        <f>IF(V1069&lt;&gt;"",SUMIFS('📊 รายงานสินค้าคงเหลือ'!G:G,'📊 รายงานสินค้าคงเหลือ'!D:D,V1069),"")</f>
        <v/>
      </c>
      <c r="X1069" s="46"/>
      <c r="Y1069" s="46"/>
      <c r="Z1069" s="46"/>
    </row>
    <row r="1070">
      <c r="A1070" s="46"/>
      <c r="B1070" s="16"/>
      <c r="C1070" s="118"/>
      <c r="D1070" s="126"/>
      <c r="E1070" s="88"/>
      <c r="F1070" s="118"/>
      <c r="G1070" s="46"/>
      <c r="H1070" s="46"/>
      <c r="I1070" s="118"/>
      <c r="J1070" s="46"/>
      <c r="K1070" s="16"/>
      <c r="L1070" s="118"/>
      <c r="M1070" s="46"/>
      <c r="N1070" s="46"/>
      <c r="O1070" s="46"/>
      <c r="P1070" s="118"/>
      <c r="Q1070" s="46"/>
      <c r="R1070" s="46"/>
      <c r="S1070" s="46"/>
      <c r="T1070" s="46"/>
      <c r="U1070" s="118"/>
      <c r="V1070" s="46"/>
      <c r="W1070" s="88" t="str">
        <f>IF(V1070&lt;&gt;"",SUMIFS('📊 รายงานสินค้าคงเหลือ'!G:G,'📊 รายงานสินค้าคงเหลือ'!D:D,V1070),"")</f>
        <v/>
      </c>
      <c r="X1070" s="46"/>
      <c r="Y1070" s="46"/>
      <c r="Z1070" s="46"/>
    </row>
    <row r="1071">
      <c r="A1071" s="46"/>
      <c r="B1071" s="16"/>
      <c r="C1071" s="118"/>
      <c r="D1071" s="126"/>
      <c r="E1071" s="88"/>
      <c r="F1071" s="118"/>
      <c r="G1071" s="46"/>
      <c r="H1071" s="46"/>
      <c r="I1071" s="118"/>
      <c r="J1071" s="46"/>
      <c r="K1071" s="16"/>
      <c r="L1071" s="118"/>
      <c r="M1071" s="46"/>
      <c r="N1071" s="46"/>
      <c r="O1071" s="46"/>
      <c r="P1071" s="118"/>
      <c r="Q1071" s="46"/>
      <c r="R1071" s="46"/>
      <c r="S1071" s="46"/>
      <c r="T1071" s="46"/>
      <c r="U1071" s="118"/>
      <c r="V1071" s="46"/>
      <c r="W1071" s="88" t="str">
        <f>IF(V1071&lt;&gt;"",SUMIFS('📊 รายงานสินค้าคงเหลือ'!G:G,'📊 รายงานสินค้าคงเหลือ'!D:D,V1071),"")</f>
        <v/>
      </c>
      <c r="X1071" s="46"/>
      <c r="Y1071" s="46"/>
      <c r="Z1071" s="46"/>
    </row>
    <row r="1072">
      <c r="A1072" s="46"/>
      <c r="B1072" s="16"/>
      <c r="C1072" s="118"/>
      <c r="D1072" s="126"/>
      <c r="E1072" s="88"/>
      <c r="F1072" s="118"/>
      <c r="G1072" s="46"/>
      <c r="H1072" s="46"/>
      <c r="I1072" s="118"/>
      <c r="J1072" s="46"/>
      <c r="K1072" s="16"/>
      <c r="L1072" s="118"/>
      <c r="M1072" s="46"/>
      <c r="N1072" s="46"/>
      <c r="O1072" s="46"/>
      <c r="P1072" s="118"/>
      <c r="Q1072" s="46"/>
      <c r="R1072" s="46"/>
      <c r="S1072" s="46"/>
      <c r="T1072" s="46"/>
      <c r="U1072" s="118"/>
      <c r="V1072" s="46"/>
      <c r="W1072" s="88" t="str">
        <f>IF(V1072&lt;&gt;"",SUMIFS('📊 รายงานสินค้าคงเหลือ'!G:G,'📊 รายงานสินค้าคงเหลือ'!D:D,V1072),"")</f>
        <v/>
      </c>
      <c r="X1072" s="46"/>
      <c r="Y1072" s="46"/>
      <c r="Z1072" s="46"/>
    </row>
    <row r="1073">
      <c r="A1073" s="46"/>
      <c r="B1073" s="16"/>
      <c r="C1073" s="118"/>
      <c r="D1073" s="126"/>
      <c r="E1073" s="88"/>
      <c r="F1073" s="118"/>
      <c r="G1073" s="46"/>
      <c r="H1073" s="46"/>
      <c r="I1073" s="118"/>
      <c r="J1073" s="46"/>
      <c r="K1073" s="16"/>
      <c r="L1073" s="118"/>
      <c r="M1073" s="46"/>
      <c r="N1073" s="46"/>
      <c r="O1073" s="46"/>
      <c r="P1073" s="118"/>
      <c r="Q1073" s="46"/>
      <c r="R1073" s="46"/>
      <c r="S1073" s="46"/>
      <c r="T1073" s="46"/>
      <c r="U1073" s="118"/>
      <c r="V1073" s="46"/>
      <c r="W1073" s="88" t="str">
        <f>IF(V1073&lt;&gt;"",SUMIFS('📊 รายงานสินค้าคงเหลือ'!G:G,'📊 รายงานสินค้าคงเหลือ'!D:D,V1073),"")</f>
        <v/>
      </c>
      <c r="X1073" s="46"/>
      <c r="Y1073" s="46"/>
      <c r="Z1073" s="46"/>
    </row>
    <row r="1074">
      <c r="A1074" s="46"/>
      <c r="B1074" s="16"/>
      <c r="C1074" s="118"/>
      <c r="D1074" s="126"/>
      <c r="E1074" s="88"/>
      <c r="F1074" s="118"/>
      <c r="G1074" s="46"/>
      <c r="H1074" s="46"/>
      <c r="I1074" s="118"/>
      <c r="J1074" s="46"/>
      <c r="K1074" s="16"/>
      <c r="L1074" s="118"/>
      <c r="M1074" s="46"/>
      <c r="N1074" s="46"/>
      <c r="O1074" s="46"/>
      <c r="P1074" s="118"/>
      <c r="Q1074" s="46"/>
      <c r="R1074" s="46"/>
      <c r="S1074" s="46"/>
      <c r="T1074" s="46"/>
      <c r="U1074" s="118"/>
      <c r="V1074" s="46"/>
      <c r="W1074" s="88" t="str">
        <f>IF(V1074&lt;&gt;"",SUMIFS('📊 รายงานสินค้าคงเหลือ'!G:G,'📊 รายงานสินค้าคงเหลือ'!D:D,V1074),"")</f>
        <v/>
      </c>
      <c r="X1074" s="46"/>
      <c r="Y1074" s="46"/>
      <c r="Z1074" s="46"/>
    </row>
    <row r="1075">
      <c r="A1075" s="46"/>
      <c r="B1075" s="16"/>
      <c r="C1075" s="118"/>
      <c r="D1075" s="126"/>
      <c r="E1075" s="88"/>
      <c r="F1075" s="118"/>
      <c r="G1075" s="46"/>
      <c r="H1075" s="46"/>
      <c r="I1075" s="118"/>
      <c r="J1075" s="46"/>
      <c r="K1075" s="16"/>
      <c r="L1075" s="118"/>
      <c r="M1075" s="46"/>
      <c r="N1075" s="46"/>
      <c r="O1075" s="46"/>
      <c r="P1075" s="118"/>
      <c r="Q1075" s="46"/>
      <c r="R1075" s="46"/>
      <c r="S1075" s="46"/>
      <c r="T1075" s="46"/>
      <c r="U1075" s="118"/>
      <c r="V1075" s="46"/>
      <c r="W1075" s="88" t="str">
        <f>IF(V1075&lt;&gt;"",SUMIFS('📊 รายงานสินค้าคงเหลือ'!G:G,'📊 รายงานสินค้าคงเหลือ'!D:D,V1075),"")</f>
        <v/>
      </c>
      <c r="X1075" s="46"/>
      <c r="Y1075" s="46"/>
      <c r="Z1075" s="46"/>
    </row>
    <row r="1076">
      <c r="A1076" s="46"/>
      <c r="B1076" s="16"/>
      <c r="C1076" s="118"/>
      <c r="D1076" s="126"/>
      <c r="E1076" s="88"/>
      <c r="F1076" s="118"/>
      <c r="G1076" s="46"/>
      <c r="H1076" s="46"/>
      <c r="I1076" s="118"/>
      <c r="J1076" s="46"/>
      <c r="K1076" s="16"/>
      <c r="L1076" s="118"/>
      <c r="M1076" s="46"/>
      <c r="N1076" s="46"/>
      <c r="O1076" s="46"/>
      <c r="P1076" s="118"/>
      <c r="Q1076" s="46"/>
      <c r="R1076" s="46"/>
      <c r="S1076" s="46"/>
      <c r="T1076" s="46"/>
      <c r="U1076" s="118"/>
      <c r="V1076" s="46"/>
      <c r="W1076" s="88" t="str">
        <f>IF(V1076&lt;&gt;"",SUMIFS('📊 รายงานสินค้าคงเหลือ'!G:G,'📊 รายงานสินค้าคงเหลือ'!D:D,V1076),"")</f>
        <v/>
      </c>
      <c r="X1076" s="46"/>
      <c r="Y1076" s="46"/>
      <c r="Z1076" s="46"/>
    </row>
    <row r="1077">
      <c r="A1077" s="46"/>
      <c r="B1077" s="16"/>
      <c r="C1077" s="118"/>
      <c r="D1077" s="126"/>
      <c r="E1077" s="88"/>
      <c r="F1077" s="118"/>
      <c r="G1077" s="46"/>
      <c r="H1077" s="46"/>
      <c r="I1077" s="118"/>
      <c r="J1077" s="46"/>
      <c r="K1077" s="16"/>
      <c r="L1077" s="118"/>
      <c r="M1077" s="46"/>
      <c r="N1077" s="46"/>
      <c r="O1077" s="46"/>
      <c r="P1077" s="118"/>
      <c r="Q1077" s="46"/>
      <c r="R1077" s="46"/>
      <c r="S1077" s="46"/>
      <c r="T1077" s="46"/>
      <c r="U1077" s="118"/>
      <c r="V1077" s="46"/>
      <c r="W1077" s="88" t="str">
        <f>IF(V1077&lt;&gt;"",SUMIFS('📊 รายงานสินค้าคงเหลือ'!G:G,'📊 รายงานสินค้าคงเหลือ'!D:D,V1077),"")</f>
        <v/>
      </c>
      <c r="X1077" s="46"/>
      <c r="Y1077" s="46"/>
      <c r="Z1077" s="46"/>
    </row>
    <row r="1078">
      <c r="A1078" s="46"/>
      <c r="B1078" s="16"/>
      <c r="C1078" s="118"/>
      <c r="D1078" s="126"/>
      <c r="E1078" s="88"/>
      <c r="F1078" s="118"/>
      <c r="G1078" s="46"/>
      <c r="H1078" s="46"/>
      <c r="I1078" s="118"/>
      <c r="J1078" s="46"/>
      <c r="K1078" s="16"/>
      <c r="L1078" s="118"/>
      <c r="M1078" s="46"/>
      <c r="N1078" s="46"/>
      <c r="O1078" s="46"/>
      <c r="P1078" s="118"/>
      <c r="Q1078" s="46"/>
      <c r="R1078" s="46"/>
      <c r="S1078" s="46"/>
      <c r="T1078" s="46"/>
      <c r="U1078" s="118"/>
      <c r="V1078" s="46"/>
      <c r="W1078" s="88" t="str">
        <f>IF(V1078&lt;&gt;"",SUMIFS('📊 รายงานสินค้าคงเหลือ'!G:G,'📊 รายงานสินค้าคงเหลือ'!D:D,V1078),"")</f>
        <v/>
      </c>
      <c r="X1078" s="46"/>
      <c r="Y1078" s="46"/>
      <c r="Z1078" s="46"/>
    </row>
    <row r="1079">
      <c r="A1079" s="46"/>
      <c r="B1079" s="16"/>
      <c r="C1079" s="118"/>
      <c r="D1079" s="126"/>
      <c r="E1079" s="88"/>
      <c r="F1079" s="118"/>
      <c r="G1079" s="46"/>
      <c r="H1079" s="46"/>
      <c r="I1079" s="118"/>
      <c r="J1079" s="46"/>
      <c r="K1079" s="16"/>
      <c r="L1079" s="118"/>
      <c r="M1079" s="46"/>
      <c r="N1079" s="46"/>
      <c r="O1079" s="46"/>
      <c r="P1079" s="118"/>
      <c r="Q1079" s="46"/>
      <c r="R1079" s="46"/>
      <c r="S1079" s="46"/>
      <c r="T1079" s="46"/>
      <c r="U1079" s="118"/>
      <c r="V1079" s="46"/>
      <c r="W1079" s="88" t="str">
        <f>IF(V1079&lt;&gt;"",SUMIFS('📊 รายงานสินค้าคงเหลือ'!G:G,'📊 รายงานสินค้าคงเหลือ'!D:D,V1079),"")</f>
        <v/>
      </c>
      <c r="X1079" s="46"/>
      <c r="Y1079" s="46"/>
      <c r="Z1079" s="46"/>
    </row>
    <row r="1080">
      <c r="A1080" s="46"/>
      <c r="B1080" s="16"/>
      <c r="C1080" s="118"/>
      <c r="D1080" s="126"/>
      <c r="E1080" s="88"/>
      <c r="F1080" s="118"/>
      <c r="G1080" s="46"/>
      <c r="H1080" s="46"/>
      <c r="I1080" s="118"/>
      <c r="J1080" s="46"/>
      <c r="K1080" s="16"/>
      <c r="L1080" s="118"/>
      <c r="M1080" s="46"/>
      <c r="N1080" s="46"/>
      <c r="O1080" s="46"/>
      <c r="P1080" s="118"/>
      <c r="Q1080" s="46"/>
      <c r="R1080" s="46"/>
      <c r="S1080" s="46"/>
      <c r="T1080" s="46"/>
      <c r="U1080" s="118"/>
      <c r="V1080" s="46"/>
      <c r="W1080" s="88" t="str">
        <f>IF(V1080&lt;&gt;"",SUMIFS('📊 รายงานสินค้าคงเหลือ'!G:G,'📊 รายงานสินค้าคงเหลือ'!D:D,V1080),"")</f>
        <v/>
      </c>
      <c r="X1080" s="46"/>
      <c r="Y1080" s="46"/>
      <c r="Z1080" s="46"/>
    </row>
    <row r="1081">
      <c r="A1081" s="46"/>
      <c r="B1081" s="16"/>
      <c r="C1081" s="118"/>
      <c r="D1081" s="126"/>
      <c r="E1081" s="88"/>
      <c r="F1081" s="118"/>
      <c r="G1081" s="46"/>
      <c r="H1081" s="46"/>
      <c r="I1081" s="118"/>
      <c r="J1081" s="46"/>
      <c r="K1081" s="16"/>
      <c r="L1081" s="118"/>
      <c r="M1081" s="46"/>
      <c r="N1081" s="46"/>
      <c r="O1081" s="46"/>
      <c r="P1081" s="118"/>
      <c r="Q1081" s="46"/>
      <c r="R1081" s="46"/>
      <c r="S1081" s="46"/>
      <c r="T1081" s="46"/>
      <c r="U1081" s="118"/>
      <c r="V1081" s="46"/>
      <c r="W1081" s="88" t="str">
        <f>IF(V1081&lt;&gt;"",SUMIFS('📊 รายงานสินค้าคงเหลือ'!G:G,'📊 รายงานสินค้าคงเหลือ'!D:D,V1081),"")</f>
        <v/>
      </c>
      <c r="X1081" s="46"/>
      <c r="Y1081" s="46"/>
      <c r="Z1081" s="46"/>
    </row>
    <row r="1082">
      <c r="A1082" s="46"/>
      <c r="B1082" s="16"/>
      <c r="C1082" s="118"/>
      <c r="D1082" s="126"/>
      <c r="E1082" s="88"/>
      <c r="F1082" s="118"/>
      <c r="G1082" s="46"/>
      <c r="H1082" s="46"/>
      <c r="I1082" s="118"/>
      <c r="J1082" s="46"/>
      <c r="K1082" s="16"/>
      <c r="L1082" s="118"/>
      <c r="M1082" s="46"/>
      <c r="N1082" s="46"/>
      <c r="O1082" s="46"/>
      <c r="P1082" s="118"/>
      <c r="Q1082" s="46"/>
      <c r="R1082" s="46"/>
      <c r="S1082" s="46"/>
      <c r="T1082" s="46"/>
      <c r="U1082" s="118"/>
      <c r="V1082" s="46"/>
      <c r="W1082" s="88" t="str">
        <f>IF(V1082&lt;&gt;"",SUMIFS('📊 รายงานสินค้าคงเหลือ'!G:G,'📊 รายงานสินค้าคงเหลือ'!D:D,V1082),"")</f>
        <v/>
      </c>
      <c r="X1082" s="46"/>
      <c r="Y1082" s="46"/>
      <c r="Z1082" s="46"/>
    </row>
    <row r="1083">
      <c r="A1083" s="46"/>
      <c r="B1083" s="16"/>
      <c r="C1083" s="118"/>
      <c r="D1083" s="126"/>
      <c r="E1083" s="88"/>
      <c r="F1083" s="118"/>
      <c r="G1083" s="46"/>
      <c r="H1083" s="46"/>
      <c r="I1083" s="118"/>
      <c r="J1083" s="46"/>
      <c r="K1083" s="16"/>
      <c r="L1083" s="118"/>
      <c r="M1083" s="46"/>
      <c r="N1083" s="46"/>
      <c r="O1083" s="46"/>
      <c r="P1083" s="118"/>
      <c r="Q1083" s="46"/>
      <c r="R1083" s="46"/>
      <c r="S1083" s="46"/>
      <c r="T1083" s="46"/>
      <c r="U1083" s="118"/>
      <c r="V1083" s="46"/>
      <c r="W1083" s="88" t="str">
        <f>IF(V1083&lt;&gt;"",SUMIFS('📊 รายงานสินค้าคงเหลือ'!G:G,'📊 รายงานสินค้าคงเหลือ'!D:D,V1083),"")</f>
        <v/>
      </c>
      <c r="X1083" s="46"/>
      <c r="Y1083" s="46"/>
      <c r="Z1083" s="46"/>
    </row>
    <row r="1084">
      <c r="A1084" s="46"/>
      <c r="B1084" s="16"/>
      <c r="C1084" s="118"/>
      <c r="D1084" s="126"/>
      <c r="E1084" s="88"/>
      <c r="F1084" s="118"/>
      <c r="G1084" s="46"/>
      <c r="H1084" s="46"/>
      <c r="I1084" s="118"/>
      <c r="J1084" s="46"/>
      <c r="K1084" s="16"/>
      <c r="L1084" s="118"/>
      <c r="M1084" s="46"/>
      <c r="N1084" s="46"/>
      <c r="O1084" s="46"/>
      <c r="P1084" s="118"/>
      <c r="Q1084" s="46"/>
      <c r="R1084" s="46"/>
      <c r="S1084" s="46"/>
      <c r="T1084" s="46"/>
      <c r="U1084" s="118"/>
      <c r="V1084" s="46"/>
      <c r="W1084" s="88" t="str">
        <f>IF(V1084&lt;&gt;"",SUMIFS('📊 รายงานสินค้าคงเหลือ'!G:G,'📊 รายงานสินค้าคงเหลือ'!D:D,V1084),"")</f>
        <v/>
      </c>
      <c r="X1084" s="46"/>
      <c r="Y1084" s="46"/>
      <c r="Z1084" s="46"/>
    </row>
    <row r="1085">
      <c r="A1085" s="46"/>
      <c r="B1085" s="16"/>
      <c r="C1085" s="118"/>
      <c r="D1085" s="126"/>
      <c r="E1085" s="88"/>
      <c r="F1085" s="118"/>
      <c r="G1085" s="46"/>
      <c r="H1085" s="46"/>
      <c r="I1085" s="118"/>
      <c r="J1085" s="46"/>
      <c r="K1085" s="16"/>
      <c r="L1085" s="118"/>
      <c r="M1085" s="46"/>
      <c r="N1085" s="46"/>
      <c r="O1085" s="46"/>
      <c r="P1085" s="118"/>
      <c r="Q1085" s="46"/>
      <c r="R1085" s="46"/>
      <c r="S1085" s="46"/>
      <c r="T1085" s="46"/>
      <c r="U1085" s="118"/>
      <c r="V1085" s="46"/>
      <c r="W1085" s="88" t="str">
        <f>IF(V1085&lt;&gt;"",SUMIFS('📊 รายงานสินค้าคงเหลือ'!G:G,'📊 รายงานสินค้าคงเหลือ'!D:D,V1085),"")</f>
        <v/>
      </c>
      <c r="X1085" s="46"/>
      <c r="Y1085" s="46"/>
      <c r="Z1085" s="46"/>
    </row>
    <row r="1086">
      <c r="A1086" s="46"/>
      <c r="B1086" s="16"/>
      <c r="C1086" s="118"/>
      <c r="D1086" s="126"/>
      <c r="E1086" s="88"/>
      <c r="F1086" s="118"/>
      <c r="G1086" s="46"/>
      <c r="H1086" s="46"/>
      <c r="I1086" s="118"/>
      <c r="J1086" s="46"/>
      <c r="K1086" s="16"/>
      <c r="L1086" s="118"/>
      <c r="M1086" s="46"/>
      <c r="N1086" s="46"/>
      <c r="O1086" s="46"/>
      <c r="P1086" s="118"/>
      <c r="Q1086" s="46"/>
      <c r="R1086" s="46"/>
      <c r="S1086" s="46"/>
      <c r="T1086" s="46"/>
      <c r="U1086" s="118"/>
      <c r="V1086" s="46"/>
      <c r="W1086" s="88" t="str">
        <f>IF(V1086&lt;&gt;"",SUMIFS('📊 รายงานสินค้าคงเหลือ'!G:G,'📊 รายงานสินค้าคงเหลือ'!D:D,V1086),"")</f>
        <v/>
      </c>
      <c r="X1086" s="46"/>
      <c r="Y1086" s="46"/>
      <c r="Z1086" s="46"/>
    </row>
    <row r="1087">
      <c r="A1087" s="46"/>
      <c r="B1087" s="16"/>
      <c r="C1087" s="118"/>
      <c r="D1087" s="126"/>
      <c r="E1087" s="88"/>
      <c r="F1087" s="118"/>
      <c r="G1087" s="46"/>
      <c r="H1087" s="46"/>
      <c r="I1087" s="118"/>
      <c r="J1087" s="46"/>
      <c r="K1087" s="16"/>
      <c r="L1087" s="118"/>
      <c r="M1087" s="46"/>
      <c r="N1087" s="46"/>
      <c r="O1087" s="46"/>
      <c r="P1087" s="118"/>
      <c r="Q1087" s="46"/>
      <c r="R1087" s="46"/>
      <c r="S1087" s="46"/>
      <c r="T1087" s="46"/>
      <c r="U1087" s="118"/>
      <c r="V1087" s="46"/>
      <c r="W1087" s="88" t="str">
        <f>IF(V1087&lt;&gt;"",SUMIFS('📊 รายงานสินค้าคงเหลือ'!G:G,'📊 รายงานสินค้าคงเหลือ'!D:D,V1087),"")</f>
        <v/>
      </c>
      <c r="X1087" s="46"/>
      <c r="Y1087" s="46"/>
      <c r="Z1087" s="46"/>
    </row>
    <row r="1088">
      <c r="A1088" s="46"/>
      <c r="B1088" s="16"/>
      <c r="C1088" s="118"/>
      <c r="D1088" s="126"/>
      <c r="E1088" s="88"/>
      <c r="F1088" s="118"/>
      <c r="G1088" s="46"/>
      <c r="H1088" s="46"/>
      <c r="I1088" s="118"/>
      <c r="J1088" s="46"/>
      <c r="K1088" s="16"/>
      <c r="L1088" s="118"/>
      <c r="M1088" s="46"/>
      <c r="N1088" s="46"/>
      <c r="O1088" s="46"/>
      <c r="P1088" s="118"/>
      <c r="Q1088" s="46"/>
      <c r="R1088" s="46"/>
      <c r="S1088" s="46"/>
      <c r="T1088" s="46"/>
      <c r="U1088" s="118"/>
      <c r="V1088" s="46"/>
      <c r="W1088" s="88" t="str">
        <f>IF(V1088&lt;&gt;"",SUMIFS('📊 รายงานสินค้าคงเหลือ'!G:G,'📊 รายงานสินค้าคงเหลือ'!D:D,V1088),"")</f>
        <v/>
      </c>
      <c r="X1088" s="46"/>
      <c r="Y1088" s="46"/>
      <c r="Z1088" s="46"/>
    </row>
    <row r="1089">
      <c r="A1089" s="46"/>
      <c r="B1089" s="16"/>
      <c r="C1089" s="118"/>
      <c r="D1089" s="126"/>
      <c r="E1089" s="88"/>
      <c r="F1089" s="118"/>
      <c r="G1089" s="46"/>
      <c r="H1089" s="46"/>
      <c r="I1089" s="118"/>
      <c r="J1089" s="46"/>
      <c r="K1089" s="16"/>
      <c r="L1089" s="118"/>
      <c r="M1089" s="46"/>
      <c r="N1089" s="46"/>
      <c r="O1089" s="46"/>
      <c r="P1089" s="118"/>
      <c r="Q1089" s="46"/>
      <c r="R1089" s="46"/>
      <c r="S1089" s="46"/>
      <c r="T1089" s="46"/>
      <c r="U1089" s="118"/>
      <c r="V1089" s="46"/>
      <c r="W1089" s="88" t="str">
        <f>IF(V1089&lt;&gt;"",SUMIFS('📊 รายงานสินค้าคงเหลือ'!G:G,'📊 รายงานสินค้าคงเหลือ'!D:D,V1089),"")</f>
        <v/>
      </c>
      <c r="X1089" s="46"/>
      <c r="Y1089" s="46"/>
      <c r="Z1089" s="46"/>
    </row>
    <row r="1090">
      <c r="A1090" s="46"/>
      <c r="B1090" s="16"/>
      <c r="C1090" s="118"/>
      <c r="D1090" s="126"/>
      <c r="E1090" s="88"/>
      <c r="F1090" s="118"/>
      <c r="G1090" s="46"/>
      <c r="H1090" s="46"/>
      <c r="I1090" s="118"/>
      <c r="J1090" s="46"/>
      <c r="K1090" s="16"/>
      <c r="L1090" s="118"/>
      <c r="M1090" s="46"/>
      <c r="N1090" s="46"/>
      <c r="O1090" s="46"/>
      <c r="P1090" s="118"/>
      <c r="Q1090" s="46"/>
      <c r="R1090" s="46"/>
      <c r="S1090" s="46"/>
      <c r="T1090" s="46"/>
      <c r="U1090" s="118"/>
      <c r="V1090" s="46"/>
      <c r="W1090" s="88" t="str">
        <f>IF(V1090&lt;&gt;"",SUMIFS('📊 รายงานสินค้าคงเหลือ'!G:G,'📊 รายงานสินค้าคงเหลือ'!D:D,V1090),"")</f>
        <v/>
      </c>
      <c r="X1090" s="46"/>
      <c r="Y1090" s="46"/>
      <c r="Z1090" s="46"/>
    </row>
    <row r="1091">
      <c r="A1091" s="46"/>
      <c r="B1091" s="16"/>
      <c r="C1091" s="118"/>
      <c r="D1091" s="126"/>
      <c r="E1091" s="88"/>
      <c r="F1091" s="118"/>
      <c r="G1091" s="46"/>
      <c r="H1091" s="46"/>
      <c r="I1091" s="118"/>
      <c r="J1091" s="46"/>
      <c r="K1091" s="16"/>
      <c r="L1091" s="118"/>
      <c r="M1091" s="46"/>
      <c r="N1091" s="46"/>
      <c r="O1091" s="46"/>
      <c r="P1091" s="118"/>
      <c r="Q1091" s="46"/>
      <c r="R1091" s="46"/>
      <c r="S1091" s="46"/>
      <c r="T1091" s="46"/>
      <c r="U1091" s="118"/>
      <c r="V1091" s="46"/>
      <c r="W1091" s="88" t="str">
        <f>IF(V1091&lt;&gt;"",SUMIFS('📊 รายงานสินค้าคงเหลือ'!G:G,'📊 รายงานสินค้าคงเหลือ'!D:D,V1091),"")</f>
        <v/>
      </c>
      <c r="X1091" s="46"/>
      <c r="Y1091" s="46"/>
      <c r="Z1091" s="46"/>
    </row>
    <row r="1092">
      <c r="A1092" s="46"/>
      <c r="B1092" s="16"/>
      <c r="C1092" s="118"/>
      <c r="D1092" s="126"/>
      <c r="E1092" s="88"/>
      <c r="F1092" s="118"/>
      <c r="G1092" s="46"/>
      <c r="H1092" s="46"/>
      <c r="I1092" s="118"/>
      <c r="J1092" s="46"/>
      <c r="K1092" s="16"/>
      <c r="L1092" s="118"/>
      <c r="M1092" s="46"/>
      <c r="N1092" s="46"/>
      <c r="O1092" s="46"/>
      <c r="P1092" s="118"/>
      <c r="Q1092" s="46"/>
      <c r="R1092" s="46"/>
      <c r="S1092" s="46"/>
      <c r="T1092" s="46"/>
      <c r="U1092" s="118"/>
      <c r="V1092" s="46"/>
      <c r="W1092" s="88" t="str">
        <f>IF(V1092&lt;&gt;"",SUMIFS('📊 รายงานสินค้าคงเหลือ'!G:G,'📊 รายงานสินค้าคงเหลือ'!D:D,V1092),"")</f>
        <v/>
      </c>
      <c r="X1092" s="46"/>
      <c r="Y1092" s="46"/>
      <c r="Z1092" s="46"/>
    </row>
    <row r="1093">
      <c r="A1093" s="46"/>
      <c r="B1093" s="16"/>
      <c r="C1093" s="118"/>
      <c r="D1093" s="126"/>
      <c r="E1093" s="88"/>
      <c r="F1093" s="118"/>
      <c r="G1093" s="46"/>
      <c r="H1093" s="46"/>
      <c r="I1093" s="118"/>
      <c r="J1093" s="46"/>
      <c r="K1093" s="16"/>
      <c r="L1093" s="118"/>
      <c r="M1093" s="46"/>
      <c r="N1093" s="46"/>
      <c r="O1093" s="46"/>
      <c r="P1093" s="118"/>
      <c r="Q1093" s="46"/>
      <c r="R1093" s="46"/>
      <c r="S1093" s="46"/>
      <c r="T1093" s="46"/>
      <c r="U1093" s="118"/>
      <c r="V1093" s="46"/>
      <c r="W1093" s="88" t="str">
        <f>IF(V1093&lt;&gt;"",SUMIFS('📊 รายงานสินค้าคงเหลือ'!G:G,'📊 รายงานสินค้าคงเหลือ'!D:D,V1093),"")</f>
        <v/>
      </c>
      <c r="X1093" s="46"/>
      <c r="Y1093" s="46"/>
      <c r="Z1093" s="46"/>
    </row>
    <row r="1094">
      <c r="A1094" s="46"/>
      <c r="B1094" s="16"/>
      <c r="C1094" s="118"/>
      <c r="D1094" s="126"/>
      <c r="E1094" s="88"/>
      <c r="F1094" s="118"/>
      <c r="G1094" s="46"/>
      <c r="H1094" s="46"/>
      <c r="I1094" s="118"/>
      <c r="J1094" s="46"/>
      <c r="K1094" s="16"/>
      <c r="L1094" s="118"/>
      <c r="M1094" s="46"/>
      <c r="N1094" s="46"/>
      <c r="O1094" s="46"/>
      <c r="P1094" s="118"/>
      <c r="Q1094" s="46"/>
      <c r="R1094" s="46"/>
      <c r="S1094" s="46"/>
      <c r="T1094" s="46"/>
      <c r="U1094" s="118"/>
      <c r="V1094" s="46"/>
      <c r="W1094" s="88" t="str">
        <f>IF(V1094&lt;&gt;"",SUMIFS('📊 รายงานสินค้าคงเหลือ'!G:G,'📊 รายงานสินค้าคงเหลือ'!D:D,V1094),"")</f>
        <v/>
      </c>
      <c r="X1094" s="46"/>
      <c r="Y1094" s="46"/>
      <c r="Z1094" s="46"/>
    </row>
    <row r="1095">
      <c r="A1095" s="46"/>
      <c r="B1095" s="16"/>
      <c r="C1095" s="118"/>
      <c r="D1095" s="126"/>
      <c r="E1095" s="88"/>
      <c r="F1095" s="118"/>
      <c r="G1095" s="46"/>
      <c r="H1095" s="46"/>
      <c r="I1095" s="118"/>
      <c r="J1095" s="46"/>
      <c r="K1095" s="16"/>
      <c r="L1095" s="118"/>
      <c r="M1095" s="46"/>
      <c r="N1095" s="46"/>
      <c r="O1095" s="46"/>
      <c r="P1095" s="118"/>
      <c r="Q1095" s="46"/>
      <c r="R1095" s="46"/>
      <c r="S1095" s="46"/>
      <c r="T1095" s="46"/>
      <c r="U1095" s="118"/>
      <c r="V1095" s="46"/>
      <c r="W1095" s="88" t="str">
        <f>IF(V1095&lt;&gt;"",SUMIFS('📊 รายงานสินค้าคงเหลือ'!G:G,'📊 รายงานสินค้าคงเหลือ'!D:D,V1095),"")</f>
        <v/>
      </c>
      <c r="X1095" s="46"/>
      <c r="Y1095" s="46"/>
      <c r="Z1095" s="46"/>
    </row>
    <row r="1096">
      <c r="A1096" s="46"/>
      <c r="B1096" s="16"/>
      <c r="C1096" s="118"/>
      <c r="D1096" s="126"/>
      <c r="E1096" s="88"/>
      <c r="F1096" s="118"/>
      <c r="G1096" s="46"/>
      <c r="H1096" s="46"/>
      <c r="I1096" s="118"/>
      <c r="J1096" s="46"/>
      <c r="K1096" s="16"/>
      <c r="L1096" s="118"/>
      <c r="M1096" s="46"/>
      <c r="N1096" s="46"/>
      <c r="O1096" s="46"/>
      <c r="P1096" s="118"/>
      <c r="Q1096" s="46"/>
      <c r="R1096" s="46"/>
      <c r="S1096" s="46"/>
      <c r="T1096" s="46"/>
      <c r="U1096" s="118"/>
      <c r="V1096" s="46"/>
      <c r="W1096" s="88" t="str">
        <f>IF(V1096&lt;&gt;"",SUMIFS('📊 รายงานสินค้าคงเหลือ'!G:G,'📊 รายงานสินค้าคงเหลือ'!D:D,V1096),"")</f>
        <v/>
      </c>
      <c r="X1096" s="46"/>
      <c r="Y1096" s="46"/>
      <c r="Z1096" s="46"/>
    </row>
    <row r="1097">
      <c r="A1097" s="46"/>
      <c r="B1097" s="16"/>
      <c r="C1097" s="118"/>
      <c r="D1097" s="126"/>
      <c r="E1097" s="88"/>
      <c r="F1097" s="118"/>
      <c r="G1097" s="46"/>
      <c r="H1097" s="46"/>
      <c r="I1097" s="118"/>
      <c r="J1097" s="46"/>
      <c r="K1097" s="16"/>
      <c r="L1097" s="118"/>
      <c r="M1097" s="46"/>
      <c r="N1097" s="46"/>
      <c r="O1097" s="46"/>
      <c r="P1097" s="118"/>
      <c r="Q1097" s="46"/>
      <c r="R1097" s="46"/>
      <c r="S1097" s="46"/>
      <c r="T1097" s="46"/>
      <c r="U1097" s="118"/>
      <c r="V1097" s="46"/>
      <c r="W1097" s="88" t="str">
        <f>IF(V1097&lt;&gt;"",SUMIFS('📊 รายงานสินค้าคงเหลือ'!G:G,'📊 รายงานสินค้าคงเหลือ'!D:D,V1097),"")</f>
        <v/>
      </c>
      <c r="X1097" s="46"/>
      <c r="Y1097" s="46"/>
      <c r="Z1097" s="46"/>
    </row>
    <row r="1098">
      <c r="A1098" s="46"/>
      <c r="B1098" s="16"/>
      <c r="C1098" s="118"/>
      <c r="D1098" s="126"/>
      <c r="E1098" s="88"/>
      <c r="F1098" s="118"/>
      <c r="G1098" s="46"/>
      <c r="H1098" s="46"/>
      <c r="I1098" s="118"/>
      <c r="J1098" s="46"/>
      <c r="K1098" s="16"/>
      <c r="L1098" s="118"/>
      <c r="M1098" s="46"/>
      <c r="N1098" s="46"/>
      <c r="O1098" s="46"/>
      <c r="P1098" s="118"/>
      <c r="Q1098" s="46"/>
      <c r="R1098" s="46"/>
      <c r="S1098" s="46"/>
      <c r="T1098" s="46"/>
      <c r="U1098" s="118"/>
      <c r="V1098" s="46"/>
      <c r="W1098" s="88" t="str">
        <f>IF(V1098&lt;&gt;"",SUMIFS('📊 รายงานสินค้าคงเหลือ'!G:G,'📊 รายงานสินค้าคงเหลือ'!D:D,V1098),"")</f>
        <v/>
      </c>
      <c r="X1098" s="46"/>
      <c r="Y1098" s="46"/>
      <c r="Z1098" s="46"/>
    </row>
    <row r="1099">
      <c r="A1099" s="46"/>
      <c r="B1099" s="16"/>
      <c r="C1099" s="118"/>
      <c r="D1099" s="126"/>
      <c r="E1099" s="88"/>
      <c r="F1099" s="118"/>
      <c r="G1099" s="46"/>
      <c r="H1099" s="46"/>
      <c r="I1099" s="118"/>
      <c r="J1099" s="46"/>
      <c r="K1099" s="16"/>
      <c r="L1099" s="118"/>
      <c r="M1099" s="46"/>
      <c r="N1099" s="46"/>
      <c r="O1099" s="46"/>
      <c r="P1099" s="118"/>
      <c r="Q1099" s="46"/>
      <c r="R1099" s="46"/>
      <c r="S1099" s="46"/>
      <c r="T1099" s="46"/>
      <c r="U1099" s="118"/>
      <c r="V1099" s="46"/>
      <c r="W1099" s="88" t="str">
        <f>IF(V1099&lt;&gt;"",SUMIFS('📊 รายงานสินค้าคงเหลือ'!G:G,'📊 รายงานสินค้าคงเหลือ'!D:D,V1099),"")</f>
        <v/>
      </c>
      <c r="X1099" s="46"/>
      <c r="Y1099" s="46"/>
      <c r="Z1099" s="46"/>
    </row>
    <row r="1100">
      <c r="A1100" s="46"/>
      <c r="B1100" s="16"/>
      <c r="C1100" s="118"/>
      <c r="D1100" s="126"/>
      <c r="E1100" s="88"/>
      <c r="F1100" s="118"/>
      <c r="G1100" s="46"/>
      <c r="H1100" s="46"/>
      <c r="I1100" s="118"/>
      <c r="J1100" s="46"/>
      <c r="K1100" s="16"/>
      <c r="L1100" s="118"/>
      <c r="M1100" s="46"/>
      <c r="N1100" s="46"/>
      <c r="O1100" s="46"/>
      <c r="P1100" s="118"/>
      <c r="Q1100" s="46"/>
      <c r="R1100" s="46"/>
      <c r="S1100" s="46"/>
      <c r="T1100" s="46"/>
      <c r="U1100" s="118"/>
      <c r="V1100" s="46"/>
      <c r="W1100" s="88" t="str">
        <f>IF(V1100&lt;&gt;"",SUMIFS('📊 รายงานสินค้าคงเหลือ'!G:G,'📊 รายงานสินค้าคงเหลือ'!D:D,V1100),"")</f>
        <v/>
      </c>
      <c r="X1100" s="46"/>
      <c r="Y1100" s="46"/>
      <c r="Z1100" s="46"/>
    </row>
    <row r="1101">
      <c r="A1101" s="46"/>
      <c r="B1101" s="16"/>
      <c r="C1101" s="118"/>
      <c r="D1101" s="126"/>
      <c r="E1101" s="88"/>
      <c r="F1101" s="118"/>
      <c r="G1101" s="46"/>
      <c r="H1101" s="46"/>
      <c r="I1101" s="118"/>
      <c r="J1101" s="46"/>
      <c r="K1101" s="16"/>
      <c r="L1101" s="118"/>
      <c r="M1101" s="46"/>
      <c r="N1101" s="46"/>
      <c r="O1101" s="46"/>
      <c r="P1101" s="118"/>
      <c r="Q1101" s="46"/>
      <c r="R1101" s="46"/>
      <c r="S1101" s="46"/>
      <c r="T1101" s="46"/>
      <c r="U1101" s="118"/>
      <c r="V1101" s="46"/>
      <c r="W1101" s="88" t="str">
        <f>IF(V1101&lt;&gt;"",SUMIFS('📊 รายงานสินค้าคงเหลือ'!G:G,'📊 รายงานสินค้าคงเหลือ'!D:D,V1101),"")</f>
        <v/>
      </c>
      <c r="X1101" s="46"/>
      <c r="Y1101" s="46"/>
      <c r="Z1101" s="46"/>
    </row>
    <row r="1102">
      <c r="A1102" s="46"/>
      <c r="B1102" s="16"/>
      <c r="C1102" s="118"/>
      <c r="D1102" s="126"/>
      <c r="E1102" s="88"/>
      <c r="F1102" s="118"/>
      <c r="G1102" s="46"/>
      <c r="H1102" s="46"/>
      <c r="I1102" s="118"/>
      <c r="J1102" s="46"/>
      <c r="K1102" s="16"/>
      <c r="L1102" s="118"/>
      <c r="M1102" s="46"/>
      <c r="N1102" s="46"/>
      <c r="O1102" s="46"/>
      <c r="P1102" s="118"/>
      <c r="Q1102" s="46"/>
      <c r="R1102" s="46"/>
      <c r="S1102" s="46"/>
      <c r="T1102" s="46"/>
      <c r="U1102" s="118"/>
      <c r="V1102" s="46"/>
      <c r="W1102" s="88" t="str">
        <f>IF(V1102&lt;&gt;"",SUMIFS('📊 รายงานสินค้าคงเหลือ'!G:G,'📊 รายงานสินค้าคงเหลือ'!D:D,V1102),"")</f>
        <v/>
      </c>
      <c r="X1102" s="46"/>
      <c r="Y1102" s="46"/>
      <c r="Z1102" s="46"/>
    </row>
    <row r="1103">
      <c r="A1103" s="46"/>
      <c r="B1103" s="16"/>
      <c r="C1103" s="118"/>
      <c r="D1103" s="126"/>
      <c r="E1103" s="88"/>
      <c r="F1103" s="118"/>
      <c r="G1103" s="46"/>
      <c r="H1103" s="46"/>
      <c r="I1103" s="118"/>
      <c r="J1103" s="46"/>
      <c r="K1103" s="16"/>
      <c r="L1103" s="118"/>
      <c r="M1103" s="46"/>
      <c r="N1103" s="46"/>
      <c r="O1103" s="46"/>
      <c r="P1103" s="118"/>
      <c r="Q1103" s="46"/>
      <c r="R1103" s="46"/>
      <c r="S1103" s="46"/>
      <c r="T1103" s="46"/>
      <c r="U1103" s="118"/>
      <c r="V1103" s="46"/>
      <c r="W1103" s="88" t="str">
        <f>IF(V1103&lt;&gt;"",SUMIFS('📊 รายงานสินค้าคงเหลือ'!G:G,'📊 รายงานสินค้าคงเหลือ'!D:D,V1103),"")</f>
        <v/>
      </c>
      <c r="X1103" s="46"/>
      <c r="Y1103" s="46"/>
      <c r="Z1103" s="46"/>
    </row>
    <row r="1104">
      <c r="A1104" s="46"/>
      <c r="B1104" s="16"/>
      <c r="C1104" s="118"/>
      <c r="D1104" s="126"/>
      <c r="E1104" s="88"/>
      <c r="F1104" s="118"/>
      <c r="G1104" s="46"/>
      <c r="H1104" s="46"/>
      <c r="I1104" s="118"/>
      <c r="J1104" s="46"/>
      <c r="K1104" s="16"/>
      <c r="L1104" s="118"/>
      <c r="M1104" s="46"/>
      <c r="N1104" s="46"/>
      <c r="O1104" s="46"/>
      <c r="P1104" s="118"/>
      <c r="Q1104" s="46"/>
      <c r="R1104" s="46"/>
      <c r="S1104" s="46"/>
      <c r="T1104" s="46"/>
      <c r="U1104" s="118"/>
      <c r="V1104" s="46"/>
      <c r="W1104" s="88" t="str">
        <f>IF(V1104&lt;&gt;"",SUMIFS('📊 รายงานสินค้าคงเหลือ'!G:G,'📊 รายงานสินค้าคงเหลือ'!D:D,V1104),"")</f>
        <v/>
      </c>
      <c r="X1104" s="46"/>
      <c r="Y1104" s="46"/>
      <c r="Z1104" s="46"/>
    </row>
    <row r="1105">
      <c r="A1105" s="46"/>
      <c r="B1105" s="16"/>
      <c r="C1105" s="118"/>
      <c r="D1105" s="126"/>
      <c r="E1105" s="88"/>
      <c r="F1105" s="118"/>
      <c r="G1105" s="46"/>
      <c r="H1105" s="46"/>
      <c r="I1105" s="118"/>
      <c r="J1105" s="46"/>
      <c r="K1105" s="16"/>
      <c r="L1105" s="118"/>
      <c r="M1105" s="46"/>
      <c r="N1105" s="46"/>
      <c r="O1105" s="46"/>
      <c r="P1105" s="118"/>
      <c r="Q1105" s="46"/>
      <c r="R1105" s="46"/>
      <c r="S1105" s="46"/>
      <c r="T1105" s="46"/>
      <c r="U1105" s="118"/>
      <c r="V1105" s="46"/>
      <c r="W1105" s="88" t="str">
        <f>IF(V1105&lt;&gt;"",SUMIFS('📊 รายงานสินค้าคงเหลือ'!G:G,'📊 รายงานสินค้าคงเหลือ'!D:D,V1105),"")</f>
        <v/>
      </c>
      <c r="X1105" s="46"/>
      <c r="Y1105" s="46"/>
      <c r="Z1105" s="46"/>
    </row>
    <row r="1106">
      <c r="A1106" s="46"/>
      <c r="B1106" s="16"/>
      <c r="C1106" s="118"/>
      <c r="D1106" s="126"/>
      <c r="E1106" s="88"/>
      <c r="F1106" s="118"/>
      <c r="G1106" s="46"/>
      <c r="H1106" s="46"/>
      <c r="I1106" s="118"/>
      <c r="J1106" s="46"/>
      <c r="K1106" s="16"/>
      <c r="L1106" s="118"/>
      <c r="M1106" s="46"/>
      <c r="N1106" s="46"/>
      <c r="O1106" s="46"/>
      <c r="P1106" s="118"/>
      <c r="Q1106" s="46"/>
      <c r="R1106" s="46"/>
      <c r="S1106" s="46"/>
      <c r="T1106" s="46"/>
      <c r="U1106" s="118"/>
      <c r="V1106" s="46"/>
      <c r="W1106" s="88" t="str">
        <f>IF(V1106&lt;&gt;"",SUMIFS('📊 รายงานสินค้าคงเหลือ'!G:G,'📊 รายงานสินค้าคงเหลือ'!D:D,V1106),"")</f>
        <v/>
      </c>
      <c r="X1106" s="46"/>
      <c r="Y1106" s="46"/>
      <c r="Z1106" s="46"/>
    </row>
    <row r="1107">
      <c r="A1107" s="46"/>
      <c r="B1107" s="16"/>
      <c r="C1107" s="118"/>
      <c r="D1107" s="126"/>
      <c r="E1107" s="88"/>
      <c r="F1107" s="118"/>
      <c r="G1107" s="46"/>
      <c r="H1107" s="46"/>
      <c r="I1107" s="118"/>
      <c r="J1107" s="46"/>
      <c r="K1107" s="16"/>
      <c r="L1107" s="118"/>
      <c r="M1107" s="46"/>
      <c r="N1107" s="46"/>
      <c r="O1107" s="46"/>
      <c r="P1107" s="118"/>
      <c r="Q1107" s="46"/>
      <c r="R1107" s="46"/>
      <c r="S1107" s="46"/>
      <c r="T1107" s="46"/>
      <c r="U1107" s="118"/>
      <c r="V1107" s="46"/>
      <c r="W1107" s="88" t="str">
        <f>IF(V1107&lt;&gt;"",SUMIFS('📊 รายงานสินค้าคงเหลือ'!G:G,'📊 รายงานสินค้าคงเหลือ'!D:D,V1107),"")</f>
        <v/>
      </c>
      <c r="X1107" s="46"/>
      <c r="Y1107" s="46"/>
      <c r="Z1107" s="46"/>
    </row>
    <row r="1108">
      <c r="A1108" s="46"/>
      <c r="B1108" s="16"/>
      <c r="C1108" s="118"/>
      <c r="D1108" s="126"/>
      <c r="E1108" s="88"/>
      <c r="F1108" s="118"/>
      <c r="G1108" s="46"/>
      <c r="H1108" s="46"/>
      <c r="I1108" s="118"/>
      <c r="J1108" s="46"/>
      <c r="K1108" s="16"/>
      <c r="L1108" s="118"/>
      <c r="M1108" s="46"/>
      <c r="N1108" s="46"/>
      <c r="O1108" s="46"/>
      <c r="P1108" s="118"/>
      <c r="Q1108" s="46"/>
      <c r="R1108" s="46"/>
      <c r="S1108" s="46"/>
      <c r="T1108" s="46"/>
      <c r="U1108" s="118"/>
      <c r="V1108" s="46"/>
      <c r="W1108" s="88" t="str">
        <f>IF(V1108&lt;&gt;"",SUMIFS('📊 รายงานสินค้าคงเหลือ'!G:G,'📊 รายงานสินค้าคงเหลือ'!D:D,V1108),"")</f>
        <v/>
      </c>
      <c r="X1108" s="46"/>
      <c r="Y1108" s="46"/>
      <c r="Z1108" s="46"/>
    </row>
    <row r="1109">
      <c r="A1109" s="46"/>
      <c r="B1109" s="16"/>
      <c r="C1109" s="118"/>
      <c r="D1109" s="126"/>
      <c r="E1109" s="88"/>
      <c r="F1109" s="118"/>
      <c r="G1109" s="46"/>
      <c r="H1109" s="46"/>
      <c r="I1109" s="118"/>
      <c r="J1109" s="46"/>
      <c r="K1109" s="16"/>
      <c r="L1109" s="118"/>
      <c r="M1109" s="46"/>
      <c r="N1109" s="46"/>
      <c r="O1109" s="46"/>
      <c r="P1109" s="118"/>
      <c r="Q1109" s="46"/>
      <c r="R1109" s="46"/>
      <c r="S1109" s="46"/>
      <c r="T1109" s="46"/>
      <c r="U1109" s="118"/>
      <c r="V1109" s="46"/>
      <c r="W1109" s="88" t="str">
        <f>IF(V1109&lt;&gt;"",SUMIFS('📊 รายงานสินค้าคงเหลือ'!G:G,'📊 รายงานสินค้าคงเหลือ'!D:D,V1109),"")</f>
        <v/>
      </c>
      <c r="X1109" s="46"/>
      <c r="Y1109" s="46"/>
      <c r="Z1109" s="46"/>
    </row>
    <row r="1110">
      <c r="A1110" s="46"/>
      <c r="B1110" s="16"/>
      <c r="C1110" s="118"/>
      <c r="D1110" s="126"/>
      <c r="E1110" s="88"/>
      <c r="F1110" s="118"/>
      <c r="G1110" s="46"/>
      <c r="H1110" s="46"/>
      <c r="I1110" s="118"/>
      <c r="J1110" s="46"/>
      <c r="K1110" s="16"/>
      <c r="L1110" s="118"/>
      <c r="M1110" s="46"/>
      <c r="N1110" s="46"/>
      <c r="O1110" s="46"/>
      <c r="P1110" s="118"/>
      <c r="Q1110" s="46"/>
      <c r="R1110" s="46"/>
      <c r="S1110" s="46"/>
      <c r="T1110" s="46"/>
      <c r="U1110" s="118"/>
      <c r="V1110" s="46"/>
      <c r="W1110" s="88" t="str">
        <f>IF(V1110&lt;&gt;"",SUMIFS('📊 รายงานสินค้าคงเหลือ'!G:G,'📊 รายงานสินค้าคงเหลือ'!D:D,V1110),"")</f>
        <v/>
      </c>
      <c r="X1110" s="46"/>
      <c r="Y1110" s="46"/>
      <c r="Z1110" s="46"/>
    </row>
    <row r="1111">
      <c r="A1111" s="46"/>
      <c r="B1111" s="16"/>
      <c r="C1111" s="118"/>
      <c r="D1111" s="126"/>
      <c r="E1111" s="88"/>
      <c r="F1111" s="118"/>
      <c r="G1111" s="46"/>
      <c r="H1111" s="46"/>
      <c r="I1111" s="118"/>
      <c r="J1111" s="46"/>
      <c r="K1111" s="16"/>
      <c r="L1111" s="118"/>
      <c r="M1111" s="46"/>
      <c r="N1111" s="46"/>
      <c r="O1111" s="46"/>
      <c r="P1111" s="118"/>
      <c r="Q1111" s="46"/>
      <c r="R1111" s="46"/>
      <c r="S1111" s="46"/>
      <c r="T1111" s="46"/>
      <c r="U1111" s="118"/>
      <c r="V1111" s="46"/>
      <c r="W1111" s="88" t="str">
        <f>IF(V1111&lt;&gt;"",SUMIFS('📊 รายงานสินค้าคงเหลือ'!G:G,'📊 รายงานสินค้าคงเหลือ'!D:D,V1111),"")</f>
        <v/>
      </c>
      <c r="X1111" s="46"/>
      <c r="Y1111" s="46"/>
      <c r="Z1111" s="46"/>
    </row>
    <row r="1112">
      <c r="A1112" s="46"/>
      <c r="B1112" s="16"/>
      <c r="C1112" s="118"/>
      <c r="D1112" s="126"/>
      <c r="E1112" s="88"/>
      <c r="F1112" s="118"/>
      <c r="G1112" s="46"/>
      <c r="H1112" s="46"/>
      <c r="I1112" s="118"/>
      <c r="J1112" s="46"/>
      <c r="K1112" s="16"/>
      <c r="L1112" s="118"/>
      <c r="M1112" s="46"/>
      <c r="N1112" s="46"/>
      <c r="O1112" s="46"/>
      <c r="P1112" s="118"/>
      <c r="Q1112" s="46"/>
      <c r="R1112" s="46"/>
      <c r="S1112" s="46"/>
      <c r="T1112" s="46"/>
      <c r="U1112" s="118"/>
      <c r="V1112" s="46"/>
      <c r="W1112" s="88" t="str">
        <f>IF(V1112&lt;&gt;"",SUMIFS('📊 รายงานสินค้าคงเหลือ'!G:G,'📊 รายงานสินค้าคงเหลือ'!D:D,V1112),"")</f>
        <v/>
      </c>
      <c r="X1112" s="46"/>
      <c r="Y1112" s="46"/>
      <c r="Z1112" s="46"/>
    </row>
    <row r="1113">
      <c r="A1113" s="46"/>
      <c r="B1113" s="16"/>
      <c r="C1113" s="118"/>
      <c r="D1113" s="126"/>
      <c r="E1113" s="88"/>
      <c r="F1113" s="118"/>
      <c r="G1113" s="46"/>
      <c r="H1113" s="46"/>
      <c r="I1113" s="118"/>
      <c r="J1113" s="46"/>
      <c r="K1113" s="16"/>
      <c r="L1113" s="118"/>
      <c r="M1113" s="46"/>
      <c r="N1113" s="46"/>
      <c r="O1113" s="46"/>
      <c r="P1113" s="118"/>
      <c r="Q1113" s="46"/>
      <c r="R1113" s="46"/>
      <c r="S1113" s="46"/>
      <c r="T1113" s="46"/>
      <c r="U1113" s="118"/>
      <c r="V1113" s="46"/>
      <c r="W1113" s="88" t="str">
        <f>IF(V1113&lt;&gt;"",SUMIFS('📊 รายงานสินค้าคงเหลือ'!G:G,'📊 รายงานสินค้าคงเหลือ'!D:D,V1113),"")</f>
        <v/>
      </c>
      <c r="X1113" s="46"/>
      <c r="Y1113" s="46"/>
      <c r="Z1113" s="46"/>
    </row>
    <row r="1114">
      <c r="A1114" s="46"/>
      <c r="B1114" s="16"/>
      <c r="C1114" s="118"/>
      <c r="D1114" s="126"/>
      <c r="E1114" s="88"/>
      <c r="F1114" s="118"/>
      <c r="G1114" s="46"/>
      <c r="H1114" s="46"/>
      <c r="I1114" s="118"/>
      <c r="J1114" s="46"/>
      <c r="K1114" s="16"/>
      <c r="L1114" s="118"/>
      <c r="M1114" s="46"/>
      <c r="N1114" s="46"/>
      <c r="O1114" s="46"/>
      <c r="P1114" s="118"/>
      <c r="Q1114" s="46"/>
      <c r="R1114" s="46"/>
      <c r="S1114" s="46"/>
      <c r="T1114" s="46"/>
      <c r="U1114" s="118"/>
      <c r="V1114" s="46"/>
      <c r="W1114" s="88" t="str">
        <f>IF(V1114&lt;&gt;"",SUMIFS('📊 รายงานสินค้าคงเหลือ'!G:G,'📊 รายงานสินค้าคงเหลือ'!D:D,V1114),"")</f>
        <v/>
      </c>
      <c r="X1114" s="46"/>
      <c r="Y1114" s="46"/>
      <c r="Z1114" s="46"/>
    </row>
    <row r="1115">
      <c r="A1115" s="46"/>
      <c r="B1115" s="16"/>
      <c r="C1115" s="118"/>
      <c r="D1115" s="126"/>
      <c r="E1115" s="88"/>
      <c r="F1115" s="118"/>
      <c r="G1115" s="46"/>
      <c r="H1115" s="46"/>
      <c r="I1115" s="118"/>
      <c r="J1115" s="46"/>
      <c r="K1115" s="16"/>
      <c r="L1115" s="118"/>
      <c r="M1115" s="46"/>
      <c r="N1115" s="46"/>
      <c r="O1115" s="46"/>
      <c r="P1115" s="118"/>
      <c r="Q1115" s="46"/>
      <c r="R1115" s="46"/>
      <c r="S1115" s="46"/>
      <c r="T1115" s="46"/>
      <c r="U1115" s="118"/>
      <c r="V1115" s="46"/>
      <c r="W1115" s="88" t="str">
        <f>IF(V1115&lt;&gt;"",SUMIFS('📊 รายงานสินค้าคงเหลือ'!G:G,'📊 รายงานสินค้าคงเหลือ'!D:D,V1115),"")</f>
        <v/>
      </c>
      <c r="X1115" s="46"/>
      <c r="Y1115" s="46"/>
      <c r="Z1115" s="46"/>
    </row>
    <row r="1116">
      <c r="A1116" s="46"/>
      <c r="B1116" s="16"/>
      <c r="C1116" s="118"/>
      <c r="D1116" s="126"/>
      <c r="E1116" s="88"/>
      <c r="F1116" s="118"/>
      <c r="G1116" s="46"/>
      <c r="H1116" s="46"/>
      <c r="I1116" s="118"/>
      <c r="J1116" s="46"/>
      <c r="K1116" s="16"/>
      <c r="L1116" s="118"/>
      <c r="M1116" s="46"/>
      <c r="N1116" s="46"/>
      <c r="O1116" s="46"/>
      <c r="P1116" s="118"/>
      <c r="Q1116" s="46"/>
      <c r="R1116" s="46"/>
      <c r="S1116" s="46"/>
      <c r="T1116" s="46"/>
      <c r="U1116" s="118"/>
      <c r="V1116" s="46"/>
      <c r="W1116" s="88" t="str">
        <f>IF(V1116&lt;&gt;"",SUMIFS('📊 รายงานสินค้าคงเหลือ'!G:G,'📊 รายงานสินค้าคงเหลือ'!D:D,V1116),"")</f>
        <v/>
      </c>
      <c r="X1116" s="46"/>
      <c r="Y1116" s="46"/>
      <c r="Z1116" s="46"/>
    </row>
    <row r="1117">
      <c r="A1117" s="46"/>
      <c r="B1117" s="16"/>
      <c r="C1117" s="118"/>
      <c r="D1117" s="126"/>
      <c r="E1117" s="88"/>
      <c r="F1117" s="118"/>
      <c r="G1117" s="46"/>
      <c r="H1117" s="46"/>
      <c r="I1117" s="118"/>
      <c r="J1117" s="46"/>
      <c r="K1117" s="16"/>
      <c r="L1117" s="118"/>
      <c r="M1117" s="46"/>
      <c r="N1117" s="46"/>
      <c r="O1117" s="46"/>
      <c r="P1117" s="118"/>
      <c r="Q1117" s="46"/>
      <c r="R1117" s="46"/>
      <c r="S1117" s="46"/>
      <c r="T1117" s="46"/>
      <c r="U1117" s="118"/>
      <c r="V1117" s="46"/>
      <c r="W1117" s="88" t="str">
        <f>IF(V1117&lt;&gt;"",SUMIFS('📊 รายงานสินค้าคงเหลือ'!G:G,'📊 รายงานสินค้าคงเหลือ'!D:D,V1117),"")</f>
        <v/>
      </c>
      <c r="X1117" s="46"/>
      <c r="Y1117" s="46"/>
      <c r="Z1117" s="46"/>
    </row>
    <row r="1118">
      <c r="A1118" s="46"/>
      <c r="B1118" s="16"/>
      <c r="C1118" s="118"/>
      <c r="D1118" s="126"/>
      <c r="E1118" s="88"/>
      <c r="F1118" s="118"/>
      <c r="G1118" s="46"/>
      <c r="H1118" s="46"/>
      <c r="I1118" s="118"/>
      <c r="J1118" s="46"/>
      <c r="K1118" s="16"/>
      <c r="L1118" s="118"/>
      <c r="M1118" s="46"/>
      <c r="N1118" s="46"/>
      <c r="O1118" s="46"/>
      <c r="P1118" s="118"/>
      <c r="Q1118" s="46"/>
      <c r="R1118" s="46"/>
      <c r="S1118" s="46"/>
      <c r="T1118" s="46"/>
      <c r="U1118" s="118"/>
      <c r="V1118" s="46"/>
      <c r="W1118" s="88" t="str">
        <f>IF(V1118&lt;&gt;"",SUMIFS('📊 รายงานสินค้าคงเหลือ'!G:G,'📊 รายงานสินค้าคงเหลือ'!D:D,V1118),"")</f>
        <v/>
      </c>
      <c r="X1118" s="46"/>
      <c r="Y1118" s="46"/>
      <c r="Z1118" s="46"/>
    </row>
    <row r="1119">
      <c r="A1119" s="46"/>
      <c r="B1119" s="16"/>
      <c r="C1119" s="118"/>
      <c r="D1119" s="126"/>
      <c r="E1119" s="88"/>
      <c r="F1119" s="118"/>
      <c r="G1119" s="46"/>
      <c r="H1119" s="46"/>
      <c r="I1119" s="118"/>
      <c r="J1119" s="46"/>
      <c r="K1119" s="16"/>
      <c r="L1119" s="118"/>
      <c r="M1119" s="46"/>
      <c r="N1119" s="46"/>
      <c r="O1119" s="46"/>
      <c r="P1119" s="118"/>
      <c r="Q1119" s="46"/>
      <c r="R1119" s="46"/>
      <c r="S1119" s="46"/>
      <c r="T1119" s="46"/>
      <c r="U1119" s="118"/>
      <c r="V1119" s="46"/>
      <c r="W1119" s="88" t="str">
        <f>IF(V1119&lt;&gt;"",SUMIFS('📊 รายงานสินค้าคงเหลือ'!G:G,'📊 รายงานสินค้าคงเหลือ'!D:D,V1119),"")</f>
        <v/>
      </c>
      <c r="X1119" s="46"/>
      <c r="Y1119" s="46"/>
      <c r="Z1119" s="46"/>
    </row>
    <row r="1120">
      <c r="A1120" s="46"/>
      <c r="B1120" s="16"/>
      <c r="C1120" s="118"/>
      <c r="D1120" s="126"/>
      <c r="E1120" s="88"/>
      <c r="F1120" s="118"/>
      <c r="G1120" s="46"/>
      <c r="H1120" s="46"/>
      <c r="I1120" s="118"/>
      <c r="J1120" s="46"/>
      <c r="K1120" s="16"/>
      <c r="L1120" s="118"/>
      <c r="M1120" s="46"/>
      <c r="N1120" s="46"/>
      <c r="O1120" s="46"/>
      <c r="P1120" s="118"/>
      <c r="Q1120" s="46"/>
      <c r="R1120" s="46"/>
      <c r="S1120" s="46"/>
      <c r="T1120" s="46"/>
      <c r="U1120" s="118"/>
      <c r="V1120" s="46"/>
      <c r="W1120" s="88" t="str">
        <f>IF(V1120&lt;&gt;"",SUMIFS('📊 รายงานสินค้าคงเหลือ'!G:G,'📊 รายงานสินค้าคงเหลือ'!D:D,V1120),"")</f>
        <v/>
      </c>
      <c r="X1120" s="46"/>
      <c r="Y1120" s="46"/>
      <c r="Z1120" s="46"/>
    </row>
    <row r="1121">
      <c r="A1121" s="46"/>
      <c r="B1121" s="16"/>
      <c r="C1121" s="118"/>
      <c r="D1121" s="126"/>
      <c r="E1121" s="88"/>
      <c r="F1121" s="118"/>
      <c r="G1121" s="46"/>
      <c r="H1121" s="46"/>
      <c r="I1121" s="118"/>
      <c r="J1121" s="46"/>
      <c r="K1121" s="16"/>
      <c r="L1121" s="118"/>
      <c r="M1121" s="46"/>
      <c r="N1121" s="46"/>
      <c r="O1121" s="46"/>
      <c r="P1121" s="118"/>
      <c r="Q1121" s="46"/>
      <c r="R1121" s="46"/>
      <c r="S1121" s="46"/>
      <c r="T1121" s="46"/>
      <c r="U1121" s="118"/>
      <c r="V1121" s="46"/>
      <c r="W1121" s="88" t="str">
        <f>IF(V1121&lt;&gt;"",SUMIFS('📊 รายงานสินค้าคงเหลือ'!G:G,'📊 รายงานสินค้าคงเหลือ'!D:D,V1121),"")</f>
        <v/>
      </c>
      <c r="X1121" s="46"/>
      <c r="Y1121" s="46"/>
      <c r="Z1121" s="46"/>
    </row>
    <row r="1122">
      <c r="A1122" s="46"/>
      <c r="B1122" s="16"/>
      <c r="C1122" s="118"/>
      <c r="D1122" s="126"/>
      <c r="E1122" s="88"/>
      <c r="F1122" s="118"/>
      <c r="G1122" s="46"/>
      <c r="H1122" s="46"/>
      <c r="I1122" s="118"/>
      <c r="J1122" s="46"/>
      <c r="K1122" s="16"/>
      <c r="L1122" s="118"/>
      <c r="M1122" s="46"/>
      <c r="N1122" s="46"/>
      <c r="O1122" s="46"/>
      <c r="P1122" s="118"/>
      <c r="Q1122" s="46"/>
      <c r="R1122" s="46"/>
      <c r="S1122" s="46"/>
      <c r="T1122" s="46"/>
      <c r="U1122" s="118"/>
      <c r="V1122" s="46"/>
      <c r="W1122" s="88" t="str">
        <f>IF(V1122&lt;&gt;"",SUMIFS('📊 รายงานสินค้าคงเหลือ'!G:G,'📊 รายงานสินค้าคงเหลือ'!D:D,V1122),"")</f>
        <v/>
      </c>
      <c r="X1122" s="46"/>
      <c r="Y1122" s="46"/>
      <c r="Z1122" s="46"/>
    </row>
    <row r="1123">
      <c r="A1123" s="46"/>
      <c r="B1123" s="16"/>
      <c r="C1123" s="118"/>
      <c r="D1123" s="126"/>
      <c r="E1123" s="88"/>
      <c r="F1123" s="118"/>
      <c r="G1123" s="46"/>
      <c r="H1123" s="46"/>
      <c r="I1123" s="118"/>
      <c r="J1123" s="46"/>
      <c r="K1123" s="16"/>
      <c r="L1123" s="118"/>
      <c r="M1123" s="46"/>
      <c r="N1123" s="46"/>
      <c r="O1123" s="46"/>
      <c r="P1123" s="118"/>
      <c r="Q1123" s="46"/>
      <c r="R1123" s="46"/>
      <c r="S1123" s="46"/>
      <c r="T1123" s="46"/>
      <c r="U1123" s="118"/>
      <c r="V1123" s="46"/>
      <c r="W1123" s="88" t="str">
        <f>IF(V1123&lt;&gt;"",SUMIFS('📊 รายงานสินค้าคงเหลือ'!G:G,'📊 รายงานสินค้าคงเหลือ'!D:D,V1123),"")</f>
        <v/>
      </c>
      <c r="X1123" s="46"/>
      <c r="Y1123" s="46"/>
      <c r="Z1123" s="46"/>
    </row>
    <row r="1124">
      <c r="A1124" s="46"/>
      <c r="B1124" s="16"/>
      <c r="C1124" s="118"/>
      <c r="D1124" s="126"/>
      <c r="E1124" s="88"/>
      <c r="F1124" s="118"/>
      <c r="G1124" s="46"/>
      <c r="H1124" s="46"/>
      <c r="I1124" s="118"/>
      <c r="J1124" s="46"/>
      <c r="K1124" s="16"/>
      <c r="L1124" s="118"/>
      <c r="M1124" s="46"/>
      <c r="N1124" s="46"/>
      <c r="O1124" s="46"/>
      <c r="P1124" s="118"/>
      <c r="Q1124" s="46"/>
      <c r="R1124" s="46"/>
      <c r="S1124" s="46"/>
      <c r="T1124" s="46"/>
      <c r="U1124" s="118"/>
      <c r="V1124" s="46"/>
      <c r="W1124" s="88" t="str">
        <f>IF(V1124&lt;&gt;"",SUMIFS('📊 รายงานสินค้าคงเหลือ'!G:G,'📊 รายงานสินค้าคงเหลือ'!D:D,V1124),"")</f>
        <v/>
      </c>
      <c r="X1124" s="46"/>
      <c r="Y1124" s="46"/>
      <c r="Z1124" s="46"/>
    </row>
    <row r="1125">
      <c r="A1125" s="46"/>
      <c r="B1125" s="16"/>
      <c r="C1125" s="118"/>
      <c r="D1125" s="126"/>
      <c r="E1125" s="88"/>
      <c r="F1125" s="118"/>
      <c r="G1125" s="46"/>
      <c r="H1125" s="46"/>
      <c r="I1125" s="118"/>
      <c r="J1125" s="46"/>
      <c r="K1125" s="16"/>
      <c r="L1125" s="118"/>
      <c r="M1125" s="46"/>
      <c r="N1125" s="46"/>
      <c r="O1125" s="46"/>
      <c r="P1125" s="118"/>
      <c r="Q1125" s="46"/>
      <c r="R1125" s="46"/>
      <c r="S1125" s="46"/>
      <c r="T1125" s="46"/>
      <c r="U1125" s="118"/>
      <c r="V1125" s="46"/>
      <c r="W1125" s="88" t="str">
        <f>IF(V1125&lt;&gt;"",SUMIFS('📊 รายงานสินค้าคงเหลือ'!G:G,'📊 รายงานสินค้าคงเหลือ'!D:D,V1125),"")</f>
        <v/>
      </c>
      <c r="X1125" s="46"/>
      <c r="Y1125" s="46"/>
      <c r="Z1125" s="46"/>
    </row>
    <row r="1126">
      <c r="A1126" s="46"/>
      <c r="B1126" s="16"/>
      <c r="C1126" s="118"/>
      <c r="D1126" s="126"/>
      <c r="E1126" s="88"/>
      <c r="F1126" s="118"/>
      <c r="G1126" s="46"/>
      <c r="H1126" s="46"/>
      <c r="I1126" s="118"/>
      <c r="J1126" s="46"/>
      <c r="K1126" s="16"/>
      <c r="L1126" s="118"/>
      <c r="M1126" s="46"/>
      <c r="N1126" s="46"/>
      <c r="O1126" s="46"/>
      <c r="P1126" s="118"/>
      <c r="Q1126" s="46"/>
      <c r="R1126" s="46"/>
      <c r="S1126" s="46"/>
      <c r="T1126" s="46"/>
      <c r="U1126" s="118"/>
      <c r="V1126" s="46"/>
      <c r="W1126" s="88" t="str">
        <f>IF(V1126&lt;&gt;"",SUMIFS('📊 รายงานสินค้าคงเหลือ'!G:G,'📊 รายงานสินค้าคงเหลือ'!D:D,V1126),"")</f>
        <v/>
      </c>
      <c r="X1126" s="46"/>
      <c r="Y1126" s="46"/>
      <c r="Z1126" s="46"/>
    </row>
    <row r="1127">
      <c r="A1127" s="46"/>
      <c r="B1127" s="16"/>
      <c r="C1127" s="118"/>
      <c r="D1127" s="126"/>
      <c r="E1127" s="88"/>
      <c r="F1127" s="118"/>
      <c r="G1127" s="46"/>
      <c r="H1127" s="46"/>
      <c r="I1127" s="118"/>
      <c r="J1127" s="46"/>
      <c r="K1127" s="16"/>
      <c r="L1127" s="118"/>
      <c r="M1127" s="46"/>
      <c r="N1127" s="46"/>
      <c r="O1127" s="46"/>
      <c r="P1127" s="118"/>
      <c r="Q1127" s="46"/>
      <c r="R1127" s="46"/>
      <c r="S1127" s="46"/>
      <c r="T1127" s="46"/>
      <c r="U1127" s="118"/>
      <c r="V1127" s="46"/>
      <c r="W1127" s="88" t="str">
        <f>IF(V1127&lt;&gt;"",SUMIFS('📊 รายงานสินค้าคงเหลือ'!G:G,'📊 รายงานสินค้าคงเหลือ'!D:D,V1127),"")</f>
        <v/>
      </c>
      <c r="X1127" s="46"/>
      <c r="Y1127" s="46"/>
      <c r="Z1127" s="46"/>
    </row>
    <row r="1128">
      <c r="A1128" s="46"/>
      <c r="B1128" s="16"/>
      <c r="C1128" s="118"/>
      <c r="D1128" s="126"/>
      <c r="E1128" s="88"/>
      <c r="F1128" s="118"/>
      <c r="G1128" s="46"/>
      <c r="H1128" s="46"/>
      <c r="I1128" s="118"/>
      <c r="J1128" s="46"/>
      <c r="K1128" s="16"/>
      <c r="L1128" s="118"/>
      <c r="M1128" s="46"/>
      <c r="N1128" s="46"/>
      <c r="O1128" s="46"/>
      <c r="P1128" s="118"/>
      <c r="Q1128" s="46"/>
      <c r="R1128" s="46"/>
      <c r="S1128" s="46"/>
      <c r="T1128" s="46"/>
      <c r="U1128" s="118"/>
      <c r="V1128" s="46"/>
      <c r="W1128" s="88" t="str">
        <f>IF(V1128&lt;&gt;"",SUMIFS('📊 รายงานสินค้าคงเหลือ'!G:G,'📊 รายงานสินค้าคงเหลือ'!D:D,V1128),"")</f>
        <v/>
      </c>
      <c r="X1128" s="46"/>
      <c r="Y1128" s="46"/>
      <c r="Z1128" s="46"/>
    </row>
    <row r="1129">
      <c r="A1129" s="46"/>
      <c r="B1129" s="16"/>
      <c r="C1129" s="118"/>
      <c r="D1129" s="126"/>
      <c r="E1129" s="88"/>
      <c r="F1129" s="118"/>
      <c r="G1129" s="46"/>
      <c r="H1129" s="46"/>
      <c r="I1129" s="118"/>
      <c r="J1129" s="46"/>
      <c r="K1129" s="16"/>
      <c r="L1129" s="118"/>
      <c r="M1129" s="46"/>
      <c r="N1129" s="46"/>
      <c r="O1129" s="46"/>
      <c r="P1129" s="118"/>
      <c r="Q1129" s="46"/>
      <c r="R1129" s="46"/>
      <c r="S1129" s="46"/>
      <c r="T1129" s="46"/>
      <c r="U1129" s="118"/>
      <c r="V1129" s="46"/>
      <c r="W1129" s="88" t="str">
        <f>IF(V1129&lt;&gt;"",SUMIFS('📊 รายงานสินค้าคงเหลือ'!G:G,'📊 รายงานสินค้าคงเหลือ'!D:D,V1129),"")</f>
        <v/>
      </c>
      <c r="X1129" s="46"/>
      <c r="Y1129" s="46"/>
      <c r="Z1129" s="46"/>
    </row>
    <row r="1130">
      <c r="A1130" s="46"/>
      <c r="B1130" s="16"/>
      <c r="C1130" s="118"/>
      <c r="D1130" s="126"/>
      <c r="E1130" s="88"/>
      <c r="F1130" s="118"/>
      <c r="G1130" s="46"/>
      <c r="H1130" s="46"/>
      <c r="I1130" s="118"/>
      <c r="J1130" s="46"/>
      <c r="K1130" s="16"/>
      <c r="L1130" s="118"/>
      <c r="M1130" s="46"/>
      <c r="N1130" s="46"/>
      <c r="O1130" s="46"/>
      <c r="P1130" s="118"/>
      <c r="Q1130" s="46"/>
      <c r="R1130" s="46"/>
      <c r="S1130" s="46"/>
      <c r="T1130" s="46"/>
      <c r="U1130" s="118"/>
      <c r="V1130" s="46"/>
      <c r="W1130" s="88" t="str">
        <f>IF(V1130&lt;&gt;"",SUMIFS('📊 รายงานสินค้าคงเหลือ'!G:G,'📊 รายงานสินค้าคงเหลือ'!D:D,V1130),"")</f>
        <v/>
      </c>
      <c r="X1130" s="46"/>
      <c r="Y1130" s="46"/>
      <c r="Z1130" s="46"/>
    </row>
    <row r="1131">
      <c r="A1131" s="46"/>
      <c r="B1131" s="16"/>
      <c r="C1131" s="118"/>
      <c r="D1131" s="126"/>
      <c r="E1131" s="88"/>
      <c r="F1131" s="118"/>
      <c r="G1131" s="46"/>
      <c r="H1131" s="46"/>
      <c r="I1131" s="118"/>
      <c r="J1131" s="46"/>
      <c r="K1131" s="16"/>
      <c r="L1131" s="118"/>
      <c r="M1131" s="46"/>
      <c r="N1131" s="46"/>
      <c r="O1131" s="46"/>
      <c r="P1131" s="118"/>
      <c r="Q1131" s="46"/>
      <c r="R1131" s="46"/>
      <c r="S1131" s="46"/>
      <c r="T1131" s="46"/>
      <c r="U1131" s="118"/>
      <c r="V1131" s="46"/>
      <c r="W1131" s="88" t="str">
        <f>IF(V1131&lt;&gt;"",SUMIFS('📊 รายงานสินค้าคงเหลือ'!G:G,'📊 รายงานสินค้าคงเหลือ'!D:D,V1131),"")</f>
        <v/>
      </c>
      <c r="X1131" s="46"/>
      <c r="Y1131" s="46"/>
      <c r="Z1131" s="46"/>
    </row>
    <row r="1132">
      <c r="A1132" s="46"/>
      <c r="B1132" s="16"/>
      <c r="C1132" s="118"/>
      <c r="D1132" s="126"/>
      <c r="E1132" s="88"/>
      <c r="F1132" s="118"/>
      <c r="G1132" s="46"/>
      <c r="H1132" s="46"/>
      <c r="I1132" s="118"/>
      <c r="J1132" s="46"/>
      <c r="K1132" s="16"/>
      <c r="L1132" s="118"/>
      <c r="M1132" s="46"/>
      <c r="N1132" s="46"/>
      <c r="O1132" s="46"/>
      <c r="P1132" s="118"/>
      <c r="Q1132" s="46"/>
      <c r="R1132" s="46"/>
      <c r="S1132" s="46"/>
      <c r="T1132" s="46"/>
      <c r="U1132" s="118"/>
      <c r="V1132" s="46"/>
      <c r="W1132" s="88" t="str">
        <f>IF(V1132&lt;&gt;"",SUMIFS('📊 รายงานสินค้าคงเหลือ'!G:G,'📊 รายงานสินค้าคงเหลือ'!D:D,V1132),"")</f>
        <v/>
      </c>
      <c r="X1132" s="46"/>
      <c r="Y1132" s="46"/>
      <c r="Z1132" s="46"/>
    </row>
    <row r="1133">
      <c r="A1133" s="46"/>
      <c r="B1133" s="16"/>
      <c r="C1133" s="118"/>
      <c r="D1133" s="126"/>
      <c r="E1133" s="88"/>
      <c r="F1133" s="118"/>
      <c r="G1133" s="46"/>
      <c r="H1133" s="46"/>
      <c r="I1133" s="118"/>
      <c r="J1133" s="46"/>
      <c r="K1133" s="16"/>
      <c r="L1133" s="118"/>
      <c r="M1133" s="46"/>
      <c r="N1133" s="46"/>
      <c r="O1133" s="46"/>
      <c r="P1133" s="118"/>
      <c r="Q1133" s="46"/>
      <c r="R1133" s="46"/>
      <c r="S1133" s="46"/>
      <c r="T1133" s="46"/>
      <c r="U1133" s="118"/>
      <c r="V1133" s="46"/>
      <c r="W1133" s="88" t="str">
        <f>IF(V1133&lt;&gt;"",SUMIFS('📊 รายงานสินค้าคงเหลือ'!G:G,'📊 รายงานสินค้าคงเหลือ'!D:D,V1133),"")</f>
        <v/>
      </c>
      <c r="X1133" s="46"/>
      <c r="Y1133" s="46"/>
      <c r="Z1133" s="46"/>
    </row>
    <row r="1134">
      <c r="A1134" s="46"/>
      <c r="B1134" s="16"/>
      <c r="C1134" s="118"/>
      <c r="D1134" s="126"/>
      <c r="E1134" s="88"/>
      <c r="F1134" s="118"/>
      <c r="G1134" s="46"/>
      <c r="H1134" s="46"/>
      <c r="I1134" s="118"/>
      <c r="J1134" s="46"/>
      <c r="K1134" s="16"/>
      <c r="L1134" s="118"/>
      <c r="M1134" s="46"/>
      <c r="N1134" s="46"/>
      <c r="O1134" s="46"/>
      <c r="P1134" s="118"/>
      <c r="Q1134" s="46"/>
      <c r="R1134" s="46"/>
      <c r="S1134" s="46"/>
      <c r="T1134" s="46"/>
      <c r="U1134" s="118"/>
      <c r="V1134" s="46"/>
      <c r="W1134" s="88" t="str">
        <f>IF(V1134&lt;&gt;"",SUMIFS('📊 รายงานสินค้าคงเหลือ'!G:G,'📊 รายงานสินค้าคงเหลือ'!D:D,V1134),"")</f>
        <v/>
      </c>
      <c r="X1134" s="46"/>
      <c r="Y1134" s="46"/>
      <c r="Z1134" s="46"/>
    </row>
    <row r="1135">
      <c r="A1135" s="46"/>
      <c r="B1135" s="16"/>
      <c r="C1135" s="118"/>
      <c r="D1135" s="126"/>
      <c r="E1135" s="88"/>
      <c r="F1135" s="118"/>
      <c r="G1135" s="46"/>
      <c r="H1135" s="46"/>
      <c r="I1135" s="118"/>
      <c r="J1135" s="46"/>
      <c r="K1135" s="16"/>
      <c r="L1135" s="118"/>
      <c r="M1135" s="46"/>
      <c r="N1135" s="46"/>
      <c r="O1135" s="46"/>
      <c r="P1135" s="118"/>
      <c r="Q1135" s="46"/>
      <c r="R1135" s="46"/>
      <c r="S1135" s="46"/>
      <c r="T1135" s="46"/>
      <c r="U1135" s="118"/>
      <c r="V1135" s="46"/>
      <c r="W1135" s="88" t="str">
        <f>IF(V1135&lt;&gt;"",SUMIFS('📊 รายงานสินค้าคงเหลือ'!G:G,'📊 รายงานสินค้าคงเหลือ'!D:D,V1135),"")</f>
        <v/>
      </c>
      <c r="X1135" s="46"/>
      <c r="Y1135" s="46"/>
      <c r="Z1135" s="46"/>
    </row>
    <row r="1136">
      <c r="A1136" s="46"/>
      <c r="B1136" s="16"/>
      <c r="C1136" s="118"/>
      <c r="D1136" s="126"/>
      <c r="E1136" s="88"/>
      <c r="F1136" s="118"/>
      <c r="G1136" s="46"/>
      <c r="H1136" s="46"/>
      <c r="I1136" s="118"/>
      <c r="J1136" s="46"/>
      <c r="K1136" s="16"/>
      <c r="L1136" s="118"/>
      <c r="M1136" s="46"/>
      <c r="N1136" s="46"/>
      <c r="O1136" s="46"/>
      <c r="P1136" s="118"/>
      <c r="Q1136" s="46"/>
      <c r="R1136" s="46"/>
      <c r="S1136" s="46"/>
      <c r="T1136" s="46"/>
      <c r="U1136" s="118"/>
      <c r="V1136" s="46"/>
      <c r="W1136" s="88" t="str">
        <f>IF(V1136&lt;&gt;"",SUMIFS('📊 รายงานสินค้าคงเหลือ'!G:G,'📊 รายงานสินค้าคงเหลือ'!D:D,V1136),"")</f>
        <v/>
      </c>
      <c r="X1136" s="46"/>
      <c r="Y1136" s="46"/>
      <c r="Z1136" s="46"/>
    </row>
    <row r="1137">
      <c r="A1137" s="46"/>
      <c r="B1137" s="16"/>
      <c r="C1137" s="118"/>
      <c r="D1137" s="126"/>
      <c r="E1137" s="88"/>
      <c r="F1137" s="118"/>
      <c r="G1137" s="46"/>
      <c r="H1137" s="46"/>
      <c r="I1137" s="118"/>
      <c r="J1137" s="46"/>
      <c r="K1137" s="16"/>
      <c r="L1137" s="118"/>
      <c r="M1137" s="46"/>
      <c r="N1137" s="46"/>
      <c r="O1137" s="46"/>
      <c r="P1137" s="118"/>
      <c r="Q1137" s="46"/>
      <c r="R1137" s="46"/>
      <c r="S1137" s="46"/>
      <c r="T1137" s="46"/>
      <c r="U1137" s="118"/>
      <c r="V1137" s="46"/>
      <c r="W1137" s="88" t="str">
        <f>IF(V1137&lt;&gt;"",SUMIFS('📊 รายงานสินค้าคงเหลือ'!G:G,'📊 รายงานสินค้าคงเหลือ'!D:D,V1137),"")</f>
        <v/>
      </c>
      <c r="X1137" s="46"/>
      <c r="Y1137" s="46"/>
      <c r="Z1137" s="46"/>
    </row>
    <row r="1138">
      <c r="A1138" s="46"/>
      <c r="B1138" s="16"/>
      <c r="C1138" s="118"/>
      <c r="D1138" s="126"/>
      <c r="E1138" s="88"/>
      <c r="F1138" s="118"/>
      <c r="G1138" s="46"/>
      <c r="H1138" s="46"/>
      <c r="I1138" s="118"/>
      <c r="J1138" s="46"/>
      <c r="K1138" s="16"/>
      <c r="L1138" s="118"/>
      <c r="M1138" s="46"/>
      <c r="N1138" s="46"/>
      <c r="O1138" s="46"/>
      <c r="P1138" s="118"/>
      <c r="Q1138" s="46"/>
      <c r="R1138" s="46"/>
      <c r="S1138" s="46"/>
      <c r="T1138" s="46"/>
      <c r="U1138" s="118"/>
      <c r="V1138" s="46"/>
      <c r="W1138" s="88" t="str">
        <f>IF(V1138&lt;&gt;"",SUMIFS('📊 รายงานสินค้าคงเหลือ'!G:G,'📊 รายงานสินค้าคงเหลือ'!D:D,V1138),"")</f>
        <v/>
      </c>
      <c r="X1138" s="46"/>
      <c r="Y1138" s="46"/>
      <c r="Z1138" s="46"/>
    </row>
    <row r="1139">
      <c r="A1139" s="46"/>
      <c r="B1139" s="16"/>
      <c r="C1139" s="118"/>
      <c r="D1139" s="126"/>
      <c r="E1139" s="88"/>
      <c r="F1139" s="118"/>
      <c r="G1139" s="46"/>
      <c r="H1139" s="46"/>
      <c r="I1139" s="118"/>
      <c r="J1139" s="46"/>
      <c r="K1139" s="16"/>
      <c r="L1139" s="118"/>
      <c r="M1139" s="46"/>
      <c r="N1139" s="46"/>
      <c r="O1139" s="46"/>
      <c r="P1139" s="118"/>
      <c r="Q1139" s="46"/>
      <c r="R1139" s="46"/>
      <c r="S1139" s="46"/>
      <c r="T1139" s="46"/>
      <c r="U1139" s="118"/>
      <c r="V1139" s="46"/>
      <c r="W1139" s="88" t="str">
        <f>IF(V1139&lt;&gt;"",SUMIFS('📊 รายงานสินค้าคงเหลือ'!G:G,'📊 รายงานสินค้าคงเหลือ'!D:D,V1139),"")</f>
        <v/>
      </c>
      <c r="X1139" s="46"/>
      <c r="Y1139" s="46"/>
      <c r="Z1139" s="46"/>
    </row>
    <row r="1140">
      <c r="A1140" s="46"/>
      <c r="B1140" s="16"/>
      <c r="C1140" s="118"/>
      <c r="D1140" s="126"/>
      <c r="E1140" s="88"/>
      <c r="F1140" s="118"/>
      <c r="G1140" s="46"/>
      <c r="H1140" s="46"/>
      <c r="I1140" s="118"/>
      <c r="J1140" s="46"/>
      <c r="K1140" s="16"/>
      <c r="L1140" s="118"/>
      <c r="M1140" s="46"/>
      <c r="N1140" s="46"/>
      <c r="O1140" s="46"/>
      <c r="P1140" s="118"/>
      <c r="Q1140" s="46"/>
      <c r="R1140" s="46"/>
      <c r="S1140" s="46"/>
      <c r="T1140" s="46"/>
      <c r="U1140" s="118"/>
      <c r="V1140" s="46"/>
      <c r="W1140" s="88" t="str">
        <f>IF(V1140&lt;&gt;"",SUMIFS('📊 รายงานสินค้าคงเหลือ'!G:G,'📊 รายงานสินค้าคงเหลือ'!D:D,V1140),"")</f>
        <v/>
      </c>
      <c r="X1140" s="46"/>
      <c r="Y1140" s="46"/>
      <c r="Z1140" s="46"/>
    </row>
    <row r="1141">
      <c r="A1141" s="46"/>
      <c r="B1141" s="16"/>
      <c r="C1141" s="118"/>
      <c r="D1141" s="126"/>
      <c r="E1141" s="88"/>
      <c r="F1141" s="118"/>
      <c r="G1141" s="46"/>
      <c r="H1141" s="46"/>
      <c r="I1141" s="118"/>
      <c r="J1141" s="46"/>
      <c r="K1141" s="16"/>
      <c r="L1141" s="118"/>
      <c r="M1141" s="46"/>
      <c r="N1141" s="46"/>
      <c r="O1141" s="46"/>
      <c r="P1141" s="118"/>
      <c r="Q1141" s="46"/>
      <c r="R1141" s="46"/>
      <c r="S1141" s="46"/>
      <c r="T1141" s="46"/>
      <c r="U1141" s="118"/>
      <c r="V1141" s="46"/>
      <c r="W1141" s="88" t="str">
        <f>IF(V1141&lt;&gt;"",SUMIFS('📊 รายงานสินค้าคงเหลือ'!G:G,'📊 รายงานสินค้าคงเหลือ'!D:D,V1141),"")</f>
        <v/>
      </c>
      <c r="X1141" s="46"/>
      <c r="Y1141" s="46"/>
      <c r="Z1141" s="46"/>
    </row>
    <row r="1142">
      <c r="A1142" s="46"/>
      <c r="B1142" s="16"/>
      <c r="C1142" s="118"/>
      <c r="D1142" s="126"/>
      <c r="E1142" s="88"/>
      <c r="F1142" s="118"/>
      <c r="G1142" s="46"/>
      <c r="H1142" s="46"/>
      <c r="I1142" s="118"/>
      <c r="J1142" s="46"/>
      <c r="K1142" s="16"/>
      <c r="L1142" s="118"/>
      <c r="M1142" s="46"/>
      <c r="N1142" s="46"/>
      <c r="O1142" s="46"/>
      <c r="P1142" s="118"/>
      <c r="Q1142" s="46"/>
      <c r="R1142" s="46"/>
      <c r="S1142" s="46"/>
      <c r="T1142" s="46"/>
      <c r="U1142" s="118"/>
      <c r="V1142" s="46"/>
      <c r="W1142" s="88" t="str">
        <f>IF(V1142&lt;&gt;"",SUMIFS('📊 รายงานสินค้าคงเหลือ'!G:G,'📊 รายงานสินค้าคงเหลือ'!D:D,V1142),"")</f>
        <v/>
      </c>
      <c r="X1142" s="46"/>
      <c r="Y1142" s="46"/>
      <c r="Z1142" s="46"/>
    </row>
    <row r="1143">
      <c r="A1143" s="46"/>
      <c r="B1143" s="16"/>
      <c r="C1143" s="118"/>
      <c r="D1143" s="126"/>
      <c r="E1143" s="88"/>
      <c r="F1143" s="118"/>
      <c r="G1143" s="46"/>
      <c r="H1143" s="46"/>
      <c r="I1143" s="118"/>
      <c r="J1143" s="46"/>
      <c r="K1143" s="16"/>
      <c r="L1143" s="118"/>
      <c r="M1143" s="46"/>
      <c r="N1143" s="46"/>
      <c r="O1143" s="46"/>
      <c r="P1143" s="118"/>
      <c r="Q1143" s="46"/>
      <c r="R1143" s="46"/>
      <c r="S1143" s="46"/>
      <c r="T1143" s="46"/>
      <c r="U1143" s="118"/>
      <c r="V1143" s="46"/>
      <c r="W1143" s="88" t="str">
        <f>IF(V1143&lt;&gt;"",SUMIFS('📊 รายงานสินค้าคงเหลือ'!G:G,'📊 รายงานสินค้าคงเหลือ'!D:D,V1143),"")</f>
        <v/>
      </c>
      <c r="X1143" s="46"/>
      <c r="Y1143" s="46"/>
      <c r="Z1143" s="46"/>
    </row>
    <row r="1144">
      <c r="A1144" s="46"/>
      <c r="B1144" s="16"/>
      <c r="C1144" s="118"/>
      <c r="D1144" s="126"/>
      <c r="E1144" s="88"/>
      <c r="F1144" s="118"/>
      <c r="G1144" s="46"/>
      <c r="H1144" s="46"/>
      <c r="I1144" s="118"/>
      <c r="J1144" s="46"/>
      <c r="K1144" s="16"/>
      <c r="L1144" s="118"/>
      <c r="M1144" s="46"/>
      <c r="N1144" s="46"/>
      <c r="O1144" s="46"/>
      <c r="P1144" s="118"/>
      <c r="Q1144" s="46"/>
      <c r="R1144" s="46"/>
      <c r="S1144" s="46"/>
      <c r="T1144" s="46"/>
      <c r="U1144" s="118"/>
      <c r="V1144" s="46"/>
      <c r="W1144" s="88" t="str">
        <f>IF(V1144&lt;&gt;"",SUMIFS('📊 รายงานสินค้าคงเหลือ'!G:G,'📊 รายงานสินค้าคงเหลือ'!D:D,V1144),"")</f>
        <v/>
      </c>
      <c r="X1144" s="46"/>
      <c r="Y1144" s="46"/>
      <c r="Z1144" s="46"/>
    </row>
    <row r="1145">
      <c r="A1145" s="46"/>
      <c r="B1145" s="16"/>
      <c r="C1145" s="118"/>
      <c r="D1145" s="126"/>
      <c r="E1145" s="88"/>
      <c r="F1145" s="118"/>
      <c r="G1145" s="46"/>
      <c r="H1145" s="46"/>
      <c r="I1145" s="118"/>
      <c r="J1145" s="46"/>
      <c r="K1145" s="16"/>
      <c r="L1145" s="118"/>
      <c r="M1145" s="46"/>
      <c r="N1145" s="46"/>
      <c r="O1145" s="46"/>
      <c r="P1145" s="118"/>
      <c r="Q1145" s="46"/>
      <c r="R1145" s="46"/>
      <c r="S1145" s="46"/>
      <c r="T1145" s="46"/>
      <c r="U1145" s="118"/>
      <c r="V1145" s="46"/>
      <c r="W1145" s="88" t="str">
        <f>IF(V1145&lt;&gt;"",SUMIFS('📊 รายงานสินค้าคงเหลือ'!G:G,'📊 รายงานสินค้าคงเหลือ'!D:D,V1145),"")</f>
        <v/>
      </c>
      <c r="X1145" s="46"/>
      <c r="Y1145" s="46"/>
      <c r="Z1145" s="46"/>
    </row>
    <row r="1146">
      <c r="A1146" s="46"/>
      <c r="B1146" s="16"/>
      <c r="C1146" s="118"/>
      <c r="D1146" s="126"/>
      <c r="E1146" s="88"/>
      <c r="F1146" s="118"/>
      <c r="G1146" s="46"/>
      <c r="H1146" s="46"/>
      <c r="I1146" s="118"/>
      <c r="J1146" s="46"/>
      <c r="K1146" s="16"/>
      <c r="L1146" s="118"/>
      <c r="M1146" s="46"/>
      <c r="N1146" s="46"/>
      <c r="O1146" s="46"/>
      <c r="P1146" s="118"/>
      <c r="Q1146" s="46"/>
      <c r="R1146" s="46"/>
      <c r="S1146" s="46"/>
      <c r="T1146" s="46"/>
      <c r="U1146" s="118"/>
      <c r="V1146" s="46"/>
      <c r="W1146" s="88" t="str">
        <f>IF(V1146&lt;&gt;"",SUMIFS('📊 รายงานสินค้าคงเหลือ'!G:G,'📊 รายงานสินค้าคงเหลือ'!D:D,V1146),"")</f>
        <v/>
      </c>
      <c r="X1146" s="46"/>
      <c r="Y1146" s="46"/>
      <c r="Z1146" s="46"/>
    </row>
    <row r="1147">
      <c r="A1147" s="46"/>
      <c r="B1147" s="16"/>
      <c r="C1147" s="118"/>
      <c r="D1147" s="126"/>
      <c r="E1147" s="88"/>
      <c r="F1147" s="118"/>
      <c r="G1147" s="46"/>
      <c r="H1147" s="46"/>
      <c r="I1147" s="118"/>
      <c r="J1147" s="46"/>
      <c r="K1147" s="16"/>
      <c r="L1147" s="118"/>
      <c r="M1147" s="46"/>
      <c r="N1147" s="46"/>
      <c r="O1147" s="46"/>
      <c r="P1147" s="118"/>
      <c r="Q1147" s="46"/>
      <c r="R1147" s="46"/>
      <c r="S1147" s="46"/>
      <c r="T1147" s="46"/>
      <c r="U1147" s="118"/>
      <c r="V1147" s="46"/>
      <c r="W1147" s="88" t="str">
        <f>IF(V1147&lt;&gt;"",SUMIFS('📊 รายงานสินค้าคงเหลือ'!G:G,'📊 รายงานสินค้าคงเหลือ'!D:D,V1147),"")</f>
        <v/>
      </c>
      <c r="X1147" s="46"/>
      <c r="Y1147" s="46"/>
      <c r="Z1147" s="46"/>
    </row>
    <row r="1148">
      <c r="A1148" s="46"/>
      <c r="B1148" s="16"/>
      <c r="C1148" s="118"/>
      <c r="D1148" s="126"/>
      <c r="E1148" s="88"/>
      <c r="F1148" s="118"/>
      <c r="G1148" s="46"/>
      <c r="H1148" s="46"/>
      <c r="I1148" s="118"/>
      <c r="J1148" s="46"/>
      <c r="K1148" s="16"/>
      <c r="L1148" s="118"/>
      <c r="M1148" s="46"/>
      <c r="N1148" s="46"/>
      <c r="O1148" s="46"/>
      <c r="P1148" s="118"/>
      <c r="Q1148" s="46"/>
      <c r="R1148" s="46"/>
      <c r="S1148" s="46"/>
      <c r="T1148" s="46"/>
      <c r="U1148" s="118"/>
      <c r="V1148" s="46"/>
      <c r="W1148" s="88" t="str">
        <f>IF(V1148&lt;&gt;"",SUMIFS('📊 รายงานสินค้าคงเหลือ'!G:G,'📊 รายงานสินค้าคงเหลือ'!D:D,V1148),"")</f>
        <v/>
      </c>
      <c r="X1148" s="46"/>
      <c r="Y1148" s="46"/>
      <c r="Z1148" s="46"/>
    </row>
    <row r="1149">
      <c r="A1149" s="46"/>
      <c r="B1149" s="16"/>
      <c r="C1149" s="118"/>
      <c r="D1149" s="126"/>
      <c r="E1149" s="88"/>
      <c r="F1149" s="118"/>
      <c r="G1149" s="46"/>
      <c r="H1149" s="46"/>
      <c r="I1149" s="118"/>
      <c r="J1149" s="46"/>
      <c r="K1149" s="16"/>
      <c r="L1149" s="118"/>
      <c r="M1149" s="46"/>
      <c r="N1149" s="46"/>
      <c r="O1149" s="46"/>
      <c r="P1149" s="118"/>
      <c r="Q1149" s="46"/>
      <c r="R1149" s="46"/>
      <c r="S1149" s="46"/>
      <c r="T1149" s="46"/>
      <c r="U1149" s="118"/>
      <c r="V1149" s="46"/>
      <c r="W1149" s="88" t="str">
        <f>IF(V1149&lt;&gt;"",SUMIFS('📊 รายงานสินค้าคงเหลือ'!G:G,'📊 รายงานสินค้าคงเหลือ'!D:D,V1149),"")</f>
        <v/>
      </c>
      <c r="X1149" s="46"/>
      <c r="Y1149" s="46"/>
      <c r="Z1149" s="46"/>
    </row>
    <row r="1150">
      <c r="A1150" s="46"/>
      <c r="B1150" s="16"/>
      <c r="C1150" s="118"/>
      <c r="D1150" s="126"/>
      <c r="E1150" s="88"/>
      <c r="F1150" s="118"/>
      <c r="G1150" s="46"/>
      <c r="H1150" s="46"/>
      <c r="I1150" s="118"/>
      <c r="J1150" s="46"/>
      <c r="K1150" s="16"/>
      <c r="L1150" s="118"/>
      <c r="M1150" s="46"/>
      <c r="N1150" s="46"/>
      <c r="O1150" s="46"/>
      <c r="P1150" s="118"/>
      <c r="Q1150" s="46"/>
      <c r="R1150" s="46"/>
      <c r="S1150" s="46"/>
      <c r="T1150" s="46"/>
      <c r="U1150" s="118"/>
      <c r="V1150" s="46"/>
      <c r="W1150" s="88" t="str">
        <f>IF(V1150&lt;&gt;"",SUMIFS('📊 รายงานสินค้าคงเหลือ'!G:G,'📊 รายงานสินค้าคงเหลือ'!D:D,V1150),"")</f>
        <v/>
      </c>
      <c r="X1150" s="46"/>
      <c r="Y1150" s="46"/>
      <c r="Z1150" s="46"/>
    </row>
    <row r="1151">
      <c r="A1151" s="46"/>
      <c r="B1151" s="16"/>
      <c r="C1151" s="118"/>
      <c r="D1151" s="126"/>
      <c r="E1151" s="88"/>
      <c r="F1151" s="118"/>
      <c r="G1151" s="46"/>
      <c r="H1151" s="46"/>
      <c r="I1151" s="118"/>
      <c r="J1151" s="46"/>
      <c r="K1151" s="16"/>
      <c r="L1151" s="118"/>
      <c r="M1151" s="46"/>
      <c r="N1151" s="46"/>
      <c r="O1151" s="46"/>
      <c r="P1151" s="118"/>
      <c r="Q1151" s="46"/>
      <c r="R1151" s="46"/>
      <c r="S1151" s="46"/>
      <c r="T1151" s="46"/>
      <c r="U1151" s="118"/>
      <c r="V1151" s="46"/>
      <c r="W1151" s="88" t="str">
        <f>IF(V1151&lt;&gt;"",SUMIFS('📊 รายงานสินค้าคงเหลือ'!G:G,'📊 รายงานสินค้าคงเหลือ'!D:D,V1151),"")</f>
        <v/>
      </c>
      <c r="X1151" s="46"/>
      <c r="Y1151" s="46"/>
      <c r="Z1151" s="46"/>
    </row>
    <row r="1152">
      <c r="A1152" s="46"/>
      <c r="B1152" s="16"/>
      <c r="C1152" s="118"/>
      <c r="D1152" s="126"/>
      <c r="E1152" s="88"/>
      <c r="F1152" s="118"/>
      <c r="G1152" s="46"/>
      <c r="H1152" s="46"/>
      <c r="I1152" s="118"/>
      <c r="J1152" s="46"/>
      <c r="K1152" s="16"/>
      <c r="L1152" s="118"/>
      <c r="M1152" s="46"/>
      <c r="N1152" s="46"/>
      <c r="O1152" s="46"/>
      <c r="P1152" s="118"/>
      <c r="Q1152" s="46"/>
      <c r="R1152" s="46"/>
      <c r="S1152" s="46"/>
      <c r="T1152" s="46"/>
      <c r="U1152" s="118"/>
      <c r="V1152" s="46"/>
      <c r="W1152" s="88" t="str">
        <f>IF(V1152&lt;&gt;"",SUMIFS('📊 รายงานสินค้าคงเหลือ'!G:G,'📊 รายงานสินค้าคงเหลือ'!D:D,V1152),"")</f>
        <v/>
      </c>
      <c r="X1152" s="46"/>
      <c r="Y1152" s="46"/>
      <c r="Z1152" s="46"/>
    </row>
    <row r="1153">
      <c r="A1153" s="46"/>
      <c r="B1153" s="16"/>
      <c r="C1153" s="118"/>
      <c r="D1153" s="126"/>
      <c r="E1153" s="88"/>
      <c r="F1153" s="118"/>
      <c r="G1153" s="46"/>
      <c r="H1153" s="46"/>
      <c r="I1153" s="118"/>
      <c r="J1153" s="46"/>
      <c r="K1153" s="16"/>
      <c r="L1153" s="118"/>
      <c r="M1153" s="46"/>
      <c r="N1153" s="46"/>
      <c r="O1153" s="46"/>
      <c r="P1153" s="118"/>
      <c r="Q1153" s="46"/>
      <c r="R1153" s="46"/>
      <c r="S1153" s="46"/>
      <c r="T1153" s="46"/>
      <c r="U1153" s="118"/>
      <c r="V1153" s="46"/>
      <c r="W1153" s="88" t="str">
        <f>IF(V1153&lt;&gt;"",SUMIFS('📊 รายงานสินค้าคงเหลือ'!G:G,'📊 รายงานสินค้าคงเหลือ'!D:D,V1153),"")</f>
        <v/>
      </c>
      <c r="X1153" s="46"/>
      <c r="Y1153" s="46"/>
      <c r="Z1153" s="46"/>
    </row>
    <row r="1154">
      <c r="A1154" s="46"/>
      <c r="B1154" s="16"/>
      <c r="C1154" s="118"/>
      <c r="D1154" s="126"/>
      <c r="E1154" s="88"/>
      <c r="F1154" s="118"/>
      <c r="G1154" s="46"/>
      <c r="H1154" s="46"/>
      <c r="I1154" s="118"/>
      <c r="J1154" s="46"/>
      <c r="K1154" s="16"/>
      <c r="L1154" s="118"/>
      <c r="M1154" s="46"/>
      <c r="N1154" s="46"/>
      <c r="O1154" s="46"/>
      <c r="P1154" s="118"/>
      <c r="Q1154" s="46"/>
      <c r="R1154" s="46"/>
      <c r="S1154" s="46"/>
      <c r="T1154" s="46"/>
      <c r="U1154" s="118"/>
      <c r="V1154" s="46"/>
      <c r="W1154" s="88" t="str">
        <f>IF(V1154&lt;&gt;"",SUMIFS('📊 รายงานสินค้าคงเหลือ'!G:G,'📊 รายงานสินค้าคงเหลือ'!D:D,V1154),"")</f>
        <v/>
      </c>
      <c r="X1154" s="46"/>
      <c r="Y1154" s="46"/>
      <c r="Z1154" s="46"/>
    </row>
    <row r="1155">
      <c r="A1155" s="46"/>
      <c r="B1155" s="16"/>
      <c r="C1155" s="118"/>
      <c r="D1155" s="126"/>
      <c r="E1155" s="88"/>
      <c r="F1155" s="118"/>
      <c r="G1155" s="46"/>
      <c r="H1155" s="46"/>
      <c r="I1155" s="118"/>
      <c r="J1155" s="46"/>
      <c r="K1155" s="16"/>
      <c r="L1155" s="118"/>
      <c r="M1155" s="46"/>
      <c r="N1155" s="46"/>
      <c r="O1155" s="46"/>
      <c r="P1155" s="118"/>
      <c r="Q1155" s="46"/>
      <c r="R1155" s="46"/>
      <c r="S1155" s="46"/>
      <c r="T1155" s="46"/>
      <c r="U1155" s="118"/>
      <c r="V1155" s="46"/>
      <c r="W1155" s="88" t="str">
        <f>IF(V1155&lt;&gt;"",SUMIFS('📊 รายงานสินค้าคงเหลือ'!G:G,'📊 รายงานสินค้าคงเหลือ'!D:D,V1155),"")</f>
        <v/>
      </c>
      <c r="X1155" s="46"/>
      <c r="Y1155" s="46"/>
      <c r="Z1155" s="46"/>
    </row>
    <row r="1156">
      <c r="A1156" s="46"/>
      <c r="B1156" s="16"/>
      <c r="C1156" s="118"/>
      <c r="D1156" s="126"/>
      <c r="E1156" s="88"/>
      <c r="F1156" s="118"/>
      <c r="G1156" s="46"/>
      <c r="H1156" s="46"/>
      <c r="I1156" s="118"/>
      <c r="J1156" s="46"/>
      <c r="K1156" s="16"/>
      <c r="L1156" s="118"/>
      <c r="M1156" s="46"/>
      <c r="N1156" s="46"/>
      <c r="O1156" s="46"/>
      <c r="P1156" s="118"/>
      <c r="Q1156" s="46"/>
      <c r="R1156" s="46"/>
      <c r="S1156" s="46"/>
      <c r="T1156" s="46"/>
      <c r="U1156" s="118"/>
      <c r="V1156" s="46"/>
      <c r="W1156" s="88" t="str">
        <f>IF(V1156&lt;&gt;"",SUMIFS('📊 รายงานสินค้าคงเหลือ'!G:G,'📊 รายงานสินค้าคงเหลือ'!D:D,V1156),"")</f>
        <v/>
      </c>
      <c r="X1156" s="46"/>
      <c r="Y1156" s="46"/>
      <c r="Z1156" s="46"/>
    </row>
    <row r="1157">
      <c r="A1157" s="46"/>
      <c r="B1157" s="16"/>
      <c r="C1157" s="118"/>
      <c r="D1157" s="126"/>
      <c r="E1157" s="88"/>
      <c r="F1157" s="118"/>
      <c r="G1157" s="46"/>
      <c r="H1157" s="46"/>
      <c r="I1157" s="118"/>
      <c r="J1157" s="46"/>
      <c r="K1157" s="16"/>
      <c r="L1157" s="118"/>
      <c r="M1157" s="46"/>
      <c r="N1157" s="46"/>
      <c r="O1157" s="46"/>
      <c r="P1157" s="118"/>
      <c r="Q1157" s="46"/>
      <c r="R1157" s="46"/>
      <c r="S1157" s="46"/>
      <c r="T1157" s="46"/>
      <c r="U1157" s="118"/>
      <c r="V1157" s="46"/>
      <c r="W1157" s="88" t="str">
        <f>IF(V1157&lt;&gt;"",SUMIFS('📊 รายงานสินค้าคงเหลือ'!G:G,'📊 รายงานสินค้าคงเหลือ'!D:D,V1157),"")</f>
        <v/>
      </c>
      <c r="X1157" s="46"/>
      <c r="Y1157" s="46"/>
      <c r="Z1157" s="46"/>
    </row>
    <row r="1158">
      <c r="A1158" s="46"/>
      <c r="B1158" s="16"/>
      <c r="C1158" s="118"/>
      <c r="D1158" s="126"/>
      <c r="E1158" s="88"/>
      <c r="F1158" s="118"/>
      <c r="G1158" s="46"/>
      <c r="H1158" s="46"/>
      <c r="I1158" s="118"/>
      <c r="J1158" s="46"/>
      <c r="K1158" s="16"/>
      <c r="L1158" s="118"/>
      <c r="M1158" s="46"/>
      <c r="N1158" s="46"/>
      <c r="O1158" s="46"/>
      <c r="P1158" s="118"/>
      <c r="Q1158" s="46"/>
      <c r="R1158" s="46"/>
      <c r="S1158" s="46"/>
      <c r="T1158" s="46"/>
      <c r="U1158" s="118"/>
      <c r="V1158" s="46"/>
      <c r="W1158" s="88" t="str">
        <f>IF(V1158&lt;&gt;"",SUMIFS('📊 รายงานสินค้าคงเหลือ'!G:G,'📊 รายงานสินค้าคงเหลือ'!D:D,V1158),"")</f>
        <v/>
      </c>
      <c r="X1158" s="46"/>
      <c r="Y1158" s="46"/>
      <c r="Z1158" s="46"/>
    </row>
    <row r="1159">
      <c r="A1159" s="46"/>
      <c r="B1159" s="16"/>
      <c r="C1159" s="118"/>
      <c r="D1159" s="126"/>
      <c r="E1159" s="88"/>
      <c r="F1159" s="118"/>
      <c r="G1159" s="46"/>
      <c r="H1159" s="46"/>
      <c r="I1159" s="118"/>
      <c r="J1159" s="46"/>
      <c r="K1159" s="16"/>
      <c r="L1159" s="118"/>
      <c r="M1159" s="46"/>
      <c r="N1159" s="46"/>
      <c r="O1159" s="46"/>
      <c r="P1159" s="118"/>
      <c r="Q1159" s="46"/>
      <c r="R1159" s="46"/>
      <c r="S1159" s="46"/>
      <c r="T1159" s="46"/>
      <c r="U1159" s="118"/>
      <c r="V1159" s="46"/>
      <c r="W1159" s="88" t="str">
        <f>IF(V1159&lt;&gt;"",SUMIFS('📊 รายงานสินค้าคงเหลือ'!G:G,'📊 รายงานสินค้าคงเหลือ'!D:D,V1159),"")</f>
        <v/>
      </c>
      <c r="X1159" s="46"/>
      <c r="Y1159" s="46"/>
      <c r="Z1159" s="46"/>
    </row>
    <row r="1160">
      <c r="A1160" s="46"/>
      <c r="B1160" s="16"/>
      <c r="C1160" s="118"/>
      <c r="D1160" s="126"/>
      <c r="E1160" s="88"/>
      <c r="F1160" s="118"/>
      <c r="G1160" s="46"/>
      <c r="H1160" s="46"/>
      <c r="I1160" s="118"/>
      <c r="J1160" s="46"/>
      <c r="K1160" s="16"/>
      <c r="L1160" s="118"/>
      <c r="M1160" s="46"/>
      <c r="N1160" s="46"/>
      <c r="O1160" s="46"/>
      <c r="P1160" s="118"/>
      <c r="Q1160" s="46"/>
      <c r="R1160" s="46"/>
      <c r="S1160" s="46"/>
      <c r="T1160" s="46"/>
      <c r="U1160" s="118"/>
      <c r="V1160" s="46"/>
      <c r="W1160" s="88" t="str">
        <f>IF(V1160&lt;&gt;"",SUMIFS('📊 รายงานสินค้าคงเหลือ'!G:G,'📊 รายงานสินค้าคงเหลือ'!D:D,V1160),"")</f>
        <v/>
      </c>
      <c r="X1160" s="46"/>
      <c r="Y1160" s="46"/>
      <c r="Z1160" s="46"/>
    </row>
    <row r="1161">
      <c r="A1161" s="46"/>
      <c r="B1161" s="16"/>
      <c r="C1161" s="118"/>
      <c r="D1161" s="126"/>
      <c r="E1161" s="88"/>
      <c r="F1161" s="118"/>
      <c r="G1161" s="46"/>
      <c r="H1161" s="46"/>
      <c r="I1161" s="118"/>
      <c r="J1161" s="46"/>
      <c r="K1161" s="16"/>
      <c r="L1161" s="118"/>
      <c r="M1161" s="46"/>
      <c r="N1161" s="46"/>
      <c r="O1161" s="46"/>
      <c r="P1161" s="118"/>
      <c r="Q1161" s="46"/>
      <c r="R1161" s="46"/>
      <c r="S1161" s="46"/>
      <c r="T1161" s="46"/>
      <c r="U1161" s="118"/>
      <c r="V1161" s="46"/>
      <c r="W1161" s="88" t="str">
        <f>IF(V1161&lt;&gt;"",SUMIFS('📊 รายงานสินค้าคงเหลือ'!G:G,'📊 รายงานสินค้าคงเหลือ'!D:D,V1161),"")</f>
        <v/>
      </c>
      <c r="X1161" s="46"/>
      <c r="Y1161" s="46"/>
      <c r="Z1161" s="46"/>
    </row>
    <row r="1162">
      <c r="A1162" s="46"/>
      <c r="B1162" s="16"/>
      <c r="C1162" s="118"/>
      <c r="D1162" s="126"/>
      <c r="E1162" s="88"/>
      <c r="F1162" s="118"/>
      <c r="G1162" s="46"/>
      <c r="H1162" s="46"/>
      <c r="I1162" s="118"/>
      <c r="J1162" s="46"/>
      <c r="K1162" s="16"/>
      <c r="L1162" s="118"/>
      <c r="M1162" s="46"/>
      <c r="N1162" s="46"/>
      <c r="O1162" s="46"/>
      <c r="P1162" s="118"/>
      <c r="Q1162" s="46"/>
      <c r="R1162" s="46"/>
      <c r="S1162" s="46"/>
      <c r="T1162" s="46"/>
      <c r="U1162" s="118"/>
      <c r="V1162" s="46"/>
      <c r="W1162" s="88" t="str">
        <f>IF(V1162&lt;&gt;"",SUMIFS('📊 รายงานสินค้าคงเหลือ'!G:G,'📊 รายงานสินค้าคงเหลือ'!D:D,V1162),"")</f>
        <v/>
      </c>
      <c r="X1162" s="46"/>
      <c r="Y1162" s="46"/>
      <c r="Z1162" s="46"/>
    </row>
    <row r="1163">
      <c r="A1163" s="46"/>
      <c r="B1163" s="16"/>
      <c r="C1163" s="118"/>
      <c r="D1163" s="126"/>
      <c r="E1163" s="88"/>
      <c r="F1163" s="118"/>
      <c r="G1163" s="46"/>
      <c r="H1163" s="46"/>
      <c r="I1163" s="118"/>
      <c r="J1163" s="46"/>
      <c r="K1163" s="16"/>
      <c r="L1163" s="118"/>
      <c r="M1163" s="46"/>
      <c r="N1163" s="46"/>
      <c r="O1163" s="46"/>
      <c r="P1163" s="118"/>
      <c r="Q1163" s="46"/>
      <c r="R1163" s="46"/>
      <c r="S1163" s="46"/>
      <c r="T1163" s="46"/>
      <c r="U1163" s="118"/>
      <c r="V1163" s="46"/>
      <c r="W1163" s="88" t="str">
        <f>IF(V1163&lt;&gt;"",SUMIFS('📊 รายงานสินค้าคงเหลือ'!G:G,'📊 รายงานสินค้าคงเหลือ'!D:D,V1163),"")</f>
        <v/>
      </c>
      <c r="X1163" s="46"/>
      <c r="Y1163" s="46"/>
      <c r="Z1163" s="46"/>
    </row>
    <row r="1164">
      <c r="A1164" s="46"/>
      <c r="B1164" s="16"/>
      <c r="C1164" s="118"/>
      <c r="D1164" s="126"/>
      <c r="E1164" s="88"/>
      <c r="F1164" s="118"/>
      <c r="G1164" s="46"/>
      <c r="H1164" s="46"/>
      <c r="I1164" s="118"/>
      <c r="J1164" s="46"/>
      <c r="K1164" s="16"/>
      <c r="L1164" s="118"/>
      <c r="M1164" s="46"/>
      <c r="N1164" s="46"/>
      <c r="O1164" s="46"/>
      <c r="P1164" s="118"/>
      <c r="Q1164" s="46"/>
      <c r="R1164" s="46"/>
      <c r="S1164" s="46"/>
      <c r="T1164" s="46"/>
      <c r="U1164" s="118"/>
      <c r="V1164" s="46"/>
      <c r="W1164" s="88" t="str">
        <f>IF(V1164&lt;&gt;"",SUMIFS('📊 รายงานสินค้าคงเหลือ'!G:G,'📊 รายงานสินค้าคงเหลือ'!D:D,V1164),"")</f>
        <v/>
      </c>
      <c r="X1164" s="46"/>
      <c r="Y1164" s="46"/>
      <c r="Z1164" s="46"/>
    </row>
    <row r="1165">
      <c r="A1165" s="46"/>
      <c r="B1165" s="16"/>
      <c r="C1165" s="118"/>
      <c r="D1165" s="126"/>
      <c r="E1165" s="88"/>
      <c r="F1165" s="118"/>
      <c r="G1165" s="46"/>
      <c r="H1165" s="46"/>
      <c r="I1165" s="118"/>
      <c r="J1165" s="46"/>
      <c r="K1165" s="16"/>
      <c r="L1165" s="118"/>
      <c r="M1165" s="46"/>
      <c r="N1165" s="46"/>
      <c r="O1165" s="46"/>
      <c r="P1165" s="118"/>
      <c r="Q1165" s="46"/>
      <c r="R1165" s="46"/>
      <c r="S1165" s="46"/>
      <c r="T1165" s="46"/>
      <c r="U1165" s="118"/>
      <c r="V1165" s="46"/>
      <c r="W1165" s="88" t="str">
        <f>IF(V1165&lt;&gt;"",SUMIFS('📊 รายงานสินค้าคงเหลือ'!G:G,'📊 รายงานสินค้าคงเหลือ'!D:D,V1165),"")</f>
        <v/>
      </c>
      <c r="X1165" s="46"/>
      <c r="Y1165" s="46"/>
      <c r="Z1165" s="46"/>
    </row>
    <row r="1166">
      <c r="A1166" s="46"/>
      <c r="B1166" s="16"/>
      <c r="C1166" s="118"/>
      <c r="D1166" s="126"/>
      <c r="E1166" s="88"/>
      <c r="F1166" s="118"/>
      <c r="G1166" s="46"/>
      <c r="H1166" s="46"/>
      <c r="I1166" s="118"/>
      <c r="J1166" s="46"/>
      <c r="K1166" s="16"/>
      <c r="L1166" s="118"/>
      <c r="M1166" s="46"/>
      <c r="N1166" s="46"/>
      <c r="O1166" s="46"/>
      <c r="P1166" s="118"/>
      <c r="Q1166" s="46"/>
      <c r="R1166" s="46"/>
      <c r="S1166" s="46"/>
      <c r="T1166" s="46"/>
      <c r="U1166" s="118"/>
      <c r="V1166" s="46"/>
      <c r="W1166" s="88" t="str">
        <f>IF(V1166&lt;&gt;"",SUMIFS('📊 รายงานสินค้าคงเหลือ'!G:G,'📊 รายงานสินค้าคงเหลือ'!D:D,V1166),"")</f>
        <v/>
      </c>
      <c r="X1166" s="46"/>
      <c r="Y1166" s="46"/>
      <c r="Z1166" s="46"/>
    </row>
    <row r="1167">
      <c r="A1167" s="46"/>
      <c r="B1167" s="16"/>
      <c r="C1167" s="118"/>
      <c r="D1167" s="126"/>
      <c r="E1167" s="88"/>
      <c r="F1167" s="118"/>
      <c r="G1167" s="46"/>
      <c r="H1167" s="46"/>
      <c r="I1167" s="118"/>
      <c r="J1167" s="46"/>
      <c r="K1167" s="16"/>
      <c r="L1167" s="118"/>
      <c r="M1167" s="46"/>
      <c r="N1167" s="46"/>
      <c r="O1167" s="46"/>
      <c r="P1167" s="118"/>
      <c r="Q1167" s="46"/>
      <c r="R1167" s="46"/>
      <c r="S1167" s="46"/>
      <c r="T1167" s="46"/>
      <c r="U1167" s="118"/>
      <c r="V1167" s="46"/>
      <c r="W1167" s="88" t="str">
        <f>IF(V1167&lt;&gt;"",SUMIFS('📊 รายงานสินค้าคงเหลือ'!G:G,'📊 รายงานสินค้าคงเหลือ'!D:D,V1167),"")</f>
        <v/>
      </c>
      <c r="X1167" s="46"/>
      <c r="Y1167" s="46"/>
      <c r="Z1167" s="46"/>
    </row>
    <row r="1168">
      <c r="A1168" s="46"/>
      <c r="B1168" s="16"/>
      <c r="C1168" s="118"/>
      <c r="D1168" s="126"/>
      <c r="E1168" s="88"/>
      <c r="F1168" s="118"/>
      <c r="G1168" s="46"/>
      <c r="H1168" s="46"/>
      <c r="I1168" s="118"/>
      <c r="J1168" s="46"/>
      <c r="K1168" s="16"/>
      <c r="L1168" s="118"/>
      <c r="M1168" s="46"/>
      <c r="N1168" s="46"/>
      <c r="O1168" s="46"/>
      <c r="P1168" s="118"/>
      <c r="Q1168" s="46"/>
      <c r="R1168" s="46"/>
      <c r="S1168" s="46"/>
      <c r="T1168" s="46"/>
      <c r="U1168" s="118"/>
      <c r="V1168" s="46"/>
      <c r="W1168" s="88" t="str">
        <f>IF(V1168&lt;&gt;"",SUMIFS('📊 รายงานสินค้าคงเหลือ'!G:G,'📊 รายงานสินค้าคงเหลือ'!D:D,V1168),"")</f>
        <v/>
      </c>
      <c r="X1168" s="46"/>
      <c r="Y1168" s="46"/>
      <c r="Z1168" s="46"/>
    </row>
    <row r="1169">
      <c r="A1169" s="46"/>
      <c r="B1169" s="16"/>
      <c r="C1169" s="118"/>
      <c r="D1169" s="126"/>
      <c r="E1169" s="88"/>
      <c r="F1169" s="118"/>
      <c r="G1169" s="46"/>
      <c r="H1169" s="46"/>
      <c r="I1169" s="118"/>
      <c r="J1169" s="46"/>
      <c r="K1169" s="16"/>
      <c r="L1169" s="118"/>
      <c r="M1169" s="46"/>
      <c r="N1169" s="46"/>
      <c r="O1169" s="46"/>
      <c r="P1169" s="118"/>
      <c r="Q1169" s="46"/>
      <c r="R1169" s="46"/>
      <c r="S1169" s="46"/>
      <c r="T1169" s="46"/>
      <c r="U1169" s="118"/>
      <c r="V1169" s="46"/>
      <c r="W1169" s="88" t="str">
        <f>IF(V1169&lt;&gt;"",SUMIFS('📊 รายงานสินค้าคงเหลือ'!G:G,'📊 รายงานสินค้าคงเหลือ'!D:D,V1169),"")</f>
        <v/>
      </c>
      <c r="X1169" s="46"/>
      <c r="Y1169" s="46"/>
      <c r="Z1169" s="46"/>
    </row>
    <row r="1170">
      <c r="A1170" s="46"/>
      <c r="B1170" s="16"/>
      <c r="C1170" s="118"/>
      <c r="D1170" s="126"/>
      <c r="E1170" s="88"/>
      <c r="F1170" s="118"/>
      <c r="G1170" s="46"/>
      <c r="H1170" s="46"/>
      <c r="I1170" s="118"/>
      <c r="J1170" s="46"/>
      <c r="K1170" s="16"/>
      <c r="L1170" s="118"/>
      <c r="M1170" s="46"/>
      <c r="N1170" s="46"/>
      <c r="O1170" s="46"/>
      <c r="P1170" s="118"/>
      <c r="Q1170" s="46"/>
      <c r="R1170" s="46"/>
      <c r="S1170" s="46"/>
      <c r="T1170" s="46"/>
      <c r="U1170" s="118"/>
      <c r="V1170" s="46"/>
      <c r="W1170" s="88" t="str">
        <f>IF(V1170&lt;&gt;"",SUMIFS('📊 รายงานสินค้าคงเหลือ'!G:G,'📊 รายงานสินค้าคงเหลือ'!D:D,V1170),"")</f>
        <v/>
      </c>
      <c r="X1170" s="46"/>
      <c r="Y1170" s="46"/>
      <c r="Z1170" s="46"/>
    </row>
    <row r="1171">
      <c r="A1171" s="46"/>
      <c r="B1171" s="16"/>
      <c r="C1171" s="118"/>
      <c r="D1171" s="126"/>
      <c r="E1171" s="88"/>
      <c r="F1171" s="118"/>
      <c r="G1171" s="46"/>
      <c r="H1171" s="46"/>
      <c r="I1171" s="118"/>
      <c r="J1171" s="46"/>
      <c r="K1171" s="16"/>
      <c r="L1171" s="118"/>
      <c r="M1171" s="46"/>
      <c r="N1171" s="46"/>
      <c r="O1171" s="46"/>
      <c r="P1171" s="118"/>
      <c r="Q1171" s="46"/>
      <c r="R1171" s="46"/>
      <c r="S1171" s="46"/>
      <c r="T1171" s="46"/>
      <c r="U1171" s="118"/>
      <c r="V1171" s="46"/>
      <c r="W1171" s="88" t="str">
        <f>IF(V1171&lt;&gt;"",SUMIFS('📊 รายงานสินค้าคงเหลือ'!G:G,'📊 รายงานสินค้าคงเหลือ'!D:D,V1171),"")</f>
        <v/>
      </c>
      <c r="X1171" s="46"/>
      <c r="Y1171" s="46"/>
      <c r="Z1171" s="46"/>
    </row>
    <row r="1172">
      <c r="A1172" s="46"/>
      <c r="B1172" s="16"/>
      <c r="C1172" s="118"/>
      <c r="D1172" s="126"/>
      <c r="E1172" s="88"/>
      <c r="F1172" s="118"/>
      <c r="G1172" s="46"/>
      <c r="H1172" s="46"/>
      <c r="I1172" s="118"/>
      <c r="J1172" s="46"/>
      <c r="K1172" s="16"/>
      <c r="L1172" s="118"/>
      <c r="M1172" s="46"/>
      <c r="N1172" s="46"/>
      <c r="O1172" s="46"/>
      <c r="P1172" s="118"/>
      <c r="Q1172" s="46"/>
      <c r="R1172" s="46"/>
      <c r="S1172" s="46"/>
      <c r="T1172" s="46"/>
      <c r="U1172" s="118"/>
      <c r="V1172" s="46"/>
      <c r="W1172" s="88" t="str">
        <f>IF(V1172&lt;&gt;"",SUMIFS('📊 รายงานสินค้าคงเหลือ'!G:G,'📊 รายงานสินค้าคงเหลือ'!D:D,V1172),"")</f>
        <v/>
      </c>
      <c r="X1172" s="46"/>
      <c r="Y1172" s="46"/>
      <c r="Z1172" s="46"/>
    </row>
    <row r="1173">
      <c r="A1173" s="46"/>
      <c r="B1173" s="16"/>
      <c r="C1173" s="118"/>
      <c r="D1173" s="126"/>
      <c r="E1173" s="88"/>
      <c r="F1173" s="118"/>
      <c r="G1173" s="46"/>
      <c r="H1173" s="46"/>
      <c r="I1173" s="118"/>
      <c r="J1173" s="46"/>
      <c r="K1173" s="16"/>
      <c r="L1173" s="118"/>
      <c r="M1173" s="46"/>
      <c r="N1173" s="46"/>
      <c r="O1173" s="46"/>
      <c r="P1173" s="118"/>
      <c r="Q1173" s="46"/>
      <c r="R1173" s="46"/>
      <c r="S1173" s="46"/>
      <c r="T1173" s="46"/>
      <c r="U1173" s="118"/>
      <c r="V1173" s="46"/>
      <c r="W1173" s="88" t="str">
        <f>IF(V1173&lt;&gt;"",SUMIFS('📊 รายงานสินค้าคงเหลือ'!G:G,'📊 รายงานสินค้าคงเหลือ'!D:D,V1173),"")</f>
        <v/>
      </c>
      <c r="X1173" s="46"/>
      <c r="Y1173" s="46"/>
      <c r="Z1173" s="46"/>
    </row>
    <row r="1174">
      <c r="A1174" s="46"/>
      <c r="B1174" s="16"/>
      <c r="C1174" s="118"/>
      <c r="D1174" s="126"/>
      <c r="E1174" s="88"/>
      <c r="F1174" s="118"/>
      <c r="G1174" s="46"/>
      <c r="H1174" s="46"/>
      <c r="I1174" s="118"/>
      <c r="J1174" s="46"/>
      <c r="K1174" s="16"/>
      <c r="L1174" s="118"/>
      <c r="M1174" s="46"/>
      <c r="N1174" s="46"/>
      <c r="O1174" s="46"/>
      <c r="P1174" s="118"/>
      <c r="Q1174" s="46"/>
      <c r="R1174" s="46"/>
      <c r="S1174" s="46"/>
      <c r="T1174" s="46"/>
      <c r="U1174" s="118"/>
      <c r="V1174" s="46"/>
      <c r="W1174" s="88" t="str">
        <f>IF(V1174&lt;&gt;"",SUMIFS('📊 รายงานสินค้าคงเหลือ'!G:G,'📊 รายงานสินค้าคงเหลือ'!D:D,V1174),"")</f>
        <v/>
      </c>
      <c r="X1174" s="46"/>
      <c r="Y1174" s="46"/>
      <c r="Z1174" s="46"/>
    </row>
    <row r="1175">
      <c r="A1175" s="46"/>
      <c r="B1175" s="16"/>
      <c r="C1175" s="118"/>
      <c r="D1175" s="126"/>
      <c r="E1175" s="88"/>
      <c r="F1175" s="118"/>
      <c r="G1175" s="46"/>
      <c r="H1175" s="46"/>
      <c r="I1175" s="118"/>
      <c r="J1175" s="46"/>
      <c r="K1175" s="16"/>
      <c r="L1175" s="118"/>
      <c r="M1175" s="46"/>
      <c r="N1175" s="46"/>
      <c r="O1175" s="46"/>
      <c r="P1175" s="118"/>
      <c r="Q1175" s="46"/>
      <c r="R1175" s="46"/>
      <c r="S1175" s="46"/>
      <c r="T1175" s="46"/>
      <c r="U1175" s="118"/>
      <c r="V1175" s="46"/>
      <c r="W1175" s="88" t="str">
        <f>IF(V1175&lt;&gt;"",SUMIFS('📊 รายงานสินค้าคงเหลือ'!G:G,'📊 รายงานสินค้าคงเหลือ'!D:D,V1175),"")</f>
        <v/>
      </c>
      <c r="X1175" s="46"/>
      <c r="Y1175" s="46"/>
      <c r="Z1175" s="46"/>
    </row>
    <row r="1176">
      <c r="A1176" s="46"/>
      <c r="B1176" s="16"/>
      <c r="C1176" s="118"/>
      <c r="D1176" s="126"/>
      <c r="E1176" s="88"/>
      <c r="F1176" s="118"/>
      <c r="G1176" s="46"/>
      <c r="H1176" s="46"/>
      <c r="I1176" s="118"/>
      <c r="J1176" s="46"/>
      <c r="K1176" s="16"/>
      <c r="L1176" s="118"/>
      <c r="M1176" s="46"/>
      <c r="N1176" s="46"/>
      <c r="O1176" s="46"/>
      <c r="P1176" s="118"/>
      <c r="Q1176" s="46"/>
      <c r="R1176" s="46"/>
      <c r="S1176" s="46"/>
      <c r="T1176" s="46"/>
      <c r="U1176" s="118"/>
      <c r="V1176" s="46"/>
      <c r="W1176" s="88" t="str">
        <f>IF(V1176&lt;&gt;"",SUMIFS('📊 รายงานสินค้าคงเหลือ'!G:G,'📊 รายงานสินค้าคงเหลือ'!D:D,V1176),"")</f>
        <v/>
      </c>
      <c r="X1176" s="46"/>
      <c r="Y1176" s="46"/>
      <c r="Z1176" s="46"/>
    </row>
    <row r="1177">
      <c r="A1177" s="46"/>
      <c r="B1177" s="16"/>
      <c r="C1177" s="118"/>
      <c r="D1177" s="126"/>
      <c r="E1177" s="88"/>
      <c r="F1177" s="118"/>
      <c r="G1177" s="46"/>
      <c r="H1177" s="46"/>
      <c r="I1177" s="118"/>
      <c r="J1177" s="46"/>
      <c r="K1177" s="16"/>
      <c r="L1177" s="118"/>
      <c r="M1177" s="46"/>
      <c r="N1177" s="46"/>
      <c r="O1177" s="46"/>
      <c r="P1177" s="118"/>
      <c r="Q1177" s="46"/>
      <c r="R1177" s="46"/>
      <c r="S1177" s="46"/>
      <c r="T1177" s="46"/>
      <c r="U1177" s="118"/>
      <c r="V1177" s="46"/>
      <c r="W1177" s="88" t="str">
        <f>IF(V1177&lt;&gt;"",SUMIFS('📊 รายงานสินค้าคงเหลือ'!G:G,'📊 รายงานสินค้าคงเหลือ'!D:D,V1177),"")</f>
        <v/>
      </c>
      <c r="X1177" s="46"/>
      <c r="Y1177" s="46"/>
      <c r="Z1177" s="46"/>
    </row>
    <row r="1178">
      <c r="A1178" s="46"/>
      <c r="B1178" s="16"/>
      <c r="C1178" s="118"/>
      <c r="D1178" s="126"/>
      <c r="E1178" s="88"/>
      <c r="F1178" s="118"/>
      <c r="G1178" s="46"/>
      <c r="H1178" s="46"/>
      <c r="I1178" s="118"/>
      <c r="J1178" s="46"/>
      <c r="K1178" s="16"/>
      <c r="L1178" s="118"/>
      <c r="M1178" s="46"/>
      <c r="N1178" s="46"/>
      <c r="O1178" s="46"/>
      <c r="P1178" s="118"/>
      <c r="Q1178" s="46"/>
      <c r="R1178" s="46"/>
      <c r="S1178" s="46"/>
      <c r="T1178" s="46"/>
      <c r="U1178" s="118"/>
      <c r="V1178" s="46"/>
      <c r="W1178" s="88" t="str">
        <f>IF(V1178&lt;&gt;"",SUMIFS('📊 รายงานสินค้าคงเหลือ'!G:G,'📊 รายงานสินค้าคงเหลือ'!D:D,V1178),"")</f>
        <v/>
      </c>
      <c r="X1178" s="46"/>
      <c r="Y1178" s="46"/>
      <c r="Z1178" s="46"/>
    </row>
    <row r="1179">
      <c r="A1179" s="46"/>
      <c r="B1179" s="16"/>
      <c r="C1179" s="118"/>
      <c r="D1179" s="126"/>
      <c r="E1179" s="88"/>
      <c r="F1179" s="118"/>
      <c r="G1179" s="46"/>
      <c r="H1179" s="46"/>
      <c r="I1179" s="118"/>
      <c r="J1179" s="46"/>
      <c r="K1179" s="16"/>
      <c r="L1179" s="118"/>
      <c r="M1179" s="46"/>
      <c r="N1179" s="46"/>
      <c r="O1179" s="46"/>
      <c r="P1179" s="118"/>
      <c r="Q1179" s="46"/>
      <c r="R1179" s="46"/>
      <c r="S1179" s="46"/>
      <c r="T1179" s="46"/>
      <c r="U1179" s="118"/>
      <c r="V1179" s="46"/>
      <c r="W1179" s="88" t="str">
        <f>IF(V1179&lt;&gt;"",SUMIFS('📊 รายงานสินค้าคงเหลือ'!G:G,'📊 รายงานสินค้าคงเหลือ'!D:D,V1179),"")</f>
        <v/>
      </c>
      <c r="X1179" s="46"/>
      <c r="Y1179" s="46"/>
      <c r="Z1179" s="46"/>
    </row>
    <row r="1180">
      <c r="A1180" s="46"/>
      <c r="B1180" s="16"/>
      <c r="C1180" s="118"/>
      <c r="D1180" s="126"/>
      <c r="E1180" s="88"/>
      <c r="F1180" s="118"/>
      <c r="G1180" s="46"/>
      <c r="H1180" s="46"/>
      <c r="I1180" s="118"/>
      <c r="J1180" s="46"/>
      <c r="K1180" s="16"/>
      <c r="L1180" s="118"/>
      <c r="M1180" s="46"/>
      <c r="N1180" s="46"/>
      <c r="O1180" s="46"/>
      <c r="P1180" s="118"/>
      <c r="Q1180" s="46"/>
      <c r="R1180" s="46"/>
      <c r="S1180" s="46"/>
      <c r="T1180" s="46"/>
      <c r="U1180" s="118"/>
      <c r="V1180" s="46"/>
      <c r="W1180" s="88" t="str">
        <f>IF(V1180&lt;&gt;"",SUMIFS('📊 รายงานสินค้าคงเหลือ'!G:G,'📊 รายงานสินค้าคงเหลือ'!D:D,V1180),"")</f>
        <v/>
      </c>
      <c r="X1180" s="46"/>
      <c r="Y1180" s="46"/>
      <c r="Z1180" s="46"/>
    </row>
    <row r="1181">
      <c r="A1181" s="46"/>
      <c r="B1181" s="16"/>
      <c r="C1181" s="118"/>
      <c r="D1181" s="126"/>
      <c r="E1181" s="88"/>
      <c r="F1181" s="118"/>
      <c r="G1181" s="46"/>
      <c r="H1181" s="46"/>
      <c r="I1181" s="118"/>
      <c r="J1181" s="46"/>
      <c r="K1181" s="16"/>
      <c r="L1181" s="118"/>
      <c r="M1181" s="46"/>
      <c r="N1181" s="46"/>
      <c r="O1181" s="46"/>
      <c r="P1181" s="118"/>
      <c r="Q1181" s="46"/>
      <c r="R1181" s="46"/>
      <c r="S1181" s="46"/>
      <c r="T1181" s="46"/>
      <c r="U1181" s="118"/>
      <c r="V1181" s="46"/>
      <c r="W1181" s="88" t="str">
        <f>IF(V1181&lt;&gt;"",SUMIFS('📊 รายงานสินค้าคงเหลือ'!G:G,'📊 รายงานสินค้าคงเหลือ'!D:D,V1181),"")</f>
        <v/>
      </c>
      <c r="X1181" s="46"/>
      <c r="Y1181" s="46"/>
      <c r="Z1181" s="46"/>
    </row>
    <row r="1182">
      <c r="A1182" s="46"/>
      <c r="B1182" s="16"/>
      <c r="C1182" s="118"/>
      <c r="D1182" s="126"/>
      <c r="E1182" s="88"/>
      <c r="F1182" s="118"/>
      <c r="G1182" s="46"/>
      <c r="H1182" s="46"/>
      <c r="I1182" s="118"/>
      <c r="J1182" s="46"/>
      <c r="K1182" s="16"/>
      <c r="L1182" s="118"/>
      <c r="M1182" s="46"/>
      <c r="N1182" s="46"/>
      <c r="O1182" s="46"/>
      <c r="P1182" s="118"/>
      <c r="Q1182" s="46"/>
      <c r="R1182" s="46"/>
      <c r="S1182" s="46"/>
      <c r="T1182" s="46"/>
      <c r="U1182" s="118"/>
      <c r="V1182" s="46"/>
      <c r="W1182" s="88" t="str">
        <f>IF(V1182&lt;&gt;"",SUMIFS('📊 รายงานสินค้าคงเหลือ'!G:G,'📊 รายงานสินค้าคงเหลือ'!D:D,V1182),"")</f>
        <v/>
      </c>
      <c r="X1182" s="46"/>
      <c r="Y1182" s="46"/>
      <c r="Z1182" s="46"/>
    </row>
    <row r="1183">
      <c r="A1183" s="46"/>
      <c r="B1183" s="16"/>
      <c r="C1183" s="118"/>
      <c r="D1183" s="126"/>
      <c r="E1183" s="88"/>
      <c r="F1183" s="118"/>
      <c r="G1183" s="46"/>
      <c r="H1183" s="46"/>
      <c r="I1183" s="118"/>
      <c r="J1183" s="46"/>
      <c r="K1183" s="16"/>
      <c r="L1183" s="118"/>
      <c r="M1183" s="46"/>
      <c r="N1183" s="46"/>
      <c r="O1183" s="46"/>
      <c r="P1183" s="118"/>
      <c r="Q1183" s="46"/>
      <c r="R1183" s="46"/>
      <c r="S1183" s="46"/>
      <c r="T1183" s="46"/>
      <c r="U1183" s="118"/>
      <c r="V1183" s="46"/>
      <c r="W1183" s="88" t="str">
        <f>IF(V1183&lt;&gt;"",SUMIFS('📊 รายงานสินค้าคงเหลือ'!G:G,'📊 รายงานสินค้าคงเหลือ'!D:D,V1183),"")</f>
        <v/>
      </c>
      <c r="X1183" s="46"/>
      <c r="Y1183" s="46"/>
      <c r="Z1183" s="46"/>
    </row>
    <row r="1184">
      <c r="A1184" s="46"/>
      <c r="B1184" s="16"/>
      <c r="C1184" s="118"/>
      <c r="D1184" s="126"/>
      <c r="E1184" s="88"/>
      <c r="F1184" s="118"/>
      <c r="G1184" s="46"/>
      <c r="H1184" s="46"/>
      <c r="I1184" s="118"/>
      <c r="J1184" s="46"/>
      <c r="K1184" s="16"/>
      <c r="L1184" s="118"/>
      <c r="M1184" s="46"/>
      <c r="N1184" s="46"/>
      <c r="O1184" s="46"/>
      <c r="P1184" s="118"/>
      <c r="Q1184" s="46"/>
      <c r="R1184" s="46"/>
      <c r="S1184" s="46"/>
      <c r="T1184" s="46"/>
      <c r="U1184" s="118"/>
      <c r="V1184" s="46"/>
      <c r="W1184" s="88" t="str">
        <f>IF(V1184&lt;&gt;"",SUMIFS('📊 รายงานสินค้าคงเหลือ'!G:G,'📊 รายงานสินค้าคงเหลือ'!D:D,V1184),"")</f>
        <v/>
      </c>
      <c r="X1184" s="46"/>
      <c r="Y1184" s="46"/>
      <c r="Z1184" s="46"/>
    </row>
    <row r="1185">
      <c r="A1185" s="46"/>
      <c r="B1185" s="16"/>
      <c r="C1185" s="118"/>
      <c r="D1185" s="126"/>
      <c r="E1185" s="88"/>
      <c r="F1185" s="118"/>
      <c r="G1185" s="46"/>
      <c r="H1185" s="46"/>
      <c r="I1185" s="118"/>
      <c r="J1185" s="46"/>
      <c r="K1185" s="16"/>
      <c r="L1185" s="118"/>
      <c r="M1185" s="46"/>
      <c r="N1185" s="46"/>
      <c r="O1185" s="46"/>
      <c r="P1185" s="118"/>
      <c r="Q1185" s="46"/>
      <c r="R1185" s="46"/>
      <c r="S1185" s="46"/>
      <c r="T1185" s="46"/>
      <c r="U1185" s="118"/>
      <c r="V1185" s="46"/>
      <c r="W1185" s="88" t="str">
        <f>IF(V1185&lt;&gt;"",SUMIFS('📊 รายงานสินค้าคงเหลือ'!G:G,'📊 รายงานสินค้าคงเหลือ'!D:D,V1185),"")</f>
        <v/>
      </c>
      <c r="X1185" s="46"/>
      <c r="Y1185" s="46"/>
      <c r="Z1185" s="46"/>
    </row>
    <row r="1186">
      <c r="A1186" s="46"/>
      <c r="B1186" s="16"/>
      <c r="C1186" s="118"/>
      <c r="D1186" s="126"/>
      <c r="E1186" s="88"/>
      <c r="F1186" s="118"/>
      <c r="G1186" s="46"/>
      <c r="H1186" s="46"/>
      <c r="I1186" s="118"/>
      <c r="J1186" s="46"/>
      <c r="K1186" s="16"/>
      <c r="L1186" s="118"/>
      <c r="M1186" s="46"/>
      <c r="N1186" s="46"/>
      <c r="O1186" s="46"/>
      <c r="P1186" s="118"/>
      <c r="Q1186" s="46"/>
      <c r="R1186" s="46"/>
      <c r="S1186" s="46"/>
      <c r="T1186" s="46"/>
      <c r="U1186" s="118"/>
      <c r="V1186" s="46"/>
      <c r="W1186" s="88" t="str">
        <f>IF(V1186&lt;&gt;"",SUMIFS('📊 รายงานสินค้าคงเหลือ'!G:G,'📊 รายงานสินค้าคงเหลือ'!D:D,V1186),"")</f>
        <v/>
      </c>
      <c r="X1186" s="46"/>
      <c r="Y1186" s="46"/>
      <c r="Z1186" s="46"/>
    </row>
    <row r="1187">
      <c r="A1187" s="46"/>
      <c r="B1187" s="16"/>
      <c r="C1187" s="118"/>
      <c r="D1187" s="126"/>
      <c r="E1187" s="88"/>
      <c r="F1187" s="118"/>
      <c r="G1187" s="46"/>
      <c r="H1187" s="46"/>
      <c r="I1187" s="118"/>
      <c r="J1187" s="46"/>
      <c r="K1187" s="16"/>
      <c r="L1187" s="118"/>
      <c r="M1187" s="46"/>
      <c r="N1187" s="46"/>
      <c r="O1187" s="46"/>
      <c r="P1187" s="118"/>
      <c r="Q1187" s="46"/>
      <c r="R1187" s="46"/>
      <c r="S1187" s="46"/>
      <c r="T1187" s="46"/>
      <c r="U1187" s="118"/>
      <c r="V1187" s="46"/>
      <c r="W1187" s="88" t="str">
        <f>IF(V1187&lt;&gt;"",SUMIFS('📊 รายงานสินค้าคงเหลือ'!G:G,'📊 รายงานสินค้าคงเหลือ'!D:D,V1187),"")</f>
        <v/>
      </c>
      <c r="X1187" s="46"/>
      <c r="Y1187" s="46"/>
      <c r="Z1187" s="46"/>
    </row>
    <row r="1188">
      <c r="A1188" s="46"/>
      <c r="B1188" s="16"/>
      <c r="C1188" s="118"/>
      <c r="D1188" s="126"/>
      <c r="E1188" s="88"/>
      <c r="F1188" s="118"/>
      <c r="G1188" s="46"/>
      <c r="H1188" s="46"/>
      <c r="I1188" s="118"/>
      <c r="J1188" s="46"/>
      <c r="K1188" s="16"/>
      <c r="L1188" s="118"/>
      <c r="M1188" s="46"/>
      <c r="N1188" s="46"/>
      <c r="O1188" s="46"/>
      <c r="P1188" s="118"/>
      <c r="Q1188" s="46"/>
      <c r="R1188" s="46"/>
      <c r="S1188" s="46"/>
      <c r="T1188" s="46"/>
      <c r="U1188" s="118"/>
      <c r="V1188" s="46"/>
      <c r="W1188" s="88" t="str">
        <f>IF(V1188&lt;&gt;"",SUMIFS('📊 รายงานสินค้าคงเหลือ'!G:G,'📊 รายงานสินค้าคงเหลือ'!D:D,V1188),"")</f>
        <v/>
      </c>
      <c r="X1188" s="46"/>
      <c r="Y1188" s="46"/>
      <c r="Z1188" s="46"/>
    </row>
    <row r="1189">
      <c r="A1189" s="46"/>
      <c r="B1189" s="16"/>
      <c r="C1189" s="118"/>
      <c r="D1189" s="126"/>
      <c r="E1189" s="88"/>
      <c r="F1189" s="118"/>
      <c r="G1189" s="46"/>
      <c r="H1189" s="46"/>
      <c r="I1189" s="118"/>
      <c r="J1189" s="46"/>
      <c r="K1189" s="16"/>
      <c r="L1189" s="118"/>
      <c r="M1189" s="46"/>
      <c r="N1189" s="46"/>
      <c r="O1189" s="46"/>
      <c r="P1189" s="118"/>
      <c r="Q1189" s="46"/>
      <c r="R1189" s="46"/>
      <c r="S1189" s="46"/>
      <c r="T1189" s="46"/>
      <c r="U1189" s="118"/>
      <c r="V1189" s="46"/>
      <c r="W1189" s="88" t="str">
        <f>IF(V1189&lt;&gt;"",SUMIFS('📊 รายงานสินค้าคงเหลือ'!G:G,'📊 รายงานสินค้าคงเหลือ'!D:D,V1189),"")</f>
        <v/>
      </c>
      <c r="X1189" s="46"/>
      <c r="Y1189" s="46"/>
      <c r="Z1189" s="46"/>
    </row>
    <row r="1190">
      <c r="A1190" s="46"/>
      <c r="B1190" s="16"/>
      <c r="C1190" s="118"/>
      <c r="D1190" s="126"/>
      <c r="E1190" s="88"/>
      <c r="F1190" s="118"/>
      <c r="G1190" s="46"/>
      <c r="H1190" s="46"/>
      <c r="I1190" s="118"/>
      <c r="J1190" s="46"/>
      <c r="K1190" s="16"/>
      <c r="L1190" s="118"/>
      <c r="M1190" s="46"/>
      <c r="N1190" s="46"/>
      <c r="O1190" s="46"/>
      <c r="P1190" s="118"/>
      <c r="Q1190" s="46"/>
      <c r="R1190" s="46"/>
      <c r="S1190" s="46"/>
      <c r="T1190" s="46"/>
      <c r="U1190" s="118"/>
      <c r="V1190" s="46"/>
      <c r="W1190" s="88" t="str">
        <f>IF(V1190&lt;&gt;"",SUMIFS('📊 รายงานสินค้าคงเหลือ'!G:G,'📊 รายงานสินค้าคงเหลือ'!D:D,V1190),"")</f>
        <v/>
      </c>
      <c r="X1190" s="46"/>
      <c r="Y1190" s="46"/>
      <c r="Z1190" s="46"/>
    </row>
    <row r="1191">
      <c r="A1191" s="46"/>
      <c r="B1191" s="16"/>
      <c r="C1191" s="118"/>
      <c r="D1191" s="126"/>
      <c r="E1191" s="88"/>
      <c r="F1191" s="118"/>
      <c r="G1191" s="46"/>
      <c r="H1191" s="46"/>
      <c r="I1191" s="118"/>
      <c r="J1191" s="46"/>
      <c r="K1191" s="16"/>
      <c r="L1191" s="118"/>
      <c r="M1191" s="46"/>
      <c r="N1191" s="46"/>
      <c r="O1191" s="46"/>
      <c r="P1191" s="118"/>
      <c r="Q1191" s="46"/>
      <c r="R1191" s="46"/>
      <c r="S1191" s="46"/>
      <c r="T1191" s="46"/>
      <c r="U1191" s="118"/>
      <c r="V1191" s="46"/>
      <c r="W1191" s="88" t="str">
        <f>IF(V1191&lt;&gt;"",SUMIFS('📊 รายงานสินค้าคงเหลือ'!G:G,'📊 รายงานสินค้าคงเหลือ'!D:D,V1191),"")</f>
        <v/>
      </c>
      <c r="X1191" s="46"/>
      <c r="Y1191" s="46"/>
      <c r="Z1191" s="46"/>
    </row>
    <row r="1192">
      <c r="A1192" s="46"/>
      <c r="B1192" s="16"/>
      <c r="C1192" s="118"/>
      <c r="D1192" s="126"/>
      <c r="E1192" s="88"/>
      <c r="F1192" s="118"/>
      <c r="G1192" s="46"/>
      <c r="H1192" s="46"/>
      <c r="I1192" s="118"/>
      <c r="J1192" s="46"/>
      <c r="K1192" s="16"/>
      <c r="L1192" s="118"/>
      <c r="M1192" s="46"/>
      <c r="N1192" s="46"/>
      <c r="O1192" s="46"/>
      <c r="P1192" s="118"/>
      <c r="Q1192" s="46"/>
      <c r="R1192" s="46"/>
      <c r="S1192" s="46"/>
      <c r="T1192" s="46"/>
      <c r="U1192" s="118"/>
      <c r="V1192" s="46"/>
      <c r="W1192" s="88" t="str">
        <f>IF(V1192&lt;&gt;"",SUMIFS('📊 รายงานสินค้าคงเหลือ'!G:G,'📊 รายงานสินค้าคงเหลือ'!D:D,V1192),"")</f>
        <v/>
      </c>
      <c r="X1192" s="46"/>
      <c r="Y1192" s="46"/>
      <c r="Z1192" s="46"/>
    </row>
    <row r="1193">
      <c r="A1193" s="46"/>
      <c r="B1193" s="16"/>
      <c r="C1193" s="118"/>
      <c r="D1193" s="126"/>
      <c r="E1193" s="88"/>
      <c r="F1193" s="118"/>
      <c r="G1193" s="46"/>
      <c r="H1193" s="46"/>
      <c r="I1193" s="118"/>
      <c r="J1193" s="46"/>
      <c r="K1193" s="16"/>
      <c r="L1193" s="118"/>
      <c r="M1193" s="46"/>
      <c r="N1193" s="46"/>
      <c r="O1193" s="46"/>
      <c r="P1193" s="118"/>
      <c r="Q1193" s="46"/>
      <c r="R1193" s="46"/>
      <c r="S1193" s="46"/>
      <c r="T1193" s="46"/>
      <c r="U1193" s="118"/>
      <c r="V1193" s="46"/>
      <c r="W1193" s="88" t="str">
        <f>IF(V1193&lt;&gt;"",SUMIFS('📊 รายงานสินค้าคงเหลือ'!G:G,'📊 รายงานสินค้าคงเหลือ'!D:D,V1193),"")</f>
        <v/>
      </c>
      <c r="X1193" s="46"/>
      <c r="Y1193" s="46"/>
      <c r="Z1193" s="46"/>
    </row>
    <row r="1194">
      <c r="A1194" s="46"/>
      <c r="B1194" s="16"/>
      <c r="C1194" s="118"/>
      <c r="D1194" s="126"/>
      <c r="E1194" s="88"/>
      <c r="F1194" s="118"/>
      <c r="G1194" s="46"/>
      <c r="H1194" s="46"/>
      <c r="I1194" s="118"/>
      <c r="J1194" s="46"/>
      <c r="K1194" s="16"/>
      <c r="L1194" s="118"/>
      <c r="M1194" s="46"/>
      <c r="N1194" s="46"/>
      <c r="O1194" s="46"/>
      <c r="P1194" s="118"/>
      <c r="Q1194" s="46"/>
      <c r="R1194" s="46"/>
      <c r="S1194" s="46"/>
      <c r="T1194" s="46"/>
      <c r="U1194" s="118"/>
      <c r="V1194" s="46"/>
      <c r="W1194" s="88" t="str">
        <f>IF(V1194&lt;&gt;"",SUMIFS('📊 รายงานสินค้าคงเหลือ'!G:G,'📊 รายงานสินค้าคงเหลือ'!D:D,V1194),"")</f>
        <v/>
      </c>
      <c r="X1194" s="46"/>
      <c r="Y1194" s="46"/>
      <c r="Z1194" s="46"/>
    </row>
    <row r="1195">
      <c r="A1195" s="46"/>
      <c r="B1195" s="16"/>
      <c r="C1195" s="118"/>
      <c r="D1195" s="126"/>
      <c r="E1195" s="88"/>
      <c r="F1195" s="118"/>
      <c r="G1195" s="46"/>
      <c r="H1195" s="46"/>
      <c r="I1195" s="118"/>
      <c r="J1195" s="46"/>
      <c r="K1195" s="16"/>
      <c r="L1195" s="118"/>
      <c r="M1195" s="46"/>
      <c r="N1195" s="46"/>
      <c r="O1195" s="46"/>
      <c r="P1195" s="118"/>
      <c r="Q1195" s="46"/>
      <c r="R1195" s="46"/>
      <c r="S1195" s="46"/>
      <c r="T1195" s="46"/>
      <c r="U1195" s="118"/>
      <c r="V1195" s="46"/>
      <c r="W1195" s="88" t="str">
        <f>IF(V1195&lt;&gt;"",SUMIFS('📊 รายงานสินค้าคงเหลือ'!G:G,'📊 รายงานสินค้าคงเหลือ'!D:D,V1195),"")</f>
        <v/>
      </c>
      <c r="X1195" s="46"/>
      <c r="Y1195" s="46"/>
      <c r="Z1195" s="46"/>
    </row>
    <row r="1196">
      <c r="A1196" s="46"/>
      <c r="B1196" s="16"/>
      <c r="C1196" s="118"/>
      <c r="D1196" s="126"/>
      <c r="E1196" s="88"/>
      <c r="F1196" s="118"/>
      <c r="G1196" s="46"/>
      <c r="H1196" s="46"/>
      <c r="I1196" s="118"/>
      <c r="J1196" s="46"/>
      <c r="K1196" s="16"/>
      <c r="L1196" s="118"/>
      <c r="M1196" s="46"/>
      <c r="N1196" s="46"/>
      <c r="O1196" s="46"/>
      <c r="P1196" s="118"/>
      <c r="Q1196" s="46"/>
      <c r="R1196" s="46"/>
      <c r="S1196" s="46"/>
      <c r="T1196" s="46"/>
      <c r="U1196" s="118"/>
      <c r="V1196" s="46"/>
      <c r="W1196" s="88" t="str">
        <f>IF(V1196&lt;&gt;"",SUMIFS('📊 รายงานสินค้าคงเหลือ'!G:G,'📊 รายงานสินค้าคงเหลือ'!D:D,V1196),"")</f>
        <v/>
      </c>
      <c r="X1196" s="46"/>
      <c r="Y1196" s="46"/>
      <c r="Z1196" s="46"/>
    </row>
    <row r="1197">
      <c r="A1197" s="46"/>
      <c r="B1197" s="16"/>
      <c r="C1197" s="118"/>
      <c r="D1197" s="126"/>
      <c r="E1197" s="88"/>
      <c r="F1197" s="118"/>
      <c r="G1197" s="46"/>
      <c r="H1197" s="46"/>
      <c r="I1197" s="118"/>
      <c r="J1197" s="46"/>
      <c r="K1197" s="16"/>
      <c r="L1197" s="118"/>
      <c r="M1197" s="46"/>
      <c r="N1197" s="46"/>
      <c r="O1197" s="46"/>
      <c r="P1197" s="118"/>
      <c r="Q1197" s="46"/>
      <c r="R1197" s="46"/>
      <c r="S1197" s="46"/>
      <c r="T1197" s="46"/>
      <c r="U1197" s="118"/>
      <c r="V1197" s="46"/>
      <c r="W1197" s="88" t="str">
        <f>IF(V1197&lt;&gt;"",SUMIFS('📊 รายงานสินค้าคงเหลือ'!G:G,'📊 รายงานสินค้าคงเหลือ'!D:D,V1197),"")</f>
        <v/>
      </c>
      <c r="X1197" s="46"/>
      <c r="Y1197" s="46"/>
      <c r="Z1197" s="46"/>
    </row>
    <row r="1198">
      <c r="A1198" s="46"/>
      <c r="B1198" s="16"/>
      <c r="C1198" s="118"/>
      <c r="D1198" s="126"/>
      <c r="E1198" s="88"/>
      <c r="F1198" s="118"/>
      <c r="G1198" s="46"/>
      <c r="H1198" s="46"/>
      <c r="I1198" s="118"/>
      <c r="J1198" s="46"/>
      <c r="K1198" s="16"/>
      <c r="L1198" s="118"/>
      <c r="M1198" s="46"/>
      <c r="N1198" s="46"/>
      <c r="O1198" s="46"/>
      <c r="P1198" s="118"/>
      <c r="Q1198" s="46"/>
      <c r="R1198" s="46"/>
      <c r="S1198" s="46"/>
      <c r="T1198" s="46"/>
      <c r="U1198" s="118"/>
      <c r="V1198" s="46"/>
      <c r="W1198" s="88" t="str">
        <f>IF(V1198&lt;&gt;"",SUMIFS('📊 รายงานสินค้าคงเหลือ'!G:G,'📊 รายงานสินค้าคงเหลือ'!D:D,V1198),"")</f>
        <v/>
      </c>
      <c r="X1198" s="46"/>
      <c r="Y1198" s="46"/>
      <c r="Z1198" s="46"/>
    </row>
    <row r="1199">
      <c r="A1199" s="46"/>
      <c r="B1199" s="16"/>
      <c r="C1199" s="118"/>
      <c r="D1199" s="126"/>
      <c r="E1199" s="88"/>
      <c r="F1199" s="118"/>
      <c r="G1199" s="46"/>
      <c r="H1199" s="46"/>
      <c r="I1199" s="118"/>
      <c r="J1199" s="46"/>
      <c r="K1199" s="16"/>
      <c r="L1199" s="118"/>
      <c r="M1199" s="46"/>
      <c r="N1199" s="46"/>
      <c r="O1199" s="46"/>
      <c r="P1199" s="118"/>
      <c r="Q1199" s="46"/>
      <c r="R1199" s="46"/>
      <c r="S1199" s="46"/>
      <c r="T1199" s="46"/>
      <c r="U1199" s="118"/>
      <c r="V1199" s="46"/>
      <c r="W1199" s="88" t="str">
        <f>IF(V1199&lt;&gt;"",SUMIFS('📊 รายงานสินค้าคงเหลือ'!G:G,'📊 รายงานสินค้าคงเหลือ'!D:D,V1199),"")</f>
        <v/>
      </c>
      <c r="X1199" s="46"/>
      <c r="Y1199" s="46"/>
      <c r="Z1199" s="46"/>
    </row>
    <row r="1200">
      <c r="A1200" s="46"/>
      <c r="B1200" s="16"/>
      <c r="C1200" s="118"/>
      <c r="D1200" s="126"/>
      <c r="E1200" s="88"/>
      <c r="F1200" s="118"/>
      <c r="G1200" s="46"/>
      <c r="H1200" s="46"/>
      <c r="I1200" s="118"/>
      <c r="J1200" s="46"/>
      <c r="K1200" s="16"/>
      <c r="L1200" s="118"/>
      <c r="M1200" s="46"/>
      <c r="N1200" s="46"/>
      <c r="O1200" s="46"/>
      <c r="P1200" s="118"/>
      <c r="Q1200" s="46"/>
      <c r="R1200" s="46"/>
      <c r="S1200" s="46"/>
      <c r="T1200" s="46"/>
      <c r="U1200" s="118"/>
      <c r="V1200" s="46"/>
      <c r="W1200" s="88" t="str">
        <f>IF(V1200&lt;&gt;"",SUMIFS('📊 รายงานสินค้าคงเหลือ'!G:G,'📊 รายงานสินค้าคงเหลือ'!D:D,V1200),"")</f>
        <v/>
      </c>
      <c r="X1200" s="46"/>
      <c r="Y1200" s="46"/>
      <c r="Z1200" s="46"/>
    </row>
    <row r="1201">
      <c r="A1201" s="46"/>
      <c r="B1201" s="16"/>
      <c r="C1201" s="118"/>
      <c r="D1201" s="126"/>
      <c r="E1201" s="88"/>
      <c r="F1201" s="118"/>
      <c r="G1201" s="46"/>
      <c r="H1201" s="46"/>
      <c r="I1201" s="118"/>
      <c r="J1201" s="46"/>
      <c r="K1201" s="16"/>
      <c r="L1201" s="118"/>
      <c r="M1201" s="46"/>
      <c r="N1201" s="46"/>
      <c r="O1201" s="46"/>
      <c r="P1201" s="118"/>
      <c r="Q1201" s="46"/>
      <c r="R1201" s="46"/>
      <c r="S1201" s="46"/>
      <c r="T1201" s="46"/>
      <c r="U1201" s="118"/>
      <c r="V1201" s="46"/>
      <c r="W1201" s="88" t="str">
        <f>IF(V1201&lt;&gt;"",SUMIFS('📊 รายงานสินค้าคงเหลือ'!G:G,'📊 รายงานสินค้าคงเหลือ'!D:D,V1201),"")</f>
        <v/>
      </c>
      <c r="X1201" s="46"/>
      <c r="Y1201" s="46"/>
      <c r="Z1201" s="46"/>
    </row>
    <row r="1202">
      <c r="A1202" s="46"/>
      <c r="B1202" s="16"/>
      <c r="C1202" s="118"/>
      <c r="D1202" s="126"/>
      <c r="E1202" s="88"/>
      <c r="F1202" s="118"/>
      <c r="G1202" s="46"/>
      <c r="H1202" s="46"/>
      <c r="I1202" s="118"/>
      <c r="J1202" s="46"/>
      <c r="K1202" s="16"/>
      <c r="L1202" s="118"/>
      <c r="M1202" s="46"/>
      <c r="N1202" s="46"/>
      <c r="O1202" s="46"/>
      <c r="P1202" s="118"/>
      <c r="Q1202" s="46"/>
      <c r="R1202" s="46"/>
      <c r="S1202" s="46"/>
      <c r="T1202" s="46"/>
      <c r="U1202" s="118"/>
      <c r="V1202" s="46"/>
      <c r="W1202" s="88" t="str">
        <f>IF(V1202&lt;&gt;"",SUMIFS('📊 รายงานสินค้าคงเหลือ'!G:G,'📊 รายงานสินค้าคงเหลือ'!D:D,V1202),"")</f>
        <v/>
      </c>
      <c r="X1202" s="46"/>
      <c r="Y1202" s="46"/>
      <c r="Z1202" s="46"/>
    </row>
    <row r="1203">
      <c r="A1203" s="46"/>
      <c r="B1203" s="16"/>
      <c r="C1203" s="118"/>
      <c r="D1203" s="126"/>
      <c r="E1203" s="88"/>
      <c r="F1203" s="118"/>
      <c r="G1203" s="46"/>
      <c r="H1203" s="46"/>
      <c r="I1203" s="118"/>
      <c r="J1203" s="46"/>
      <c r="K1203" s="16"/>
      <c r="L1203" s="118"/>
      <c r="M1203" s="46"/>
      <c r="N1203" s="46"/>
      <c r="O1203" s="46"/>
      <c r="P1203" s="118"/>
      <c r="Q1203" s="46"/>
      <c r="R1203" s="46"/>
      <c r="S1203" s="46"/>
      <c r="T1203" s="46"/>
      <c r="U1203" s="118"/>
      <c r="V1203" s="46"/>
      <c r="W1203" s="88" t="str">
        <f>IF(V1203&lt;&gt;"",SUMIFS('📊 รายงานสินค้าคงเหลือ'!G:G,'📊 รายงานสินค้าคงเหลือ'!D:D,V1203),"")</f>
        <v/>
      </c>
      <c r="X1203" s="46"/>
      <c r="Y1203" s="46"/>
      <c r="Z1203" s="46"/>
    </row>
    <row r="1204">
      <c r="A1204" s="46"/>
      <c r="B1204" s="16"/>
      <c r="C1204" s="118"/>
      <c r="D1204" s="126"/>
      <c r="E1204" s="88"/>
      <c r="F1204" s="118"/>
      <c r="G1204" s="46"/>
      <c r="H1204" s="46"/>
      <c r="I1204" s="118"/>
      <c r="J1204" s="46"/>
      <c r="K1204" s="16"/>
      <c r="L1204" s="118"/>
      <c r="M1204" s="46"/>
      <c r="N1204" s="46"/>
      <c r="O1204" s="46"/>
      <c r="P1204" s="118"/>
      <c r="Q1204" s="46"/>
      <c r="R1204" s="46"/>
      <c r="S1204" s="46"/>
      <c r="T1204" s="46"/>
      <c r="U1204" s="118"/>
      <c r="V1204" s="46"/>
      <c r="W1204" s="88" t="str">
        <f>IF(V1204&lt;&gt;"",SUMIFS('📊 รายงานสินค้าคงเหลือ'!G:G,'📊 รายงานสินค้าคงเหลือ'!D:D,V1204),"")</f>
        <v/>
      </c>
      <c r="X1204" s="46"/>
      <c r="Y1204" s="46"/>
      <c r="Z1204" s="46"/>
    </row>
    <row r="1205">
      <c r="A1205" s="46"/>
      <c r="B1205" s="16"/>
      <c r="C1205" s="118"/>
      <c r="D1205" s="126"/>
      <c r="E1205" s="88"/>
      <c r="F1205" s="118"/>
      <c r="G1205" s="46"/>
      <c r="H1205" s="46"/>
      <c r="I1205" s="118"/>
      <c r="J1205" s="46"/>
      <c r="K1205" s="16"/>
      <c r="L1205" s="118"/>
      <c r="M1205" s="46"/>
      <c r="N1205" s="46"/>
      <c r="O1205" s="46"/>
      <c r="P1205" s="118"/>
      <c r="Q1205" s="46"/>
      <c r="R1205" s="46"/>
      <c r="S1205" s="46"/>
      <c r="T1205" s="46"/>
      <c r="U1205" s="118"/>
      <c r="V1205" s="46"/>
      <c r="W1205" s="88" t="str">
        <f>IF(V1205&lt;&gt;"",SUMIFS('📊 รายงานสินค้าคงเหลือ'!G:G,'📊 รายงานสินค้าคงเหลือ'!D:D,V1205),"")</f>
        <v/>
      </c>
      <c r="X1205" s="46"/>
      <c r="Y1205" s="46"/>
      <c r="Z1205" s="46"/>
    </row>
    <row r="1206">
      <c r="A1206" s="46"/>
      <c r="B1206" s="16"/>
      <c r="C1206" s="118"/>
      <c r="D1206" s="126"/>
      <c r="E1206" s="88"/>
      <c r="F1206" s="118"/>
      <c r="G1206" s="46"/>
      <c r="H1206" s="46"/>
      <c r="I1206" s="118"/>
      <c r="J1206" s="46"/>
      <c r="K1206" s="16"/>
      <c r="L1206" s="118"/>
      <c r="M1206" s="46"/>
      <c r="N1206" s="46"/>
      <c r="O1206" s="46"/>
      <c r="P1206" s="118"/>
      <c r="Q1206" s="46"/>
      <c r="R1206" s="46"/>
      <c r="S1206" s="46"/>
      <c r="T1206" s="46"/>
      <c r="U1206" s="118"/>
      <c r="V1206" s="46"/>
      <c r="W1206" s="88" t="str">
        <f>IF(V1206&lt;&gt;"",SUMIFS('📊 รายงานสินค้าคงเหลือ'!G:G,'📊 รายงานสินค้าคงเหลือ'!D:D,V1206),"")</f>
        <v/>
      </c>
      <c r="X1206" s="46"/>
      <c r="Y1206" s="46"/>
      <c r="Z1206" s="46"/>
    </row>
    <row r="1207">
      <c r="A1207" s="46"/>
      <c r="B1207" s="16"/>
      <c r="C1207" s="118"/>
      <c r="D1207" s="126"/>
      <c r="E1207" s="88"/>
      <c r="F1207" s="118"/>
      <c r="G1207" s="46"/>
      <c r="H1207" s="46"/>
      <c r="I1207" s="118"/>
      <c r="J1207" s="46"/>
      <c r="K1207" s="16"/>
      <c r="L1207" s="118"/>
      <c r="M1207" s="46"/>
      <c r="N1207" s="46"/>
      <c r="O1207" s="46"/>
      <c r="P1207" s="118"/>
      <c r="Q1207" s="46"/>
      <c r="R1207" s="46"/>
      <c r="S1207" s="46"/>
      <c r="T1207" s="46"/>
      <c r="U1207" s="118"/>
      <c r="V1207" s="46"/>
      <c r="W1207" s="88" t="str">
        <f>IF(V1207&lt;&gt;"",SUMIFS('📊 รายงานสินค้าคงเหลือ'!G:G,'📊 รายงานสินค้าคงเหลือ'!D:D,V1207),"")</f>
        <v/>
      </c>
      <c r="X1207" s="46"/>
      <c r="Y1207" s="46"/>
      <c r="Z1207" s="46"/>
    </row>
    <row r="1208">
      <c r="A1208" s="46"/>
      <c r="B1208" s="16"/>
      <c r="C1208" s="118"/>
      <c r="D1208" s="126"/>
      <c r="E1208" s="88"/>
      <c r="F1208" s="118"/>
      <c r="G1208" s="46"/>
      <c r="H1208" s="46"/>
      <c r="I1208" s="118"/>
      <c r="J1208" s="46"/>
      <c r="K1208" s="16"/>
      <c r="L1208" s="118"/>
      <c r="M1208" s="46"/>
      <c r="N1208" s="46"/>
      <c r="O1208" s="46"/>
      <c r="P1208" s="118"/>
      <c r="Q1208" s="46"/>
      <c r="R1208" s="46"/>
      <c r="S1208" s="46"/>
      <c r="T1208" s="46"/>
      <c r="U1208" s="118"/>
      <c r="V1208" s="46"/>
      <c r="W1208" s="88" t="str">
        <f>IF(V1208&lt;&gt;"",SUMIFS('📊 รายงานสินค้าคงเหลือ'!G:G,'📊 รายงานสินค้าคงเหลือ'!D:D,V1208),"")</f>
        <v/>
      </c>
      <c r="X1208" s="46"/>
      <c r="Y1208" s="46"/>
      <c r="Z1208" s="46"/>
    </row>
    <row r="1209">
      <c r="A1209" s="46"/>
      <c r="B1209" s="16"/>
      <c r="C1209" s="118"/>
      <c r="D1209" s="126"/>
      <c r="E1209" s="88"/>
      <c r="F1209" s="118"/>
      <c r="G1209" s="46"/>
      <c r="H1209" s="46"/>
      <c r="I1209" s="118"/>
      <c r="J1209" s="46"/>
      <c r="K1209" s="16"/>
      <c r="L1209" s="118"/>
      <c r="M1209" s="46"/>
      <c r="N1209" s="46"/>
      <c r="O1209" s="46"/>
      <c r="P1209" s="118"/>
      <c r="Q1209" s="46"/>
      <c r="R1209" s="46"/>
      <c r="S1209" s="46"/>
      <c r="T1209" s="46"/>
      <c r="U1209" s="118"/>
      <c r="V1209" s="46"/>
      <c r="W1209" s="88" t="str">
        <f>IF(V1209&lt;&gt;"",SUMIFS('📊 รายงานสินค้าคงเหลือ'!G:G,'📊 รายงานสินค้าคงเหลือ'!D:D,V1209),"")</f>
        <v/>
      </c>
      <c r="X1209" s="46"/>
      <c r="Y1209" s="46"/>
      <c r="Z1209" s="46"/>
    </row>
    <row r="1210">
      <c r="A1210" s="46"/>
      <c r="B1210" s="16"/>
      <c r="C1210" s="118"/>
      <c r="D1210" s="126"/>
      <c r="E1210" s="88"/>
      <c r="F1210" s="118"/>
      <c r="G1210" s="46"/>
      <c r="H1210" s="46"/>
      <c r="I1210" s="118"/>
      <c r="J1210" s="46"/>
      <c r="K1210" s="16"/>
      <c r="L1210" s="118"/>
      <c r="M1210" s="46"/>
      <c r="N1210" s="46"/>
      <c r="O1210" s="46"/>
      <c r="P1210" s="118"/>
      <c r="Q1210" s="46"/>
      <c r="R1210" s="46"/>
      <c r="S1210" s="46"/>
      <c r="T1210" s="46"/>
      <c r="U1210" s="118"/>
      <c r="V1210" s="46"/>
      <c r="W1210" s="88" t="str">
        <f>IF(V1210&lt;&gt;"",SUMIFS('📊 รายงานสินค้าคงเหลือ'!G:G,'📊 รายงานสินค้าคงเหลือ'!D:D,V1210),"")</f>
        <v/>
      </c>
      <c r="X1210" s="46"/>
      <c r="Y1210" s="46"/>
      <c r="Z1210" s="46"/>
    </row>
    <row r="1211">
      <c r="A1211" s="46"/>
      <c r="B1211" s="16"/>
      <c r="C1211" s="118"/>
      <c r="D1211" s="126"/>
      <c r="E1211" s="88"/>
      <c r="F1211" s="118"/>
      <c r="G1211" s="46"/>
      <c r="H1211" s="46"/>
      <c r="I1211" s="118"/>
      <c r="J1211" s="46"/>
      <c r="K1211" s="16"/>
      <c r="L1211" s="118"/>
      <c r="M1211" s="46"/>
      <c r="N1211" s="46"/>
      <c r="O1211" s="46"/>
      <c r="P1211" s="118"/>
      <c r="Q1211" s="46"/>
      <c r="R1211" s="46"/>
      <c r="S1211" s="46"/>
      <c r="T1211" s="46"/>
      <c r="U1211" s="118"/>
      <c r="V1211" s="46"/>
      <c r="W1211" s="88" t="str">
        <f>IF(V1211&lt;&gt;"",SUMIFS('📊 รายงานสินค้าคงเหลือ'!G:G,'📊 รายงานสินค้าคงเหลือ'!D:D,V1211),"")</f>
        <v/>
      </c>
      <c r="X1211" s="46"/>
      <c r="Y1211" s="46"/>
      <c r="Z1211" s="46"/>
    </row>
    <row r="1212">
      <c r="A1212" s="46"/>
      <c r="B1212" s="16"/>
      <c r="C1212" s="118"/>
      <c r="D1212" s="126"/>
      <c r="E1212" s="88"/>
      <c r="F1212" s="118"/>
      <c r="G1212" s="46"/>
      <c r="H1212" s="46"/>
      <c r="I1212" s="118"/>
      <c r="J1212" s="46"/>
      <c r="K1212" s="16"/>
      <c r="L1212" s="118"/>
      <c r="M1212" s="46"/>
      <c r="N1212" s="46"/>
      <c r="O1212" s="46"/>
      <c r="P1212" s="118"/>
      <c r="Q1212" s="46"/>
      <c r="R1212" s="46"/>
      <c r="S1212" s="46"/>
      <c r="T1212" s="46"/>
      <c r="U1212" s="118"/>
      <c r="V1212" s="46"/>
      <c r="W1212" s="88" t="str">
        <f>IF(V1212&lt;&gt;"",SUMIFS('📊 รายงานสินค้าคงเหลือ'!G:G,'📊 รายงานสินค้าคงเหลือ'!D:D,V1212),"")</f>
        <v/>
      </c>
      <c r="X1212" s="46"/>
      <c r="Y1212" s="46"/>
      <c r="Z1212" s="46"/>
    </row>
    <row r="1213">
      <c r="A1213" s="46"/>
      <c r="B1213" s="16"/>
      <c r="C1213" s="118"/>
      <c r="D1213" s="126"/>
      <c r="E1213" s="88"/>
      <c r="F1213" s="118"/>
      <c r="G1213" s="46"/>
      <c r="H1213" s="46"/>
      <c r="I1213" s="118"/>
      <c r="J1213" s="46"/>
      <c r="K1213" s="16"/>
      <c r="L1213" s="118"/>
      <c r="M1213" s="46"/>
      <c r="N1213" s="46"/>
      <c r="O1213" s="46"/>
      <c r="P1213" s="118"/>
      <c r="Q1213" s="46"/>
      <c r="R1213" s="46"/>
      <c r="S1213" s="46"/>
      <c r="T1213" s="46"/>
      <c r="U1213" s="118"/>
      <c r="V1213" s="46"/>
      <c r="W1213" s="88" t="str">
        <f>IF(V1213&lt;&gt;"",SUMIFS('📊 รายงานสินค้าคงเหลือ'!G:G,'📊 รายงานสินค้าคงเหลือ'!D:D,V1213),"")</f>
        <v/>
      </c>
      <c r="X1213" s="46"/>
      <c r="Y1213" s="46"/>
      <c r="Z1213" s="46"/>
    </row>
    <row r="1214">
      <c r="A1214" s="46"/>
      <c r="B1214" s="16"/>
      <c r="C1214" s="118"/>
      <c r="D1214" s="126"/>
      <c r="E1214" s="88"/>
      <c r="F1214" s="118"/>
      <c r="G1214" s="46"/>
      <c r="H1214" s="46"/>
      <c r="I1214" s="118"/>
      <c r="J1214" s="46"/>
      <c r="K1214" s="16"/>
      <c r="L1214" s="118"/>
      <c r="M1214" s="46"/>
      <c r="N1214" s="46"/>
      <c r="O1214" s="46"/>
      <c r="P1214" s="118"/>
      <c r="Q1214" s="46"/>
      <c r="R1214" s="46"/>
      <c r="S1214" s="46"/>
      <c r="T1214" s="46"/>
      <c r="U1214" s="118"/>
      <c r="V1214" s="46"/>
      <c r="W1214" s="88" t="str">
        <f>IF(V1214&lt;&gt;"",SUMIFS('📊 รายงานสินค้าคงเหลือ'!G:G,'📊 รายงานสินค้าคงเหลือ'!D:D,V1214),"")</f>
        <v/>
      </c>
      <c r="X1214" s="46"/>
      <c r="Y1214" s="46"/>
      <c r="Z1214" s="46"/>
    </row>
    <row r="1215">
      <c r="A1215" s="46"/>
      <c r="B1215" s="16"/>
      <c r="C1215" s="118"/>
      <c r="D1215" s="126"/>
      <c r="E1215" s="88"/>
      <c r="F1215" s="118"/>
      <c r="G1215" s="46"/>
      <c r="H1215" s="46"/>
      <c r="I1215" s="118"/>
      <c r="J1215" s="46"/>
      <c r="K1215" s="16"/>
      <c r="L1215" s="118"/>
      <c r="M1215" s="46"/>
      <c r="N1215" s="46"/>
      <c r="O1215" s="46"/>
      <c r="P1215" s="118"/>
      <c r="Q1215" s="46"/>
      <c r="R1215" s="46"/>
      <c r="S1215" s="46"/>
      <c r="T1215" s="46"/>
      <c r="U1215" s="118"/>
      <c r="V1215" s="46"/>
      <c r="W1215" s="88" t="str">
        <f>IF(V1215&lt;&gt;"",SUMIFS('📊 รายงานสินค้าคงเหลือ'!G:G,'📊 รายงานสินค้าคงเหลือ'!D:D,V1215),"")</f>
        <v/>
      </c>
      <c r="X1215" s="46"/>
      <c r="Y1215" s="46"/>
      <c r="Z1215" s="46"/>
    </row>
    <row r="1216">
      <c r="A1216" s="46"/>
      <c r="B1216" s="16"/>
      <c r="C1216" s="118"/>
      <c r="D1216" s="126"/>
      <c r="E1216" s="88"/>
      <c r="F1216" s="118"/>
      <c r="G1216" s="46"/>
      <c r="H1216" s="46"/>
      <c r="I1216" s="118"/>
      <c r="J1216" s="46"/>
      <c r="K1216" s="16"/>
      <c r="L1216" s="118"/>
      <c r="M1216" s="46"/>
      <c r="N1216" s="46"/>
      <c r="O1216" s="46"/>
      <c r="P1216" s="118"/>
      <c r="Q1216" s="46"/>
      <c r="R1216" s="46"/>
      <c r="S1216" s="46"/>
      <c r="T1216" s="46"/>
      <c r="U1216" s="118"/>
      <c r="V1216" s="46"/>
      <c r="W1216" s="88" t="str">
        <f>IF(V1216&lt;&gt;"",SUMIFS('📊 รายงานสินค้าคงเหลือ'!G:G,'📊 รายงานสินค้าคงเหลือ'!D:D,V1216),"")</f>
        <v/>
      </c>
      <c r="X1216" s="46"/>
      <c r="Y1216" s="46"/>
      <c r="Z1216" s="46"/>
    </row>
    <row r="1217">
      <c r="A1217" s="46"/>
      <c r="B1217" s="16"/>
      <c r="C1217" s="118"/>
      <c r="D1217" s="126"/>
      <c r="E1217" s="88"/>
      <c r="F1217" s="118"/>
      <c r="G1217" s="46"/>
      <c r="H1217" s="46"/>
      <c r="I1217" s="118"/>
      <c r="J1217" s="46"/>
      <c r="K1217" s="16"/>
      <c r="L1217" s="118"/>
      <c r="M1217" s="46"/>
      <c r="N1217" s="46"/>
      <c r="O1217" s="46"/>
      <c r="P1217" s="118"/>
      <c r="Q1217" s="46"/>
      <c r="R1217" s="46"/>
      <c r="S1217" s="46"/>
      <c r="T1217" s="46"/>
      <c r="U1217" s="118"/>
      <c r="V1217" s="46"/>
      <c r="W1217" s="88" t="str">
        <f>IF(V1217&lt;&gt;"",SUMIFS('📊 รายงานสินค้าคงเหลือ'!G:G,'📊 รายงานสินค้าคงเหลือ'!D:D,V1217),"")</f>
        <v/>
      </c>
      <c r="X1217" s="46"/>
      <c r="Y1217" s="46"/>
      <c r="Z1217" s="46"/>
    </row>
    <row r="1218">
      <c r="A1218" s="46"/>
      <c r="B1218" s="16"/>
      <c r="C1218" s="118"/>
      <c r="D1218" s="126"/>
      <c r="E1218" s="88"/>
      <c r="F1218" s="118"/>
      <c r="G1218" s="46"/>
      <c r="H1218" s="46"/>
      <c r="I1218" s="118"/>
      <c r="J1218" s="46"/>
      <c r="K1218" s="16"/>
      <c r="L1218" s="118"/>
      <c r="M1218" s="46"/>
      <c r="N1218" s="46"/>
      <c r="O1218" s="46"/>
      <c r="P1218" s="118"/>
      <c r="Q1218" s="46"/>
      <c r="R1218" s="46"/>
      <c r="S1218" s="46"/>
      <c r="T1218" s="46"/>
      <c r="U1218" s="118"/>
      <c r="V1218" s="46"/>
      <c r="W1218" s="88" t="str">
        <f>IF(V1218&lt;&gt;"",SUMIFS('📊 รายงานสินค้าคงเหลือ'!G:G,'📊 รายงานสินค้าคงเหลือ'!D:D,V1218),"")</f>
        <v/>
      </c>
      <c r="X1218" s="46"/>
      <c r="Y1218" s="46"/>
      <c r="Z1218" s="46"/>
    </row>
    <row r="1219">
      <c r="A1219" s="46"/>
      <c r="B1219" s="16"/>
      <c r="C1219" s="118"/>
      <c r="D1219" s="126"/>
      <c r="E1219" s="88"/>
      <c r="F1219" s="118"/>
      <c r="G1219" s="46"/>
      <c r="H1219" s="46"/>
      <c r="I1219" s="118"/>
      <c r="J1219" s="46"/>
      <c r="K1219" s="16"/>
      <c r="L1219" s="118"/>
      <c r="M1219" s="46"/>
      <c r="N1219" s="46"/>
      <c r="O1219" s="46"/>
      <c r="P1219" s="118"/>
      <c r="Q1219" s="46"/>
      <c r="R1219" s="46"/>
      <c r="S1219" s="46"/>
      <c r="T1219" s="46"/>
      <c r="U1219" s="118"/>
      <c r="V1219" s="46"/>
      <c r="W1219" s="88" t="str">
        <f>IF(V1219&lt;&gt;"",SUMIFS('📊 รายงานสินค้าคงเหลือ'!G:G,'📊 รายงานสินค้าคงเหลือ'!D:D,V1219),"")</f>
        <v/>
      </c>
      <c r="X1219" s="46"/>
      <c r="Y1219" s="46"/>
      <c r="Z1219" s="46"/>
    </row>
    <row r="1220">
      <c r="A1220" s="46"/>
      <c r="B1220" s="16"/>
      <c r="C1220" s="118"/>
      <c r="D1220" s="126"/>
      <c r="E1220" s="88"/>
      <c r="F1220" s="118"/>
      <c r="G1220" s="46"/>
      <c r="H1220" s="46"/>
      <c r="I1220" s="118"/>
      <c r="J1220" s="46"/>
      <c r="K1220" s="16"/>
      <c r="L1220" s="118"/>
      <c r="M1220" s="46"/>
      <c r="N1220" s="46"/>
      <c r="O1220" s="46"/>
      <c r="P1220" s="118"/>
      <c r="Q1220" s="46"/>
      <c r="R1220" s="46"/>
      <c r="S1220" s="46"/>
      <c r="T1220" s="46"/>
      <c r="U1220" s="118"/>
      <c r="V1220" s="46"/>
      <c r="W1220" s="88" t="str">
        <f>IF(V1220&lt;&gt;"",SUMIFS('📊 รายงานสินค้าคงเหลือ'!G:G,'📊 รายงานสินค้าคงเหลือ'!D:D,V1220),"")</f>
        <v/>
      </c>
      <c r="X1220" s="46"/>
      <c r="Y1220" s="46"/>
      <c r="Z1220" s="46"/>
    </row>
    <row r="1221">
      <c r="A1221" s="46"/>
      <c r="B1221" s="16"/>
      <c r="C1221" s="118"/>
      <c r="D1221" s="126"/>
      <c r="E1221" s="88"/>
      <c r="F1221" s="118"/>
      <c r="G1221" s="46"/>
      <c r="H1221" s="46"/>
      <c r="I1221" s="118"/>
      <c r="J1221" s="46"/>
      <c r="K1221" s="16"/>
      <c r="L1221" s="118"/>
      <c r="M1221" s="46"/>
      <c r="N1221" s="46"/>
      <c r="O1221" s="46"/>
      <c r="P1221" s="118"/>
      <c r="Q1221" s="46"/>
      <c r="R1221" s="46"/>
      <c r="S1221" s="46"/>
      <c r="T1221" s="46"/>
      <c r="U1221" s="118"/>
      <c r="V1221" s="46"/>
      <c r="W1221" s="88" t="str">
        <f>IF(V1221&lt;&gt;"",SUMIFS('📊 รายงานสินค้าคงเหลือ'!G:G,'📊 รายงานสินค้าคงเหลือ'!D:D,V1221),"")</f>
        <v/>
      </c>
      <c r="X1221" s="46"/>
      <c r="Y1221" s="46"/>
      <c r="Z1221" s="46"/>
    </row>
    <row r="1222">
      <c r="A1222" s="46"/>
      <c r="B1222" s="16"/>
      <c r="C1222" s="118"/>
      <c r="D1222" s="126"/>
      <c r="E1222" s="88"/>
      <c r="F1222" s="118"/>
      <c r="G1222" s="46"/>
      <c r="H1222" s="46"/>
      <c r="I1222" s="118"/>
      <c r="J1222" s="46"/>
      <c r="K1222" s="16"/>
      <c r="L1222" s="118"/>
      <c r="M1222" s="46"/>
      <c r="N1222" s="46"/>
      <c r="O1222" s="46"/>
      <c r="P1222" s="118"/>
      <c r="Q1222" s="46"/>
      <c r="R1222" s="46"/>
      <c r="S1222" s="46"/>
      <c r="T1222" s="46"/>
      <c r="U1222" s="118"/>
      <c r="V1222" s="46"/>
      <c r="W1222" s="88" t="str">
        <f>IF(V1222&lt;&gt;"",SUMIFS('📊 รายงานสินค้าคงเหลือ'!G:G,'📊 รายงานสินค้าคงเหลือ'!D:D,V1222),"")</f>
        <v/>
      </c>
      <c r="X1222" s="46"/>
      <c r="Y1222" s="46"/>
      <c r="Z1222" s="46"/>
    </row>
    <row r="1223">
      <c r="A1223" s="46"/>
      <c r="B1223" s="16"/>
      <c r="C1223" s="118"/>
      <c r="D1223" s="126"/>
      <c r="E1223" s="88"/>
      <c r="F1223" s="118"/>
      <c r="G1223" s="46"/>
      <c r="H1223" s="46"/>
      <c r="I1223" s="118"/>
      <c r="J1223" s="46"/>
      <c r="K1223" s="16"/>
      <c r="L1223" s="118"/>
      <c r="M1223" s="46"/>
      <c r="N1223" s="46"/>
      <c r="O1223" s="46"/>
      <c r="P1223" s="118"/>
      <c r="Q1223" s="46"/>
      <c r="R1223" s="46"/>
      <c r="S1223" s="46"/>
      <c r="T1223" s="46"/>
      <c r="U1223" s="118"/>
      <c r="V1223" s="46"/>
      <c r="W1223" s="88" t="str">
        <f>IF(V1223&lt;&gt;"",SUMIFS('📊 รายงานสินค้าคงเหลือ'!G:G,'📊 รายงานสินค้าคงเหลือ'!D:D,V1223),"")</f>
        <v/>
      </c>
      <c r="X1223" s="46"/>
      <c r="Y1223" s="46"/>
      <c r="Z1223" s="46"/>
    </row>
    <row r="1224">
      <c r="A1224" s="46"/>
      <c r="B1224" s="16"/>
      <c r="C1224" s="118"/>
      <c r="D1224" s="126"/>
      <c r="E1224" s="88"/>
      <c r="F1224" s="118"/>
      <c r="G1224" s="46"/>
      <c r="H1224" s="46"/>
      <c r="I1224" s="118"/>
      <c r="J1224" s="46"/>
      <c r="K1224" s="16"/>
      <c r="L1224" s="118"/>
      <c r="M1224" s="46"/>
      <c r="N1224" s="46"/>
      <c r="O1224" s="46"/>
      <c r="P1224" s="118"/>
      <c r="Q1224" s="46"/>
      <c r="R1224" s="46"/>
      <c r="S1224" s="46"/>
      <c r="T1224" s="46"/>
      <c r="U1224" s="118"/>
      <c r="V1224" s="46"/>
      <c r="W1224" s="88" t="str">
        <f>IF(V1224&lt;&gt;"",SUMIFS('📊 รายงานสินค้าคงเหลือ'!G:G,'📊 รายงานสินค้าคงเหลือ'!D:D,V1224),"")</f>
        <v/>
      </c>
      <c r="X1224" s="46"/>
      <c r="Y1224" s="46"/>
      <c r="Z1224" s="46"/>
    </row>
    <row r="1225">
      <c r="A1225" s="46"/>
      <c r="B1225" s="16"/>
      <c r="C1225" s="118"/>
      <c r="D1225" s="126"/>
      <c r="E1225" s="88"/>
      <c r="F1225" s="118"/>
      <c r="G1225" s="46"/>
      <c r="H1225" s="46"/>
      <c r="I1225" s="118"/>
      <c r="J1225" s="46"/>
      <c r="K1225" s="16"/>
      <c r="L1225" s="118"/>
      <c r="M1225" s="46"/>
      <c r="N1225" s="46"/>
      <c r="O1225" s="46"/>
      <c r="P1225" s="118"/>
      <c r="Q1225" s="46"/>
      <c r="R1225" s="46"/>
      <c r="S1225" s="46"/>
      <c r="T1225" s="46"/>
      <c r="U1225" s="118"/>
      <c r="V1225" s="46"/>
      <c r="W1225" s="88" t="str">
        <f>IF(V1225&lt;&gt;"",SUMIFS('📊 รายงานสินค้าคงเหลือ'!G:G,'📊 รายงานสินค้าคงเหลือ'!D:D,V1225),"")</f>
        <v/>
      </c>
      <c r="X1225" s="46"/>
      <c r="Y1225" s="46"/>
      <c r="Z1225" s="46"/>
    </row>
    <row r="1226">
      <c r="A1226" s="46"/>
      <c r="B1226" s="16"/>
      <c r="C1226" s="118"/>
      <c r="D1226" s="126"/>
      <c r="E1226" s="88"/>
      <c r="F1226" s="118"/>
      <c r="G1226" s="46"/>
      <c r="H1226" s="46"/>
      <c r="I1226" s="118"/>
      <c r="J1226" s="46"/>
      <c r="K1226" s="16"/>
      <c r="L1226" s="118"/>
      <c r="M1226" s="46"/>
      <c r="N1226" s="46"/>
      <c r="O1226" s="46"/>
      <c r="P1226" s="118"/>
      <c r="Q1226" s="46"/>
      <c r="R1226" s="46"/>
      <c r="S1226" s="46"/>
      <c r="T1226" s="46"/>
      <c r="U1226" s="118"/>
      <c r="V1226" s="46"/>
      <c r="W1226" s="88" t="str">
        <f>IF(V1226&lt;&gt;"",SUMIFS('📊 รายงานสินค้าคงเหลือ'!G:G,'📊 รายงานสินค้าคงเหลือ'!D:D,V1226),"")</f>
        <v/>
      </c>
      <c r="X1226" s="46"/>
      <c r="Y1226" s="46"/>
      <c r="Z1226" s="46"/>
    </row>
    <row r="1227">
      <c r="A1227" s="46"/>
      <c r="B1227" s="16"/>
      <c r="C1227" s="118"/>
      <c r="D1227" s="126"/>
      <c r="E1227" s="88"/>
      <c r="F1227" s="118"/>
      <c r="G1227" s="46"/>
      <c r="H1227" s="46"/>
      <c r="I1227" s="118"/>
      <c r="J1227" s="46"/>
      <c r="K1227" s="16"/>
      <c r="L1227" s="118"/>
      <c r="M1227" s="46"/>
      <c r="N1227" s="46"/>
      <c r="O1227" s="46"/>
      <c r="P1227" s="118"/>
      <c r="Q1227" s="46"/>
      <c r="R1227" s="46"/>
      <c r="S1227" s="46"/>
      <c r="T1227" s="46"/>
      <c r="U1227" s="118"/>
      <c r="V1227" s="46"/>
      <c r="W1227" s="88" t="str">
        <f>IF(V1227&lt;&gt;"",SUMIFS('📊 รายงานสินค้าคงเหลือ'!G:G,'📊 รายงานสินค้าคงเหลือ'!D:D,V1227),"")</f>
        <v/>
      </c>
      <c r="X1227" s="46"/>
      <c r="Y1227" s="46"/>
      <c r="Z1227" s="46"/>
    </row>
    <row r="1228">
      <c r="A1228" s="46"/>
      <c r="B1228" s="16"/>
      <c r="C1228" s="118"/>
      <c r="D1228" s="126"/>
      <c r="E1228" s="88"/>
      <c r="F1228" s="118"/>
      <c r="G1228" s="46"/>
      <c r="H1228" s="46"/>
      <c r="I1228" s="118"/>
      <c r="J1228" s="46"/>
      <c r="K1228" s="16"/>
      <c r="L1228" s="118"/>
      <c r="M1228" s="46"/>
      <c r="N1228" s="46"/>
      <c r="O1228" s="46"/>
      <c r="P1228" s="118"/>
      <c r="Q1228" s="46"/>
      <c r="R1228" s="46"/>
      <c r="S1228" s="46"/>
      <c r="T1228" s="46"/>
      <c r="U1228" s="118"/>
      <c r="V1228" s="46"/>
      <c r="W1228" s="88" t="str">
        <f>IF(V1228&lt;&gt;"",SUMIFS('📊 รายงานสินค้าคงเหลือ'!G:G,'📊 รายงานสินค้าคงเหลือ'!D:D,V1228),"")</f>
        <v/>
      </c>
      <c r="X1228" s="46"/>
      <c r="Y1228" s="46"/>
      <c r="Z1228" s="46"/>
    </row>
    <row r="1229">
      <c r="A1229" s="46"/>
      <c r="B1229" s="16"/>
      <c r="C1229" s="118"/>
      <c r="D1229" s="126"/>
      <c r="E1229" s="88"/>
      <c r="F1229" s="118"/>
      <c r="G1229" s="46"/>
      <c r="H1229" s="46"/>
      <c r="I1229" s="118"/>
      <c r="J1229" s="46"/>
      <c r="K1229" s="16"/>
      <c r="L1229" s="118"/>
      <c r="M1229" s="46"/>
      <c r="N1229" s="46"/>
      <c r="O1229" s="46"/>
      <c r="P1229" s="118"/>
      <c r="Q1229" s="46"/>
      <c r="R1229" s="46"/>
      <c r="S1229" s="46"/>
      <c r="T1229" s="46"/>
      <c r="U1229" s="118"/>
      <c r="V1229" s="46"/>
      <c r="W1229" s="88" t="str">
        <f>IF(V1229&lt;&gt;"",SUMIFS('📊 รายงานสินค้าคงเหลือ'!G:G,'📊 รายงานสินค้าคงเหลือ'!D:D,V1229),"")</f>
        <v/>
      </c>
      <c r="X1229" s="46"/>
      <c r="Y1229" s="46"/>
      <c r="Z1229" s="46"/>
    </row>
    <row r="1230">
      <c r="A1230" s="46"/>
      <c r="B1230" s="16"/>
      <c r="C1230" s="118"/>
      <c r="D1230" s="126"/>
      <c r="E1230" s="88"/>
      <c r="F1230" s="118"/>
      <c r="G1230" s="46"/>
      <c r="H1230" s="46"/>
      <c r="I1230" s="118"/>
      <c r="J1230" s="46"/>
      <c r="K1230" s="16"/>
      <c r="L1230" s="118"/>
      <c r="M1230" s="46"/>
      <c r="N1230" s="46"/>
      <c r="O1230" s="46"/>
      <c r="P1230" s="118"/>
      <c r="Q1230" s="46"/>
      <c r="R1230" s="46"/>
      <c r="S1230" s="46"/>
      <c r="T1230" s="46"/>
      <c r="U1230" s="118"/>
      <c r="V1230" s="46"/>
      <c r="W1230" s="88" t="str">
        <f>IF(V1230&lt;&gt;"",SUMIFS('📊 รายงานสินค้าคงเหลือ'!G:G,'📊 รายงานสินค้าคงเหลือ'!D:D,V1230),"")</f>
        <v/>
      </c>
      <c r="X1230" s="46"/>
      <c r="Y1230" s="46"/>
      <c r="Z1230" s="46"/>
    </row>
    <row r="1231">
      <c r="A1231" s="46"/>
      <c r="B1231" s="16"/>
      <c r="C1231" s="118"/>
      <c r="D1231" s="126"/>
      <c r="E1231" s="88"/>
      <c r="F1231" s="118"/>
      <c r="G1231" s="46"/>
      <c r="H1231" s="46"/>
      <c r="I1231" s="118"/>
      <c r="J1231" s="46"/>
      <c r="K1231" s="16"/>
      <c r="L1231" s="118"/>
      <c r="M1231" s="46"/>
      <c r="N1231" s="46"/>
      <c r="O1231" s="46"/>
      <c r="P1231" s="118"/>
      <c r="Q1231" s="46"/>
      <c r="R1231" s="46"/>
      <c r="S1231" s="46"/>
      <c r="T1231" s="46"/>
      <c r="U1231" s="118"/>
      <c r="V1231" s="46"/>
      <c r="W1231" s="88" t="str">
        <f>IF(V1231&lt;&gt;"",SUMIFS('📊 รายงานสินค้าคงเหลือ'!G:G,'📊 รายงานสินค้าคงเหลือ'!D:D,V1231),"")</f>
        <v/>
      </c>
      <c r="X1231" s="46"/>
      <c r="Y1231" s="46"/>
      <c r="Z1231" s="46"/>
    </row>
    <row r="1232">
      <c r="A1232" s="46"/>
      <c r="B1232" s="16"/>
      <c r="C1232" s="118"/>
      <c r="D1232" s="126"/>
      <c r="E1232" s="88"/>
      <c r="F1232" s="118"/>
      <c r="G1232" s="46"/>
      <c r="H1232" s="46"/>
      <c r="I1232" s="118"/>
      <c r="J1232" s="46"/>
      <c r="K1232" s="16"/>
      <c r="L1232" s="118"/>
      <c r="M1232" s="46"/>
      <c r="N1232" s="46"/>
      <c r="O1232" s="46"/>
      <c r="P1232" s="118"/>
      <c r="Q1232" s="46"/>
      <c r="R1232" s="46"/>
      <c r="S1232" s="46"/>
      <c r="T1232" s="46"/>
      <c r="U1232" s="118"/>
      <c r="V1232" s="46"/>
      <c r="W1232" s="88" t="str">
        <f>IF(V1232&lt;&gt;"",SUMIFS('📊 รายงานสินค้าคงเหลือ'!G:G,'📊 รายงานสินค้าคงเหลือ'!D:D,V1232),"")</f>
        <v/>
      </c>
      <c r="X1232" s="46"/>
      <c r="Y1232" s="46"/>
      <c r="Z1232" s="46"/>
    </row>
    <row r="1233">
      <c r="A1233" s="46"/>
      <c r="B1233" s="16"/>
      <c r="C1233" s="118"/>
      <c r="D1233" s="126"/>
      <c r="E1233" s="88"/>
      <c r="F1233" s="118"/>
      <c r="G1233" s="46"/>
      <c r="H1233" s="46"/>
      <c r="I1233" s="118"/>
      <c r="J1233" s="46"/>
      <c r="K1233" s="16"/>
      <c r="L1233" s="118"/>
      <c r="M1233" s="46"/>
      <c r="N1233" s="46"/>
      <c r="O1233" s="46"/>
      <c r="P1233" s="118"/>
      <c r="Q1233" s="46"/>
      <c r="R1233" s="46"/>
      <c r="S1233" s="46"/>
      <c r="T1233" s="46"/>
      <c r="U1233" s="118"/>
      <c r="V1233" s="46"/>
      <c r="W1233" s="88" t="str">
        <f>IF(V1233&lt;&gt;"",SUMIFS('📊 รายงานสินค้าคงเหลือ'!G:G,'📊 รายงานสินค้าคงเหลือ'!D:D,V1233),"")</f>
        <v/>
      </c>
      <c r="X1233" s="46"/>
      <c r="Y1233" s="46"/>
      <c r="Z1233" s="46"/>
    </row>
    <row r="1234">
      <c r="A1234" s="46"/>
      <c r="B1234" s="16"/>
      <c r="C1234" s="118"/>
      <c r="D1234" s="126"/>
      <c r="E1234" s="88"/>
      <c r="F1234" s="118"/>
      <c r="G1234" s="46"/>
      <c r="H1234" s="46"/>
      <c r="I1234" s="118"/>
      <c r="J1234" s="46"/>
      <c r="K1234" s="16"/>
      <c r="L1234" s="118"/>
      <c r="M1234" s="46"/>
      <c r="N1234" s="46"/>
      <c r="O1234" s="46"/>
      <c r="P1234" s="118"/>
      <c r="Q1234" s="46"/>
      <c r="R1234" s="46"/>
      <c r="S1234" s="46"/>
      <c r="T1234" s="46"/>
      <c r="U1234" s="118"/>
      <c r="V1234" s="46"/>
      <c r="W1234" s="88" t="str">
        <f>IF(V1234&lt;&gt;"",SUMIFS('📊 รายงานสินค้าคงเหลือ'!G:G,'📊 รายงานสินค้าคงเหลือ'!D:D,V1234),"")</f>
        <v/>
      </c>
      <c r="X1234" s="46"/>
      <c r="Y1234" s="46"/>
      <c r="Z1234" s="46"/>
    </row>
    <row r="1235">
      <c r="A1235" s="46"/>
      <c r="B1235" s="16"/>
      <c r="C1235" s="118"/>
      <c r="D1235" s="126"/>
      <c r="E1235" s="88"/>
      <c r="F1235" s="118"/>
      <c r="G1235" s="46"/>
      <c r="H1235" s="46"/>
      <c r="I1235" s="118"/>
      <c r="J1235" s="46"/>
      <c r="K1235" s="16"/>
      <c r="L1235" s="118"/>
      <c r="M1235" s="46"/>
      <c r="N1235" s="46"/>
      <c r="O1235" s="46"/>
      <c r="P1235" s="118"/>
      <c r="Q1235" s="46"/>
      <c r="R1235" s="46"/>
      <c r="S1235" s="46"/>
      <c r="T1235" s="46"/>
      <c r="U1235" s="118"/>
      <c r="V1235" s="46"/>
      <c r="W1235" s="88" t="str">
        <f>IF(V1235&lt;&gt;"",SUMIFS('📊 รายงานสินค้าคงเหลือ'!G:G,'📊 รายงานสินค้าคงเหลือ'!D:D,V1235),"")</f>
        <v/>
      </c>
      <c r="X1235" s="46"/>
      <c r="Y1235" s="46"/>
      <c r="Z1235" s="46"/>
    </row>
    <row r="1236">
      <c r="A1236" s="46"/>
      <c r="B1236" s="16"/>
      <c r="C1236" s="118"/>
      <c r="D1236" s="126"/>
      <c r="E1236" s="88"/>
      <c r="F1236" s="118"/>
      <c r="G1236" s="46"/>
      <c r="H1236" s="46"/>
      <c r="I1236" s="118"/>
      <c r="J1236" s="46"/>
      <c r="K1236" s="16"/>
      <c r="L1236" s="118"/>
      <c r="M1236" s="46"/>
      <c r="N1236" s="46"/>
      <c r="O1236" s="46"/>
      <c r="P1236" s="118"/>
      <c r="Q1236" s="46"/>
      <c r="R1236" s="46"/>
      <c r="S1236" s="46"/>
      <c r="T1236" s="46"/>
      <c r="U1236" s="118"/>
      <c r="V1236" s="46"/>
      <c r="W1236" s="88" t="str">
        <f>IF(V1236&lt;&gt;"",SUMIFS('📊 รายงานสินค้าคงเหลือ'!G:G,'📊 รายงานสินค้าคงเหลือ'!D:D,V1236),"")</f>
        <v/>
      </c>
      <c r="X1236" s="46"/>
      <c r="Y1236" s="46"/>
      <c r="Z1236" s="46"/>
    </row>
    <row r="1237">
      <c r="A1237" s="46"/>
      <c r="B1237" s="16"/>
      <c r="C1237" s="118"/>
      <c r="D1237" s="126"/>
      <c r="E1237" s="88"/>
      <c r="F1237" s="118"/>
      <c r="G1237" s="46"/>
      <c r="H1237" s="46"/>
      <c r="I1237" s="118"/>
      <c r="J1237" s="46"/>
      <c r="K1237" s="16"/>
      <c r="L1237" s="118"/>
      <c r="M1237" s="46"/>
      <c r="N1237" s="46"/>
      <c r="O1237" s="46"/>
      <c r="P1237" s="118"/>
      <c r="Q1237" s="46"/>
      <c r="R1237" s="46"/>
      <c r="S1237" s="46"/>
      <c r="T1237" s="46"/>
      <c r="U1237" s="118"/>
      <c r="V1237" s="46"/>
      <c r="W1237" s="88" t="str">
        <f>IF(V1237&lt;&gt;"",SUMIFS('📊 รายงานสินค้าคงเหลือ'!G:G,'📊 รายงานสินค้าคงเหลือ'!D:D,V1237),"")</f>
        <v/>
      </c>
      <c r="X1237" s="46"/>
      <c r="Y1237" s="46"/>
      <c r="Z1237" s="46"/>
    </row>
    <row r="1238">
      <c r="A1238" s="46"/>
      <c r="B1238" s="16"/>
      <c r="C1238" s="118"/>
      <c r="D1238" s="126"/>
      <c r="E1238" s="88"/>
      <c r="F1238" s="118"/>
      <c r="G1238" s="46"/>
      <c r="H1238" s="46"/>
      <c r="I1238" s="118"/>
      <c r="J1238" s="46"/>
      <c r="K1238" s="16"/>
      <c r="L1238" s="118"/>
      <c r="M1238" s="46"/>
      <c r="N1238" s="46"/>
      <c r="O1238" s="46"/>
      <c r="P1238" s="118"/>
      <c r="Q1238" s="46"/>
      <c r="R1238" s="46"/>
      <c r="S1238" s="46"/>
      <c r="T1238" s="46"/>
      <c r="U1238" s="118"/>
      <c r="V1238" s="46"/>
      <c r="W1238" s="88" t="str">
        <f>IF(V1238&lt;&gt;"",SUMIFS('📊 รายงานสินค้าคงเหลือ'!G:G,'📊 รายงานสินค้าคงเหลือ'!D:D,V1238),"")</f>
        <v/>
      </c>
      <c r="X1238" s="46"/>
      <c r="Y1238" s="46"/>
      <c r="Z1238" s="46"/>
    </row>
    <row r="1239">
      <c r="A1239" s="46"/>
      <c r="B1239" s="16"/>
      <c r="C1239" s="118"/>
      <c r="D1239" s="126"/>
      <c r="E1239" s="88"/>
      <c r="F1239" s="118"/>
      <c r="G1239" s="46"/>
      <c r="H1239" s="46"/>
      <c r="I1239" s="118"/>
      <c r="J1239" s="46"/>
      <c r="K1239" s="16"/>
      <c r="L1239" s="118"/>
      <c r="M1239" s="46"/>
      <c r="N1239" s="46"/>
      <c r="O1239" s="46"/>
      <c r="P1239" s="118"/>
      <c r="Q1239" s="46"/>
      <c r="R1239" s="46"/>
      <c r="S1239" s="46"/>
      <c r="T1239" s="46"/>
      <c r="U1239" s="118"/>
      <c r="V1239" s="46"/>
      <c r="W1239" s="88" t="str">
        <f>IF(V1239&lt;&gt;"",SUMIFS('📊 รายงานสินค้าคงเหลือ'!G:G,'📊 รายงานสินค้าคงเหลือ'!D:D,V1239),"")</f>
        <v/>
      </c>
      <c r="X1239" s="46"/>
      <c r="Y1239" s="46"/>
      <c r="Z1239" s="46"/>
    </row>
    <row r="1240">
      <c r="A1240" s="46"/>
      <c r="B1240" s="16"/>
      <c r="C1240" s="118"/>
      <c r="D1240" s="126"/>
      <c r="E1240" s="88"/>
      <c r="F1240" s="118"/>
      <c r="G1240" s="46"/>
      <c r="H1240" s="46"/>
      <c r="I1240" s="118"/>
      <c r="J1240" s="46"/>
      <c r="K1240" s="16"/>
      <c r="L1240" s="118"/>
      <c r="M1240" s="46"/>
      <c r="N1240" s="46"/>
      <c r="O1240" s="46"/>
      <c r="P1240" s="118"/>
      <c r="Q1240" s="46"/>
      <c r="R1240" s="46"/>
      <c r="S1240" s="46"/>
      <c r="T1240" s="46"/>
      <c r="U1240" s="118"/>
      <c r="V1240" s="46"/>
      <c r="W1240" s="88" t="str">
        <f>IF(V1240&lt;&gt;"",SUMIFS('📊 รายงานสินค้าคงเหลือ'!G:G,'📊 รายงานสินค้าคงเหลือ'!D:D,V1240),"")</f>
        <v/>
      </c>
      <c r="X1240" s="46"/>
      <c r="Y1240" s="46"/>
      <c r="Z1240" s="46"/>
    </row>
    <row r="1241">
      <c r="A1241" s="46"/>
      <c r="B1241" s="16"/>
      <c r="C1241" s="118"/>
      <c r="D1241" s="126"/>
      <c r="E1241" s="88"/>
      <c r="F1241" s="118"/>
      <c r="G1241" s="46"/>
      <c r="H1241" s="46"/>
      <c r="I1241" s="118"/>
      <c r="J1241" s="46"/>
      <c r="K1241" s="16"/>
      <c r="L1241" s="118"/>
      <c r="M1241" s="46"/>
      <c r="N1241" s="46"/>
      <c r="O1241" s="46"/>
      <c r="P1241" s="118"/>
      <c r="Q1241" s="46"/>
      <c r="R1241" s="46"/>
      <c r="S1241" s="46"/>
      <c r="T1241" s="46"/>
      <c r="U1241" s="118"/>
      <c r="V1241" s="46"/>
      <c r="W1241" s="88" t="str">
        <f>IF(V1241&lt;&gt;"",SUMIFS('📊 รายงานสินค้าคงเหลือ'!G:G,'📊 รายงานสินค้าคงเหลือ'!D:D,V1241),"")</f>
        <v/>
      </c>
      <c r="X1241" s="46"/>
      <c r="Y1241" s="46"/>
      <c r="Z1241" s="46"/>
    </row>
    <row r="1242">
      <c r="A1242" s="46"/>
      <c r="B1242" s="16"/>
      <c r="C1242" s="118"/>
      <c r="D1242" s="126"/>
      <c r="E1242" s="88"/>
      <c r="F1242" s="118"/>
      <c r="G1242" s="46"/>
      <c r="H1242" s="46"/>
      <c r="I1242" s="118"/>
      <c r="J1242" s="46"/>
      <c r="K1242" s="16"/>
      <c r="L1242" s="118"/>
      <c r="M1242" s="46"/>
      <c r="N1242" s="46"/>
      <c r="O1242" s="46"/>
      <c r="P1242" s="118"/>
      <c r="Q1242" s="46"/>
      <c r="R1242" s="46"/>
      <c r="S1242" s="46"/>
      <c r="T1242" s="46"/>
      <c r="U1242" s="118"/>
      <c r="V1242" s="46"/>
      <c r="W1242" s="88" t="str">
        <f>IF(V1242&lt;&gt;"",SUMIFS('📊 รายงานสินค้าคงเหลือ'!G:G,'📊 รายงานสินค้าคงเหลือ'!D:D,V1242),"")</f>
        <v/>
      </c>
      <c r="X1242" s="46"/>
      <c r="Y1242" s="46"/>
      <c r="Z1242" s="46"/>
    </row>
    <row r="1243">
      <c r="A1243" s="46"/>
      <c r="B1243" s="16"/>
      <c r="C1243" s="118"/>
      <c r="D1243" s="126"/>
      <c r="E1243" s="88"/>
      <c r="F1243" s="118"/>
      <c r="G1243" s="46"/>
      <c r="H1243" s="46"/>
      <c r="I1243" s="118"/>
      <c r="J1243" s="46"/>
      <c r="K1243" s="16"/>
      <c r="L1243" s="118"/>
      <c r="M1243" s="46"/>
      <c r="N1243" s="46"/>
      <c r="O1243" s="46"/>
      <c r="P1243" s="118"/>
      <c r="Q1243" s="46"/>
      <c r="R1243" s="46"/>
      <c r="S1243" s="46"/>
      <c r="T1243" s="46"/>
      <c r="U1243" s="118"/>
      <c r="V1243" s="46"/>
      <c r="W1243" s="88" t="str">
        <f>IF(V1243&lt;&gt;"",SUMIFS('📊 รายงานสินค้าคงเหลือ'!G:G,'📊 รายงานสินค้าคงเหลือ'!D:D,V1243),"")</f>
        <v/>
      </c>
      <c r="X1243" s="46"/>
      <c r="Y1243" s="46"/>
      <c r="Z1243" s="46"/>
    </row>
    <row r="1244">
      <c r="A1244" s="46"/>
      <c r="B1244" s="16"/>
      <c r="C1244" s="118"/>
      <c r="D1244" s="126"/>
      <c r="E1244" s="88"/>
      <c r="F1244" s="118"/>
      <c r="G1244" s="46"/>
      <c r="H1244" s="46"/>
      <c r="I1244" s="118"/>
      <c r="J1244" s="46"/>
      <c r="K1244" s="16"/>
      <c r="L1244" s="118"/>
      <c r="M1244" s="46"/>
      <c r="N1244" s="46"/>
      <c r="O1244" s="46"/>
      <c r="P1244" s="118"/>
      <c r="Q1244" s="46"/>
      <c r="R1244" s="46"/>
      <c r="S1244" s="46"/>
      <c r="T1244" s="46"/>
      <c r="U1244" s="118"/>
      <c r="V1244" s="46"/>
      <c r="W1244" s="88" t="str">
        <f>IF(V1244&lt;&gt;"",SUMIFS('📊 รายงานสินค้าคงเหลือ'!G:G,'📊 รายงานสินค้าคงเหลือ'!D:D,V1244),"")</f>
        <v/>
      </c>
      <c r="X1244" s="46"/>
      <c r="Y1244" s="46"/>
      <c r="Z1244" s="46"/>
    </row>
    <row r="1245">
      <c r="A1245" s="46"/>
      <c r="B1245" s="16"/>
      <c r="C1245" s="118"/>
      <c r="D1245" s="126"/>
      <c r="E1245" s="88"/>
      <c r="F1245" s="118"/>
      <c r="G1245" s="46"/>
      <c r="H1245" s="46"/>
      <c r="I1245" s="118"/>
      <c r="J1245" s="46"/>
      <c r="K1245" s="16"/>
      <c r="L1245" s="118"/>
      <c r="M1245" s="46"/>
      <c r="N1245" s="46"/>
      <c r="O1245" s="46"/>
      <c r="P1245" s="118"/>
      <c r="Q1245" s="46"/>
      <c r="R1245" s="46"/>
      <c r="S1245" s="46"/>
      <c r="T1245" s="46"/>
      <c r="U1245" s="118"/>
      <c r="V1245" s="46"/>
      <c r="W1245" s="88" t="str">
        <f>IF(V1245&lt;&gt;"",SUMIFS('📊 รายงานสินค้าคงเหลือ'!G:G,'📊 รายงานสินค้าคงเหลือ'!D:D,V1245),"")</f>
        <v/>
      </c>
      <c r="X1245" s="46"/>
      <c r="Y1245" s="46"/>
      <c r="Z1245" s="46"/>
    </row>
    <row r="1246">
      <c r="A1246" s="46"/>
      <c r="B1246" s="16"/>
      <c r="C1246" s="118"/>
      <c r="D1246" s="126"/>
      <c r="E1246" s="88"/>
      <c r="F1246" s="118"/>
      <c r="G1246" s="46"/>
      <c r="H1246" s="46"/>
      <c r="I1246" s="118"/>
      <c r="J1246" s="46"/>
      <c r="K1246" s="16"/>
      <c r="L1246" s="118"/>
      <c r="M1246" s="46"/>
      <c r="N1246" s="46"/>
      <c r="O1246" s="46"/>
      <c r="P1246" s="118"/>
      <c r="Q1246" s="46"/>
      <c r="R1246" s="46"/>
      <c r="S1246" s="46"/>
      <c r="T1246" s="46"/>
      <c r="U1246" s="118"/>
      <c r="V1246" s="46"/>
      <c r="W1246" s="88" t="str">
        <f>IF(V1246&lt;&gt;"",SUMIFS('📊 รายงานสินค้าคงเหลือ'!G:G,'📊 รายงานสินค้าคงเหลือ'!D:D,V1246),"")</f>
        <v/>
      </c>
      <c r="X1246" s="46"/>
      <c r="Y1246" s="46"/>
      <c r="Z1246" s="46"/>
    </row>
    <row r="1247">
      <c r="A1247" s="46"/>
      <c r="B1247" s="16"/>
      <c r="C1247" s="118"/>
      <c r="D1247" s="126"/>
      <c r="E1247" s="88"/>
      <c r="F1247" s="118"/>
      <c r="G1247" s="46"/>
      <c r="H1247" s="46"/>
      <c r="I1247" s="118"/>
      <c r="J1247" s="46"/>
      <c r="K1247" s="16"/>
      <c r="L1247" s="118"/>
      <c r="M1247" s="46"/>
      <c r="N1247" s="46"/>
      <c r="O1247" s="46"/>
      <c r="P1247" s="118"/>
      <c r="Q1247" s="46"/>
      <c r="R1247" s="46"/>
      <c r="S1247" s="46"/>
      <c r="T1247" s="46"/>
      <c r="U1247" s="118"/>
      <c r="V1247" s="46"/>
      <c r="W1247" s="88" t="str">
        <f>IF(V1247&lt;&gt;"",SUMIFS('📊 รายงานสินค้าคงเหลือ'!G:G,'📊 รายงานสินค้าคงเหลือ'!D:D,V1247),"")</f>
        <v/>
      </c>
      <c r="X1247" s="46"/>
      <c r="Y1247" s="46"/>
      <c r="Z1247" s="46"/>
    </row>
    <row r="1248">
      <c r="A1248" s="46"/>
      <c r="B1248" s="16"/>
      <c r="C1248" s="118"/>
      <c r="D1248" s="126"/>
      <c r="E1248" s="88"/>
      <c r="F1248" s="118"/>
      <c r="G1248" s="46"/>
      <c r="H1248" s="46"/>
      <c r="I1248" s="118"/>
      <c r="J1248" s="46"/>
      <c r="K1248" s="16"/>
      <c r="L1248" s="118"/>
      <c r="M1248" s="46"/>
      <c r="N1248" s="46"/>
      <c r="O1248" s="46"/>
      <c r="P1248" s="118"/>
      <c r="Q1248" s="46"/>
      <c r="R1248" s="46"/>
      <c r="S1248" s="46"/>
      <c r="T1248" s="46"/>
      <c r="U1248" s="118"/>
      <c r="V1248" s="46"/>
      <c r="W1248" s="88" t="str">
        <f>IF(V1248&lt;&gt;"",SUMIFS('📊 รายงานสินค้าคงเหลือ'!G:G,'📊 รายงานสินค้าคงเหลือ'!D:D,V1248),"")</f>
        <v/>
      </c>
      <c r="X1248" s="46"/>
      <c r="Y1248" s="46"/>
      <c r="Z1248" s="46"/>
    </row>
    <row r="1249">
      <c r="A1249" s="46"/>
      <c r="B1249" s="16"/>
      <c r="C1249" s="118"/>
      <c r="D1249" s="126"/>
      <c r="E1249" s="88"/>
      <c r="F1249" s="118"/>
      <c r="G1249" s="46"/>
      <c r="H1249" s="46"/>
      <c r="I1249" s="118"/>
      <c r="J1249" s="46"/>
      <c r="K1249" s="16"/>
      <c r="L1249" s="118"/>
      <c r="M1249" s="46"/>
      <c r="N1249" s="46"/>
      <c r="O1249" s="46"/>
      <c r="P1249" s="118"/>
      <c r="Q1249" s="46"/>
      <c r="R1249" s="46"/>
      <c r="S1249" s="46"/>
      <c r="T1249" s="46"/>
      <c r="U1249" s="118"/>
      <c r="V1249" s="46"/>
      <c r="W1249" s="88" t="str">
        <f>IF(V1249&lt;&gt;"",SUMIFS('📊 รายงานสินค้าคงเหลือ'!G:G,'📊 รายงานสินค้าคงเหลือ'!D:D,V1249),"")</f>
        <v/>
      </c>
      <c r="X1249" s="46"/>
      <c r="Y1249" s="46"/>
      <c r="Z1249" s="46"/>
    </row>
    <row r="1250">
      <c r="A1250" s="46"/>
      <c r="B1250" s="16"/>
      <c r="C1250" s="118"/>
      <c r="D1250" s="126"/>
      <c r="E1250" s="88"/>
      <c r="F1250" s="118"/>
      <c r="G1250" s="46"/>
      <c r="H1250" s="46"/>
      <c r="I1250" s="118"/>
      <c r="J1250" s="46"/>
      <c r="K1250" s="16"/>
      <c r="L1250" s="118"/>
      <c r="M1250" s="46"/>
      <c r="N1250" s="46"/>
      <c r="O1250" s="46"/>
      <c r="P1250" s="118"/>
      <c r="Q1250" s="46"/>
      <c r="R1250" s="46"/>
      <c r="S1250" s="46"/>
      <c r="T1250" s="46"/>
      <c r="U1250" s="118"/>
      <c r="V1250" s="46"/>
      <c r="W1250" s="88" t="str">
        <f>IF(V1250&lt;&gt;"",SUMIFS('📊 รายงานสินค้าคงเหลือ'!G:G,'📊 รายงานสินค้าคงเหลือ'!D:D,V1250),"")</f>
        <v/>
      </c>
      <c r="X1250" s="46"/>
      <c r="Y1250" s="46"/>
      <c r="Z1250" s="46"/>
    </row>
    <row r="1251">
      <c r="A1251" s="46"/>
      <c r="B1251" s="16"/>
      <c r="C1251" s="118"/>
      <c r="D1251" s="126"/>
      <c r="E1251" s="88"/>
      <c r="F1251" s="118"/>
      <c r="G1251" s="46"/>
      <c r="H1251" s="46"/>
      <c r="I1251" s="118"/>
      <c r="J1251" s="46"/>
      <c r="K1251" s="16"/>
      <c r="L1251" s="118"/>
      <c r="M1251" s="46"/>
      <c r="N1251" s="46"/>
      <c r="O1251" s="46"/>
      <c r="P1251" s="118"/>
      <c r="Q1251" s="46"/>
      <c r="R1251" s="46"/>
      <c r="S1251" s="46"/>
      <c r="T1251" s="46"/>
      <c r="U1251" s="118"/>
      <c r="V1251" s="46"/>
      <c r="W1251" s="88" t="str">
        <f>IF(V1251&lt;&gt;"",SUMIFS('📊 รายงานสินค้าคงเหลือ'!G:G,'📊 รายงานสินค้าคงเหลือ'!D:D,V1251),"")</f>
        <v/>
      </c>
      <c r="X1251" s="46"/>
      <c r="Y1251" s="46"/>
      <c r="Z1251" s="46"/>
    </row>
    <row r="1252">
      <c r="A1252" s="46"/>
      <c r="B1252" s="16"/>
      <c r="C1252" s="118"/>
      <c r="D1252" s="126"/>
      <c r="E1252" s="88"/>
      <c r="F1252" s="118"/>
      <c r="G1252" s="46"/>
      <c r="H1252" s="46"/>
      <c r="I1252" s="118"/>
      <c r="J1252" s="46"/>
      <c r="K1252" s="16"/>
      <c r="L1252" s="118"/>
      <c r="M1252" s="46"/>
      <c r="N1252" s="46"/>
      <c r="O1252" s="46"/>
      <c r="P1252" s="118"/>
      <c r="Q1252" s="46"/>
      <c r="R1252" s="46"/>
      <c r="S1252" s="46"/>
      <c r="T1252" s="46"/>
      <c r="U1252" s="118"/>
      <c r="V1252" s="46"/>
      <c r="W1252" s="88" t="str">
        <f>IF(V1252&lt;&gt;"",SUMIFS('📊 รายงานสินค้าคงเหลือ'!G:G,'📊 รายงานสินค้าคงเหลือ'!D:D,V1252),"")</f>
        <v/>
      </c>
      <c r="X1252" s="46"/>
      <c r="Y1252" s="46"/>
      <c r="Z1252" s="46"/>
    </row>
    <row r="1253">
      <c r="A1253" s="46"/>
      <c r="B1253" s="16"/>
      <c r="C1253" s="118"/>
      <c r="D1253" s="126"/>
      <c r="E1253" s="88"/>
      <c r="F1253" s="118"/>
      <c r="G1253" s="46"/>
      <c r="H1253" s="46"/>
      <c r="I1253" s="118"/>
      <c r="J1253" s="46"/>
      <c r="K1253" s="16"/>
      <c r="L1253" s="118"/>
      <c r="M1253" s="46"/>
      <c r="N1253" s="46"/>
      <c r="O1253" s="46"/>
      <c r="P1253" s="118"/>
      <c r="Q1253" s="46"/>
      <c r="R1253" s="46"/>
      <c r="S1253" s="46"/>
      <c r="T1253" s="46"/>
      <c r="U1253" s="118"/>
      <c r="V1253" s="46"/>
      <c r="W1253" s="88" t="str">
        <f>IF(V1253&lt;&gt;"",SUMIFS('📊 รายงานสินค้าคงเหลือ'!G:G,'📊 รายงานสินค้าคงเหลือ'!D:D,V1253),"")</f>
        <v/>
      </c>
      <c r="X1253" s="46"/>
      <c r="Y1253" s="46"/>
      <c r="Z1253" s="46"/>
    </row>
    <row r="1254">
      <c r="A1254" s="46"/>
      <c r="B1254" s="16"/>
      <c r="C1254" s="118"/>
      <c r="D1254" s="126"/>
      <c r="E1254" s="88"/>
      <c r="F1254" s="118"/>
      <c r="G1254" s="46"/>
      <c r="H1254" s="46"/>
      <c r="I1254" s="118"/>
      <c r="J1254" s="46"/>
      <c r="K1254" s="16"/>
      <c r="L1254" s="118"/>
      <c r="M1254" s="46"/>
      <c r="N1254" s="46"/>
      <c r="O1254" s="46"/>
      <c r="P1254" s="118"/>
      <c r="Q1254" s="46"/>
      <c r="R1254" s="46"/>
      <c r="S1254" s="46"/>
      <c r="T1254" s="46"/>
      <c r="U1254" s="118"/>
      <c r="V1254" s="46"/>
      <c r="W1254" s="88" t="str">
        <f>IF(V1254&lt;&gt;"",SUMIFS('📊 รายงานสินค้าคงเหลือ'!G:G,'📊 รายงานสินค้าคงเหลือ'!D:D,V1254),"")</f>
        <v/>
      </c>
      <c r="X1254" s="46"/>
      <c r="Y1254" s="46"/>
      <c r="Z1254" s="46"/>
    </row>
    <row r="1255">
      <c r="A1255" s="46"/>
      <c r="B1255" s="16"/>
      <c r="C1255" s="118"/>
      <c r="D1255" s="126"/>
      <c r="E1255" s="88"/>
      <c r="F1255" s="118"/>
      <c r="G1255" s="46"/>
      <c r="H1255" s="46"/>
      <c r="I1255" s="118"/>
      <c r="J1255" s="46"/>
      <c r="K1255" s="16"/>
      <c r="L1255" s="118"/>
      <c r="M1255" s="46"/>
      <c r="N1255" s="46"/>
      <c r="O1255" s="46"/>
      <c r="P1255" s="118"/>
      <c r="Q1255" s="46"/>
      <c r="R1255" s="46"/>
      <c r="S1255" s="46"/>
      <c r="T1255" s="46"/>
      <c r="U1255" s="118"/>
      <c r="V1255" s="46"/>
      <c r="W1255" s="88" t="str">
        <f>IF(V1255&lt;&gt;"",SUMIFS('📊 รายงานสินค้าคงเหลือ'!G:G,'📊 รายงานสินค้าคงเหลือ'!D:D,V1255),"")</f>
        <v/>
      </c>
      <c r="X1255" s="46"/>
      <c r="Y1255" s="46"/>
      <c r="Z1255" s="46"/>
    </row>
    <row r="1256">
      <c r="A1256" s="46"/>
      <c r="B1256" s="16"/>
      <c r="C1256" s="118"/>
      <c r="D1256" s="126"/>
      <c r="E1256" s="88"/>
      <c r="F1256" s="118"/>
      <c r="G1256" s="46"/>
      <c r="H1256" s="46"/>
      <c r="I1256" s="118"/>
      <c r="J1256" s="46"/>
      <c r="K1256" s="16"/>
      <c r="L1256" s="118"/>
      <c r="M1256" s="46"/>
      <c r="N1256" s="46"/>
      <c r="O1256" s="46"/>
      <c r="P1256" s="118"/>
      <c r="Q1256" s="46"/>
      <c r="R1256" s="46"/>
      <c r="S1256" s="46"/>
      <c r="T1256" s="46"/>
      <c r="U1256" s="118"/>
      <c r="V1256" s="46"/>
      <c r="W1256" s="88" t="str">
        <f>IF(V1256&lt;&gt;"",SUMIFS('📊 รายงานสินค้าคงเหลือ'!G:G,'📊 รายงานสินค้าคงเหลือ'!D:D,V1256),"")</f>
        <v/>
      </c>
      <c r="X1256" s="46"/>
      <c r="Y1256" s="46"/>
      <c r="Z1256" s="46"/>
    </row>
    <row r="1257">
      <c r="A1257" s="46"/>
      <c r="B1257" s="16"/>
      <c r="C1257" s="118"/>
      <c r="D1257" s="126"/>
      <c r="E1257" s="88"/>
      <c r="F1257" s="118"/>
      <c r="G1257" s="46"/>
      <c r="H1257" s="46"/>
      <c r="I1257" s="118"/>
      <c r="J1257" s="46"/>
      <c r="K1257" s="16"/>
      <c r="L1257" s="118"/>
      <c r="M1257" s="46"/>
      <c r="N1257" s="46"/>
      <c r="O1257" s="46"/>
      <c r="P1257" s="118"/>
      <c r="Q1257" s="46"/>
      <c r="R1257" s="46"/>
      <c r="S1257" s="46"/>
      <c r="T1257" s="46"/>
      <c r="U1257" s="118"/>
      <c r="V1257" s="46"/>
      <c r="W1257" s="88" t="str">
        <f>IF(V1257&lt;&gt;"",SUMIFS('📊 รายงานสินค้าคงเหลือ'!G:G,'📊 รายงานสินค้าคงเหลือ'!D:D,V1257),"")</f>
        <v/>
      </c>
      <c r="X1257" s="46"/>
      <c r="Y1257" s="46"/>
      <c r="Z1257" s="46"/>
    </row>
    <row r="1258">
      <c r="A1258" s="46"/>
      <c r="B1258" s="16"/>
      <c r="C1258" s="118"/>
      <c r="D1258" s="126"/>
      <c r="E1258" s="88"/>
      <c r="F1258" s="118"/>
      <c r="G1258" s="46"/>
      <c r="H1258" s="46"/>
      <c r="I1258" s="118"/>
      <c r="J1258" s="46"/>
      <c r="K1258" s="16"/>
      <c r="L1258" s="118"/>
      <c r="M1258" s="46"/>
      <c r="N1258" s="46"/>
      <c r="O1258" s="46"/>
      <c r="P1258" s="118"/>
      <c r="Q1258" s="46"/>
      <c r="R1258" s="46"/>
      <c r="S1258" s="46"/>
      <c r="T1258" s="46"/>
      <c r="U1258" s="118"/>
      <c r="V1258" s="46"/>
      <c r="W1258" s="88" t="str">
        <f>IF(V1258&lt;&gt;"",SUMIFS('📊 รายงานสินค้าคงเหลือ'!G:G,'📊 รายงานสินค้าคงเหลือ'!D:D,V1258),"")</f>
        <v/>
      </c>
      <c r="X1258" s="46"/>
      <c r="Y1258" s="46"/>
      <c r="Z1258" s="46"/>
    </row>
    <row r="1259">
      <c r="A1259" s="46"/>
      <c r="B1259" s="16"/>
      <c r="C1259" s="118"/>
      <c r="D1259" s="126"/>
      <c r="E1259" s="88"/>
      <c r="F1259" s="118"/>
      <c r="G1259" s="46"/>
      <c r="H1259" s="46"/>
      <c r="I1259" s="118"/>
      <c r="J1259" s="46"/>
      <c r="K1259" s="16"/>
      <c r="L1259" s="118"/>
      <c r="M1259" s="46"/>
      <c r="N1259" s="46"/>
      <c r="O1259" s="46"/>
      <c r="P1259" s="118"/>
      <c r="Q1259" s="46"/>
      <c r="R1259" s="46"/>
      <c r="S1259" s="46"/>
      <c r="T1259" s="46"/>
      <c r="U1259" s="118"/>
      <c r="V1259" s="46"/>
      <c r="W1259" s="88" t="str">
        <f>IF(V1259&lt;&gt;"",SUMIFS('📊 รายงานสินค้าคงเหลือ'!G:G,'📊 รายงานสินค้าคงเหลือ'!D:D,V1259),"")</f>
        <v/>
      </c>
      <c r="X1259" s="46"/>
      <c r="Y1259" s="46"/>
      <c r="Z1259" s="46"/>
    </row>
    <row r="1260">
      <c r="A1260" s="46"/>
      <c r="B1260" s="16"/>
      <c r="C1260" s="118"/>
      <c r="D1260" s="126"/>
      <c r="E1260" s="88"/>
      <c r="F1260" s="118"/>
      <c r="G1260" s="46"/>
      <c r="H1260" s="46"/>
      <c r="I1260" s="118"/>
      <c r="J1260" s="46"/>
      <c r="K1260" s="16"/>
      <c r="L1260" s="118"/>
      <c r="M1260" s="46"/>
      <c r="N1260" s="46"/>
      <c r="O1260" s="46"/>
      <c r="P1260" s="118"/>
      <c r="Q1260" s="46"/>
      <c r="R1260" s="46"/>
      <c r="S1260" s="46"/>
      <c r="T1260" s="46"/>
      <c r="U1260" s="118"/>
      <c r="V1260" s="46"/>
      <c r="W1260" s="88" t="str">
        <f>IF(V1260&lt;&gt;"",SUMIFS('📊 รายงานสินค้าคงเหลือ'!G:G,'📊 รายงานสินค้าคงเหลือ'!D:D,V1260),"")</f>
        <v/>
      </c>
      <c r="X1260" s="46"/>
      <c r="Y1260" s="46"/>
      <c r="Z1260" s="46"/>
    </row>
    <row r="1261">
      <c r="A1261" s="46"/>
      <c r="B1261" s="16"/>
      <c r="C1261" s="118"/>
      <c r="D1261" s="126"/>
      <c r="E1261" s="88"/>
      <c r="F1261" s="118"/>
      <c r="G1261" s="46"/>
      <c r="H1261" s="46"/>
      <c r="I1261" s="118"/>
      <c r="J1261" s="46"/>
      <c r="K1261" s="16"/>
      <c r="L1261" s="118"/>
      <c r="M1261" s="46"/>
      <c r="N1261" s="46"/>
      <c r="O1261" s="46"/>
      <c r="P1261" s="118"/>
      <c r="Q1261" s="46"/>
      <c r="R1261" s="46"/>
      <c r="S1261" s="46"/>
      <c r="T1261" s="46"/>
      <c r="U1261" s="118"/>
      <c r="V1261" s="46"/>
      <c r="W1261" s="88" t="str">
        <f>IF(V1261&lt;&gt;"",SUMIFS('📊 รายงานสินค้าคงเหลือ'!G:G,'📊 รายงานสินค้าคงเหลือ'!D:D,V1261),"")</f>
        <v/>
      </c>
      <c r="X1261" s="46"/>
      <c r="Y1261" s="46"/>
      <c r="Z1261" s="46"/>
    </row>
    <row r="1262">
      <c r="A1262" s="46"/>
      <c r="B1262" s="16"/>
      <c r="C1262" s="118"/>
      <c r="D1262" s="126"/>
      <c r="E1262" s="88"/>
      <c r="F1262" s="118"/>
      <c r="G1262" s="46"/>
      <c r="H1262" s="46"/>
      <c r="I1262" s="118"/>
      <c r="J1262" s="46"/>
      <c r="K1262" s="16"/>
      <c r="L1262" s="118"/>
      <c r="M1262" s="46"/>
      <c r="N1262" s="46"/>
      <c r="O1262" s="46"/>
      <c r="P1262" s="118"/>
      <c r="Q1262" s="46"/>
      <c r="R1262" s="46"/>
      <c r="S1262" s="46"/>
      <c r="T1262" s="46"/>
      <c r="U1262" s="118"/>
      <c r="V1262" s="46"/>
      <c r="W1262" s="88" t="str">
        <f>IF(V1262&lt;&gt;"",SUMIFS('📊 รายงานสินค้าคงเหลือ'!G:G,'📊 รายงานสินค้าคงเหลือ'!D:D,V1262),"")</f>
        <v/>
      </c>
      <c r="X1262" s="46"/>
      <c r="Y1262" s="46"/>
      <c r="Z1262" s="46"/>
    </row>
    <row r="1263">
      <c r="A1263" s="46"/>
      <c r="B1263" s="16"/>
      <c r="C1263" s="118"/>
      <c r="D1263" s="126"/>
      <c r="E1263" s="88"/>
      <c r="F1263" s="118"/>
      <c r="G1263" s="46"/>
      <c r="H1263" s="46"/>
      <c r="I1263" s="118"/>
      <c r="J1263" s="46"/>
      <c r="K1263" s="16"/>
      <c r="L1263" s="118"/>
      <c r="M1263" s="46"/>
      <c r="N1263" s="46"/>
      <c r="O1263" s="46"/>
      <c r="P1263" s="118"/>
      <c r="Q1263" s="46"/>
      <c r="R1263" s="46"/>
      <c r="S1263" s="46"/>
      <c r="T1263" s="46"/>
      <c r="U1263" s="118"/>
      <c r="V1263" s="46"/>
      <c r="W1263" s="88" t="str">
        <f>IF(V1263&lt;&gt;"",SUMIFS('📊 รายงานสินค้าคงเหลือ'!G:G,'📊 รายงานสินค้าคงเหลือ'!D:D,V1263),"")</f>
        <v/>
      </c>
      <c r="X1263" s="46"/>
      <c r="Y1263" s="46"/>
      <c r="Z1263" s="46"/>
    </row>
    <row r="1264">
      <c r="A1264" s="46"/>
      <c r="B1264" s="16"/>
      <c r="C1264" s="118"/>
      <c r="D1264" s="126"/>
      <c r="E1264" s="88"/>
      <c r="F1264" s="118"/>
      <c r="G1264" s="46"/>
      <c r="H1264" s="46"/>
      <c r="I1264" s="118"/>
      <c r="J1264" s="46"/>
      <c r="K1264" s="16"/>
      <c r="L1264" s="118"/>
      <c r="M1264" s="46"/>
      <c r="N1264" s="46"/>
      <c r="O1264" s="46"/>
      <c r="P1264" s="118"/>
      <c r="Q1264" s="46"/>
      <c r="R1264" s="46"/>
      <c r="S1264" s="46"/>
      <c r="T1264" s="46"/>
      <c r="U1264" s="118"/>
      <c r="V1264" s="46"/>
      <c r="W1264" s="88" t="str">
        <f>IF(V1264&lt;&gt;"",SUMIFS('📊 รายงานสินค้าคงเหลือ'!G:G,'📊 รายงานสินค้าคงเหลือ'!D:D,V1264),"")</f>
        <v/>
      </c>
      <c r="X1264" s="46"/>
      <c r="Y1264" s="46"/>
      <c r="Z1264" s="46"/>
    </row>
    <row r="1265">
      <c r="A1265" s="46"/>
      <c r="B1265" s="16"/>
      <c r="C1265" s="118"/>
      <c r="D1265" s="126"/>
      <c r="E1265" s="88"/>
      <c r="F1265" s="118"/>
      <c r="G1265" s="46"/>
      <c r="H1265" s="46"/>
      <c r="I1265" s="118"/>
      <c r="J1265" s="46"/>
      <c r="K1265" s="16"/>
      <c r="L1265" s="118"/>
      <c r="M1265" s="46"/>
      <c r="N1265" s="46"/>
      <c r="O1265" s="46"/>
      <c r="P1265" s="118"/>
      <c r="Q1265" s="46"/>
      <c r="R1265" s="46"/>
      <c r="S1265" s="46"/>
      <c r="T1265" s="46"/>
      <c r="U1265" s="118"/>
      <c r="V1265" s="46"/>
      <c r="W1265" s="88" t="str">
        <f>IF(V1265&lt;&gt;"",SUMIFS('📊 รายงานสินค้าคงเหลือ'!G:G,'📊 รายงานสินค้าคงเหลือ'!D:D,V1265),"")</f>
        <v/>
      </c>
      <c r="X1265" s="46"/>
      <c r="Y1265" s="46"/>
      <c r="Z1265" s="46"/>
    </row>
    <row r="1266">
      <c r="A1266" s="46"/>
      <c r="B1266" s="16"/>
      <c r="C1266" s="118"/>
      <c r="D1266" s="126"/>
      <c r="E1266" s="88"/>
      <c r="F1266" s="118"/>
      <c r="G1266" s="46"/>
      <c r="H1266" s="46"/>
      <c r="I1266" s="118"/>
      <c r="J1266" s="46"/>
      <c r="K1266" s="16"/>
      <c r="L1266" s="118"/>
      <c r="M1266" s="46"/>
      <c r="N1266" s="46"/>
      <c r="O1266" s="46"/>
      <c r="P1266" s="118"/>
      <c r="Q1266" s="46"/>
      <c r="R1266" s="46"/>
      <c r="S1266" s="46"/>
      <c r="T1266" s="46"/>
      <c r="U1266" s="118"/>
      <c r="V1266" s="46"/>
      <c r="W1266" s="88" t="str">
        <f>IF(V1266&lt;&gt;"",SUMIFS('📊 รายงานสินค้าคงเหลือ'!G:G,'📊 รายงานสินค้าคงเหลือ'!D:D,V1266),"")</f>
        <v/>
      </c>
      <c r="X1266" s="46"/>
      <c r="Y1266" s="46"/>
      <c r="Z1266" s="46"/>
    </row>
    <row r="1267">
      <c r="A1267" s="46"/>
      <c r="B1267" s="16"/>
      <c r="C1267" s="118"/>
      <c r="D1267" s="126"/>
      <c r="E1267" s="88"/>
      <c r="F1267" s="118"/>
      <c r="G1267" s="46"/>
      <c r="H1267" s="46"/>
      <c r="I1267" s="118"/>
      <c r="J1267" s="46"/>
      <c r="K1267" s="16"/>
      <c r="L1267" s="118"/>
      <c r="M1267" s="46"/>
      <c r="N1267" s="46"/>
      <c r="O1267" s="46"/>
      <c r="P1267" s="118"/>
      <c r="Q1267" s="46"/>
      <c r="R1267" s="46"/>
      <c r="S1267" s="46"/>
      <c r="T1267" s="46"/>
      <c r="U1267" s="118"/>
      <c r="V1267" s="46"/>
      <c r="W1267" s="88" t="str">
        <f>IF(V1267&lt;&gt;"",SUMIFS('📊 รายงานสินค้าคงเหลือ'!G:G,'📊 รายงานสินค้าคงเหลือ'!D:D,V1267),"")</f>
        <v/>
      </c>
      <c r="X1267" s="46"/>
      <c r="Y1267" s="46"/>
      <c r="Z1267" s="46"/>
    </row>
    <row r="1268">
      <c r="A1268" s="46"/>
      <c r="B1268" s="16"/>
      <c r="C1268" s="118"/>
      <c r="D1268" s="126"/>
      <c r="E1268" s="88"/>
      <c r="F1268" s="118"/>
      <c r="G1268" s="46"/>
      <c r="H1268" s="46"/>
      <c r="I1268" s="118"/>
      <c r="J1268" s="46"/>
      <c r="K1268" s="16"/>
      <c r="L1268" s="118"/>
      <c r="M1268" s="46"/>
      <c r="N1268" s="46"/>
      <c r="O1268" s="46"/>
      <c r="P1268" s="118"/>
      <c r="Q1268" s="46"/>
      <c r="R1268" s="46"/>
      <c r="S1268" s="46"/>
      <c r="T1268" s="46"/>
      <c r="U1268" s="118"/>
      <c r="V1268" s="46"/>
      <c r="W1268" s="88" t="str">
        <f>IF(V1268&lt;&gt;"",SUMIFS('📊 รายงานสินค้าคงเหลือ'!G:G,'📊 รายงานสินค้าคงเหลือ'!D:D,V1268),"")</f>
        <v/>
      </c>
      <c r="X1268" s="46"/>
      <c r="Y1268" s="46"/>
      <c r="Z1268" s="46"/>
    </row>
    <row r="1269">
      <c r="A1269" s="46"/>
      <c r="B1269" s="16"/>
      <c r="C1269" s="118"/>
      <c r="D1269" s="126"/>
      <c r="E1269" s="88"/>
      <c r="F1269" s="118"/>
      <c r="G1269" s="46"/>
      <c r="H1269" s="46"/>
      <c r="I1269" s="118"/>
      <c r="J1269" s="46"/>
      <c r="K1269" s="16"/>
      <c r="L1269" s="118"/>
      <c r="M1269" s="46"/>
      <c r="N1269" s="46"/>
      <c r="O1269" s="46"/>
      <c r="P1269" s="118"/>
      <c r="Q1269" s="46"/>
      <c r="R1269" s="46"/>
      <c r="S1269" s="46"/>
      <c r="T1269" s="46"/>
      <c r="U1269" s="118"/>
      <c r="V1269" s="46"/>
      <c r="W1269" s="88" t="str">
        <f>IF(V1269&lt;&gt;"",SUMIFS('📊 รายงานสินค้าคงเหลือ'!G:G,'📊 รายงานสินค้าคงเหลือ'!D:D,V1269),"")</f>
        <v/>
      </c>
      <c r="X1269" s="46"/>
      <c r="Y1269" s="46"/>
      <c r="Z1269" s="46"/>
    </row>
    <row r="1270">
      <c r="A1270" s="46"/>
      <c r="B1270" s="16"/>
      <c r="C1270" s="118"/>
      <c r="D1270" s="126"/>
      <c r="E1270" s="88"/>
      <c r="F1270" s="118"/>
      <c r="G1270" s="46"/>
      <c r="H1270" s="46"/>
      <c r="I1270" s="118"/>
      <c r="J1270" s="46"/>
      <c r="K1270" s="16"/>
      <c r="L1270" s="118"/>
      <c r="M1270" s="46"/>
      <c r="N1270" s="46"/>
      <c r="O1270" s="46"/>
      <c r="P1270" s="118"/>
      <c r="Q1270" s="46"/>
      <c r="R1270" s="46"/>
      <c r="S1270" s="46"/>
      <c r="T1270" s="46"/>
      <c r="U1270" s="118"/>
      <c r="V1270" s="46"/>
      <c r="W1270" s="88" t="str">
        <f>IF(V1270&lt;&gt;"",SUMIFS('📊 รายงานสินค้าคงเหลือ'!G:G,'📊 รายงานสินค้าคงเหลือ'!D:D,V1270),"")</f>
        <v/>
      </c>
      <c r="X1270" s="46"/>
      <c r="Y1270" s="46"/>
      <c r="Z1270" s="46"/>
    </row>
    <row r="1271">
      <c r="A1271" s="46"/>
      <c r="B1271" s="16"/>
      <c r="C1271" s="118"/>
      <c r="D1271" s="126"/>
      <c r="E1271" s="88"/>
      <c r="F1271" s="118"/>
      <c r="G1271" s="46"/>
      <c r="H1271" s="46"/>
      <c r="I1271" s="118"/>
      <c r="J1271" s="46"/>
      <c r="K1271" s="16"/>
      <c r="L1271" s="118"/>
      <c r="M1271" s="46"/>
      <c r="N1271" s="46"/>
      <c r="O1271" s="46"/>
      <c r="P1271" s="118"/>
      <c r="Q1271" s="46"/>
      <c r="R1271" s="46"/>
      <c r="S1271" s="46"/>
      <c r="T1271" s="46"/>
      <c r="U1271" s="118"/>
      <c r="V1271" s="46"/>
      <c r="W1271" s="88" t="str">
        <f>IF(V1271&lt;&gt;"",SUMIFS('📊 รายงานสินค้าคงเหลือ'!G:G,'📊 รายงานสินค้าคงเหลือ'!D:D,V1271),"")</f>
        <v/>
      </c>
      <c r="X1271" s="46"/>
      <c r="Y1271" s="46"/>
      <c r="Z1271" s="46"/>
    </row>
    <row r="1272">
      <c r="A1272" s="46"/>
      <c r="B1272" s="16"/>
      <c r="C1272" s="118"/>
      <c r="D1272" s="126"/>
      <c r="E1272" s="88"/>
      <c r="F1272" s="118"/>
      <c r="G1272" s="46"/>
      <c r="H1272" s="46"/>
      <c r="I1272" s="118"/>
      <c r="J1272" s="46"/>
      <c r="K1272" s="16"/>
      <c r="L1272" s="118"/>
      <c r="M1272" s="46"/>
      <c r="N1272" s="46"/>
      <c r="O1272" s="46"/>
      <c r="P1272" s="118"/>
      <c r="Q1272" s="46"/>
      <c r="R1272" s="46"/>
      <c r="S1272" s="46"/>
      <c r="T1272" s="46"/>
      <c r="U1272" s="118"/>
      <c r="V1272" s="46"/>
      <c r="W1272" s="88" t="str">
        <f>IF(V1272&lt;&gt;"",SUMIFS('📊 รายงานสินค้าคงเหลือ'!G:G,'📊 รายงานสินค้าคงเหลือ'!D:D,V1272),"")</f>
        <v/>
      </c>
      <c r="X1272" s="46"/>
      <c r="Y1272" s="46"/>
      <c r="Z1272" s="46"/>
    </row>
    <row r="1273">
      <c r="A1273" s="46"/>
      <c r="B1273" s="16"/>
      <c r="C1273" s="118"/>
      <c r="D1273" s="126"/>
      <c r="E1273" s="88"/>
      <c r="F1273" s="118"/>
      <c r="G1273" s="46"/>
      <c r="H1273" s="46"/>
      <c r="I1273" s="118"/>
      <c r="J1273" s="46"/>
      <c r="K1273" s="16"/>
      <c r="L1273" s="118"/>
      <c r="M1273" s="46"/>
      <c r="N1273" s="46"/>
      <c r="O1273" s="46"/>
      <c r="P1273" s="118"/>
      <c r="Q1273" s="46"/>
      <c r="R1273" s="46"/>
      <c r="S1273" s="46"/>
      <c r="T1273" s="46"/>
      <c r="U1273" s="118"/>
      <c r="V1273" s="46"/>
      <c r="W1273" s="88" t="str">
        <f>IF(V1273&lt;&gt;"",SUMIFS('📊 รายงานสินค้าคงเหลือ'!G:G,'📊 รายงานสินค้าคงเหลือ'!D:D,V1273),"")</f>
        <v/>
      </c>
      <c r="X1273" s="46"/>
      <c r="Y1273" s="46"/>
      <c r="Z1273" s="46"/>
    </row>
    <row r="1274">
      <c r="A1274" s="46"/>
      <c r="B1274" s="16"/>
      <c r="C1274" s="118"/>
      <c r="D1274" s="126"/>
      <c r="E1274" s="88"/>
      <c r="F1274" s="118"/>
      <c r="G1274" s="46"/>
      <c r="H1274" s="46"/>
      <c r="I1274" s="118"/>
      <c r="J1274" s="46"/>
      <c r="K1274" s="16"/>
      <c r="L1274" s="118"/>
      <c r="M1274" s="46"/>
      <c r="N1274" s="46"/>
      <c r="O1274" s="46"/>
      <c r="P1274" s="118"/>
      <c r="Q1274" s="46"/>
      <c r="R1274" s="46"/>
      <c r="S1274" s="46"/>
      <c r="T1274" s="46"/>
      <c r="U1274" s="118"/>
      <c r="V1274" s="46"/>
      <c r="W1274" s="88" t="str">
        <f>IF(V1274&lt;&gt;"",SUMIFS('📊 รายงานสินค้าคงเหลือ'!G:G,'📊 รายงานสินค้าคงเหลือ'!D:D,V1274),"")</f>
        <v/>
      </c>
      <c r="X1274" s="46"/>
      <c r="Y1274" s="46"/>
      <c r="Z1274" s="46"/>
    </row>
    <row r="1275">
      <c r="A1275" s="46"/>
      <c r="B1275" s="16"/>
      <c r="C1275" s="118"/>
      <c r="D1275" s="126"/>
      <c r="E1275" s="88"/>
      <c r="F1275" s="118"/>
      <c r="G1275" s="46"/>
      <c r="H1275" s="46"/>
      <c r="I1275" s="118"/>
      <c r="J1275" s="46"/>
      <c r="K1275" s="16"/>
      <c r="L1275" s="118"/>
      <c r="M1275" s="46"/>
      <c r="N1275" s="46"/>
      <c r="O1275" s="46"/>
      <c r="P1275" s="118"/>
      <c r="Q1275" s="46"/>
      <c r="R1275" s="46"/>
      <c r="S1275" s="46"/>
      <c r="T1275" s="46"/>
      <c r="U1275" s="118"/>
      <c r="V1275" s="46"/>
      <c r="W1275" s="88" t="str">
        <f>IF(V1275&lt;&gt;"",SUMIFS('📊 รายงานสินค้าคงเหลือ'!G:G,'📊 รายงานสินค้าคงเหลือ'!D:D,V1275),"")</f>
        <v/>
      </c>
      <c r="X1275" s="46"/>
      <c r="Y1275" s="46"/>
      <c r="Z1275" s="46"/>
    </row>
    <row r="1276">
      <c r="A1276" s="46"/>
      <c r="B1276" s="16"/>
      <c r="C1276" s="118"/>
      <c r="D1276" s="126"/>
      <c r="E1276" s="88"/>
      <c r="F1276" s="118"/>
      <c r="G1276" s="46"/>
      <c r="H1276" s="46"/>
      <c r="I1276" s="118"/>
      <c r="J1276" s="46"/>
      <c r="K1276" s="16"/>
      <c r="L1276" s="118"/>
      <c r="M1276" s="46"/>
      <c r="N1276" s="46"/>
      <c r="O1276" s="46"/>
      <c r="P1276" s="118"/>
      <c r="Q1276" s="46"/>
      <c r="R1276" s="46"/>
      <c r="S1276" s="46"/>
      <c r="T1276" s="46"/>
      <c r="U1276" s="118"/>
      <c r="V1276" s="46"/>
      <c r="W1276" s="88" t="str">
        <f>IF(V1276&lt;&gt;"",SUMIFS('📊 รายงานสินค้าคงเหลือ'!G:G,'📊 รายงานสินค้าคงเหลือ'!D:D,V1276),"")</f>
        <v/>
      </c>
      <c r="X1276" s="46"/>
      <c r="Y1276" s="46"/>
      <c r="Z1276" s="46"/>
    </row>
    <row r="1277">
      <c r="A1277" s="46"/>
      <c r="B1277" s="16"/>
      <c r="C1277" s="118"/>
      <c r="D1277" s="126"/>
      <c r="E1277" s="88"/>
      <c r="F1277" s="118"/>
      <c r="G1277" s="46"/>
      <c r="H1277" s="46"/>
      <c r="I1277" s="118"/>
      <c r="J1277" s="46"/>
      <c r="K1277" s="16"/>
      <c r="L1277" s="118"/>
      <c r="M1277" s="46"/>
      <c r="N1277" s="46"/>
      <c r="O1277" s="46"/>
      <c r="P1277" s="118"/>
      <c r="Q1277" s="46"/>
      <c r="R1277" s="46"/>
      <c r="S1277" s="46"/>
      <c r="T1277" s="46"/>
      <c r="U1277" s="118"/>
      <c r="V1277" s="46"/>
      <c r="W1277" s="88" t="str">
        <f>IF(V1277&lt;&gt;"",SUMIFS('📊 รายงานสินค้าคงเหลือ'!G:G,'📊 รายงานสินค้าคงเหลือ'!D:D,V1277),"")</f>
        <v/>
      </c>
      <c r="X1277" s="46"/>
      <c r="Y1277" s="46"/>
      <c r="Z1277" s="46"/>
    </row>
    <row r="1278">
      <c r="A1278" s="46"/>
      <c r="B1278" s="16"/>
      <c r="C1278" s="118"/>
      <c r="D1278" s="126"/>
      <c r="E1278" s="88"/>
      <c r="F1278" s="118"/>
      <c r="G1278" s="46"/>
      <c r="H1278" s="46"/>
      <c r="I1278" s="118"/>
      <c r="J1278" s="46"/>
      <c r="K1278" s="16"/>
      <c r="L1278" s="118"/>
      <c r="M1278" s="46"/>
      <c r="N1278" s="46"/>
      <c r="O1278" s="46"/>
      <c r="P1278" s="118"/>
      <c r="Q1278" s="46"/>
      <c r="R1278" s="46"/>
      <c r="S1278" s="46"/>
      <c r="T1278" s="46"/>
      <c r="U1278" s="118"/>
      <c r="V1278" s="46"/>
      <c r="W1278" s="88" t="str">
        <f>IF(V1278&lt;&gt;"",SUMIFS('📊 รายงานสินค้าคงเหลือ'!G:G,'📊 รายงานสินค้าคงเหลือ'!D:D,V1278),"")</f>
        <v/>
      </c>
      <c r="X1278" s="46"/>
      <c r="Y1278" s="46"/>
      <c r="Z1278" s="46"/>
    </row>
    <row r="1279">
      <c r="A1279" s="46"/>
      <c r="B1279" s="16"/>
      <c r="C1279" s="118"/>
      <c r="D1279" s="126"/>
      <c r="E1279" s="88"/>
      <c r="F1279" s="118"/>
      <c r="G1279" s="46"/>
      <c r="H1279" s="46"/>
      <c r="I1279" s="118"/>
      <c r="J1279" s="46"/>
      <c r="K1279" s="16"/>
      <c r="L1279" s="118"/>
      <c r="M1279" s="46"/>
      <c r="N1279" s="46"/>
      <c r="O1279" s="46"/>
      <c r="P1279" s="118"/>
      <c r="Q1279" s="46"/>
      <c r="R1279" s="46"/>
      <c r="S1279" s="46"/>
      <c r="T1279" s="46"/>
      <c r="U1279" s="118"/>
      <c r="V1279" s="46"/>
      <c r="W1279" s="88" t="str">
        <f>IF(V1279&lt;&gt;"",SUMIFS('📊 รายงานสินค้าคงเหลือ'!G:G,'📊 รายงานสินค้าคงเหลือ'!D:D,V1279),"")</f>
        <v/>
      </c>
      <c r="X1279" s="46"/>
      <c r="Y1279" s="46"/>
      <c r="Z1279" s="46"/>
    </row>
    <row r="1280">
      <c r="A1280" s="46"/>
      <c r="B1280" s="16"/>
      <c r="C1280" s="118"/>
      <c r="D1280" s="126"/>
      <c r="E1280" s="88"/>
      <c r="F1280" s="118"/>
      <c r="G1280" s="46"/>
      <c r="H1280" s="46"/>
      <c r="I1280" s="118"/>
      <c r="J1280" s="46"/>
      <c r="K1280" s="16"/>
      <c r="L1280" s="118"/>
      <c r="M1280" s="46"/>
      <c r="N1280" s="46"/>
      <c r="O1280" s="46"/>
      <c r="P1280" s="118"/>
      <c r="Q1280" s="46"/>
      <c r="R1280" s="46"/>
      <c r="S1280" s="46"/>
      <c r="T1280" s="46"/>
      <c r="U1280" s="118"/>
      <c r="V1280" s="46"/>
      <c r="W1280" s="88" t="str">
        <f>IF(V1280&lt;&gt;"",SUMIFS('📊 รายงานสินค้าคงเหลือ'!G:G,'📊 รายงานสินค้าคงเหลือ'!D:D,V1280),"")</f>
        <v/>
      </c>
      <c r="X1280" s="46"/>
      <c r="Y1280" s="46"/>
      <c r="Z1280" s="46"/>
    </row>
    <row r="1281">
      <c r="A1281" s="46"/>
      <c r="B1281" s="16"/>
      <c r="C1281" s="118"/>
      <c r="D1281" s="126"/>
      <c r="E1281" s="88"/>
      <c r="F1281" s="118"/>
      <c r="G1281" s="46"/>
      <c r="H1281" s="46"/>
      <c r="I1281" s="118"/>
      <c r="J1281" s="46"/>
      <c r="K1281" s="16"/>
      <c r="L1281" s="118"/>
      <c r="M1281" s="46"/>
      <c r="N1281" s="46"/>
      <c r="O1281" s="46"/>
      <c r="P1281" s="118"/>
      <c r="Q1281" s="46"/>
      <c r="R1281" s="46"/>
      <c r="S1281" s="46"/>
      <c r="T1281" s="46"/>
      <c r="U1281" s="118"/>
      <c r="V1281" s="46"/>
      <c r="W1281" s="88" t="str">
        <f>IF(V1281&lt;&gt;"",SUMIFS('📊 รายงานสินค้าคงเหลือ'!G:G,'📊 รายงานสินค้าคงเหลือ'!D:D,V1281),"")</f>
        <v/>
      </c>
      <c r="X1281" s="46"/>
      <c r="Y1281" s="46"/>
      <c r="Z1281" s="46"/>
    </row>
    <row r="1282">
      <c r="A1282" s="46"/>
      <c r="B1282" s="16"/>
      <c r="C1282" s="118"/>
      <c r="D1282" s="126"/>
      <c r="E1282" s="88"/>
      <c r="F1282" s="118"/>
      <c r="G1282" s="46"/>
      <c r="H1282" s="46"/>
      <c r="I1282" s="118"/>
      <c r="J1282" s="46"/>
      <c r="K1282" s="16"/>
      <c r="L1282" s="118"/>
      <c r="M1282" s="46"/>
      <c r="N1282" s="46"/>
      <c r="O1282" s="46"/>
      <c r="P1282" s="118"/>
      <c r="Q1282" s="46"/>
      <c r="R1282" s="46"/>
      <c r="S1282" s="46"/>
      <c r="T1282" s="46"/>
      <c r="U1282" s="118"/>
      <c r="V1282" s="46"/>
      <c r="W1282" s="88" t="str">
        <f>IF(V1282&lt;&gt;"",SUMIFS('📊 รายงานสินค้าคงเหลือ'!G:G,'📊 รายงานสินค้าคงเหลือ'!D:D,V1282),"")</f>
        <v/>
      </c>
      <c r="X1282" s="46"/>
      <c r="Y1282" s="46"/>
      <c r="Z1282" s="46"/>
    </row>
    <row r="1283">
      <c r="A1283" s="46"/>
      <c r="B1283" s="16"/>
      <c r="C1283" s="118"/>
      <c r="D1283" s="126"/>
      <c r="E1283" s="88"/>
      <c r="F1283" s="118"/>
      <c r="G1283" s="46"/>
      <c r="H1283" s="46"/>
      <c r="I1283" s="118"/>
      <c r="J1283" s="46"/>
      <c r="K1283" s="16"/>
      <c r="L1283" s="118"/>
      <c r="M1283" s="46"/>
      <c r="N1283" s="46"/>
      <c r="O1283" s="46"/>
      <c r="P1283" s="118"/>
      <c r="Q1283" s="46"/>
      <c r="R1283" s="46"/>
      <c r="S1283" s="46"/>
      <c r="T1283" s="46"/>
      <c r="U1283" s="118"/>
      <c r="V1283" s="46"/>
      <c r="W1283" s="88" t="str">
        <f>IF(V1283&lt;&gt;"",SUMIFS('📊 รายงานสินค้าคงเหลือ'!G:G,'📊 รายงานสินค้าคงเหลือ'!D:D,V1283),"")</f>
        <v/>
      </c>
      <c r="X1283" s="46"/>
      <c r="Y1283" s="46"/>
      <c r="Z1283" s="46"/>
    </row>
    <row r="1284">
      <c r="A1284" s="46"/>
      <c r="B1284" s="16"/>
      <c r="C1284" s="118"/>
      <c r="D1284" s="126"/>
      <c r="E1284" s="88"/>
      <c r="F1284" s="118"/>
      <c r="G1284" s="46"/>
      <c r="H1284" s="46"/>
      <c r="I1284" s="118"/>
      <c r="J1284" s="46"/>
      <c r="K1284" s="16"/>
      <c r="L1284" s="118"/>
      <c r="M1284" s="46"/>
      <c r="N1284" s="46"/>
      <c r="O1284" s="46"/>
      <c r="P1284" s="118"/>
      <c r="Q1284" s="46"/>
      <c r="R1284" s="46"/>
      <c r="S1284" s="46"/>
      <c r="T1284" s="46"/>
      <c r="U1284" s="118"/>
      <c r="V1284" s="46"/>
      <c r="W1284" s="88" t="str">
        <f>IF(V1284&lt;&gt;"",SUMIFS('📊 รายงานสินค้าคงเหลือ'!G:G,'📊 รายงานสินค้าคงเหลือ'!D:D,V1284),"")</f>
        <v/>
      </c>
      <c r="X1284" s="46"/>
      <c r="Y1284" s="46"/>
      <c r="Z1284" s="46"/>
    </row>
    <row r="1285">
      <c r="A1285" s="46"/>
      <c r="B1285" s="16"/>
      <c r="C1285" s="118"/>
      <c r="D1285" s="126"/>
      <c r="E1285" s="88"/>
      <c r="F1285" s="118"/>
      <c r="G1285" s="46"/>
      <c r="H1285" s="46"/>
      <c r="I1285" s="118"/>
      <c r="J1285" s="46"/>
      <c r="K1285" s="16"/>
      <c r="L1285" s="118"/>
      <c r="M1285" s="46"/>
      <c r="N1285" s="46"/>
      <c r="O1285" s="46"/>
      <c r="P1285" s="118"/>
      <c r="Q1285" s="46"/>
      <c r="R1285" s="46"/>
      <c r="S1285" s="46"/>
      <c r="T1285" s="46"/>
      <c r="U1285" s="118"/>
      <c r="V1285" s="46"/>
      <c r="W1285" s="88" t="str">
        <f>IF(V1285&lt;&gt;"",SUMIFS('📊 รายงานสินค้าคงเหลือ'!G:G,'📊 รายงานสินค้าคงเหลือ'!D:D,V1285),"")</f>
        <v/>
      </c>
      <c r="X1285" s="46"/>
      <c r="Y1285" s="46"/>
      <c r="Z1285" s="46"/>
    </row>
    <row r="1286">
      <c r="A1286" s="46"/>
      <c r="B1286" s="16"/>
      <c r="C1286" s="118"/>
      <c r="D1286" s="126"/>
      <c r="E1286" s="88"/>
      <c r="F1286" s="118"/>
      <c r="G1286" s="46"/>
      <c r="H1286" s="46"/>
      <c r="I1286" s="118"/>
      <c r="J1286" s="46"/>
      <c r="K1286" s="16"/>
      <c r="L1286" s="118"/>
      <c r="M1286" s="46"/>
      <c r="N1286" s="46"/>
      <c r="O1286" s="46"/>
      <c r="P1286" s="118"/>
      <c r="Q1286" s="46"/>
      <c r="R1286" s="46"/>
      <c r="S1286" s="46"/>
      <c r="T1286" s="46"/>
      <c r="U1286" s="118"/>
      <c r="V1286" s="46"/>
      <c r="W1286" s="88" t="str">
        <f>IF(V1286&lt;&gt;"",SUMIFS('📊 รายงานสินค้าคงเหลือ'!G:G,'📊 รายงานสินค้าคงเหลือ'!D:D,V1286),"")</f>
        <v/>
      </c>
      <c r="X1286" s="46"/>
      <c r="Y1286" s="46"/>
      <c r="Z1286" s="46"/>
    </row>
    <row r="1287">
      <c r="A1287" s="46"/>
      <c r="B1287" s="16"/>
      <c r="C1287" s="118"/>
      <c r="D1287" s="126"/>
      <c r="E1287" s="88"/>
      <c r="F1287" s="118"/>
      <c r="G1287" s="46"/>
      <c r="H1287" s="46"/>
      <c r="I1287" s="118"/>
      <c r="J1287" s="46"/>
      <c r="K1287" s="16"/>
      <c r="L1287" s="118"/>
      <c r="M1287" s="46"/>
      <c r="N1287" s="46"/>
      <c r="O1287" s="46"/>
      <c r="P1287" s="118"/>
      <c r="Q1287" s="46"/>
      <c r="R1287" s="46"/>
      <c r="S1287" s="46"/>
      <c r="T1287" s="46"/>
      <c r="U1287" s="118"/>
      <c r="V1287" s="46"/>
      <c r="W1287" s="88" t="str">
        <f>IF(V1287&lt;&gt;"",SUMIFS('📊 รายงานสินค้าคงเหลือ'!G:G,'📊 รายงานสินค้าคงเหลือ'!D:D,V1287),"")</f>
        <v/>
      </c>
      <c r="X1287" s="46"/>
      <c r="Y1287" s="46"/>
      <c r="Z1287" s="46"/>
    </row>
    <row r="1288">
      <c r="A1288" s="46"/>
      <c r="B1288" s="16"/>
      <c r="C1288" s="118"/>
      <c r="D1288" s="126"/>
      <c r="E1288" s="88"/>
      <c r="F1288" s="118"/>
      <c r="G1288" s="46"/>
      <c r="H1288" s="46"/>
      <c r="I1288" s="118"/>
      <c r="J1288" s="46"/>
      <c r="K1288" s="16"/>
      <c r="L1288" s="118"/>
      <c r="M1288" s="46"/>
      <c r="N1288" s="46"/>
      <c r="O1288" s="46"/>
      <c r="P1288" s="118"/>
      <c r="Q1288" s="46"/>
      <c r="R1288" s="46"/>
      <c r="S1288" s="46"/>
      <c r="T1288" s="46"/>
      <c r="U1288" s="118"/>
      <c r="V1288" s="46"/>
      <c r="W1288" s="88" t="str">
        <f>IF(V1288&lt;&gt;"",SUMIFS('📊 รายงานสินค้าคงเหลือ'!G:G,'📊 รายงานสินค้าคงเหลือ'!D:D,V1288),"")</f>
        <v/>
      </c>
      <c r="X1288" s="46"/>
      <c r="Y1288" s="46"/>
      <c r="Z1288" s="46"/>
    </row>
    <row r="1289">
      <c r="A1289" s="46"/>
      <c r="B1289" s="16"/>
      <c r="C1289" s="118"/>
      <c r="D1289" s="126"/>
      <c r="E1289" s="88"/>
      <c r="F1289" s="118"/>
      <c r="G1289" s="46"/>
      <c r="H1289" s="46"/>
      <c r="I1289" s="118"/>
      <c r="J1289" s="46"/>
      <c r="K1289" s="16"/>
      <c r="L1289" s="118"/>
      <c r="M1289" s="46"/>
      <c r="N1289" s="46"/>
      <c r="O1289" s="46"/>
      <c r="P1289" s="118"/>
      <c r="Q1289" s="46"/>
      <c r="R1289" s="46"/>
      <c r="S1289" s="46"/>
      <c r="T1289" s="46"/>
      <c r="U1289" s="118"/>
      <c r="V1289" s="46"/>
      <c r="W1289" s="88" t="str">
        <f>IF(V1289&lt;&gt;"",SUMIFS('📊 รายงานสินค้าคงเหลือ'!G:G,'📊 รายงานสินค้าคงเหลือ'!D:D,V1289),"")</f>
        <v/>
      </c>
      <c r="X1289" s="46"/>
      <c r="Y1289" s="46"/>
      <c r="Z1289" s="46"/>
    </row>
    <row r="1290">
      <c r="A1290" s="46"/>
      <c r="B1290" s="16"/>
      <c r="C1290" s="118"/>
      <c r="D1290" s="126"/>
      <c r="E1290" s="88"/>
      <c r="F1290" s="118"/>
      <c r="G1290" s="46"/>
      <c r="H1290" s="46"/>
      <c r="I1290" s="118"/>
      <c r="J1290" s="46"/>
      <c r="K1290" s="16"/>
      <c r="L1290" s="118"/>
      <c r="M1290" s="46"/>
      <c r="N1290" s="46"/>
      <c r="O1290" s="46"/>
      <c r="P1290" s="118"/>
      <c r="Q1290" s="46"/>
      <c r="R1290" s="46"/>
      <c r="S1290" s="46"/>
      <c r="T1290" s="46"/>
      <c r="U1290" s="118"/>
      <c r="V1290" s="46"/>
      <c r="W1290" s="88" t="str">
        <f>IF(V1290&lt;&gt;"",SUMIFS('📊 รายงานสินค้าคงเหลือ'!G:G,'📊 รายงานสินค้าคงเหลือ'!D:D,V1290),"")</f>
        <v/>
      </c>
      <c r="X1290" s="46"/>
      <c r="Y1290" s="46"/>
      <c r="Z1290" s="46"/>
    </row>
    <row r="1291">
      <c r="A1291" s="46"/>
      <c r="B1291" s="16"/>
      <c r="C1291" s="118"/>
      <c r="D1291" s="126"/>
      <c r="E1291" s="88"/>
      <c r="F1291" s="118"/>
      <c r="G1291" s="46"/>
      <c r="H1291" s="46"/>
      <c r="I1291" s="118"/>
      <c r="J1291" s="46"/>
      <c r="K1291" s="16"/>
      <c r="L1291" s="118"/>
      <c r="M1291" s="46"/>
      <c r="N1291" s="46"/>
      <c r="O1291" s="46"/>
      <c r="P1291" s="118"/>
      <c r="Q1291" s="46"/>
      <c r="R1291" s="46"/>
      <c r="S1291" s="46"/>
      <c r="T1291" s="46"/>
      <c r="U1291" s="118"/>
      <c r="V1291" s="46"/>
      <c r="W1291" s="88" t="str">
        <f>IF(V1291&lt;&gt;"",SUMIFS('📊 รายงานสินค้าคงเหลือ'!G:G,'📊 รายงานสินค้าคงเหลือ'!D:D,V1291),"")</f>
        <v/>
      </c>
      <c r="X1291" s="46"/>
      <c r="Y1291" s="46"/>
      <c r="Z1291" s="46"/>
    </row>
    <row r="1292">
      <c r="A1292" s="46"/>
      <c r="B1292" s="16"/>
      <c r="C1292" s="118"/>
      <c r="D1292" s="126"/>
      <c r="E1292" s="88"/>
      <c r="F1292" s="118"/>
      <c r="G1292" s="46"/>
      <c r="H1292" s="46"/>
      <c r="I1292" s="118"/>
      <c r="J1292" s="46"/>
      <c r="K1292" s="16"/>
      <c r="L1292" s="118"/>
      <c r="M1292" s="46"/>
      <c r="N1292" s="46"/>
      <c r="O1292" s="46"/>
      <c r="P1292" s="118"/>
      <c r="Q1292" s="46"/>
      <c r="R1292" s="46"/>
      <c r="S1292" s="46"/>
      <c r="T1292" s="46"/>
      <c r="U1292" s="118"/>
      <c r="V1292" s="46"/>
      <c r="W1292" s="88" t="str">
        <f>IF(V1292&lt;&gt;"",SUMIFS('📊 รายงานสินค้าคงเหลือ'!G:G,'📊 รายงานสินค้าคงเหลือ'!D:D,V1292),"")</f>
        <v/>
      </c>
      <c r="X1292" s="46"/>
      <c r="Y1292" s="46"/>
      <c r="Z1292" s="46"/>
    </row>
    <row r="1293">
      <c r="A1293" s="46"/>
      <c r="B1293" s="16"/>
      <c r="C1293" s="118"/>
      <c r="D1293" s="126"/>
      <c r="E1293" s="88"/>
      <c r="F1293" s="118"/>
      <c r="G1293" s="46"/>
      <c r="H1293" s="46"/>
      <c r="I1293" s="118"/>
      <c r="J1293" s="46"/>
      <c r="K1293" s="16"/>
      <c r="L1293" s="118"/>
      <c r="M1293" s="46"/>
      <c r="N1293" s="46"/>
      <c r="O1293" s="46"/>
      <c r="P1293" s="118"/>
      <c r="Q1293" s="46"/>
      <c r="R1293" s="46"/>
      <c r="S1293" s="46"/>
      <c r="T1293" s="46"/>
      <c r="U1293" s="118"/>
      <c r="V1293" s="46"/>
      <c r="W1293" s="88" t="str">
        <f>IF(V1293&lt;&gt;"",SUMIFS('📊 รายงานสินค้าคงเหลือ'!G:G,'📊 รายงานสินค้าคงเหลือ'!D:D,V1293),"")</f>
        <v/>
      </c>
      <c r="X1293" s="46"/>
      <c r="Y1293" s="46"/>
      <c r="Z1293" s="46"/>
    </row>
    <row r="1294">
      <c r="A1294" s="46"/>
      <c r="B1294" s="16"/>
      <c r="C1294" s="118"/>
      <c r="D1294" s="126"/>
      <c r="E1294" s="88"/>
      <c r="F1294" s="118"/>
      <c r="G1294" s="46"/>
      <c r="H1294" s="46"/>
      <c r="I1294" s="118"/>
      <c r="J1294" s="46"/>
      <c r="K1294" s="16"/>
      <c r="L1294" s="118"/>
      <c r="M1294" s="46"/>
      <c r="N1294" s="46"/>
      <c r="O1294" s="46"/>
      <c r="P1294" s="118"/>
      <c r="Q1294" s="46"/>
      <c r="R1294" s="46"/>
      <c r="S1294" s="46"/>
      <c r="T1294" s="46"/>
      <c r="U1294" s="118"/>
      <c r="V1294" s="46"/>
      <c r="W1294" s="88" t="str">
        <f>IF(V1294&lt;&gt;"",SUMIFS('📊 รายงานสินค้าคงเหลือ'!G:G,'📊 รายงานสินค้าคงเหลือ'!D:D,V1294),"")</f>
        <v/>
      </c>
      <c r="X1294" s="46"/>
      <c r="Y1294" s="46"/>
      <c r="Z1294" s="46"/>
    </row>
    <row r="1295">
      <c r="A1295" s="46"/>
      <c r="B1295" s="16"/>
      <c r="C1295" s="118"/>
      <c r="D1295" s="126"/>
      <c r="E1295" s="88"/>
      <c r="F1295" s="118"/>
      <c r="G1295" s="46"/>
      <c r="H1295" s="46"/>
      <c r="I1295" s="118"/>
      <c r="J1295" s="46"/>
      <c r="K1295" s="16"/>
      <c r="L1295" s="118"/>
      <c r="M1295" s="46"/>
      <c r="N1295" s="46"/>
      <c r="O1295" s="46"/>
      <c r="P1295" s="118"/>
      <c r="Q1295" s="46"/>
      <c r="R1295" s="46"/>
      <c r="S1295" s="46"/>
      <c r="T1295" s="46"/>
      <c r="U1295" s="118"/>
      <c r="V1295" s="46"/>
      <c r="W1295" s="88" t="str">
        <f>IF(V1295&lt;&gt;"",SUMIFS('📊 รายงานสินค้าคงเหลือ'!G:G,'📊 รายงานสินค้าคงเหลือ'!D:D,V1295),"")</f>
        <v/>
      </c>
      <c r="X1295" s="46"/>
      <c r="Y1295" s="46"/>
      <c r="Z1295" s="46"/>
    </row>
    <row r="1296">
      <c r="A1296" s="46"/>
      <c r="B1296" s="16"/>
      <c r="C1296" s="118"/>
      <c r="D1296" s="126"/>
      <c r="E1296" s="88"/>
      <c r="F1296" s="118"/>
      <c r="G1296" s="46"/>
      <c r="H1296" s="46"/>
      <c r="I1296" s="118"/>
      <c r="J1296" s="46"/>
      <c r="K1296" s="16"/>
      <c r="L1296" s="118"/>
      <c r="M1296" s="46"/>
      <c r="N1296" s="46"/>
      <c r="O1296" s="46"/>
      <c r="P1296" s="118"/>
      <c r="Q1296" s="46"/>
      <c r="R1296" s="46"/>
      <c r="S1296" s="46"/>
      <c r="T1296" s="46"/>
      <c r="U1296" s="118"/>
      <c r="V1296" s="46"/>
      <c r="W1296" s="88" t="str">
        <f>IF(V1296&lt;&gt;"",SUMIFS('📊 รายงานสินค้าคงเหลือ'!G:G,'📊 รายงานสินค้าคงเหลือ'!D:D,V1296),"")</f>
        <v/>
      </c>
      <c r="X1296" s="46"/>
      <c r="Y1296" s="46"/>
      <c r="Z1296" s="46"/>
    </row>
    <row r="1297">
      <c r="A1297" s="46"/>
      <c r="B1297" s="16"/>
      <c r="C1297" s="118"/>
      <c r="D1297" s="126"/>
      <c r="E1297" s="88"/>
      <c r="F1297" s="118"/>
      <c r="G1297" s="46"/>
      <c r="H1297" s="46"/>
      <c r="I1297" s="118"/>
      <c r="J1297" s="46"/>
      <c r="K1297" s="16"/>
      <c r="L1297" s="118"/>
      <c r="M1297" s="46"/>
      <c r="N1297" s="46"/>
      <c r="O1297" s="46"/>
      <c r="P1297" s="118"/>
      <c r="Q1297" s="46"/>
      <c r="R1297" s="46"/>
      <c r="S1297" s="46"/>
      <c r="T1297" s="46"/>
      <c r="U1297" s="118"/>
      <c r="V1297" s="46"/>
      <c r="W1297" s="88" t="str">
        <f>IF(V1297&lt;&gt;"",SUMIFS('📊 รายงานสินค้าคงเหลือ'!G:G,'📊 รายงานสินค้าคงเหลือ'!D:D,V1297),"")</f>
        <v/>
      </c>
      <c r="X1297" s="46"/>
      <c r="Y1297" s="46"/>
      <c r="Z1297" s="46"/>
    </row>
    <row r="1298">
      <c r="A1298" s="46"/>
      <c r="B1298" s="16"/>
      <c r="C1298" s="118"/>
      <c r="D1298" s="126"/>
      <c r="E1298" s="88"/>
      <c r="F1298" s="118"/>
      <c r="G1298" s="46"/>
      <c r="H1298" s="46"/>
      <c r="I1298" s="118"/>
      <c r="J1298" s="46"/>
      <c r="K1298" s="16"/>
      <c r="L1298" s="118"/>
      <c r="M1298" s="46"/>
      <c r="N1298" s="46"/>
      <c r="O1298" s="46"/>
      <c r="P1298" s="118"/>
      <c r="Q1298" s="46"/>
      <c r="R1298" s="46"/>
      <c r="S1298" s="46"/>
      <c r="T1298" s="46"/>
      <c r="U1298" s="118"/>
      <c r="V1298" s="46"/>
      <c r="W1298" s="88" t="str">
        <f>IF(V1298&lt;&gt;"",SUMIFS('📊 รายงานสินค้าคงเหลือ'!G:G,'📊 รายงานสินค้าคงเหลือ'!D:D,V1298),"")</f>
        <v/>
      </c>
      <c r="X1298" s="46"/>
      <c r="Y1298" s="46"/>
      <c r="Z1298" s="46"/>
    </row>
    <row r="1299">
      <c r="A1299" s="46"/>
      <c r="B1299" s="16"/>
      <c r="C1299" s="118"/>
      <c r="D1299" s="126"/>
      <c r="E1299" s="88"/>
      <c r="F1299" s="118"/>
      <c r="G1299" s="46"/>
      <c r="H1299" s="46"/>
      <c r="I1299" s="118"/>
      <c r="J1299" s="46"/>
      <c r="K1299" s="16"/>
      <c r="L1299" s="118"/>
      <c r="M1299" s="46"/>
      <c r="N1299" s="46"/>
      <c r="O1299" s="46"/>
      <c r="P1299" s="118"/>
      <c r="Q1299" s="46"/>
      <c r="R1299" s="46"/>
      <c r="S1299" s="46"/>
      <c r="T1299" s="46"/>
      <c r="U1299" s="118"/>
      <c r="V1299" s="46"/>
      <c r="W1299" s="88" t="str">
        <f>IF(V1299&lt;&gt;"",SUMIFS('📊 รายงานสินค้าคงเหลือ'!G:G,'📊 รายงานสินค้าคงเหลือ'!D:D,V1299),"")</f>
        <v/>
      </c>
      <c r="X1299" s="46"/>
      <c r="Y1299" s="46"/>
      <c r="Z1299" s="46"/>
    </row>
    <row r="1300">
      <c r="A1300" s="46"/>
      <c r="B1300" s="16"/>
      <c r="C1300" s="118"/>
      <c r="D1300" s="126"/>
      <c r="E1300" s="88"/>
      <c r="F1300" s="118"/>
      <c r="G1300" s="46"/>
      <c r="H1300" s="46"/>
      <c r="I1300" s="118"/>
      <c r="J1300" s="46"/>
      <c r="K1300" s="16"/>
      <c r="L1300" s="118"/>
      <c r="M1300" s="46"/>
      <c r="N1300" s="46"/>
      <c r="O1300" s="46"/>
      <c r="P1300" s="118"/>
      <c r="Q1300" s="46"/>
      <c r="R1300" s="46"/>
      <c r="S1300" s="46"/>
      <c r="T1300" s="46"/>
      <c r="U1300" s="118"/>
      <c r="V1300" s="46"/>
      <c r="W1300" s="88" t="str">
        <f>IF(V1300&lt;&gt;"",SUMIFS('📊 รายงานสินค้าคงเหลือ'!G:G,'📊 รายงานสินค้าคงเหลือ'!D:D,V1300),"")</f>
        <v/>
      </c>
      <c r="X1300" s="46"/>
      <c r="Y1300" s="46"/>
      <c r="Z1300" s="46"/>
    </row>
    <row r="1301">
      <c r="A1301" s="46"/>
      <c r="B1301" s="16"/>
      <c r="C1301" s="118"/>
      <c r="D1301" s="126"/>
      <c r="E1301" s="88"/>
      <c r="F1301" s="118"/>
      <c r="G1301" s="46"/>
      <c r="H1301" s="46"/>
      <c r="I1301" s="118"/>
      <c r="J1301" s="46"/>
      <c r="K1301" s="16"/>
      <c r="L1301" s="118"/>
      <c r="M1301" s="46"/>
      <c r="N1301" s="46"/>
      <c r="O1301" s="46"/>
      <c r="P1301" s="118"/>
      <c r="Q1301" s="46"/>
      <c r="R1301" s="46"/>
      <c r="S1301" s="46"/>
      <c r="T1301" s="46"/>
      <c r="U1301" s="118"/>
      <c r="V1301" s="46"/>
      <c r="W1301" s="88" t="str">
        <f>IF(V1301&lt;&gt;"",SUMIFS('📊 รายงานสินค้าคงเหลือ'!G:G,'📊 รายงานสินค้าคงเหลือ'!D:D,V1301),"")</f>
        <v/>
      </c>
      <c r="X1301" s="46"/>
      <c r="Y1301" s="46"/>
      <c r="Z1301" s="46"/>
    </row>
    <row r="1302">
      <c r="A1302" s="46"/>
      <c r="B1302" s="16"/>
      <c r="C1302" s="118"/>
      <c r="D1302" s="126"/>
      <c r="E1302" s="88"/>
      <c r="F1302" s="118"/>
      <c r="G1302" s="46"/>
      <c r="H1302" s="46"/>
      <c r="I1302" s="118"/>
      <c r="J1302" s="46"/>
      <c r="K1302" s="16"/>
      <c r="L1302" s="118"/>
      <c r="M1302" s="46"/>
      <c r="N1302" s="46"/>
      <c r="O1302" s="46"/>
      <c r="P1302" s="118"/>
      <c r="Q1302" s="46"/>
      <c r="R1302" s="46"/>
      <c r="S1302" s="46"/>
      <c r="T1302" s="46"/>
      <c r="U1302" s="118"/>
      <c r="V1302" s="46"/>
      <c r="W1302" s="88" t="str">
        <f>IF(V1302&lt;&gt;"",SUMIFS('📊 รายงานสินค้าคงเหลือ'!G:G,'📊 รายงานสินค้าคงเหลือ'!D:D,V1302),"")</f>
        <v/>
      </c>
      <c r="X1302" s="46"/>
      <c r="Y1302" s="46"/>
      <c r="Z1302" s="46"/>
    </row>
    <row r="1303">
      <c r="A1303" s="46"/>
      <c r="B1303" s="16"/>
      <c r="C1303" s="118"/>
      <c r="D1303" s="126"/>
      <c r="E1303" s="88"/>
      <c r="F1303" s="118"/>
      <c r="G1303" s="46"/>
      <c r="H1303" s="46"/>
      <c r="I1303" s="118"/>
      <c r="J1303" s="46"/>
      <c r="K1303" s="16"/>
      <c r="L1303" s="118"/>
      <c r="M1303" s="46"/>
      <c r="N1303" s="46"/>
      <c r="O1303" s="46"/>
      <c r="P1303" s="118"/>
      <c r="Q1303" s="46"/>
      <c r="R1303" s="46"/>
      <c r="S1303" s="46"/>
      <c r="T1303" s="46"/>
      <c r="U1303" s="118"/>
      <c r="V1303" s="46"/>
      <c r="W1303" s="88" t="str">
        <f>IF(V1303&lt;&gt;"",SUMIFS('📊 รายงานสินค้าคงเหลือ'!G:G,'📊 รายงานสินค้าคงเหลือ'!D:D,V1303),"")</f>
        <v/>
      </c>
      <c r="X1303" s="46"/>
      <c r="Y1303" s="46"/>
      <c r="Z1303" s="46"/>
    </row>
    <row r="1304">
      <c r="A1304" s="46"/>
      <c r="B1304" s="16"/>
      <c r="C1304" s="118"/>
      <c r="D1304" s="126"/>
      <c r="E1304" s="88"/>
      <c r="F1304" s="118"/>
      <c r="G1304" s="46"/>
      <c r="H1304" s="46"/>
      <c r="I1304" s="118"/>
      <c r="J1304" s="46"/>
      <c r="K1304" s="16"/>
      <c r="L1304" s="118"/>
      <c r="M1304" s="46"/>
      <c r="N1304" s="46"/>
      <c r="O1304" s="46"/>
      <c r="P1304" s="118"/>
      <c r="Q1304" s="46"/>
      <c r="R1304" s="46"/>
      <c r="S1304" s="46"/>
      <c r="T1304" s="46"/>
      <c r="U1304" s="118"/>
      <c r="V1304" s="46"/>
      <c r="W1304" s="88" t="str">
        <f>IF(V1304&lt;&gt;"",SUMIFS('📊 รายงานสินค้าคงเหลือ'!G:G,'📊 รายงานสินค้าคงเหลือ'!D:D,V1304),"")</f>
        <v/>
      </c>
      <c r="X1304" s="46"/>
      <c r="Y1304" s="46"/>
      <c r="Z1304" s="46"/>
    </row>
    <row r="1305">
      <c r="A1305" s="46"/>
      <c r="B1305" s="16"/>
      <c r="C1305" s="118"/>
      <c r="D1305" s="126"/>
      <c r="E1305" s="88"/>
      <c r="F1305" s="118"/>
      <c r="G1305" s="46"/>
      <c r="H1305" s="46"/>
      <c r="I1305" s="118"/>
      <c r="J1305" s="46"/>
      <c r="K1305" s="16"/>
      <c r="L1305" s="118"/>
      <c r="M1305" s="46"/>
      <c r="N1305" s="46"/>
      <c r="O1305" s="46"/>
      <c r="P1305" s="118"/>
      <c r="Q1305" s="46"/>
      <c r="R1305" s="46"/>
      <c r="S1305" s="46"/>
      <c r="T1305" s="46"/>
      <c r="U1305" s="118"/>
      <c r="V1305" s="46"/>
      <c r="W1305" s="88" t="str">
        <f>IF(V1305&lt;&gt;"",SUMIFS('📊 รายงานสินค้าคงเหลือ'!G:G,'📊 รายงานสินค้าคงเหลือ'!D:D,V1305),"")</f>
        <v/>
      </c>
      <c r="X1305" s="46"/>
      <c r="Y1305" s="46"/>
      <c r="Z1305" s="46"/>
    </row>
    <row r="1306">
      <c r="A1306" s="46"/>
      <c r="B1306" s="16"/>
      <c r="C1306" s="118"/>
      <c r="D1306" s="126"/>
      <c r="E1306" s="88"/>
      <c r="F1306" s="118"/>
      <c r="G1306" s="46"/>
      <c r="H1306" s="46"/>
      <c r="I1306" s="118"/>
      <c r="J1306" s="46"/>
      <c r="K1306" s="16"/>
      <c r="L1306" s="118"/>
      <c r="M1306" s="46"/>
      <c r="N1306" s="46"/>
      <c r="O1306" s="46"/>
      <c r="P1306" s="118"/>
      <c r="Q1306" s="46"/>
      <c r="R1306" s="46"/>
      <c r="S1306" s="46"/>
      <c r="T1306" s="46"/>
      <c r="U1306" s="118"/>
      <c r="V1306" s="46"/>
      <c r="W1306" s="88" t="str">
        <f>IF(V1306&lt;&gt;"",SUMIFS('📊 รายงานสินค้าคงเหลือ'!G:G,'📊 รายงานสินค้าคงเหลือ'!D:D,V1306),"")</f>
        <v/>
      </c>
      <c r="X1306" s="46"/>
      <c r="Y1306" s="46"/>
      <c r="Z1306" s="46"/>
    </row>
    <row r="1307">
      <c r="A1307" s="46"/>
      <c r="B1307" s="16"/>
      <c r="C1307" s="118"/>
      <c r="D1307" s="126"/>
      <c r="E1307" s="88"/>
      <c r="F1307" s="118"/>
      <c r="G1307" s="46"/>
      <c r="H1307" s="46"/>
      <c r="I1307" s="118"/>
      <c r="J1307" s="46"/>
      <c r="K1307" s="16"/>
      <c r="L1307" s="118"/>
      <c r="M1307" s="46"/>
      <c r="N1307" s="46"/>
      <c r="O1307" s="46"/>
      <c r="P1307" s="118"/>
      <c r="Q1307" s="46"/>
      <c r="R1307" s="46"/>
      <c r="S1307" s="46"/>
      <c r="T1307" s="46"/>
      <c r="U1307" s="118"/>
      <c r="V1307" s="46"/>
      <c r="W1307" s="88" t="str">
        <f>IF(V1307&lt;&gt;"",SUMIFS('📊 รายงานสินค้าคงเหลือ'!G:G,'📊 รายงานสินค้าคงเหลือ'!D:D,V1307),"")</f>
        <v/>
      </c>
      <c r="X1307" s="46"/>
      <c r="Y1307" s="46"/>
      <c r="Z1307" s="46"/>
    </row>
    <row r="1308">
      <c r="A1308" s="46"/>
      <c r="B1308" s="16"/>
      <c r="C1308" s="118"/>
      <c r="D1308" s="126"/>
      <c r="E1308" s="88"/>
      <c r="F1308" s="118"/>
      <c r="G1308" s="46"/>
      <c r="H1308" s="46"/>
      <c r="I1308" s="118"/>
      <c r="J1308" s="46"/>
      <c r="K1308" s="16"/>
      <c r="L1308" s="118"/>
      <c r="M1308" s="46"/>
      <c r="N1308" s="46"/>
      <c r="O1308" s="46"/>
      <c r="P1308" s="118"/>
      <c r="Q1308" s="46"/>
      <c r="R1308" s="46"/>
      <c r="S1308" s="46"/>
      <c r="T1308" s="46"/>
      <c r="U1308" s="118"/>
      <c r="V1308" s="46"/>
      <c r="W1308" s="88" t="str">
        <f>IF(V1308&lt;&gt;"",SUMIFS('📊 รายงานสินค้าคงเหลือ'!G:G,'📊 รายงานสินค้าคงเหลือ'!D:D,V1308),"")</f>
        <v/>
      </c>
      <c r="X1308" s="46"/>
      <c r="Y1308" s="46"/>
      <c r="Z1308" s="46"/>
    </row>
    <row r="1309">
      <c r="A1309" s="46"/>
      <c r="B1309" s="16"/>
      <c r="C1309" s="118"/>
      <c r="D1309" s="126"/>
      <c r="E1309" s="88"/>
      <c r="F1309" s="118"/>
      <c r="G1309" s="46"/>
      <c r="H1309" s="46"/>
      <c r="I1309" s="118"/>
      <c r="J1309" s="46"/>
      <c r="K1309" s="16"/>
      <c r="L1309" s="118"/>
      <c r="M1309" s="46"/>
      <c r="N1309" s="46"/>
      <c r="O1309" s="46"/>
      <c r="P1309" s="118"/>
      <c r="Q1309" s="46"/>
      <c r="R1309" s="46"/>
      <c r="S1309" s="46"/>
      <c r="T1309" s="46"/>
      <c r="U1309" s="118"/>
      <c r="V1309" s="46"/>
      <c r="W1309" s="88" t="str">
        <f>IF(V1309&lt;&gt;"",SUMIFS('📊 รายงานสินค้าคงเหลือ'!G:G,'📊 รายงานสินค้าคงเหลือ'!D:D,V1309),"")</f>
        <v/>
      </c>
      <c r="X1309" s="46"/>
      <c r="Y1309" s="46"/>
      <c r="Z1309" s="46"/>
    </row>
    <row r="1310">
      <c r="A1310" s="46"/>
      <c r="B1310" s="16"/>
      <c r="C1310" s="118"/>
      <c r="D1310" s="126"/>
      <c r="E1310" s="88"/>
      <c r="F1310" s="118"/>
      <c r="G1310" s="46"/>
      <c r="H1310" s="46"/>
      <c r="I1310" s="118"/>
      <c r="J1310" s="46"/>
      <c r="K1310" s="16"/>
      <c r="L1310" s="118"/>
      <c r="M1310" s="46"/>
      <c r="N1310" s="46"/>
      <c r="O1310" s="46"/>
      <c r="P1310" s="118"/>
      <c r="Q1310" s="46"/>
      <c r="R1310" s="46"/>
      <c r="S1310" s="46"/>
      <c r="T1310" s="46"/>
      <c r="U1310" s="118"/>
      <c r="V1310" s="46"/>
      <c r="W1310" s="88" t="str">
        <f>IF(V1310&lt;&gt;"",SUMIFS('📊 รายงานสินค้าคงเหลือ'!G:G,'📊 รายงานสินค้าคงเหลือ'!D:D,V1310),"")</f>
        <v/>
      </c>
      <c r="X1310" s="46"/>
      <c r="Y1310" s="46"/>
      <c r="Z1310" s="46"/>
    </row>
    <row r="1311">
      <c r="A1311" s="46"/>
      <c r="B1311" s="16"/>
      <c r="C1311" s="118"/>
      <c r="D1311" s="126"/>
      <c r="E1311" s="88"/>
      <c r="F1311" s="118"/>
      <c r="G1311" s="46"/>
      <c r="H1311" s="46"/>
      <c r="I1311" s="118"/>
      <c r="J1311" s="46"/>
      <c r="K1311" s="16"/>
      <c r="L1311" s="118"/>
      <c r="M1311" s="46"/>
      <c r="N1311" s="46"/>
      <c r="O1311" s="46"/>
      <c r="P1311" s="118"/>
      <c r="Q1311" s="46"/>
      <c r="R1311" s="46"/>
      <c r="S1311" s="46"/>
      <c r="T1311" s="46"/>
      <c r="U1311" s="118"/>
      <c r="V1311" s="46"/>
      <c r="W1311" s="88" t="str">
        <f>IF(V1311&lt;&gt;"",SUMIFS('📊 รายงานสินค้าคงเหลือ'!G:G,'📊 รายงานสินค้าคงเหลือ'!D:D,V1311),"")</f>
        <v/>
      </c>
      <c r="X1311" s="46"/>
      <c r="Y1311" s="46"/>
      <c r="Z1311" s="46"/>
    </row>
    <row r="1312">
      <c r="A1312" s="46"/>
      <c r="B1312" s="16"/>
      <c r="C1312" s="118"/>
      <c r="D1312" s="126"/>
      <c r="E1312" s="88"/>
      <c r="F1312" s="118"/>
      <c r="G1312" s="46"/>
      <c r="H1312" s="46"/>
      <c r="I1312" s="118"/>
      <c r="J1312" s="46"/>
      <c r="K1312" s="16"/>
      <c r="L1312" s="118"/>
      <c r="M1312" s="46"/>
      <c r="N1312" s="46"/>
      <c r="O1312" s="46"/>
      <c r="P1312" s="118"/>
      <c r="Q1312" s="46"/>
      <c r="R1312" s="46"/>
      <c r="S1312" s="46"/>
      <c r="T1312" s="46"/>
      <c r="U1312" s="118"/>
      <c r="V1312" s="46"/>
      <c r="W1312" s="88" t="str">
        <f>IF(V1312&lt;&gt;"",SUMIFS('📊 รายงานสินค้าคงเหลือ'!G:G,'📊 รายงานสินค้าคงเหลือ'!D:D,V1312),"")</f>
        <v/>
      </c>
      <c r="X1312" s="46"/>
      <c r="Y1312" s="46"/>
      <c r="Z1312" s="46"/>
    </row>
    <row r="1313">
      <c r="A1313" s="46"/>
      <c r="B1313" s="16"/>
      <c r="C1313" s="118"/>
      <c r="D1313" s="126"/>
      <c r="E1313" s="88"/>
      <c r="F1313" s="118"/>
      <c r="G1313" s="46"/>
      <c r="H1313" s="46"/>
      <c r="I1313" s="118"/>
      <c r="J1313" s="46"/>
      <c r="K1313" s="16"/>
      <c r="L1313" s="118"/>
      <c r="M1313" s="46"/>
      <c r="N1313" s="46"/>
      <c r="O1313" s="46"/>
      <c r="P1313" s="118"/>
      <c r="Q1313" s="46"/>
      <c r="R1313" s="46"/>
      <c r="S1313" s="46"/>
      <c r="T1313" s="46"/>
      <c r="U1313" s="118"/>
      <c r="V1313" s="46"/>
      <c r="W1313" s="88" t="str">
        <f>IF(V1313&lt;&gt;"",SUMIFS('📊 รายงานสินค้าคงเหลือ'!G:G,'📊 รายงานสินค้าคงเหลือ'!D:D,V1313),"")</f>
        <v/>
      </c>
      <c r="X1313" s="46"/>
      <c r="Y1313" s="46"/>
      <c r="Z1313" s="46"/>
    </row>
    <row r="1314">
      <c r="A1314" s="46"/>
      <c r="B1314" s="16"/>
      <c r="C1314" s="118"/>
      <c r="D1314" s="126"/>
      <c r="E1314" s="88"/>
      <c r="F1314" s="118"/>
      <c r="G1314" s="46"/>
      <c r="H1314" s="46"/>
      <c r="I1314" s="118"/>
      <c r="J1314" s="46"/>
      <c r="K1314" s="16"/>
      <c r="L1314" s="118"/>
      <c r="M1314" s="46"/>
      <c r="N1314" s="46"/>
      <c r="O1314" s="46"/>
      <c r="P1314" s="118"/>
      <c r="Q1314" s="46"/>
      <c r="R1314" s="46"/>
      <c r="S1314" s="46"/>
      <c r="T1314" s="46"/>
      <c r="U1314" s="118"/>
      <c r="V1314" s="46"/>
      <c r="W1314" s="88" t="str">
        <f>IF(V1314&lt;&gt;"",SUMIFS('📊 รายงานสินค้าคงเหลือ'!G:G,'📊 รายงานสินค้าคงเหลือ'!D:D,V1314),"")</f>
        <v/>
      </c>
      <c r="X1314" s="46"/>
      <c r="Y1314" s="46"/>
      <c r="Z1314" s="46"/>
    </row>
    <row r="1315">
      <c r="A1315" s="46"/>
      <c r="B1315" s="16"/>
      <c r="C1315" s="118"/>
      <c r="D1315" s="126"/>
      <c r="E1315" s="88"/>
      <c r="F1315" s="118"/>
      <c r="G1315" s="46"/>
      <c r="H1315" s="46"/>
      <c r="I1315" s="118"/>
      <c r="J1315" s="46"/>
      <c r="K1315" s="16"/>
      <c r="L1315" s="118"/>
      <c r="M1315" s="46"/>
      <c r="N1315" s="46"/>
      <c r="O1315" s="46"/>
      <c r="P1315" s="118"/>
      <c r="Q1315" s="46"/>
      <c r="R1315" s="46"/>
      <c r="S1315" s="46"/>
      <c r="T1315" s="46"/>
      <c r="U1315" s="118"/>
      <c r="V1315" s="46"/>
      <c r="W1315" s="88" t="str">
        <f>IF(V1315&lt;&gt;"",SUMIFS('📊 รายงานสินค้าคงเหลือ'!G:G,'📊 รายงานสินค้าคงเหลือ'!D:D,V1315),"")</f>
        <v/>
      </c>
      <c r="X1315" s="46"/>
      <c r="Y1315" s="46"/>
      <c r="Z1315" s="46"/>
    </row>
    <row r="1316">
      <c r="A1316" s="46"/>
      <c r="B1316" s="16"/>
      <c r="C1316" s="118"/>
      <c r="D1316" s="126"/>
      <c r="E1316" s="88"/>
      <c r="F1316" s="118"/>
      <c r="G1316" s="46"/>
      <c r="H1316" s="46"/>
      <c r="I1316" s="118"/>
      <c r="J1316" s="46"/>
      <c r="K1316" s="16"/>
      <c r="L1316" s="118"/>
      <c r="M1316" s="46"/>
      <c r="N1316" s="46"/>
      <c r="O1316" s="46"/>
      <c r="P1316" s="118"/>
      <c r="Q1316" s="46"/>
      <c r="R1316" s="46"/>
      <c r="S1316" s="46"/>
      <c r="T1316" s="46"/>
      <c r="U1316" s="118"/>
      <c r="V1316" s="46"/>
      <c r="W1316" s="88" t="str">
        <f>IF(V1316&lt;&gt;"",SUMIFS('📊 รายงานสินค้าคงเหลือ'!G:G,'📊 รายงานสินค้าคงเหลือ'!D:D,V1316),"")</f>
        <v/>
      </c>
      <c r="X1316" s="46"/>
      <c r="Y1316" s="46"/>
      <c r="Z1316" s="46"/>
    </row>
    <row r="1317">
      <c r="A1317" s="46"/>
      <c r="B1317" s="16"/>
      <c r="C1317" s="118"/>
      <c r="D1317" s="126"/>
      <c r="E1317" s="88"/>
      <c r="F1317" s="118"/>
      <c r="G1317" s="46"/>
      <c r="H1317" s="46"/>
      <c r="I1317" s="118"/>
      <c r="J1317" s="46"/>
      <c r="K1317" s="16"/>
      <c r="L1317" s="118"/>
      <c r="M1317" s="46"/>
      <c r="N1317" s="46"/>
      <c r="O1317" s="46"/>
      <c r="P1317" s="118"/>
      <c r="Q1317" s="46"/>
      <c r="R1317" s="46"/>
      <c r="S1317" s="46"/>
      <c r="T1317" s="46"/>
      <c r="U1317" s="118"/>
      <c r="V1317" s="46"/>
      <c r="W1317" s="88" t="str">
        <f>IF(V1317&lt;&gt;"",SUMIFS('📊 รายงานสินค้าคงเหลือ'!G:G,'📊 รายงานสินค้าคงเหลือ'!D:D,V1317),"")</f>
        <v/>
      </c>
      <c r="X1317" s="46"/>
      <c r="Y1317" s="46"/>
      <c r="Z1317" s="46"/>
    </row>
    <row r="1318">
      <c r="A1318" s="46"/>
      <c r="B1318" s="16"/>
      <c r="C1318" s="118"/>
      <c r="D1318" s="126"/>
      <c r="E1318" s="88"/>
      <c r="F1318" s="118"/>
      <c r="G1318" s="46"/>
      <c r="H1318" s="46"/>
      <c r="I1318" s="118"/>
      <c r="J1318" s="46"/>
      <c r="K1318" s="16"/>
      <c r="L1318" s="118"/>
      <c r="M1318" s="46"/>
      <c r="N1318" s="46"/>
      <c r="O1318" s="46"/>
      <c r="P1318" s="118"/>
      <c r="Q1318" s="46"/>
      <c r="R1318" s="46"/>
      <c r="S1318" s="46"/>
      <c r="T1318" s="46"/>
      <c r="U1318" s="118"/>
      <c r="V1318" s="46"/>
      <c r="W1318" s="88" t="str">
        <f>IF(V1318&lt;&gt;"",SUMIFS('📊 รายงานสินค้าคงเหลือ'!G:G,'📊 รายงานสินค้าคงเหลือ'!D:D,V1318),"")</f>
        <v/>
      </c>
      <c r="X1318" s="46"/>
      <c r="Y1318" s="46"/>
      <c r="Z1318" s="46"/>
    </row>
    <row r="1319">
      <c r="A1319" s="46"/>
      <c r="B1319" s="16"/>
      <c r="C1319" s="118"/>
      <c r="D1319" s="126"/>
      <c r="E1319" s="88"/>
      <c r="F1319" s="118"/>
      <c r="G1319" s="46"/>
      <c r="H1319" s="46"/>
      <c r="I1319" s="118"/>
      <c r="J1319" s="46"/>
      <c r="K1319" s="16"/>
      <c r="L1319" s="118"/>
      <c r="M1319" s="46"/>
      <c r="N1319" s="46"/>
      <c r="O1319" s="46"/>
      <c r="P1319" s="118"/>
      <c r="Q1319" s="46"/>
      <c r="R1319" s="46"/>
      <c r="S1319" s="46"/>
      <c r="T1319" s="46"/>
      <c r="U1319" s="118"/>
      <c r="V1319" s="46"/>
      <c r="W1319" s="88" t="str">
        <f>IF(V1319&lt;&gt;"",SUMIFS('📊 รายงานสินค้าคงเหลือ'!G:G,'📊 รายงานสินค้าคงเหลือ'!D:D,V1319),"")</f>
        <v/>
      </c>
      <c r="X1319" s="46"/>
      <c r="Y1319" s="46"/>
      <c r="Z1319" s="46"/>
    </row>
    <row r="1320">
      <c r="A1320" s="46"/>
      <c r="B1320" s="16"/>
      <c r="C1320" s="118"/>
      <c r="D1320" s="126"/>
      <c r="E1320" s="88"/>
      <c r="F1320" s="118"/>
      <c r="G1320" s="46"/>
      <c r="H1320" s="46"/>
      <c r="I1320" s="118"/>
      <c r="J1320" s="46"/>
      <c r="K1320" s="16"/>
      <c r="L1320" s="118"/>
      <c r="M1320" s="46"/>
      <c r="N1320" s="46"/>
      <c r="O1320" s="46"/>
      <c r="P1320" s="118"/>
      <c r="Q1320" s="46"/>
      <c r="R1320" s="46"/>
      <c r="S1320" s="46"/>
      <c r="T1320" s="46"/>
      <c r="U1320" s="118"/>
      <c r="V1320" s="46"/>
      <c r="W1320" s="88" t="str">
        <f>IF(V1320&lt;&gt;"",SUMIFS('📊 รายงานสินค้าคงเหลือ'!G:G,'📊 รายงานสินค้าคงเหลือ'!D:D,V1320),"")</f>
        <v/>
      </c>
      <c r="X1320" s="46"/>
      <c r="Y1320" s="46"/>
      <c r="Z1320" s="46"/>
    </row>
    <row r="1321">
      <c r="A1321" s="46"/>
      <c r="B1321" s="16"/>
      <c r="C1321" s="118"/>
      <c r="D1321" s="126"/>
      <c r="E1321" s="88"/>
      <c r="F1321" s="118"/>
      <c r="G1321" s="46"/>
      <c r="H1321" s="46"/>
      <c r="I1321" s="118"/>
      <c r="J1321" s="46"/>
      <c r="K1321" s="16"/>
      <c r="L1321" s="118"/>
      <c r="M1321" s="46"/>
      <c r="N1321" s="46"/>
      <c r="O1321" s="46"/>
      <c r="P1321" s="118"/>
      <c r="Q1321" s="46"/>
      <c r="R1321" s="46"/>
      <c r="S1321" s="46"/>
      <c r="T1321" s="46"/>
      <c r="U1321" s="118"/>
      <c r="V1321" s="46"/>
      <c r="W1321" s="88" t="str">
        <f>IF(V1321&lt;&gt;"",SUMIFS('📊 รายงานสินค้าคงเหลือ'!G:G,'📊 รายงานสินค้าคงเหลือ'!D:D,V1321),"")</f>
        <v/>
      </c>
      <c r="X1321" s="46"/>
      <c r="Y1321" s="46"/>
      <c r="Z1321" s="46"/>
    </row>
    <row r="1322">
      <c r="A1322" s="46"/>
      <c r="B1322" s="16"/>
      <c r="C1322" s="118"/>
      <c r="D1322" s="126"/>
      <c r="E1322" s="88"/>
      <c r="F1322" s="118"/>
      <c r="G1322" s="46"/>
      <c r="H1322" s="46"/>
      <c r="I1322" s="118"/>
      <c r="J1322" s="46"/>
      <c r="K1322" s="16"/>
      <c r="L1322" s="118"/>
      <c r="M1322" s="46"/>
      <c r="N1322" s="46"/>
      <c r="O1322" s="46"/>
      <c r="P1322" s="118"/>
      <c r="Q1322" s="46"/>
      <c r="R1322" s="46"/>
      <c r="S1322" s="46"/>
      <c r="T1322" s="46"/>
      <c r="U1322" s="118"/>
      <c r="V1322" s="46"/>
      <c r="W1322" s="88" t="str">
        <f>IF(V1322&lt;&gt;"",SUMIFS('📊 รายงานสินค้าคงเหลือ'!G:G,'📊 รายงานสินค้าคงเหลือ'!D:D,V1322),"")</f>
        <v/>
      </c>
      <c r="X1322" s="46"/>
      <c r="Y1322" s="46"/>
      <c r="Z1322" s="46"/>
    </row>
    <row r="1323">
      <c r="A1323" s="46"/>
      <c r="B1323" s="16"/>
      <c r="C1323" s="118"/>
      <c r="D1323" s="126"/>
      <c r="E1323" s="88"/>
      <c r="F1323" s="118"/>
      <c r="G1323" s="46"/>
      <c r="H1323" s="46"/>
      <c r="I1323" s="118"/>
      <c r="J1323" s="46"/>
      <c r="K1323" s="16"/>
      <c r="L1323" s="118"/>
      <c r="M1323" s="46"/>
      <c r="N1323" s="46"/>
      <c r="O1323" s="46"/>
      <c r="P1323" s="118"/>
      <c r="Q1323" s="46"/>
      <c r="R1323" s="46"/>
      <c r="S1323" s="46"/>
      <c r="T1323" s="46"/>
      <c r="U1323" s="118"/>
      <c r="V1323" s="46"/>
      <c r="W1323" s="88" t="str">
        <f>IF(V1323&lt;&gt;"",SUMIFS('📊 รายงานสินค้าคงเหลือ'!G:G,'📊 รายงานสินค้าคงเหลือ'!D:D,V1323),"")</f>
        <v/>
      </c>
      <c r="X1323" s="46"/>
      <c r="Y1323" s="46"/>
      <c r="Z1323" s="46"/>
    </row>
    <row r="1324">
      <c r="A1324" s="46"/>
      <c r="B1324" s="16"/>
      <c r="C1324" s="118"/>
      <c r="D1324" s="126"/>
      <c r="E1324" s="88"/>
      <c r="F1324" s="118"/>
      <c r="G1324" s="46"/>
      <c r="H1324" s="46"/>
      <c r="I1324" s="118"/>
      <c r="J1324" s="46"/>
      <c r="K1324" s="16"/>
      <c r="L1324" s="118"/>
      <c r="M1324" s="46"/>
      <c r="N1324" s="46"/>
      <c r="O1324" s="46"/>
      <c r="P1324" s="118"/>
      <c r="Q1324" s="46"/>
      <c r="R1324" s="46"/>
      <c r="S1324" s="46"/>
      <c r="T1324" s="46"/>
      <c r="U1324" s="118"/>
      <c r="V1324" s="46"/>
      <c r="W1324" s="88" t="str">
        <f>IF(V1324&lt;&gt;"",SUMIFS('📊 รายงานสินค้าคงเหลือ'!G:G,'📊 รายงานสินค้าคงเหลือ'!D:D,V1324),"")</f>
        <v/>
      </c>
      <c r="X1324" s="46"/>
      <c r="Y1324" s="46"/>
      <c r="Z1324" s="46"/>
    </row>
    <row r="1325">
      <c r="A1325" s="46"/>
      <c r="B1325" s="16"/>
      <c r="C1325" s="118"/>
      <c r="D1325" s="126"/>
      <c r="E1325" s="88"/>
      <c r="F1325" s="118"/>
      <c r="G1325" s="46"/>
      <c r="H1325" s="46"/>
      <c r="I1325" s="118"/>
      <c r="J1325" s="46"/>
      <c r="K1325" s="16"/>
      <c r="L1325" s="118"/>
      <c r="M1325" s="46"/>
      <c r="N1325" s="46"/>
      <c r="O1325" s="46"/>
      <c r="P1325" s="118"/>
      <c r="Q1325" s="46"/>
      <c r="R1325" s="46"/>
      <c r="S1325" s="46"/>
      <c r="T1325" s="46"/>
      <c r="U1325" s="118"/>
      <c r="V1325" s="46"/>
      <c r="W1325" s="88" t="str">
        <f>IF(V1325&lt;&gt;"",SUMIFS('📊 รายงานสินค้าคงเหลือ'!G:G,'📊 รายงานสินค้าคงเหลือ'!D:D,V1325),"")</f>
        <v/>
      </c>
      <c r="X1325" s="46"/>
      <c r="Y1325" s="46"/>
      <c r="Z1325" s="46"/>
    </row>
    <row r="1326">
      <c r="A1326" s="46"/>
      <c r="B1326" s="16"/>
      <c r="C1326" s="118"/>
      <c r="D1326" s="126"/>
      <c r="E1326" s="88"/>
      <c r="F1326" s="118"/>
      <c r="G1326" s="46"/>
      <c r="H1326" s="46"/>
      <c r="I1326" s="118"/>
      <c r="J1326" s="46"/>
      <c r="K1326" s="16"/>
      <c r="L1326" s="118"/>
      <c r="M1326" s="46"/>
      <c r="N1326" s="46"/>
      <c r="O1326" s="46"/>
      <c r="P1326" s="118"/>
      <c r="Q1326" s="46"/>
      <c r="R1326" s="46"/>
      <c r="S1326" s="46"/>
      <c r="T1326" s="46"/>
      <c r="U1326" s="118"/>
      <c r="V1326" s="46"/>
      <c r="W1326" s="88" t="str">
        <f>IF(V1326&lt;&gt;"",SUMIFS('📊 รายงานสินค้าคงเหลือ'!G:G,'📊 รายงานสินค้าคงเหลือ'!D:D,V1326),"")</f>
        <v/>
      </c>
      <c r="X1326" s="46"/>
      <c r="Y1326" s="46"/>
      <c r="Z1326" s="46"/>
    </row>
    <row r="1327">
      <c r="A1327" s="46"/>
      <c r="B1327" s="16"/>
      <c r="C1327" s="118"/>
      <c r="D1327" s="126"/>
      <c r="E1327" s="88"/>
      <c r="F1327" s="118"/>
      <c r="G1327" s="46"/>
      <c r="H1327" s="46"/>
      <c r="I1327" s="118"/>
      <c r="J1327" s="46"/>
      <c r="K1327" s="16"/>
      <c r="L1327" s="118"/>
      <c r="M1327" s="46"/>
      <c r="N1327" s="46"/>
      <c r="O1327" s="46"/>
      <c r="P1327" s="118"/>
      <c r="Q1327" s="46"/>
      <c r="R1327" s="46"/>
      <c r="S1327" s="46"/>
      <c r="T1327" s="46"/>
      <c r="U1327" s="118"/>
      <c r="V1327" s="46"/>
      <c r="W1327" s="88" t="str">
        <f>IF(V1327&lt;&gt;"",SUMIFS('📊 รายงานสินค้าคงเหลือ'!G:G,'📊 รายงานสินค้าคงเหลือ'!D:D,V1327),"")</f>
        <v/>
      </c>
      <c r="X1327" s="46"/>
      <c r="Y1327" s="46"/>
      <c r="Z1327" s="46"/>
    </row>
    <row r="1328">
      <c r="A1328" s="46"/>
      <c r="B1328" s="16"/>
      <c r="C1328" s="118"/>
      <c r="D1328" s="126"/>
      <c r="E1328" s="88"/>
      <c r="F1328" s="118"/>
      <c r="G1328" s="46"/>
      <c r="H1328" s="46"/>
      <c r="I1328" s="118"/>
      <c r="J1328" s="46"/>
      <c r="K1328" s="16"/>
      <c r="L1328" s="118"/>
      <c r="M1328" s="46"/>
      <c r="N1328" s="46"/>
      <c r="O1328" s="46"/>
      <c r="P1328" s="118"/>
      <c r="Q1328" s="46"/>
      <c r="R1328" s="46"/>
      <c r="S1328" s="46"/>
      <c r="T1328" s="46"/>
      <c r="U1328" s="118"/>
      <c r="V1328" s="46"/>
      <c r="W1328" s="88" t="str">
        <f>IF(V1328&lt;&gt;"",SUMIFS('📊 รายงานสินค้าคงเหลือ'!G:G,'📊 รายงานสินค้าคงเหลือ'!D:D,V1328),"")</f>
        <v/>
      </c>
      <c r="X1328" s="46"/>
      <c r="Y1328" s="46"/>
      <c r="Z1328" s="46"/>
    </row>
    <row r="1329">
      <c r="A1329" s="46"/>
      <c r="B1329" s="16"/>
      <c r="C1329" s="118"/>
      <c r="D1329" s="126"/>
      <c r="E1329" s="88"/>
      <c r="F1329" s="118"/>
      <c r="G1329" s="46"/>
      <c r="H1329" s="46"/>
      <c r="I1329" s="118"/>
      <c r="J1329" s="46"/>
      <c r="K1329" s="16"/>
      <c r="L1329" s="118"/>
      <c r="M1329" s="46"/>
      <c r="N1329" s="46"/>
      <c r="O1329" s="46"/>
      <c r="P1329" s="118"/>
      <c r="Q1329" s="46"/>
      <c r="R1329" s="46"/>
      <c r="S1329" s="46"/>
      <c r="T1329" s="46"/>
      <c r="U1329" s="118"/>
      <c r="V1329" s="46"/>
      <c r="W1329" s="88" t="str">
        <f>IF(V1329&lt;&gt;"",SUMIFS('📊 รายงานสินค้าคงเหลือ'!G:G,'📊 รายงานสินค้าคงเหลือ'!D:D,V1329),"")</f>
        <v/>
      </c>
      <c r="X1329" s="46"/>
      <c r="Y1329" s="46"/>
      <c r="Z1329" s="46"/>
    </row>
    <row r="1330">
      <c r="A1330" s="46"/>
      <c r="B1330" s="16"/>
      <c r="C1330" s="118"/>
      <c r="D1330" s="126"/>
      <c r="E1330" s="88"/>
      <c r="F1330" s="118"/>
      <c r="G1330" s="46"/>
      <c r="H1330" s="46"/>
      <c r="I1330" s="118"/>
      <c r="J1330" s="46"/>
      <c r="K1330" s="16"/>
      <c r="L1330" s="118"/>
      <c r="M1330" s="46"/>
      <c r="N1330" s="46"/>
      <c r="O1330" s="46"/>
      <c r="P1330" s="118"/>
      <c r="Q1330" s="46"/>
      <c r="R1330" s="46"/>
      <c r="S1330" s="46"/>
      <c r="T1330" s="46"/>
      <c r="U1330" s="118"/>
      <c r="V1330" s="46"/>
      <c r="W1330" s="88" t="str">
        <f>IF(V1330&lt;&gt;"",SUMIFS('📊 รายงานสินค้าคงเหลือ'!G:G,'📊 รายงานสินค้าคงเหลือ'!D:D,V1330),"")</f>
        <v/>
      </c>
      <c r="X1330" s="46"/>
      <c r="Y1330" s="46"/>
      <c r="Z1330" s="46"/>
    </row>
    <row r="1331">
      <c r="A1331" s="46"/>
      <c r="B1331" s="16"/>
      <c r="C1331" s="118"/>
      <c r="D1331" s="126"/>
      <c r="E1331" s="88"/>
      <c r="F1331" s="118"/>
      <c r="G1331" s="46"/>
      <c r="H1331" s="46"/>
      <c r="I1331" s="118"/>
      <c r="J1331" s="46"/>
      <c r="K1331" s="16"/>
      <c r="L1331" s="118"/>
      <c r="M1331" s="46"/>
      <c r="N1331" s="46"/>
      <c r="O1331" s="46"/>
      <c r="P1331" s="118"/>
      <c r="Q1331" s="46"/>
      <c r="R1331" s="46"/>
      <c r="S1331" s="46"/>
      <c r="T1331" s="46"/>
      <c r="U1331" s="118"/>
      <c r="V1331" s="46"/>
      <c r="W1331" s="88" t="str">
        <f>IF(V1331&lt;&gt;"",SUMIFS('📊 รายงานสินค้าคงเหลือ'!G:G,'📊 รายงานสินค้าคงเหลือ'!D:D,V1331),"")</f>
        <v/>
      </c>
      <c r="X1331" s="46"/>
      <c r="Y1331" s="46"/>
      <c r="Z1331" s="46"/>
    </row>
    <row r="1332">
      <c r="A1332" s="46"/>
      <c r="B1332" s="16"/>
      <c r="C1332" s="118"/>
      <c r="D1332" s="126"/>
      <c r="E1332" s="88"/>
      <c r="F1332" s="118"/>
      <c r="G1332" s="46"/>
      <c r="H1332" s="46"/>
      <c r="I1332" s="118"/>
      <c r="J1332" s="46"/>
      <c r="K1332" s="16"/>
      <c r="L1332" s="118"/>
      <c r="M1332" s="46"/>
      <c r="N1332" s="46"/>
      <c r="O1332" s="46"/>
      <c r="P1332" s="118"/>
      <c r="Q1332" s="46"/>
      <c r="R1332" s="46"/>
      <c r="S1332" s="46"/>
      <c r="T1332" s="46"/>
      <c r="U1332" s="118"/>
      <c r="V1332" s="46"/>
      <c r="W1332" s="88" t="str">
        <f>IF(V1332&lt;&gt;"",SUMIFS('📊 รายงานสินค้าคงเหลือ'!G:G,'📊 รายงานสินค้าคงเหลือ'!D:D,V1332),"")</f>
        <v/>
      </c>
      <c r="X1332" s="46"/>
      <c r="Y1332" s="46"/>
      <c r="Z1332" s="46"/>
    </row>
    <row r="1333">
      <c r="A1333" s="46"/>
      <c r="B1333" s="16"/>
      <c r="C1333" s="118"/>
      <c r="D1333" s="126"/>
      <c r="E1333" s="88"/>
      <c r="F1333" s="118"/>
      <c r="G1333" s="46"/>
      <c r="H1333" s="46"/>
      <c r="I1333" s="118"/>
      <c r="J1333" s="46"/>
      <c r="K1333" s="16"/>
      <c r="L1333" s="118"/>
      <c r="M1333" s="46"/>
      <c r="N1333" s="46"/>
      <c r="O1333" s="46"/>
      <c r="P1333" s="118"/>
      <c r="Q1333" s="46"/>
      <c r="R1333" s="46"/>
      <c r="S1333" s="46"/>
      <c r="T1333" s="46"/>
      <c r="U1333" s="118"/>
      <c r="V1333" s="46"/>
      <c r="W1333" s="88" t="str">
        <f>IF(V1333&lt;&gt;"",SUMIFS('📊 รายงานสินค้าคงเหลือ'!G:G,'📊 รายงานสินค้าคงเหลือ'!D:D,V1333),"")</f>
        <v/>
      </c>
      <c r="X1333" s="46"/>
      <c r="Y1333" s="46"/>
      <c r="Z1333" s="46"/>
    </row>
    <row r="1334">
      <c r="A1334" s="46"/>
      <c r="B1334" s="16"/>
      <c r="C1334" s="118"/>
      <c r="D1334" s="126"/>
      <c r="E1334" s="88"/>
      <c r="F1334" s="118"/>
      <c r="G1334" s="46"/>
      <c r="H1334" s="46"/>
      <c r="I1334" s="118"/>
      <c r="J1334" s="46"/>
      <c r="K1334" s="16"/>
      <c r="L1334" s="118"/>
      <c r="M1334" s="46"/>
      <c r="N1334" s="46"/>
      <c r="O1334" s="46"/>
      <c r="P1334" s="118"/>
      <c r="Q1334" s="46"/>
      <c r="R1334" s="46"/>
      <c r="S1334" s="46"/>
      <c r="T1334" s="46"/>
      <c r="U1334" s="118"/>
      <c r="V1334" s="46"/>
      <c r="W1334" s="88" t="str">
        <f>IF(V1334&lt;&gt;"",SUMIFS('📊 รายงานสินค้าคงเหลือ'!G:G,'📊 รายงานสินค้าคงเหลือ'!D:D,V1334),"")</f>
        <v/>
      </c>
      <c r="X1334" s="46"/>
      <c r="Y1334" s="46"/>
      <c r="Z1334" s="46"/>
    </row>
    <row r="1335">
      <c r="A1335" s="46"/>
      <c r="B1335" s="16"/>
      <c r="C1335" s="118"/>
      <c r="D1335" s="126"/>
      <c r="E1335" s="88"/>
      <c r="F1335" s="118"/>
      <c r="G1335" s="46"/>
      <c r="H1335" s="46"/>
      <c r="I1335" s="118"/>
      <c r="J1335" s="46"/>
      <c r="K1335" s="16"/>
      <c r="L1335" s="118"/>
      <c r="M1335" s="46"/>
      <c r="N1335" s="46"/>
      <c r="O1335" s="46"/>
      <c r="P1335" s="118"/>
      <c r="Q1335" s="46"/>
      <c r="R1335" s="46"/>
      <c r="S1335" s="46"/>
      <c r="T1335" s="46"/>
      <c r="U1335" s="118"/>
      <c r="V1335" s="46"/>
      <c r="W1335" s="88" t="str">
        <f>IF(V1335&lt;&gt;"",SUMIFS('📊 รายงานสินค้าคงเหลือ'!G:G,'📊 รายงานสินค้าคงเหลือ'!D:D,V1335),"")</f>
        <v/>
      </c>
      <c r="X1335" s="46"/>
      <c r="Y1335" s="46"/>
      <c r="Z1335" s="46"/>
    </row>
    <row r="1336">
      <c r="A1336" s="46"/>
      <c r="B1336" s="16"/>
      <c r="C1336" s="118"/>
      <c r="D1336" s="126"/>
      <c r="E1336" s="88"/>
      <c r="F1336" s="118"/>
      <c r="G1336" s="46"/>
      <c r="H1336" s="46"/>
      <c r="I1336" s="118"/>
      <c r="J1336" s="46"/>
      <c r="K1336" s="16"/>
      <c r="L1336" s="118"/>
      <c r="M1336" s="46"/>
      <c r="N1336" s="46"/>
      <c r="O1336" s="46"/>
      <c r="P1336" s="118"/>
      <c r="Q1336" s="46"/>
      <c r="R1336" s="46"/>
      <c r="S1336" s="46"/>
      <c r="T1336" s="46"/>
      <c r="U1336" s="118"/>
      <c r="V1336" s="46"/>
      <c r="W1336" s="88" t="str">
        <f>IF(V1336&lt;&gt;"",SUMIFS('📊 รายงานสินค้าคงเหลือ'!G:G,'📊 รายงานสินค้าคงเหลือ'!D:D,V1336),"")</f>
        <v/>
      </c>
      <c r="X1336" s="46"/>
      <c r="Y1336" s="46"/>
      <c r="Z1336" s="46"/>
    </row>
    <row r="1337">
      <c r="A1337" s="46"/>
      <c r="B1337" s="16"/>
      <c r="C1337" s="118"/>
      <c r="D1337" s="126"/>
      <c r="E1337" s="88"/>
      <c r="F1337" s="118"/>
      <c r="G1337" s="46"/>
      <c r="H1337" s="46"/>
      <c r="I1337" s="118"/>
      <c r="J1337" s="46"/>
      <c r="K1337" s="16"/>
      <c r="L1337" s="118"/>
      <c r="M1337" s="46"/>
      <c r="N1337" s="46"/>
      <c r="O1337" s="46"/>
      <c r="P1337" s="118"/>
      <c r="Q1337" s="46"/>
      <c r="R1337" s="46"/>
      <c r="S1337" s="46"/>
      <c r="T1337" s="46"/>
      <c r="U1337" s="118"/>
      <c r="V1337" s="46"/>
      <c r="W1337" s="88" t="str">
        <f>IF(V1337&lt;&gt;"",SUMIFS('📊 รายงานสินค้าคงเหลือ'!G:G,'📊 รายงานสินค้าคงเหลือ'!D:D,V1337),"")</f>
        <v/>
      </c>
      <c r="X1337" s="46"/>
      <c r="Y1337" s="46"/>
      <c r="Z1337" s="46"/>
    </row>
    <row r="1338">
      <c r="A1338" s="46"/>
      <c r="B1338" s="16"/>
      <c r="C1338" s="118"/>
      <c r="D1338" s="126"/>
      <c r="E1338" s="88"/>
      <c r="F1338" s="118"/>
      <c r="G1338" s="46"/>
      <c r="H1338" s="46"/>
      <c r="I1338" s="118"/>
      <c r="J1338" s="46"/>
      <c r="K1338" s="16"/>
      <c r="L1338" s="118"/>
      <c r="M1338" s="46"/>
      <c r="N1338" s="46"/>
      <c r="O1338" s="46"/>
      <c r="P1338" s="118"/>
      <c r="Q1338" s="46"/>
      <c r="R1338" s="46"/>
      <c r="S1338" s="46"/>
      <c r="T1338" s="46"/>
      <c r="U1338" s="118"/>
      <c r="V1338" s="46"/>
      <c r="W1338" s="88" t="str">
        <f>IF(V1338&lt;&gt;"",SUMIFS('📊 รายงานสินค้าคงเหลือ'!G:G,'📊 รายงานสินค้าคงเหลือ'!D:D,V1338),"")</f>
        <v/>
      </c>
      <c r="X1338" s="46"/>
      <c r="Y1338" s="46"/>
      <c r="Z1338" s="46"/>
    </row>
    <row r="1339">
      <c r="A1339" s="46"/>
      <c r="B1339" s="16"/>
      <c r="C1339" s="118"/>
      <c r="D1339" s="126"/>
      <c r="E1339" s="88"/>
      <c r="F1339" s="118"/>
      <c r="G1339" s="46"/>
      <c r="H1339" s="46"/>
      <c r="I1339" s="118"/>
      <c r="J1339" s="46"/>
      <c r="K1339" s="16"/>
      <c r="L1339" s="118"/>
      <c r="M1339" s="46"/>
      <c r="N1339" s="46"/>
      <c r="O1339" s="46"/>
      <c r="P1339" s="118"/>
      <c r="Q1339" s="46"/>
      <c r="R1339" s="46"/>
      <c r="S1339" s="46"/>
      <c r="T1339" s="46"/>
      <c r="U1339" s="118"/>
      <c r="V1339" s="46"/>
      <c r="W1339" s="88" t="str">
        <f>IF(V1339&lt;&gt;"",SUMIFS('📊 รายงานสินค้าคงเหลือ'!G:G,'📊 รายงานสินค้าคงเหลือ'!D:D,V1339),"")</f>
        <v/>
      </c>
      <c r="X1339" s="46"/>
      <c r="Y1339" s="46"/>
      <c r="Z1339" s="46"/>
    </row>
    <row r="1340">
      <c r="A1340" s="46"/>
      <c r="B1340" s="16"/>
      <c r="C1340" s="118"/>
      <c r="D1340" s="126"/>
      <c r="E1340" s="88"/>
      <c r="F1340" s="118"/>
      <c r="G1340" s="46"/>
      <c r="H1340" s="46"/>
      <c r="I1340" s="118"/>
      <c r="J1340" s="46"/>
      <c r="K1340" s="16"/>
      <c r="L1340" s="118"/>
      <c r="M1340" s="46"/>
      <c r="N1340" s="46"/>
      <c r="O1340" s="46"/>
      <c r="P1340" s="118"/>
      <c r="Q1340" s="46"/>
      <c r="R1340" s="46"/>
      <c r="S1340" s="46"/>
      <c r="T1340" s="46"/>
      <c r="U1340" s="118"/>
      <c r="V1340" s="46"/>
      <c r="W1340" s="88" t="str">
        <f>IF(V1340&lt;&gt;"",SUMIFS('📊 รายงานสินค้าคงเหลือ'!G:G,'📊 รายงานสินค้าคงเหลือ'!D:D,V1340),"")</f>
        <v/>
      </c>
      <c r="X1340" s="46"/>
      <c r="Y1340" s="46"/>
      <c r="Z1340" s="46"/>
    </row>
    <row r="1341">
      <c r="A1341" s="46"/>
      <c r="B1341" s="16"/>
      <c r="C1341" s="118"/>
      <c r="D1341" s="126"/>
      <c r="E1341" s="88"/>
      <c r="F1341" s="118"/>
      <c r="G1341" s="46"/>
      <c r="H1341" s="46"/>
      <c r="I1341" s="118"/>
      <c r="J1341" s="46"/>
      <c r="K1341" s="16"/>
      <c r="L1341" s="118"/>
      <c r="M1341" s="46"/>
      <c r="N1341" s="46"/>
      <c r="O1341" s="46"/>
      <c r="P1341" s="118"/>
      <c r="Q1341" s="46"/>
      <c r="R1341" s="46"/>
      <c r="S1341" s="46"/>
      <c r="T1341" s="46"/>
      <c r="U1341" s="118"/>
      <c r="V1341" s="46"/>
      <c r="W1341" s="88" t="str">
        <f>IF(V1341&lt;&gt;"",SUMIFS('📊 รายงานสินค้าคงเหลือ'!G:G,'📊 รายงานสินค้าคงเหลือ'!D:D,V1341),"")</f>
        <v/>
      </c>
      <c r="X1341" s="46"/>
      <c r="Y1341" s="46"/>
      <c r="Z1341" s="46"/>
    </row>
    <row r="1342">
      <c r="A1342" s="46"/>
      <c r="B1342" s="16"/>
      <c r="C1342" s="118"/>
      <c r="D1342" s="126"/>
      <c r="E1342" s="88"/>
      <c r="F1342" s="118"/>
      <c r="G1342" s="46"/>
      <c r="H1342" s="46"/>
      <c r="I1342" s="118"/>
      <c r="J1342" s="46"/>
      <c r="K1342" s="16"/>
      <c r="L1342" s="118"/>
      <c r="M1342" s="46"/>
      <c r="N1342" s="46"/>
      <c r="O1342" s="46"/>
      <c r="P1342" s="118"/>
      <c r="Q1342" s="46"/>
      <c r="R1342" s="46"/>
      <c r="S1342" s="46"/>
      <c r="T1342" s="46"/>
      <c r="U1342" s="118"/>
      <c r="V1342" s="46"/>
      <c r="W1342" s="88" t="str">
        <f>IF(V1342&lt;&gt;"",SUMIFS('📊 รายงานสินค้าคงเหลือ'!G:G,'📊 รายงานสินค้าคงเหลือ'!D:D,V1342),"")</f>
        <v/>
      </c>
      <c r="X1342" s="46"/>
      <c r="Y1342" s="46"/>
      <c r="Z1342" s="46"/>
    </row>
    <row r="1343">
      <c r="A1343" s="46"/>
      <c r="B1343" s="16"/>
      <c r="C1343" s="118"/>
      <c r="D1343" s="126"/>
      <c r="E1343" s="88"/>
      <c r="F1343" s="118"/>
      <c r="G1343" s="46"/>
      <c r="H1343" s="46"/>
      <c r="I1343" s="118"/>
      <c r="J1343" s="46"/>
      <c r="K1343" s="16"/>
      <c r="L1343" s="118"/>
      <c r="M1343" s="46"/>
      <c r="N1343" s="46"/>
      <c r="O1343" s="46"/>
      <c r="P1343" s="118"/>
      <c r="Q1343" s="46"/>
      <c r="R1343" s="46"/>
      <c r="S1343" s="46"/>
      <c r="T1343" s="46"/>
      <c r="U1343" s="118"/>
      <c r="V1343" s="46"/>
      <c r="W1343" s="88" t="str">
        <f>IF(V1343&lt;&gt;"",SUMIFS('📊 รายงานสินค้าคงเหลือ'!G:G,'📊 รายงานสินค้าคงเหลือ'!D:D,V1343),"")</f>
        <v/>
      </c>
      <c r="X1343" s="46"/>
      <c r="Y1343" s="46"/>
      <c r="Z1343" s="46"/>
    </row>
    <row r="1344">
      <c r="A1344" s="46"/>
      <c r="B1344" s="16"/>
      <c r="C1344" s="118"/>
      <c r="D1344" s="126"/>
      <c r="E1344" s="88"/>
      <c r="F1344" s="118"/>
      <c r="G1344" s="46"/>
      <c r="H1344" s="46"/>
      <c r="I1344" s="118"/>
      <c r="J1344" s="46"/>
      <c r="K1344" s="16"/>
      <c r="L1344" s="118"/>
      <c r="M1344" s="46"/>
      <c r="N1344" s="46"/>
      <c r="O1344" s="46"/>
      <c r="P1344" s="118"/>
      <c r="Q1344" s="46"/>
      <c r="R1344" s="46"/>
      <c r="S1344" s="46"/>
      <c r="T1344" s="46"/>
      <c r="U1344" s="118"/>
      <c r="V1344" s="46"/>
      <c r="W1344" s="88" t="str">
        <f>IF(V1344&lt;&gt;"",SUMIFS('📊 รายงานสินค้าคงเหลือ'!G:G,'📊 รายงานสินค้าคงเหลือ'!D:D,V1344),"")</f>
        <v/>
      </c>
      <c r="X1344" s="46"/>
      <c r="Y1344" s="46"/>
      <c r="Z1344" s="46"/>
    </row>
    <row r="1345">
      <c r="A1345" s="46"/>
      <c r="B1345" s="16"/>
      <c r="C1345" s="118"/>
      <c r="D1345" s="126"/>
      <c r="E1345" s="88"/>
      <c r="F1345" s="118"/>
      <c r="G1345" s="46"/>
      <c r="H1345" s="46"/>
      <c r="I1345" s="118"/>
      <c r="J1345" s="46"/>
      <c r="K1345" s="16"/>
      <c r="L1345" s="118"/>
      <c r="M1345" s="46"/>
      <c r="N1345" s="46"/>
      <c r="O1345" s="46"/>
      <c r="P1345" s="118"/>
      <c r="Q1345" s="46"/>
      <c r="R1345" s="46"/>
      <c r="S1345" s="46"/>
      <c r="T1345" s="46"/>
      <c r="U1345" s="118"/>
      <c r="V1345" s="46"/>
      <c r="W1345" s="88" t="str">
        <f>IF(V1345&lt;&gt;"",SUMIFS('📊 รายงานสินค้าคงเหลือ'!G:G,'📊 รายงานสินค้าคงเหลือ'!D:D,V1345),"")</f>
        <v/>
      </c>
      <c r="X1345" s="46"/>
      <c r="Y1345" s="46"/>
      <c r="Z1345" s="46"/>
    </row>
    <row r="1346">
      <c r="A1346" s="46"/>
      <c r="B1346" s="16"/>
      <c r="C1346" s="118"/>
      <c r="D1346" s="126"/>
      <c r="E1346" s="88"/>
      <c r="F1346" s="118"/>
      <c r="G1346" s="46"/>
      <c r="H1346" s="46"/>
      <c r="I1346" s="118"/>
      <c r="J1346" s="46"/>
      <c r="K1346" s="16"/>
      <c r="L1346" s="118"/>
      <c r="M1346" s="46"/>
      <c r="N1346" s="46"/>
      <c r="O1346" s="46"/>
      <c r="P1346" s="118"/>
      <c r="Q1346" s="46"/>
      <c r="R1346" s="46"/>
      <c r="S1346" s="46"/>
      <c r="T1346" s="46"/>
      <c r="U1346" s="118"/>
      <c r="V1346" s="46"/>
      <c r="W1346" s="88" t="str">
        <f>IF(V1346&lt;&gt;"",SUMIFS('📊 รายงานสินค้าคงเหลือ'!G:G,'📊 รายงานสินค้าคงเหลือ'!D:D,V1346),"")</f>
        <v/>
      </c>
      <c r="X1346" s="46"/>
      <c r="Y1346" s="46"/>
      <c r="Z1346" s="46"/>
    </row>
    <row r="1347">
      <c r="A1347" s="46"/>
      <c r="B1347" s="16"/>
      <c r="C1347" s="118"/>
      <c r="D1347" s="126"/>
      <c r="E1347" s="88"/>
      <c r="F1347" s="118"/>
      <c r="G1347" s="46"/>
      <c r="H1347" s="46"/>
      <c r="I1347" s="118"/>
      <c r="J1347" s="46"/>
      <c r="K1347" s="16"/>
      <c r="L1347" s="118"/>
      <c r="M1347" s="46"/>
      <c r="N1347" s="46"/>
      <c r="O1347" s="46"/>
      <c r="P1347" s="118"/>
      <c r="Q1347" s="46"/>
      <c r="R1347" s="46"/>
      <c r="S1347" s="46"/>
      <c r="T1347" s="46"/>
      <c r="U1347" s="118"/>
      <c r="V1347" s="46"/>
      <c r="W1347" s="88" t="str">
        <f>IF(V1347&lt;&gt;"",SUMIFS('📊 รายงานสินค้าคงเหลือ'!G:G,'📊 รายงานสินค้าคงเหลือ'!D:D,V1347),"")</f>
        <v/>
      </c>
      <c r="X1347" s="46"/>
      <c r="Y1347" s="46"/>
      <c r="Z1347" s="46"/>
    </row>
    <row r="1348">
      <c r="A1348" s="46"/>
      <c r="B1348" s="16"/>
      <c r="C1348" s="118"/>
      <c r="D1348" s="126"/>
      <c r="E1348" s="88"/>
      <c r="F1348" s="118"/>
      <c r="G1348" s="46"/>
      <c r="H1348" s="46"/>
      <c r="I1348" s="118"/>
      <c r="J1348" s="46"/>
      <c r="K1348" s="16"/>
      <c r="L1348" s="118"/>
      <c r="M1348" s="46"/>
      <c r="N1348" s="46"/>
      <c r="O1348" s="46"/>
      <c r="P1348" s="118"/>
      <c r="Q1348" s="46"/>
      <c r="R1348" s="46"/>
      <c r="S1348" s="46"/>
      <c r="T1348" s="46"/>
      <c r="U1348" s="118"/>
      <c r="V1348" s="46"/>
      <c r="W1348" s="88" t="str">
        <f>IF(V1348&lt;&gt;"",SUMIFS('📊 รายงานสินค้าคงเหลือ'!G:G,'📊 รายงานสินค้าคงเหลือ'!D:D,V1348),"")</f>
        <v/>
      </c>
      <c r="X1348" s="46"/>
      <c r="Y1348" s="46"/>
      <c r="Z1348" s="46"/>
    </row>
    <row r="1349">
      <c r="A1349" s="46"/>
      <c r="B1349" s="16"/>
      <c r="C1349" s="118"/>
      <c r="D1349" s="126"/>
      <c r="E1349" s="88"/>
      <c r="F1349" s="118"/>
      <c r="G1349" s="46"/>
      <c r="H1349" s="46"/>
      <c r="I1349" s="118"/>
      <c r="J1349" s="46"/>
      <c r="K1349" s="16"/>
      <c r="L1349" s="118"/>
      <c r="M1349" s="46"/>
      <c r="N1349" s="46"/>
      <c r="O1349" s="46"/>
      <c r="P1349" s="118"/>
      <c r="Q1349" s="46"/>
      <c r="R1349" s="46"/>
      <c r="S1349" s="46"/>
      <c r="T1349" s="46"/>
      <c r="U1349" s="118"/>
      <c r="V1349" s="46"/>
      <c r="W1349" s="88" t="str">
        <f>IF(V1349&lt;&gt;"",SUMIFS('📊 รายงานสินค้าคงเหลือ'!G:G,'📊 รายงานสินค้าคงเหลือ'!D:D,V1349),"")</f>
        <v/>
      </c>
      <c r="X1349" s="46"/>
      <c r="Y1349" s="46"/>
      <c r="Z1349" s="46"/>
    </row>
    <row r="1350">
      <c r="A1350" s="46"/>
      <c r="B1350" s="16"/>
      <c r="C1350" s="118"/>
      <c r="D1350" s="126"/>
      <c r="E1350" s="88"/>
      <c r="F1350" s="118"/>
      <c r="G1350" s="46"/>
      <c r="H1350" s="46"/>
      <c r="I1350" s="118"/>
      <c r="J1350" s="46"/>
      <c r="K1350" s="16"/>
      <c r="L1350" s="118"/>
      <c r="M1350" s="46"/>
      <c r="N1350" s="46"/>
      <c r="O1350" s="46"/>
      <c r="P1350" s="118"/>
      <c r="Q1350" s="46"/>
      <c r="R1350" s="46"/>
      <c r="S1350" s="46"/>
      <c r="T1350" s="46"/>
      <c r="U1350" s="118"/>
      <c r="V1350" s="46"/>
      <c r="W1350" s="88" t="str">
        <f>IF(V1350&lt;&gt;"",SUMIFS('📊 รายงานสินค้าคงเหลือ'!G:G,'📊 รายงานสินค้าคงเหลือ'!D:D,V1350),"")</f>
        <v/>
      </c>
      <c r="X1350" s="46"/>
      <c r="Y1350" s="46"/>
      <c r="Z1350" s="46"/>
    </row>
    <row r="1351">
      <c r="A1351" s="46"/>
      <c r="B1351" s="16"/>
      <c r="C1351" s="118"/>
      <c r="D1351" s="126"/>
      <c r="E1351" s="88"/>
      <c r="F1351" s="118"/>
      <c r="G1351" s="46"/>
      <c r="H1351" s="46"/>
      <c r="I1351" s="118"/>
      <c r="J1351" s="46"/>
      <c r="K1351" s="16"/>
      <c r="L1351" s="118"/>
      <c r="M1351" s="46"/>
      <c r="N1351" s="46"/>
      <c r="O1351" s="46"/>
      <c r="P1351" s="118"/>
      <c r="Q1351" s="46"/>
      <c r="R1351" s="46"/>
      <c r="S1351" s="46"/>
      <c r="T1351" s="46"/>
      <c r="U1351" s="118"/>
      <c r="V1351" s="46"/>
      <c r="W1351" s="88" t="str">
        <f>IF(V1351&lt;&gt;"",SUMIFS('📊 รายงานสินค้าคงเหลือ'!G:G,'📊 รายงานสินค้าคงเหลือ'!D:D,V1351),"")</f>
        <v/>
      </c>
      <c r="X1351" s="46"/>
      <c r="Y1351" s="46"/>
      <c r="Z1351" s="46"/>
    </row>
    <row r="1352">
      <c r="A1352" s="46"/>
      <c r="B1352" s="16"/>
      <c r="C1352" s="118"/>
      <c r="D1352" s="126"/>
      <c r="E1352" s="88"/>
      <c r="F1352" s="118"/>
      <c r="G1352" s="46"/>
      <c r="H1352" s="46"/>
      <c r="I1352" s="118"/>
      <c r="J1352" s="46"/>
      <c r="K1352" s="16"/>
      <c r="L1352" s="118"/>
      <c r="M1352" s="46"/>
      <c r="N1352" s="46"/>
      <c r="O1352" s="46"/>
      <c r="P1352" s="118"/>
      <c r="Q1352" s="46"/>
      <c r="R1352" s="46"/>
      <c r="S1352" s="46"/>
      <c r="T1352" s="46"/>
      <c r="U1352" s="118"/>
      <c r="V1352" s="46"/>
      <c r="W1352" s="88" t="str">
        <f>IF(V1352&lt;&gt;"",SUMIFS('📊 รายงานสินค้าคงเหลือ'!G:G,'📊 รายงานสินค้าคงเหลือ'!D:D,V1352),"")</f>
        <v/>
      </c>
      <c r="X1352" s="46"/>
      <c r="Y1352" s="46"/>
      <c r="Z1352" s="46"/>
    </row>
    <row r="1353">
      <c r="A1353" s="46"/>
      <c r="B1353" s="16"/>
      <c r="C1353" s="118"/>
      <c r="D1353" s="126"/>
      <c r="E1353" s="88"/>
      <c r="F1353" s="118"/>
      <c r="G1353" s="46"/>
      <c r="H1353" s="46"/>
      <c r="I1353" s="118"/>
      <c r="J1353" s="46"/>
      <c r="K1353" s="16"/>
      <c r="L1353" s="118"/>
      <c r="M1353" s="46"/>
      <c r="N1353" s="46"/>
      <c r="O1353" s="46"/>
      <c r="P1353" s="118"/>
      <c r="Q1353" s="46"/>
      <c r="R1353" s="46"/>
      <c r="S1353" s="46"/>
      <c r="T1353" s="46"/>
      <c r="U1353" s="118"/>
      <c r="V1353" s="46"/>
      <c r="W1353" s="88" t="str">
        <f>IF(V1353&lt;&gt;"",SUMIFS('📊 รายงานสินค้าคงเหลือ'!G:G,'📊 รายงานสินค้าคงเหลือ'!D:D,V1353),"")</f>
        <v/>
      </c>
      <c r="X1353" s="46"/>
      <c r="Y1353" s="46"/>
      <c r="Z1353" s="46"/>
    </row>
    <row r="1354">
      <c r="A1354" s="46"/>
      <c r="B1354" s="16"/>
      <c r="C1354" s="118"/>
      <c r="D1354" s="126"/>
      <c r="E1354" s="88"/>
      <c r="F1354" s="118"/>
      <c r="G1354" s="46"/>
      <c r="H1354" s="46"/>
      <c r="I1354" s="118"/>
      <c r="J1354" s="46"/>
      <c r="K1354" s="16"/>
      <c r="L1354" s="118"/>
      <c r="M1354" s="46"/>
      <c r="N1354" s="46"/>
      <c r="O1354" s="46"/>
      <c r="P1354" s="118"/>
      <c r="Q1354" s="46"/>
      <c r="R1354" s="46"/>
      <c r="S1354" s="46"/>
      <c r="T1354" s="46"/>
      <c r="U1354" s="118"/>
      <c r="V1354" s="46"/>
      <c r="W1354" s="88" t="str">
        <f>IF(V1354&lt;&gt;"",SUMIFS('📊 รายงานสินค้าคงเหลือ'!G:G,'📊 รายงานสินค้าคงเหลือ'!D:D,V1354),"")</f>
        <v/>
      </c>
      <c r="X1354" s="46"/>
      <c r="Y1354" s="46"/>
      <c r="Z1354" s="46"/>
    </row>
    <row r="1355">
      <c r="A1355" s="46"/>
      <c r="B1355" s="16"/>
      <c r="C1355" s="118"/>
      <c r="D1355" s="126"/>
      <c r="E1355" s="88"/>
      <c r="F1355" s="118"/>
      <c r="G1355" s="46"/>
      <c r="H1355" s="46"/>
      <c r="I1355" s="118"/>
      <c r="J1355" s="46"/>
      <c r="K1355" s="16"/>
      <c r="L1355" s="118"/>
      <c r="M1355" s="46"/>
      <c r="N1355" s="46"/>
      <c r="O1355" s="46"/>
      <c r="P1355" s="118"/>
      <c r="Q1355" s="46"/>
      <c r="R1355" s="46"/>
      <c r="S1355" s="46"/>
      <c r="T1355" s="46"/>
      <c r="U1355" s="118"/>
      <c r="V1355" s="46"/>
      <c r="W1355" s="88" t="str">
        <f>IF(V1355&lt;&gt;"",SUMIFS('📊 รายงานสินค้าคงเหลือ'!G:G,'📊 รายงานสินค้าคงเหลือ'!D:D,V1355),"")</f>
        <v/>
      </c>
      <c r="X1355" s="46"/>
      <c r="Y1355" s="46"/>
      <c r="Z1355" s="46"/>
    </row>
    <row r="1356">
      <c r="A1356" s="46"/>
      <c r="B1356" s="16"/>
      <c r="C1356" s="118"/>
      <c r="D1356" s="126"/>
      <c r="E1356" s="88"/>
      <c r="F1356" s="118"/>
      <c r="G1356" s="46"/>
      <c r="H1356" s="46"/>
      <c r="I1356" s="118"/>
      <c r="J1356" s="46"/>
      <c r="K1356" s="16"/>
      <c r="L1356" s="118"/>
      <c r="M1356" s="46"/>
      <c r="N1356" s="46"/>
      <c r="O1356" s="46"/>
      <c r="P1356" s="118"/>
      <c r="Q1356" s="46"/>
      <c r="R1356" s="46"/>
      <c r="S1356" s="46"/>
      <c r="T1356" s="46"/>
      <c r="U1356" s="118"/>
      <c r="V1356" s="46"/>
      <c r="W1356" s="88" t="str">
        <f>IF(V1356&lt;&gt;"",SUMIFS('📊 รายงานสินค้าคงเหลือ'!G:G,'📊 รายงานสินค้าคงเหลือ'!D:D,V1356),"")</f>
        <v/>
      </c>
      <c r="X1356" s="46"/>
      <c r="Y1356" s="46"/>
      <c r="Z1356" s="46"/>
    </row>
    <row r="1357">
      <c r="A1357" s="46"/>
      <c r="B1357" s="16"/>
      <c r="C1357" s="118"/>
      <c r="D1357" s="126"/>
      <c r="E1357" s="88"/>
      <c r="F1357" s="118"/>
      <c r="G1357" s="46"/>
      <c r="H1357" s="46"/>
      <c r="I1357" s="118"/>
      <c r="J1357" s="46"/>
      <c r="K1357" s="16"/>
      <c r="L1357" s="118"/>
      <c r="M1357" s="46"/>
      <c r="N1357" s="46"/>
      <c r="O1357" s="46"/>
      <c r="P1357" s="118"/>
      <c r="Q1357" s="46"/>
      <c r="R1357" s="46"/>
      <c r="S1357" s="46"/>
      <c r="T1357" s="46"/>
      <c r="U1357" s="118"/>
      <c r="V1357" s="46"/>
      <c r="W1357" s="88" t="str">
        <f>IF(V1357&lt;&gt;"",SUMIFS('📊 รายงานสินค้าคงเหลือ'!G:G,'📊 รายงานสินค้าคงเหลือ'!D:D,V1357),"")</f>
        <v/>
      </c>
      <c r="X1357" s="46"/>
      <c r="Y1357" s="46"/>
      <c r="Z1357" s="46"/>
    </row>
    <row r="1358">
      <c r="A1358" s="46"/>
      <c r="B1358" s="16"/>
      <c r="C1358" s="118"/>
      <c r="D1358" s="126"/>
      <c r="E1358" s="88"/>
      <c r="F1358" s="118"/>
      <c r="G1358" s="46"/>
      <c r="H1358" s="46"/>
      <c r="I1358" s="118"/>
      <c r="J1358" s="46"/>
      <c r="K1358" s="16"/>
      <c r="L1358" s="118"/>
      <c r="M1358" s="46"/>
      <c r="N1358" s="46"/>
      <c r="O1358" s="46"/>
      <c r="P1358" s="118"/>
      <c r="Q1358" s="46"/>
      <c r="R1358" s="46"/>
      <c r="S1358" s="46"/>
      <c r="T1358" s="46"/>
      <c r="U1358" s="118"/>
      <c r="V1358" s="46"/>
      <c r="W1358" s="88" t="str">
        <f>IF(V1358&lt;&gt;"",SUMIFS('📊 รายงานสินค้าคงเหลือ'!G:G,'📊 รายงานสินค้าคงเหลือ'!D:D,V1358),"")</f>
        <v/>
      </c>
      <c r="X1358" s="46"/>
      <c r="Y1358" s="46"/>
      <c r="Z1358" s="46"/>
    </row>
    <row r="1359">
      <c r="A1359" s="46"/>
      <c r="B1359" s="16"/>
      <c r="C1359" s="118"/>
      <c r="D1359" s="126"/>
      <c r="E1359" s="88"/>
      <c r="F1359" s="118"/>
      <c r="G1359" s="46"/>
      <c r="H1359" s="46"/>
      <c r="I1359" s="118"/>
      <c r="J1359" s="46"/>
      <c r="K1359" s="16"/>
      <c r="L1359" s="118"/>
      <c r="M1359" s="46"/>
      <c r="N1359" s="46"/>
      <c r="O1359" s="46"/>
      <c r="P1359" s="118"/>
      <c r="Q1359" s="46"/>
      <c r="R1359" s="46"/>
      <c r="S1359" s="46"/>
      <c r="T1359" s="46"/>
      <c r="U1359" s="118"/>
      <c r="V1359" s="46"/>
      <c r="W1359" s="88" t="str">
        <f>IF(V1359&lt;&gt;"",SUMIFS('📊 รายงานสินค้าคงเหลือ'!G:G,'📊 รายงานสินค้าคงเหลือ'!D:D,V1359),"")</f>
        <v/>
      </c>
      <c r="X1359" s="46"/>
      <c r="Y1359" s="46"/>
      <c r="Z1359" s="46"/>
    </row>
    <row r="1360">
      <c r="A1360" s="46"/>
      <c r="B1360" s="16"/>
      <c r="C1360" s="118"/>
      <c r="D1360" s="126"/>
      <c r="E1360" s="88"/>
      <c r="F1360" s="118"/>
      <c r="G1360" s="46"/>
      <c r="H1360" s="46"/>
      <c r="I1360" s="118"/>
      <c r="J1360" s="46"/>
      <c r="K1360" s="16"/>
      <c r="L1360" s="118"/>
      <c r="M1360" s="46"/>
      <c r="N1360" s="46"/>
      <c r="O1360" s="46"/>
      <c r="P1360" s="118"/>
      <c r="Q1360" s="46"/>
      <c r="R1360" s="46"/>
      <c r="S1360" s="46"/>
      <c r="T1360" s="46"/>
      <c r="U1360" s="118"/>
      <c r="V1360" s="46"/>
      <c r="W1360" s="88" t="str">
        <f>IF(V1360&lt;&gt;"",SUMIFS('📊 รายงานสินค้าคงเหลือ'!G:G,'📊 รายงานสินค้าคงเหลือ'!D:D,V1360),"")</f>
        <v/>
      </c>
      <c r="X1360" s="46"/>
      <c r="Y1360" s="46"/>
      <c r="Z1360" s="46"/>
    </row>
    <row r="1361">
      <c r="A1361" s="46"/>
      <c r="B1361" s="16"/>
      <c r="C1361" s="118"/>
      <c r="D1361" s="126"/>
      <c r="E1361" s="88"/>
      <c r="F1361" s="118"/>
      <c r="G1361" s="46"/>
      <c r="H1361" s="46"/>
      <c r="I1361" s="118"/>
      <c r="J1361" s="46"/>
      <c r="K1361" s="16"/>
      <c r="L1361" s="118"/>
      <c r="M1361" s="46"/>
      <c r="N1361" s="46"/>
      <c r="O1361" s="46"/>
      <c r="P1361" s="118"/>
      <c r="Q1361" s="46"/>
      <c r="R1361" s="46"/>
      <c r="S1361" s="46"/>
      <c r="T1361" s="46"/>
      <c r="U1361" s="118"/>
      <c r="V1361" s="46"/>
      <c r="W1361" s="88" t="str">
        <f>IF(V1361&lt;&gt;"",SUMIFS('📊 รายงานสินค้าคงเหลือ'!G:G,'📊 รายงานสินค้าคงเหลือ'!D:D,V1361),"")</f>
        <v/>
      </c>
      <c r="X1361" s="46"/>
      <c r="Y1361" s="46"/>
      <c r="Z1361" s="46"/>
    </row>
    <row r="1362">
      <c r="A1362" s="46"/>
      <c r="B1362" s="16"/>
      <c r="C1362" s="118"/>
      <c r="D1362" s="126"/>
      <c r="E1362" s="88"/>
      <c r="F1362" s="118"/>
      <c r="G1362" s="46"/>
      <c r="H1362" s="46"/>
      <c r="I1362" s="118"/>
      <c r="J1362" s="46"/>
      <c r="K1362" s="16"/>
      <c r="L1362" s="118"/>
      <c r="M1362" s="46"/>
      <c r="N1362" s="46"/>
      <c r="O1362" s="46"/>
      <c r="P1362" s="118"/>
      <c r="Q1362" s="46"/>
      <c r="R1362" s="46"/>
      <c r="S1362" s="46"/>
      <c r="T1362" s="46"/>
      <c r="U1362" s="118"/>
      <c r="V1362" s="46"/>
      <c r="W1362" s="88" t="str">
        <f>IF(V1362&lt;&gt;"",SUMIFS('📊 รายงานสินค้าคงเหลือ'!G:G,'📊 รายงานสินค้าคงเหลือ'!D:D,V1362),"")</f>
        <v/>
      </c>
      <c r="X1362" s="46"/>
      <c r="Y1362" s="46"/>
      <c r="Z1362" s="46"/>
    </row>
    <row r="1363">
      <c r="A1363" s="46"/>
      <c r="B1363" s="16"/>
      <c r="C1363" s="118"/>
      <c r="D1363" s="126"/>
      <c r="E1363" s="88"/>
      <c r="F1363" s="118"/>
      <c r="G1363" s="46"/>
      <c r="H1363" s="46"/>
      <c r="I1363" s="118"/>
      <c r="J1363" s="46"/>
      <c r="K1363" s="16"/>
      <c r="L1363" s="118"/>
      <c r="M1363" s="46"/>
      <c r="N1363" s="46"/>
      <c r="O1363" s="46"/>
      <c r="P1363" s="118"/>
      <c r="Q1363" s="46"/>
      <c r="R1363" s="46"/>
      <c r="S1363" s="46"/>
      <c r="T1363" s="46"/>
      <c r="U1363" s="118"/>
      <c r="V1363" s="46"/>
      <c r="W1363" s="88" t="str">
        <f>IF(V1363&lt;&gt;"",SUMIFS('📊 รายงานสินค้าคงเหลือ'!G:G,'📊 รายงานสินค้าคงเหลือ'!D:D,V1363),"")</f>
        <v/>
      </c>
      <c r="X1363" s="46"/>
      <c r="Y1363" s="46"/>
      <c r="Z1363" s="46"/>
    </row>
    <row r="1364">
      <c r="A1364" s="46"/>
      <c r="B1364" s="16"/>
      <c r="C1364" s="118"/>
      <c r="D1364" s="126"/>
      <c r="E1364" s="88"/>
      <c r="F1364" s="118"/>
      <c r="G1364" s="46"/>
      <c r="H1364" s="46"/>
      <c r="I1364" s="118"/>
      <c r="J1364" s="46"/>
      <c r="K1364" s="16"/>
      <c r="L1364" s="118"/>
      <c r="M1364" s="46"/>
      <c r="N1364" s="46"/>
      <c r="O1364" s="46"/>
      <c r="P1364" s="118"/>
      <c r="Q1364" s="46"/>
      <c r="R1364" s="46"/>
      <c r="S1364" s="46"/>
      <c r="T1364" s="46"/>
      <c r="U1364" s="118"/>
      <c r="V1364" s="46"/>
      <c r="W1364" s="88" t="str">
        <f>IF(V1364&lt;&gt;"",SUMIFS('📊 รายงานสินค้าคงเหลือ'!G:G,'📊 รายงานสินค้าคงเหลือ'!D:D,V1364),"")</f>
        <v/>
      </c>
      <c r="X1364" s="46"/>
      <c r="Y1364" s="46"/>
      <c r="Z1364" s="46"/>
    </row>
    <row r="1365">
      <c r="A1365" s="46"/>
      <c r="B1365" s="16"/>
      <c r="C1365" s="118"/>
      <c r="D1365" s="126"/>
      <c r="E1365" s="88"/>
      <c r="F1365" s="118"/>
      <c r="G1365" s="46"/>
      <c r="H1365" s="46"/>
      <c r="I1365" s="118"/>
      <c r="J1365" s="46"/>
      <c r="K1365" s="16"/>
      <c r="L1365" s="118"/>
      <c r="M1365" s="46"/>
      <c r="N1365" s="46"/>
      <c r="O1365" s="46"/>
      <c r="P1365" s="118"/>
      <c r="Q1365" s="46"/>
      <c r="R1365" s="46"/>
      <c r="S1365" s="46"/>
      <c r="T1365" s="46"/>
      <c r="U1365" s="118"/>
      <c r="V1365" s="46"/>
      <c r="W1365" s="88" t="str">
        <f>IF(V1365&lt;&gt;"",SUMIFS('📊 รายงานสินค้าคงเหลือ'!G:G,'📊 รายงานสินค้าคงเหลือ'!D:D,V1365),"")</f>
        <v/>
      </c>
      <c r="X1365" s="46"/>
      <c r="Y1365" s="46"/>
      <c r="Z1365" s="46"/>
    </row>
    <row r="1366">
      <c r="A1366" s="46"/>
      <c r="B1366" s="16"/>
      <c r="C1366" s="118"/>
      <c r="D1366" s="126"/>
      <c r="E1366" s="88"/>
      <c r="F1366" s="118"/>
      <c r="G1366" s="46"/>
      <c r="H1366" s="46"/>
      <c r="I1366" s="118"/>
      <c r="J1366" s="46"/>
      <c r="K1366" s="16"/>
      <c r="L1366" s="118"/>
      <c r="M1366" s="46"/>
      <c r="N1366" s="46"/>
      <c r="O1366" s="46"/>
      <c r="P1366" s="118"/>
      <c r="Q1366" s="46"/>
      <c r="R1366" s="46"/>
      <c r="S1366" s="46"/>
      <c r="T1366" s="46"/>
      <c r="U1366" s="118"/>
      <c r="V1366" s="46"/>
      <c r="W1366" s="88" t="str">
        <f>IF(V1366&lt;&gt;"",SUMIFS('📊 รายงานสินค้าคงเหลือ'!G:G,'📊 รายงานสินค้าคงเหลือ'!D:D,V1366),"")</f>
        <v/>
      </c>
      <c r="X1366" s="46"/>
      <c r="Y1366" s="46"/>
      <c r="Z1366" s="46"/>
    </row>
    <row r="1367">
      <c r="A1367" s="46"/>
      <c r="B1367" s="16"/>
      <c r="C1367" s="118"/>
      <c r="D1367" s="126"/>
      <c r="E1367" s="88"/>
      <c r="F1367" s="118"/>
      <c r="G1367" s="46"/>
      <c r="H1367" s="46"/>
      <c r="I1367" s="118"/>
      <c r="J1367" s="46"/>
      <c r="K1367" s="16"/>
      <c r="L1367" s="118"/>
      <c r="M1367" s="46"/>
      <c r="N1367" s="46"/>
      <c r="O1367" s="46"/>
      <c r="P1367" s="118"/>
      <c r="Q1367" s="46"/>
      <c r="R1367" s="46"/>
      <c r="S1367" s="46"/>
      <c r="T1367" s="46"/>
      <c r="U1367" s="118"/>
      <c r="V1367" s="46"/>
      <c r="W1367" s="88" t="str">
        <f>IF(V1367&lt;&gt;"",SUMIFS('📊 รายงานสินค้าคงเหลือ'!G:G,'📊 รายงานสินค้าคงเหลือ'!D:D,V1367),"")</f>
        <v/>
      </c>
      <c r="X1367" s="46"/>
      <c r="Y1367" s="46"/>
      <c r="Z1367" s="46"/>
    </row>
    <row r="1368">
      <c r="A1368" s="46"/>
      <c r="B1368" s="16"/>
      <c r="C1368" s="118"/>
      <c r="D1368" s="126"/>
      <c r="E1368" s="88"/>
      <c r="F1368" s="118"/>
      <c r="G1368" s="46"/>
      <c r="H1368" s="46"/>
      <c r="I1368" s="118"/>
      <c r="J1368" s="46"/>
      <c r="K1368" s="16"/>
      <c r="L1368" s="118"/>
      <c r="M1368" s="46"/>
      <c r="N1368" s="46"/>
      <c r="O1368" s="46"/>
      <c r="P1368" s="118"/>
      <c r="Q1368" s="46"/>
      <c r="R1368" s="46"/>
      <c r="S1368" s="46"/>
      <c r="T1368" s="46"/>
      <c r="U1368" s="118"/>
      <c r="V1368" s="46"/>
      <c r="W1368" s="88" t="str">
        <f>IF(V1368&lt;&gt;"",SUMIFS('📊 รายงานสินค้าคงเหลือ'!G:G,'📊 รายงานสินค้าคงเหลือ'!D:D,V1368),"")</f>
        <v/>
      </c>
      <c r="X1368" s="46"/>
      <c r="Y1368" s="46"/>
      <c r="Z1368" s="46"/>
    </row>
    <row r="1369">
      <c r="A1369" s="46"/>
      <c r="B1369" s="16"/>
      <c r="C1369" s="118"/>
      <c r="D1369" s="126"/>
      <c r="E1369" s="88"/>
      <c r="F1369" s="118"/>
      <c r="G1369" s="46"/>
      <c r="H1369" s="46"/>
      <c r="I1369" s="118"/>
      <c r="J1369" s="46"/>
      <c r="K1369" s="16"/>
      <c r="L1369" s="118"/>
      <c r="M1369" s="46"/>
      <c r="N1369" s="46"/>
      <c r="O1369" s="46"/>
      <c r="P1369" s="118"/>
      <c r="Q1369" s="46"/>
      <c r="R1369" s="46"/>
      <c r="S1369" s="46"/>
      <c r="T1369" s="46"/>
      <c r="U1369" s="118"/>
      <c r="V1369" s="46"/>
      <c r="W1369" s="88" t="str">
        <f>IF(V1369&lt;&gt;"",SUMIFS('📊 รายงานสินค้าคงเหลือ'!G:G,'📊 รายงานสินค้าคงเหลือ'!D:D,V1369),"")</f>
        <v/>
      </c>
      <c r="X1369" s="46"/>
      <c r="Y1369" s="46"/>
      <c r="Z1369" s="46"/>
    </row>
    <row r="1370">
      <c r="A1370" s="46"/>
      <c r="B1370" s="16"/>
      <c r="C1370" s="118"/>
      <c r="D1370" s="126"/>
      <c r="E1370" s="88"/>
      <c r="F1370" s="118"/>
      <c r="G1370" s="46"/>
      <c r="H1370" s="46"/>
      <c r="I1370" s="118"/>
      <c r="J1370" s="46"/>
      <c r="K1370" s="16"/>
      <c r="L1370" s="118"/>
      <c r="M1370" s="46"/>
      <c r="N1370" s="46"/>
      <c r="O1370" s="46"/>
      <c r="P1370" s="118"/>
      <c r="Q1370" s="46"/>
      <c r="R1370" s="46"/>
      <c r="S1370" s="46"/>
      <c r="T1370" s="46"/>
      <c r="U1370" s="118"/>
      <c r="V1370" s="46"/>
      <c r="W1370" s="88" t="str">
        <f>IF(V1370&lt;&gt;"",SUMIFS('📊 รายงานสินค้าคงเหลือ'!G:G,'📊 รายงานสินค้าคงเหลือ'!D:D,V1370),"")</f>
        <v/>
      </c>
      <c r="X1370" s="46"/>
      <c r="Y1370" s="46"/>
      <c r="Z1370" s="46"/>
    </row>
    <row r="1371">
      <c r="A1371" s="46"/>
      <c r="B1371" s="16"/>
      <c r="C1371" s="118"/>
      <c r="D1371" s="126"/>
      <c r="E1371" s="88"/>
      <c r="F1371" s="118"/>
      <c r="G1371" s="46"/>
      <c r="H1371" s="46"/>
      <c r="I1371" s="118"/>
      <c r="J1371" s="46"/>
      <c r="K1371" s="16"/>
      <c r="L1371" s="118"/>
      <c r="M1371" s="46"/>
      <c r="N1371" s="46"/>
      <c r="O1371" s="46"/>
      <c r="P1371" s="118"/>
      <c r="Q1371" s="46"/>
      <c r="R1371" s="46"/>
      <c r="S1371" s="46"/>
      <c r="T1371" s="46"/>
      <c r="U1371" s="118"/>
      <c r="V1371" s="46"/>
      <c r="W1371" s="88" t="str">
        <f>IF(V1371&lt;&gt;"",SUMIFS('📊 รายงานสินค้าคงเหลือ'!G:G,'📊 รายงานสินค้าคงเหลือ'!D:D,V1371),"")</f>
        <v/>
      </c>
      <c r="X1371" s="46"/>
      <c r="Y1371" s="46"/>
      <c r="Z1371" s="46"/>
    </row>
    <row r="1372">
      <c r="A1372" s="46"/>
      <c r="B1372" s="16"/>
      <c r="C1372" s="118"/>
      <c r="D1372" s="126"/>
      <c r="E1372" s="88"/>
      <c r="F1372" s="118"/>
      <c r="G1372" s="46"/>
      <c r="H1372" s="46"/>
      <c r="I1372" s="118"/>
      <c r="J1372" s="46"/>
      <c r="K1372" s="16"/>
      <c r="L1372" s="118"/>
      <c r="M1372" s="46"/>
      <c r="N1372" s="46"/>
      <c r="O1372" s="46"/>
      <c r="P1372" s="118"/>
      <c r="Q1372" s="46"/>
      <c r="R1372" s="46"/>
      <c r="S1372" s="46"/>
      <c r="T1372" s="46"/>
      <c r="U1372" s="118"/>
      <c r="V1372" s="46"/>
      <c r="W1372" s="88" t="str">
        <f>IF(V1372&lt;&gt;"",SUMIFS('📊 รายงานสินค้าคงเหลือ'!G:G,'📊 รายงานสินค้าคงเหลือ'!D:D,V1372),"")</f>
        <v/>
      </c>
      <c r="X1372" s="46"/>
      <c r="Y1372" s="46"/>
      <c r="Z1372" s="46"/>
    </row>
    <row r="1373">
      <c r="A1373" s="46"/>
      <c r="B1373" s="16"/>
      <c r="C1373" s="118"/>
      <c r="D1373" s="126"/>
      <c r="E1373" s="88"/>
      <c r="F1373" s="118"/>
      <c r="G1373" s="46"/>
      <c r="H1373" s="46"/>
      <c r="I1373" s="118"/>
      <c r="J1373" s="46"/>
      <c r="K1373" s="16"/>
      <c r="L1373" s="118"/>
      <c r="M1373" s="46"/>
      <c r="N1373" s="46"/>
      <c r="O1373" s="46"/>
      <c r="P1373" s="118"/>
      <c r="Q1373" s="46"/>
      <c r="R1373" s="46"/>
      <c r="S1373" s="46"/>
      <c r="T1373" s="46"/>
      <c r="U1373" s="118"/>
      <c r="V1373" s="46"/>
      <c r="W1373" s="88" t="str">
        <f>IF(V1373&lt;&gt;"",SUMIFS('📊 รายงานสินค้าคงเหลือ'!G:G,'📊 รายงานสินค้าคงเหลือ'!D:D,V1373),"")</f>
        <v/>
      </c>
      <c r="X1373" s="46"/>
      <c r="Y1373" s="46"/>
      <c r="Z1373" s="46"/>
    </row>
    <row r="1374">
      <c r="A1374" s="46"/>
      <c r="B1374" s="16"/>
      <c r="C1374" s="118"/>
      <c r="D1374" s="126"/>
      <c r="E1374" s="88"/>
      <c r="F1374" s="118"/>
      <c r="G1374" s="46"/>
      <c r="H1374" s="46"/>
      <c r="I1374" s="118"/>
      <c r="J1374" s="46"/>
      <c r="K1374" s="16"/>
      <c r="L1374" s="118"/>
      <c r="M1374" s="46"/>
      <c r="N1374" s="46"/>
      <c r="O1374" s="46"/>
      <c r="P1374" s="118"/>
      <c r="Q1374" s="46"/>
      <c r="R1374" s="46"/>
      <c r="S1374" s="46"/>
      <c r="T1374" s="46"/>
      <c r="U1374" s="118"/>
      <c r="V1374" s="46"/>
      <c r="W1374" s="88" t="str">
        <f>IF(V1374&lt;&gt;"",SUMIFS('📊 รายงานสินค้าคงเหลือ'!G:G,'📊 รายงานสินค้าคงเหลือ'!D:D,V1374),"")</f>
        <v/>
      </c>
      <c r="X1374" s="46"/>
      <c r="Y1374" s="46"/>
      <c r="Z1374" s="46"/>
    </row>
    <row r="1375">
      <c r="A1375" s="46"/>
      <c r="B1375" s="16"/>
      <c r="C1375" s="118"/>
      <c r="D1375" s="126"/>
      <c r="E1375" s="88"/>
      <c r="F1375" s="118"/>
      <c r="G1375" s="46"/>
      <c r="H1375" s="46"/>
      <c r="I1375" s="118"/>
      <c r="J1375" s="46"/>
      <c r="K1375" s="16"/>
      <c r="L1375" s="118"/>
      <c r="M1375" s="46"/>
      <c r="N1375" s="46"/>
      <c r="O1375" s="46"/>
      <c r="P1375" s="118"/>
      <c r="Q1375" s="46"/>
      <c r="R1375" s="46"/>
      <c r="S1375" s="46"/>
      <c r="T1375" s="46"/>
      <c r="U1375" s="118"/>
      <c r="V1375" s="46"/>
      <c r="W1375" s="88" t="str">
        <f>IF(V1375&lt;&gt;"",SUMIFS('📊 รายงานสินค้าคงเหลือ'!G:G,'📊 รายงานสินค้าคงเหลือ'!D:D,V1375),"")</f>
        <v/>
      </c>
      <c r="X1375" s="46"/>
      <c r="Y1375" s="46"/>
      <c r="Z1375" s="46"/>
    </row>
    <row r="1376">
      <c r="A1376" s="46"/>
      <c r="B1376" s="16"/>
      <c r="C1376" s="118"/>
      <c r="D1376" s="126"/>
      <c r="E1376" s="88"/>
      <c r="F1376" s="118"/>
      <c r="G1376" s="46"/>
      <c r="H1376" s="46"/>
      <c r="I1376" s="118"/>
      <c r="J1376" s="46"/>
      <c r="K1376" s="16"/>
      <c r="L1376" s="118"/>
      <c r="M1376" s="46"/>
      <c r="N1376" s="46"/>
      <c r="O1376" s="46"/>
      <c r="P1376" s="118"/>
      <c r="Q1376" s="46"/>
      <c r="R1376" s="46"/>
      <c r="S1376" s="46"/>
      <c r="T1376" s="46"/>
      <c r="U1376" s="118"/>
      <c r="V1376" s="46"/>
      <c r="W1376" s="88" t="str">
        <f>IF(V1376&lt;&gt;"",SUMIFS('📊 รายงานสินค้าคงเหลือ'!G:G,'📊 รายงานสินค้าคงเหลือ'!D:D,V1376),"")</f>
        <v/>
      </c>
      <c r="X1376" s="46"/>
      <c r="Y1376" s="46"/>
      <c r="Z1376" s="46"/>
    </row>
    <row r="1377">
      <c r="A1377" s="46"/>
      <c r="B1377" s="16"/>
      <c r="C1377" s="118"/>
      <c r="D1377" s="126"/>
      <c r="E1377" s="88"/>
      <c r="F1377" s="118"/>
      <c r="G1377" s="46"/>
      <c r="H1377" s="46"/>
      <c r="I1377" s="118"/>
      <c r="J1377" s="46"/>
      <c r="K1377" s="16"/>
      <c r="L1377" s="118"/>
      <c r="M1377" s="46"/>
      <c r="N1377" s="46"/>
      <c r="O1377" s="46"/>
      <c r="P1377" s="118"/>
      <c r="Q1377" s="46"/>
      <c r="R1377" s="46"/>
      <c r="S1377" s="46"/>
      <c r="T1377" s="46"/>
      <c r="U1377" s="118"/>
      <c r="V1377" s="46"/>
      <c r="W1377" s="88" t="str">
        <f>IF(V1377&lt;&gt;"",SUMIFS('📊 รายงานสินค้าคงเหลือ'!G:G,'📊 รายงานสินค้าคงเหลือ'!D:D,V1377),"")</f>
        <v/>
      </c>
      <c r="X1377" s="46"/>
      <c r="Y1377" s="46"/>
      <c r="Z1377" s="46"/>
    </row>
    <row r="1378">
      <c r="A1378" s="46"/>
      <c r="B1378" s="16"/>
      <c r="C1378" s="118"/>
      <c r="D1378" s="126"/>
      <c r="E1378" s="88"/>
      <c r="F1378" s="118"/>
      <c r="G1378" s="46"/>
      <c r="H1378" s="46"/>
      <c r="I1378" s="118"/>
      <c r="J1378" s="46"/>
      <c r="K1378" s="16"/>
      <c r="L1378" s="118"/>
      <c r="M1378" s="46"/>
      <c r="N1378" s="46"/>
      <c r="O1378" s="46"/>
      <c r="P1378" s="118"/>
      <c r="Q1378" s="46"/>
      <c r="R1378" s="46"/>
      <c r="S1378" s="46"/>
      <c r="T1378" s="46"/>
      <c r="U1378" s="118"/>
      <c r="V1378" s="46"/>
      <c r="W1378" s="88" t="str">
        <f>IF(V1378&lt;&gt;"",SUMIFS('📊 รายงานสินค้าคงเหลือ'!G:G,'📊 รายงานสินค้าคงเหลือ'!D:D,V1378),"")</f>
        <v/>
      </c>
      <c r="X1378" s="46"/>
      <c r="Y1378" s="46"/>
      <c r="Z1378" s="46"/>
    </row>
    <row r="1379">
      <c r="A1379" s="46"/>
      <c r="B1379" s="16"/>
      <c r="C1379" s="118"/>
      <c r="D1379" s="126"/>
      <c r="E1379" s="88"/>
      <c r="F1379" s="118"/>
      <c r="G1379" s="46"/>
      <c r="H1379" s="46"/>
      <c r="I1379" s="118"/>
      <c r="J1379" s="46"/>
      <c r="K1379" s="16"/>
      <c r="L1379" s="118"/>
      <c r="M1379" s="46"/>
      <c r="N1379" s="46"/>
      <c r="O1379" s="46"/>
      <c r="P1379" s="118"/>
      <c r="Q1379" s="46"/>
      <c r="R1379" s="46"/>
      <c r="S1379" s="46"/>
      <c r="T1379" s="46"/>
      <c r="U1379" s="118"/>
      <c r="V1379" s="46"/>
      <c r="W1379" s="88" t="str">
        <f>IF(V1379&lt;&gt;"",SUMIFS('📊 รายงานสินค้าคงเหลือ'!G:G,'📊 รายงานสินค้าคงเหลือ'!D:D,V1379),"")</f>
        <v/>
      </c>
      <c r="X1379" s="46"/>
      <c r="Y1379" s="46"/>
      <c r="Z1379" s="46"/>
    </row>
    <row r="1380">
      <c r="A1380" s="46"/>
      <c r="B1380" s="16"/>
      <c r="C1380" s="118"/>
      <c r="D1380" s="126"/>
      <c r="E1380" s="88"/>
      <c r="F1380" s="118"/>
      <c r="G1380" s="46"/>
      <c r="H1380" s="46"/>
      <c r="I1380" s="118"/>
      <c r="J1380" s="46"/>
      <c r="K1380" s="16"/>
      <c r="L1380" s="118"/>
      <c r="M1380" s="46"/>
      <c r="N1380" s="46"/>
      <c r="O1380" s="46"/>
      <c r="P1380" s="118"/>
      <c r="Q1380" s="46"/>
      <c r="R1380" s="46"/>
      <c r="S1380" s="46"/>
      <c r="T1380" s="46"/>
      <c r="U1380" s="118"/>
      <c r="V1380" s="46"/>
      <c r="W1380" s="88" t="str">
        <f>IF(V1380&lt;&gt;"",SUMIFS('📊 รายงานสินค้าคงเหลือ'!G:G,'📊 รายงานสินค้าคงเหลือ'!D:D,V1380),"")</f>
        <v/>
      </c>
      <c r="X1380" s="46"/>
      <c r="Y1380" s="46"/>
      <c r="Z1380" s="46"/>
    </row>
    <row r="1381">
      <c r="A1381" s="46"/>
      <c r="B1381" s="16"/>
      <c r="C1381" s="118"/>
      <c r="D1381" s="126"/>
      <c r="E1381" s="88"/>
      <c r="F1381" s="118"/>
      <c r="G1381" s="46"/>
      <c r="H1381" s="46"/>
      <c r="I1381" s="118"/>
      <c r="J1381" s="46"/>
      <c r="K1381" s="16"/>
      <c r="L1381" s="118"/>
      <c r="M1381" s="46"/>
      <c r="N1381" s="46"/>
      <c r="O1381" s="46"/>
      <c r="P1381" s="118"/>
      <c r="Q1381" s="46"/>
      <c r="R1381" s="46"/>
      <c r="S1381" s="46"/>
      <c r="T1381" s="46"/>
      <c r="U1381" s="118"/>
      <c r="V1381" s="46"/>
      <c r="W1381" s="88" t="str">
        <f>IF(V1381&lt;&gt;"",SUMIFS('📊 รายงานสินค้าคงเหลือ'!G:G,'📊 รายงานสินค้าคงเหลือ'!D:D,V1381),"")</f>
        <v/>
      </c>
      <c r="X1381" s="46"/>
      <c r="Y1381" s="46"/>
      <c r="Z1381" s="46"/>
    </row>
    <row r="1382">
      <c r="A1382" s="46"/>
      <c r="B1382" s="16"/>
      <c r="C1382" s="118"/>
      <c r="D1382" s="126"/>
      <c r="E1382" s="88"/>
      <c r="F1382" s="118"/>
      <c r="G1382" s="46"/>
      <c r="H1382" s="46"/>
      <c r="I1382" s="118"/>
      <c r="J1382" s="46"/>
      <c r="K1382" s="16"/>
      <c r="L1382" s="118"/>
      <c r="M1382" s="46"/>
      <c r="N1382" s="46"/>
      <c r="O1382" s="46"/>
      <c r="P1382" s="118"/>
      <c r="Q1382" s="46"/>
      <c r="R1382" s="46"/>
      <c r="S1382" s="46"/>
      <c r="T1382" s="46"/>
      <c r="U1382" s="118"/>
      <c r="V1382" s="46"/>
      <c r="W1382" s="88" t="str">
        <f>IF(V1382&lt;&gt;"",SUMIFS('📊 รายงานสินค้าคงเหลือ'!G:G,'📊 รายงานสินค้าคงเหลือ'!D:D,V1382),"")</f>
        <v/>
      </c>
      <c r="X1382" s="46"/>
      <c r="Y1382" s="46"/>
      <c r="Z1382" s="46"/>
    </row>
    <row r="1383">
      <c r="A1383" s="46"/>
      <c r="B1383" s="16"/>
      <c r="C1383" s="118"/>
      <c r="D1383" s="126"/>
      <c r="E1383" s="88"/>
      <c r="F1383" s="118"/>
      <c r="G1383" s="46"/>
      <c r="H1383" s="46"/>
      <c r="I1383" s="118"/>
      <c r="J1383" s="46"/>
      <c r="K1383" s="16"/>
      <c r="L1383" s="118"/>
      <c r="M1383" s="46"/>
      <c r="N1383" s="46"/>
      <c r="O1383" s="46"/>
      <c r="P1383" s="118"/>
      <c r="Q1383" s="46"/>
      <c r="R1383" s="46"/>
      <c r="S1383" s="46"/>
      <c r="T1383" s="46"/>
      <c r="U1383" s="118"/>
      <c r="V1383" s="46"/>
      <c r="W1383" s="88" t="str">
        <f>IF(V1383&lt;&gt;"",SUMIFS('📊 รายงานสินค้าคงเหลือ'!G:G,'📊 รายงานสินค้าคงเหลือ'!D:D,V1383),"")</f>
        <v/>
      </c>
      <c r="X1383" s="46"/>
      <c r="Y1383" s="46"/>
      <c r="Z1383" s="46"/>
    </row>
    <row r="1384">
      <c r="A1384" s="46"/>
      <c r="B1384" s="16"/>
      <c r="C1384" s="118"/>
      <c r="D1384" s="126"/>
      <c r="E1384" s="88"/>
      <c r="F1384" s="118"/>
      <c r="G1384" s="46"/>
      <c r="H1384" s="46"/>
      <c r="I1384" s="118"/>
      <c r="J1384" s="46"/>
      <c r="K1384" s="16"/>
      <c r="L1384" s="118"/>
      <c r="M1384" s="46"/>
      <c r="N1384" s="46"/>
      <c r="O1384" s="46"/>
      <c r="P1384" s="118"/>
      <c r="Q1384" s="46"/>
      <c r="R1384" s="46"/>
      <c r="S1384" s="46"/>
      <c r="T1384" s="46"/>
      <c r="U1384" s="118"/>
      <c r="V1384" s="46"/>
      <c r="W1384" s="88" t="str">
        <f>IF(V1384&lt;&gt;"",SUMIFS('📊 รายงานสินค้าคงเหลือ'!G:G,'📊 รายงานสินค้าคงเหลือ'!D:D,V1384),"")</f>
        <v/>
      </c>
      <c r="X1384" s="46"/>
      <c r="Y1384" s="46"/>
      <c r="Z1384" s="46"/>
    </row>
    <row r="1385">
      <c r="A1385" s="46"/>
      <c r="B1385" s="16"/>
      <c r="C1385" s="118"/>
      <c r="D1385" s="126"/>
      <c r="E1385" s="88"/>
      <c r="F1385" s="118"/>
      <c r="G1385" s="46"/>
      <c r="H1385" s="46"/>
      <c r="I1385" s="118"/>
      <c r="J1385" s="46"/>
      <c r="K1385" s="16"/>
      <c r="L1385" s="118"/>
      <c r="M1385" s="46"/>
      <c r="N1385" s="46"/>
      <c r="O1385" s="46"/>
      <c r="P1385" s="118"/>
      <c r="Q1385" s="46"/>
      <c r="R1385" s="46"/>
      <c r="S1385" s="46"/>
      <c r="T1385" s="46"/>
      <c r="U1385" s="118"/>
      <c r="V1385" s="46"/>
      <c r="W1385" s="88" t="str">
        <f>IF(V1385&lt;&gt;"",SUMIFS('📊 รายงานสินค้าคงเหลือ'!G:G,'📊 รายงานสินค้าคงเหลือ'!D:D,V1385),"")</f>
        <v/>
      </c>
      <c r="X1385" s="46"/>
      <c r="Y1385" s="46"/>
      <c r="Z1385" s="46"/>
    </row>
    <row r="1386">
      <c r="A1386" s="46"/>
      <c r="B1386" s="16"/>
      <c r="C1386" s="118"/>
      <c r="D1386" s="126"/>
      <c r="E1386" s="88"/>
      <c r="F1386" s="118"/>
      <c r="G1386" s="46"/>
      <c r="H1386" s="46"/>
      <c r="I1386" s="118"/>
      <c r="J1386" s="46"/>
      <c r="K1386" s="16"/>
      <c r="L1386" s="118"/>
      <c r="M1386" s="46"/>
      <c r="N1386" s="46"/>
      <c r="O1386" s="46"/>
      <c r="P1386" s="118"/>
      <c r="Q1386" s="46"/>
      <c r="R1386" s="46"/>
      <c r="S1386" s="46"/>
      <c r="T1386" s="46"/>
      <c r="U1386" s="118"/>
      <c r="V1386" s="46"/>
      <c r="W1386" s="88" t="str">
        <f>IF(V1386&lt;&gt;"",SUMIFS('📊 รายงานสินค้าคงเหลือ'!G:G,'📊 รายงานสินค้าคงเหลือ'!D:D,V1386),"")</f>
        <v/>
      </c>
      <c r="X1386" s="46"/>
      <c r="Y1386" s="46"/>
      <c r="Z1386" s="46"/>
    </row>
    <row r="1387">
      <c r="A1387" s="46"/>
      <c r="B1387" s="16"/>
      <c r="C1387" s="118"/>
      <c r="D1387" s="126"/>
      <c r="E1387" s="88"/>
      <c r="F1387" s="118"/>
      <c r="G1387" s="46"/>
      <c r="H1387" s="46"/>
      <c r="I1387" s="118"/>
      <c r="J1387" s="46"/>
      <c r="K1387" s="16"/>
      <c r="L1387" s="118"/>
      <c r="M1387" s="46"/>
      <c r="N1387" s="46"/>
      <c r="O1387" s="46"/>
      <c r="P1387" s="118"/>
      <c r="Q1387" s="46"/>
      <c r="R1387" s="46"/>
      <c r="S1387" s="46"/>
      <c r="T1387" s="46"/>
      <c r="U1387" s="118"/>
      <c r="V1387" s="46"/>
      <c r="W1387" s="88" t="str">
        <f>IF(V1387&lt;&gt;"",SUMIFS('📊 รายงานสินค้าคงเหลือ'!G:G,'📊 รายงานสินค้าคงเหลือ'!D:D,V1387),"")</f>
        <v/>
      </c>
      <c r="X1387" s="46"/>
      <c r="Y1387" s="46"/>
      <c r="Z1387" s="46"/>
    </row>
    <row r="1388">
      <c r="A1388" s="46"/>
      <c r="B1388" s="16"/>
      <c r="C1388" s="118"/>
      <c r="D1388" s="126"/>
      <c r="E1388" s="88"/>
      <c r="F1388" s="118"/>
      <c r="G1388" s="46"/>
      <c r="H1388" s="46"/>
      <c r="I1388" s="118"/>
      <c r="J1388" s="46"/>
      <c r="K1388" s="16"/>
      <c r="L1388" s="118"/>
      <c r="M1388" s="46"/>
      <c r="N1388" s="46"/>
      <c r="O1388" s="46"/>
      <c r="P1388" s="118"/>
      <c r="Q1388" s="46"/>
      <c r="R1388" s="46"/>
      <c r="S1388" s="46"/>
      <c r="T1388" s="46"/>
      <c r="U1388" s="118"/>
      <c r="V1388" s="46"/>
      <c r="W1388" s="88" t="str">
        <f>IF(V1388&lt;&gt;"",SUMIFS('📊 รายงานสินค้าคงเหลือ'!G:G,'📊 รายงานสินค้าคงเหลือ'!D:D,V1388),"")</f>
        <v/>
      </c>
      <c r="X1388" s="46"/>
      <c r="Y1388" s="46"/>
      <c r="Z1388" s="46"/>
    </row>
    <row r="1389">
      <c r="A1389" s="46"/>
      <c r="B1389" s="16"/>
      <c r="C1389" s="118"/>
      <c r="D1389" s="126"/>
      <c r="E1389" s="88"/>
      <c r="F1389" s="118"/>
      <c r="G1389" s="46"/>
      <c r="H1389" s="46"/>
      <c r="I1389" s="118"/>
      <c r="J1389" s="46"/>
      <c r="K1389" s="16"/>
      <c r="L1389" s="118"/>
      <c r="M1389" s="46"/>
      <c r="N1389" s="46"/>
      <c r="O1389" s="46"/>
      <c r="P1389" s="118"/>
      <c r="Q1389" s="46"/>
      <c r="R1389" s="46"/>
      <c r="S1389" s="46"/>
      <c r="T1389" s="46"/>
      <c r="U1389" s="118"/>
      <c r="V1389" s="46"/>
      <c r="W1389" s="88" t="str">
        <f>IF(V1389&lt;&gt;"",SUMIFS('📊 รายงานสินค้าคงเหลือ'!G:G,'📊 รายงานสินค้าคงเหลือ'!D:D,V1389),"")</f>
        <v/>
      </c>
      <c r="X1389" s="46"/>
      <c r="Y1389" s="46"/>
      <c r="Z1389" s="46"/>
    </row>
    <row r="1390">
      <c r="A1390" s="46"/>
      <c r="B1390" s="16"/>
      <c r="C1390" s="118"/>
      <c r="D1390" s="126"/>
      <c r="E1390" s="88"/>
      <c r="F1390" s="118"/>
      <c r="G1390" s="46"/>
      <c r="H1390" s="46"/>
      <c r="I1390" s="118"/>
      <c r="J1390" s="46"/>
      <c r="K1390" s="16"/>
      <c r="L1390" s="118"/>
      <c r="M1390" s="46"/>
      <c r="N1390" s="46"/>
      <c r="O1390" s="46"/>
      <c r="P1390" s="118"/>
      <c r="Q1390" s="46"/>
      <c r="R1390" s="46"/>
      <c r="S1390" s="46"/>
      <c r="T1390" s="46"/>
      <c r="U1390" s="118"/>
      <c r="V1390" s="46"/>
      <c r="W1390" s="88" t="str">
        <f>IF(V1390&lt;&gt;"",SUMIFS('📊 รายงานสินค้าคงเหลือ'!G:G,'📊 รายงานสินค้าคงเหลือ'!D:D,V1390),"")</f>
        <v/>
      </c>
      <c r="X1390" s="46"/>
      <c r="Y1390" s="46"/>
      <c r="Z1390" s="46"/>
    </row>
    <row r="1391">
      <c r="A1391" s="46"/>
      <c r="B1391" s="16"/>
      <c r="C1391" s="118"/>
      <c r="D1391" s="126"/>
      <c r="E1391" s="88"/>
      <c r="F1391" s="118"/>
      <c r="G1391" s="46"/>
      <c r="H1391" s="46"/>
      <c r="I1391" s="118"/>
      <c r="J1391" s="46"/>
      <c r="K1391" s="16"/>
      <c r="L1391" s="118"/>
      <c r="M1391" s="46"/>
      <c r="N1391" s="46"/>
      <c r="O1391" s="46"/>
      <c r="P1391" s="118"/>
      <c r="Q1391" s="46"/>
      <c r="R1391" s="46"/>
      <c r="S1391" s="46"/>
      <c r="T1391" s="46"/>
      <c r="U1391" s="118"/>
      <c r="V1391" s="46"/>
      <c r="W1391" s="88" t="str">
        <f>IF(V1391&lt;&gt;"",SUMIFS('📊 รายงานสินค้าคงเหลือ'!G:G,'📊 รายงานสินค้าคงเหลือ'!D:D,V1391),"")</f>
        <v/>
      </c>
      <c r="X1391" s="46"/>
      <c r="Y1391" s="46"/>
      <c r="Z1391" s="46"/>
    </row>
    <row r="1392">
      <c r="A1392" s="46"/>
      <c r="B1392" s="16"/>
      <c r="C1392" s="118"/>
      <c r="D1392" s="126"/>
      <c r="E1392" s="88"/>
      <c r="F1392" s="118"/>
      <c r="G1392" s="46"/>
      <c r="H1392" s="46"/>
      <c r="I1392" s="118"/>
      <c r="J1392" s="46"/>
      <c r="K1392" s="16"/>
      <c r="L1392" s="118"/>
      <c r="M1392" s="46"/>
      <c r="N1392" s="46"/>
      <c r="O1392" s="46"/>
      <c r="P1392" s="118"/>
      <c r="Q1392" s="46"/>
      <c r="R1392" s="46"/>
      <c r="S1392" s="46"/>
      <c r="T1392" s="46"/>
      <c r="U1392" s="118"/>
      <c r="V1392" s="46"/>
      <c r="W1392" s="88" t="str">
        <f>IF(V1392&lt;&gt;"",SUMIFS('📊 รายงานสินค้าคงเหลือ'!G:G,'📊 รายงานสินค้าคงเหลือ'!D:D,V1392),"")</f>
        <v/>
      </c>
      <c r="X1392" s="46"/>
      <c r="Y1392" s="46"/>
      <c r="Z1392" s="46"/>
    </row>
    <row r="1393">
      <c r="A1393" s="46"/>
      <c r="B1393" s="16"/>
      <c r="C1393" s="118"/>
      <c r="D1393" s="126"/>
      <c r="E1393" s="88"/>
      <c r="F1393" s="118"/>
      <c r="G1393" s="46"/>
      <c r="H1393" s="46"/>
      <c r="I1393" s="118"/>
      <c r="J1393" s="46"/>
      <c r="K1393" s="16"/>
      <c r="L1393" s="118"/>
      <c r="M1393" s="46"/>
      <c r="N1393" s="46"/>
      <c r="O1393" s="46"/>
      <c r="P1393" s="118"/>
      <c r="Q1393" s="46"/>
      <c r="R1393" s="46"/>
      <c r="S1393" s="46"/>
      <c r="T1393" s="46"/>
      <c r="U1393" s="118"/>
      <c r="V1393" s="46"/>
      <c r="W1393" s="88" t="str">
        <f>IF(V1393&lt;&gt;"",SUMIFS('📊 รายงานสินค้าคงเหลือ'!G:G,'📊 รายงานสินค้าคงเหลือ'!D:D,V1393),"")</f>
        <v/>
      </c>
      <c r="X1393" s="46"/>
      <c r="Y1393" s="46"/>
      <c r="Z1393" s="46"/>
    </row>
    <row r="1394">
      <c r="A1394" s="46"/>
      <c r="B1394" s="16"/>
      <c r="C1394" s="118"/>
      <c r="D1394" s="126"/>
      <c r="E1394" s="88"/>
      <c r="F1394" s="118"/>
      <c r="G1394" s="46"/>
      <c r="H1394" s="46"/>
      <c r="I1394" s="118"/>
      <c r="J1394" s="46"/>
      <c r="K1394" s="16"/>
      <c r="L1394" s="118"/>
      <c r="M1394" s="46"/>
      <c r="N1394" s="46"/>
      <c r="O1394" s="46"/>
      <c r="P1394" s="118"/>
      <c r="Q1394" s="46"/>
      <c r="R1394" s="46"/>
      <c r="S1394" s="46"/>
      <c r="T1394" s="46"/>
      <c r="U1394" s="118"/>
      <c r="V1394" s="46"/>
      <c r="W1394" s="88" t="str">
        <f>IF(V1394&lt;&gt;"",SUMIFS('📊 รายงานสินค้าคงเหลือ'!G:G,'📊 รายงานสินค้าคงเหลือ'!D:D,V1394),"")</f>
        <v/>
      </c>
      <c r="X1394" s="46"/>
      <c r="Y1394" s="46"/>
      <c r="Z1394" s="46"/>
    </row>
    <row r="1395">
      <c r="A1395" s="46"/>
      <c r="B1395" s="16"/>
      <c r="C1395" s="118"/>
      <c r="D1395" s="126"/>
      <c r="E1395" s="88"/>
      <c r="F1395" s="118"/>
      <c r="G1395" s="46"/>
      <c r="H1395" s="46"/>
      <c r="I1395" s="118"/>
      <c r="J1395" s="46"/>
      <c r="K1395" s="16"/>
      <c r="L1395" s="118"/>
      <c r="M1395" s="46"/>
      <c r="N1395" s="46"/>
      <c r="O1395" s="46"/>
      <c r="P1395" s="118"/>
      <c r="Q1395" s="46"/>
      <c r="R1395" s="46"/>
      <c r="S1395" s="46"/>
      <c r="T1395" s="46"/>
      <c r="U1395" s="118"/>
      <c r="V1395" s="46"/>
      <c r="W1395" s="88" t="str">
        <f>IF(V1395&lt;&gt;"",SUMIFS('📊 รายงานสินค้าคงเหลือ'!G:G,'📊 รายงานสินค้าคงเหลือ'!D:D,V1395),"")</f>
        <v/>
      </c>
      <c r="X1395" s="46"/>
      <c r="Y1395" s="46"/>
      <c r="Z1395" s="46"/>
    </row>
    <row r="1396">
      <c r="A1396" s="46"/>
      <c r="B1396" s="16"/>
      <c r="C1396" s="118"/>
      <c r="D1396" s="126"/>
      <c r="E1396" s="88"/>
      <c r="F1396" s="118"/>
      <c r="G1396" s="46"/>
      <c r="H1396" s="46"/>
      <c r="I1396" s="118"/>
      <c r="J1396" s="46"/>
      <c r="K1396" s="16"/>
      <c r="L1396" s="118"/>
      <c r="M1396" s="46"/>
      <c r="N1396" s="46"/>
      <c r="O1396" s="46"/>
      <c r="P1396" s="118"/>
      <c r="Q1396" s="46"/>
      <c r="R1396" s="46"/>
      <c r="S1396" s="46"/>
      <c r="T1396" s="46"/>
      <c r="U1396" s="118"/>
      <c r="V1396" s="46"/>
      <c r="W1396" s="88" t="str">
        <f>IF(V1396&lt;&gt;"",SUMIFS('📊 รายงานสินค้าคงเหลือ'!G:G,'📊 รายงานสินค้าคงเหลือ'!D:D,V1396),"")</f>
        <v/>
      </c>
      <c r="X1396" s="46"/>
      <c r="Y1396" s="46"/>
      <c r="Z1396" s="46"/>
    </row>
    <row r="1397">
      <c r="A1397" s="46"/>
      <c r="B1397" s="16"/>
      <c r="C1397" s="118"/>
      <c r="D1397" s="126"/>
      <c r="E1397" s="88"/>
      <c r="F1397" s="118"/>
      <c r="G1397" s="46"/>
      <c r="H1397" s="46"/>
      <c r="I1397" s="118"/>
      <c r="J1397" s="46"/>
      <c r="K1397" s="16"/>
      <c r="L1397" s="118"/>
      <c r="M1397" s="46"/>
      <c r="N1397" s="46"/>
      <c r="O1397" s="46"/>
      <c r="P1397" s="118"/>
      <c r="Q1397" s="46"/>
      <c r="R1397" s="46"/>
      <c r="S1397" s="46"/>
      <c r="T1397" s="46"/>
      <c r="U1397" s="118"/>
      <c r="V1397" s="46"/>
      <c r="W1397" s="88" t="str">
        <f>IF(V1397&lt;&gt;"",SUMIFS('📊 รายงานสินค้าคงเหลือ'!G:G,'📊 รายงานสินค้าคงเหลือ'!D:D,V1397),"")</f>
        <v/>
      </c>
      <c r="X1397" s="46"/>
      <c r="Y1397" s="46"/>
      <c r="Z1397" s="46"/>
    </row>
    <row r="1398">
      <c r="A1398" s="46"/>
      <c r="B1398" s="16"/>
      <c r="C1398" s="118"/>
      <c r="D1398" s="126"/>
      <c r="E1398" s="88"/>
      <c r="F1398" s="118"/>
      <c r="G1398" s="46"/>
      <c r="H1398" s="46"/>
      <c r="I1398" s="118"/>
      <c r="J1398" s="46"/>
      <c r="K1398" s="16"/>
      <c r="L1398" s="118"/>
      <c r="M1398" s="46"/>
      <c r="N1398" s="46"/>
      <c r="O1398" s="46"/>
      <c r="P1398" s="118"/>
      <c r="Q1398" s="46"/>
      <c r="R1398" s="46"/>
      <c r="S1398" s="46"/>
      <c r="T1398" s="46"/>
      <c r="U1398" s="118"/>
      <c r="V1398" s="46"/>
      <c r="W1398" s="88" t="str">
        <f>IF(V1398&lt;&gt;"",SUMIFS('📊 รายงานสินค้าคงเหลือ'!G:G,'📊 รายงานสินค้าคงเหลือ'!D:D,V1398),"")</f>
        <v/>
      </c>
      <c r="X1398" s="46"/>
      <c r="Y1398" s="46"/>
      <c r="Z1398" s="46"/>
    </row>
    <row r="1399">
      <c r="A1399" s="46"/>
      <c r="B1399" s="16"/>
      <c r="C1399" s="118"/>
      <c r="D1399" s="126"/>
      <c r="E1399" s="88"/>
      <c r="F1399" s="118"/>
      <c r="G1399" s="46"/>
      <c r="H1399" s="46"/>
      <c r="I1399" s="118"/>
      <c r="J1399" s="46"/>
      <c r="K1399" s="16"/>
      <c r="L1399" s="118"/>
      <c r="M1399" s="46"/>
      <c r="N1399" s="46"/>
      <c r="O1399" s="46"/>
      <c r="P1399" s="118"/>
      <c r="Q1399" s="46"/>
      <c r="R1399" s="46"/>
      <c r="S1399" s="46"/>
      <c r="T1399" s="46"/>
      <c r="U1399" s="118"/>
      <c r="V1399" s="46"/>
      <c r="W1399" s="88" t="str">
        <f>IF(V1399&lt;&gt;"",SUMIFS('📊 รายงานสินค้าคงเหลือ'!G:G,'📊 รายงานสินค้าคงเหลือ'!D:D,V1399),"")</f>
        <v/>
      </c>
      <c r="X1399" s="46"/>
      <c r="Y1399" s="46"/>
      <c r="Z1399" s="46"/>
    </row>
    <row r="1400">
      <c r="A1400" s="46"/>
      <c r="B1400" s="16"/>
      <c r="C1400" s="118"/>
      <c r="D1400" s="126"/>
      <c r="E1400" s="88"/>
      <c r="F1400" s="118"/>
      <c r="G1400" s="46"/>
      <c r="H1400" s="46"/>
      <c r="I1400" s="118"/>
      <c r="J1400" s="46"/>
      <c r="K1400" s="16"/>
      <c r="L1400" s="118"/>
      <c r="M1400" s="46"/>
      <c r="N1400" s="46"/>
      <c r="O1400" s="46"/>
      <c r="P1400" s="118"/>
      <c r="Q1400" s="46"/>
      <c r="R1400" s="46"/>
      <c r="S1400" s="46"/>
      <c r="T1400" s="46"/>
      <c r="U1400" s="118"/>
      <c r="V1400" s="46"/>
      <c r="W1400" s="88" t="str">
        <f>IF(V1400&lt;&gt;"",SUMIFS('📊 รายงานสินค้าคงเหลือ'!G:G,'📊 รายงานสินค้าคงเหลือ'!D:D,V1400),"")</f>
        <v/>
      </c>
      <c r="X1400" s="46"/>
      <c r="Y1400" s="46"/>
      <c r="Z1400" s="46"/>
    </row>
    <row r="1401">
      <c r="A1401" s="46"/>
      <c r="B1401" s="16"/>
      <c r="C1401" s="118"/>
      <c r="D1401" s="126"/>
      <c r="E1401" s="88"/>
      <c r="F1401" s="118"/>
      <c r="G1401" s="46"/>
      <c r="H1401" s="46"/>
      <c r="I1401" s="118"/>
      <c r="J1401" s="46"/>
      <c r="K1401" s="16"/>
      <c r="L1401" s="118"/>
      <c r="M1401" s="46"/>
      <c r="N1401" s="46"/>
      <c r="O1401" s="46"/>
      <c r="P1401" s="118"/>
      <c r="Q1401" s="46"/>
      <c r="R1401" s="46"/>
      <c r="S1401" s="46"/>
      <c r="T1401" s="46"/>
      <c r="U1401" s="118"/>
      <c r="V1401" s="46"/>
      <c r="W1401" s="88" t="str">
        <f>IF(V1401&lt;&gt;"",SUMIFS('📊 รายงานสินค้าคงเหลือ'!G:G,'📊 รายงานสินค้าคงเหลือ'!D:D,V1401),"")</f>
        <v/>
      </c>
      <c r="X1401" s="46"/>
      <c r="Y1401" s="46"/>
      <c r="Z1401" s="46"/>
    </row>
    <row r="1402">
      <c r="A1402" s="46"/>
      <c r="B1402" s="16"/>
      <c r="C1402" s="118"/>
      <c r="D1402" s="126"/>
      <c r="E1402" s="88"/>
      <c r="F1402" s="118"/>
      <c r="G1402" s="46"/>
      <c r="H1402" s="46"/>
      <c r="I1402" s="118"/>
      <c r="J1402" s="46"/>
      <c r="K1402" s="16"/>
      <c r="L1402" s="118"/>
      <c r="M1402" s="46"/>
      <c r="N1402" s="46"/>
      <c r="O1402" s="46"/>
      <c r="P1402" s="118"/>
      <c r="Q1402" s="46"/>
      <c r="R1402" s="46"/>
      <c r="S1402" s="46"/>
      <c r="T1402" s="46"/>
      <c r="U1402" s="118"/>
      <c r="V1402" s="46"/>
      <c r="W1402" s="88" t="str">
        <f>IF(V1402&lt;&gt;"",SUMIFS('📊 รายงานสินค้าคงเหลือ'!G:G,'📊 รายงานสินค้าคงเหลือ'!D:D,V1402),"")</f>
        <v/>
      </c>
      <c r="X1402" s="46"/>
      <c r="Y1402" s="46"/>
      <c r="Z1402" s="46"/>
    </row>
    <row r="1403">
      <c r="A1403" s="46"/>
      <c r="B1403" s="16"/>
      <c r="C1403" s="118"/>
      <c r="D1403" s="126"/>
      <c r="E1403" s="88"/>
      <c r="F1403" s="118"/>
      <c r="G1403" s="46"/>
      <c r="H1403" s="46"/>
      <c r="I1403" s="118"/>
      <c r="J1403" s="46"/>
      <c r="K1403" s="16"/>
      <c r="L1403" s="118"/>
      <c r="M1403" s="46"/>
      <c r="N1403" s="46"/>
      <c r="O1403" s="46"/>
      <c r="P1403" s="118"/>
      <c r="Q1403" s="46"/>
      <c r="R1403" s="46"/>
      <c r="S1403" s="46"/>
      <c r="T1403" s="46"/>
      <c r="U1403" s="118"/>
      <c r="V1403" s="46"/>
      <c r="W1403" s="88" t="str">
        <f>IF(V1403&lt;&gt;"",SUMIFS('📊 รายงานสินค้าคงเหลือ'!G:G,'📊 รายงานสินค้าคงเหลือ'!D:D,V1403),"")</f>
        <v/>
      </c>
      <c r="X1403" s="46"/>
      <c r="Y1403" s="46"/>
      <c r="Z1403" s="46"/>
    </row>
    <row r="1404">
      <c r="A1404" s="46"/>
      <c r="B1404" s="16"/>
      <c r="C1404" s="118"/>
      <c r="D1404" s="126"/>
      <c r="E1404" s="88"/>
      <c r="F1404" s="118"/>
      <c r="G1404" s="46"/>
      <c r="H1404" s="46"/>
      <c r="I1404" s="118"/>
      <c r="J1404" s="46"/>
      <c r="K1404" s="16"/>
      <c r="L1404" s="118"/>
      <c r="M1404" s="46"/>
      <c r="N1404" s="46"/>
      <c r="O1404" s="46"/>
      <c r="P1404" s="118"/>
      <c r="Q1404" s="46"/>
      <c r="R1404" s="46"/>
      <c r="S1404" s="46"/>
      <c r="T1404" s="46"/>
      <c r="U1404" s="118"/>
      <c r="V1404" s="46"/>
      <c r="W1404" s="88" t="str">
        <f>IF(V1404&lt;&gt;"",SUMIFS('📊 รายงานสินค้าคงเหลือ'!G:G,'📊 รายงานสินค้าคงเหลือ'!D:D,V1404),"")</f>
        <v/>
      </c>
      <c r="X1404" s="46"/>
      <c r="Y1404" s="46"/>
      <c r="Z1404" s="46"/>
    </row>
    <row r="1405">
      <c r="A1405" s="46"/>
      <c r="B1405" s="16"/>
      <c r="C1405" s="118"/>
      <c r="D1405" s="126"/>
      <c r="E1405" s="88"/>
      <c r="F1405" s="118"/>
      <c r="G1405" s="46"/>
      <c r="H1405" s="46"/>
      <c r="I1405" s="118"/>
      <c r="J1405" s="46"/>
      <c r="K1405" s="16"/>
      <c r="L1405" s="118"/>
      <c r="M1405" s="46"/>
      <c r="N1405" s="46"/>
      <c r="O1405" s="46"/>
      <c r="P1405" s="118"/>
      <c r="Q1405" s="46"/>
      <c r="R1405" s="46"/>
      <c r="S1405" s="46"/>
      <c r="T1405" s="46"/>
      <c r="U1405" s="118"/>
      <c r="V1405" s="46"/>
      <c r="W1405" s="88" t="str">
        <f>IF(V1405&lt;&gt;"",SUMIFS('📊 รายงานสินค้าคงเหลือ'!G:G,'📊 รายงานสินค้าคงเหลือ'!D:D,V1405),"")</f>
        <v/>
      </c>
      <c r="X1405" s="46"/>
      <c r="Y1405" s="46"/>
      <c r="Z1405" s="46"/>
    </row>
    <row r="1406">
      <c r="A1406" s="46"/>
      <c r="B1406" s="16"/>
      <c r="C1406" s="118"/>
      <c r="D1406" s="126"/>
      <c r="E1406" s="88"/>
      <c r="F1406" s="118"/>
      <c r="G1406" s="46"/>
      <c r="H1406" s="46"/>
      <c r="I1406" s="118"/>
      <c r="J1406" s="46"/>
      <c r="K1406" s="16"/>
      <c r="L1406" s="118"/>
      <c r="M1406" s="46"/>
      <c r="N1406" s="46"/>
      <c r="O1406" s="46"/>
      <c r="P1406" s="118"/>
      <c r="Q1406" s="46"/>
      <c r="R1406" s="46"/>
      <c r="S1406" s="46"/>
      <c r="T1406" s="46"/>
      <c r="U1406" s="118"/>
      <c r="V1406" s="46"/>
      <c r="W1406" s="88" t="str">
        <f>IF(V1406&lt;&gt;"",SUMIFS('📊 รายงานสินค้าคงเหลือ'!G:G,'📊 รายงานสินค้าคงเหลือ'!D:D,V1406),"")</f>
        <v/>
      </c>
      <c r="X1406" s="46"/>
      <c r="Y1406" s="46"/>
      <c r="Z1406" s="46"/>
    </row>
    <row r="1407">
      <c r="A1407" s="46"/>
      <c r="B1407" s="16"/>
      <c r="C1407" s="118"/>
      <c r="D1407" s="126"/>
      <c r="E1407" s="88"/>
      <c r="F1407" s="118"/>
      <c r="G1407" s="46"/>
      <c r="H1407" s="46"/>
      <c r="I1407" s="118"/>
      <c r="J1407" s="46"/>
      <c r="K1407" s="16"/>
      <c r="L1407" s="118"/>
      <c r="M1407" s="46"/>
      <c r="N1407" s="46"/>
      <c r="O1407" s="46"/>
      <c r="P1407" s="118"/>
      <c r="Q1407" s="46"/>
      <c r="R1407" s="46"/>
      <c r="S1407" s="46"/>
      <c r="T1407" s="46"/>
      <c r="U1407" s="118"/>
      <c r="V1407" s="46"/>
      <c r="W1407" s="88" t="str">
        <f>IF(V1407&lt;&gt;"",SUMIFS('📊 รายงานสินค้าคงเหลือ'!G:G,'📊 รายงานสินค้าคงเหลือ'!D:D,V1407),"")</f>
        <v/>
      </c>
      <c r="X1407" s="46"/>
      <c r="Y1407" s="46"/>
      <c r="Z1407" s="46"/>
    </row>
    <row r="1408">
      <c r="A1408" s="46"/>
      <c r="B1408" s="16"/>
      <c r="C1408" s="118"/>
      <c r="D1408" s="126"/>
      <c r="E1408" s="88"/>
      <c r="F1408" s="118"/>
      <c r="G1408" s="46"/>
      <c r="H1408" s="46"/>
      <c r="I1408" s="118"/>
      <c r="J1408" s="46"/>
      <c r="K1408" s="16"/>
      <c r="L1408" s="118"/>
      <c r="M1408" s="46"/>
      <c r="N1408" s="46"/>
      <c r="O1408" s="46"/>
      <c r="P1408" s="118"/>
      <c r="Q1408" s="46"/>
      <c r="R1408" s="46"/>
      <c r="S1408" s="46"/>
      <c r="T1408" s="46"/>
      <c r="U1408" s="118"/>
      <c r="V1408" s="46"/>
      <c r="W1408" s="88" t="str">
        <f>IF(V1408&lt;&gt;"",SUMIFS('📊 รายงานสินค้าคงเหลือ'!G:G,'📊 รายงานสินค้าคงเหลือ'!D:D,V1408),"")</f>
        <v/>
      </c>
      <c r="X1408" s="46"/>
      <c r="Y1408" s="46"/>
      <c r="Z1408" s="46"/>
    </row>
    <row r="1409">
      <c r="A1409" s="46"/>
      <c r="B1409" s="16"/>
      <c r="C1409" s="118"/>
      <c r="D1409" s="126"/>
      <c r="E1409" s="88"/>
      <c r="F1409" s="118"/>
      <c r="G1409" s="46"/>
      <c r="H1409" s="46"/>
      <c r="I1409" s="118"/>
      <c r="J1409" s="46"/>
      <c r="K1409" s="16"/>
      <c r="L1409" s="118"/>
      <c r="M1409" s="46"/>
      <c r="N1409" s="46"/>
      <c r="O1409" s="46"/>
      <c r="P1409" s="118"/>
      <c r="Q1409" s="46"/>
      <c r="R1409" s="46"/>
      <c r="S1409" s="46"/>
      <c r="T1409" s="46"/>
      <c r="U1409" s="118"/>
      <c r="V1409" s="46"/>
      <c r="W1409" s="88" t="str">
        <f>IF(V1409&lt;&gt;"",SUMIFS('📊 รายงานสินค้าคงเหลือ'!G:G,'📊 รายงานสินค้าคงเหลือ'!D:D,V1409),"")</f>
        <v/>
      </c>
      <c r="X1409" s="46"/>
      <c r="Y1409" s="46"/>
      <c r="Z1409" s="46"/>
    </row>
    <row r="1410">
      <c r="A1410" s="46"/>
      <c r="B1410" s="16"/>
      <c r="C1410" s="118"/>
      <c r="D1410" s="126"/>
      <c r="E1410" s="88"/>
      <c r="F1410" s="118"/>
      <c r="G1410" s="46"/>
      <c r="H1410" s="46"/>
      <c r="I1410" s="118"/>
      <c r="J1410" s="46"/>
      <c r="K1410" s="16"/>
      <c r="L1410" s="118"/>
      <c r="M1410" s="46"/>
      <c r="N1410" s="46"/>
      <c r="O1410" s="46"/>
      <c r="P1410" s="118"/>
      <c r="Q1410" s="46"/>
      <c r="R1410" s="46"/>
      <c r="S1410" s="46"/>
      <c r="T1410" s="46"/>
      <c r="U1410" s="118"/>
      <c r="V1410" s="46"/>
      <c r="W1410" s="88" t="str">
        <f>IF(V1410&lt;&gt;"",SUMIFS('📊 รายงานสินค้าคงเหลือ'!G:G,'📊 รายงานสินค้าคงเหลือ'!D:D,V1410),"")</f>
        <v/>
      </c>
      <c r="X1410" s="46"/>
      <c r="Y1410" s="46"/>
      <c r="Z1410" s="46"/>
    </row>
    <row r="1411">
      <c r="A1411" s="46"/>
      <c r="B1411" s="16"/>
      <c r="C1411" s="118"/>
      <c r="D1411" s="126"/>
      <c r="E1411" s="88"/>
      <c r="F1411" s="118"/>
      <c r="G1411" s="46"/>
      <c r="H1411" s="46"/>
      <c r="I1411" s="118"/>
      <c r="J1411" s="46"/>
      <c r="K1411" s="16"/>
      <c r="L1411" s="118"/>
      <c r="M1411" s="46"/>
      <c r="N1411" s="46"/>
      <c r="O1411" s="46"/>
      <c r="P1411" s="118"/>
      <c r="Q1411" s="46"/>
      <c r="R1411" s="46"/>
      <c r="S1411" s="46"/>
      <c r="T1411" s="46"/>
      <c r="U1411" s="118"/>
      <c r="V1411" s="46"/>
      <c r="W1411" s="88" t="str">
        <f>IF(V1411&lt;&gt;"",SUMIFS('📊 รายงานสินค้าคงเหลือ'!G:G,'📊 รายงานสินค้าคงเหลือ'!D:D,V1411),"")</f>
        <v/>
      </c>
      <c r="X1411" s="46"/>
      <c r="Y1411" s="46"/>
      <c r="Z1411" s="46"/>
    </row>
    <row r="1412">
      <c r="A1412" s="46"/>
      <c r="B1412" s="16"/>
      <c r="C1412" s="118"/>
      <c r="D1412" s="126"/>
      <c r="E1412" s="88"/>
      <c r="F1412" s="118"/>
      <c r="G1412" s="46"/>
      <c r="H1412" s="46"/>
      <c r="I1412" s="118"/>
      <c r="J1412" s="46"/>
      <c r="K1412" s="16"/>
      <c r="L1412" s="118"/>
      <c r="M1412" s="46"/>
      <c r="N1412" s="46"/>
      <c r="O1412" s="46"/>
      <c r="P1412" s="118"/>
      <c r="Q1412" s="46"/>
      <c r="R1412" s="46"/>
      <c r="S1412" s="46"/>
      <c r="T1412" s="46"/>
      <c r="U1412" s="118"/>
      <c r="V1412" s="46"/>
      <c r="W1412" s="88" t="str">
        <f>IF(V1412&lt;&gt;"",SUMIFS('📊 รายงานสินค้าคงเหลือ'!G:G,'📊 รายงานสินค้าคงเหลือ'!D:D,V1412),"")</f>
        <v/>
      </c>
      <c r="X1412" s="46"/>
      <c r="Y1412" s="46"/>
      <c r="Z1412" s="46"/>
    </row>
    <row r="1413">
      <c r="A1413" s="46"/>
      <c r="B1413" s="16"/>
      <c r="C1413" s="118"/>
      <c r="D1413" s="126"/>
      <c r="E1413" s="88"/>
      <c r="F1413" s="118"/>
      <c r="G1413" s="46"/>
      <c r="H1413" s="46"/>
      <c r="I1413" s="118"/>
      <c r="J1413" s="46"/>
      <c r="K1413" s="16"/>
      <c r="L1413" s="118"/>
      <c r="M1413" s="46"/>
      <c r="N1413" s="46"/>
      <c r="O1413" s="46"/>
      <c r="P1413" s="118"/>
      <c r="Q1413" s="46"/>
      <c r="R1413" s="46"/>
      <c r="S1413" s="46"/>
      <c r="T1413" s="46"/>
      <c r="U1413" s="118"/>
      <c r="V1413" s="46"/>
      <c r="W1413" s="88" t="str">
        <f>IF(V1413&lt;&gt;"",SUMIFS('📊 รายงานสินค้าคงเหลือ'!G:G,'📊 รายงานสินค้าคงเหลือ'!D:D,V1413),"")</f>
        <v/>
      </c>
      <c r="X1413" s="46"/>
      <c r="Y1413" s="46"/>
      <c r="Z1413" s="46"/>
    </row>
    <row r="1414">
      <c r="A1414" s="46"/>
      <c r="B1414" s="16"/>
      <c r="C1414" s="118"/>
      <c r="D1414" s="126"/>
      <c r="E1414" s="88"/>
      <c r="F1414" s="118"/>
      <c r="G1414" s="46"/>
      <c r="H1414" s="46"/>
      <c r="I1414" s="118"/>
      <c r="J1414" s="46"/>
      <c r="K1414" s="16"/>
      <c r="L1414" s="118"/>
      <c r="M1414" s="46"/>
      <c r="N1414" s="46"/>
      <c r="O1414" s="46"/>
      <c r="P1414" s="118"/>
      <c r="Q1414" s="46"/>
      <c r="R1414" s="46"/>
      <c r="S1414" s="46"/>
      <c r="T1414" s="46"/>
      <c r="U1414" s="118"/>
      <c r="V1414" s="46"/>
      <c r="W1414" s="88" t="str">
        <f>IF(V1414&lt;&gt;"",SUMIFS('📊 รายงานสินค้าคงเหลือ'!G:G,'📊 รายงานสินค้าคงเหลือ'!D:D,V1414),"")</f>
        <v/>
      </c>
      <c r="X1414" s="46"/>
      <c r="Y1414" s="46"/>
      <c r="Z1414" s="46"/>
    </row>
    <row r="1415">
      <c r="A1415" s="46"/>
      <c r="B1415" s="16"/>
      <c r="C1415" s="118"/>
      <c r="D1415" s="126"/>
      <c r="E1415" s="88"/>
      <c r="F1415" s="118"/>
      <c r="G1415" s="46"/>
      <c r="H1415" s="46"/>
      <c r="I1415" s="118"/>
      <c r="J1415" s="46"/>
      <c r="K1415" s="16"/>
      <c r="L1415" s="118"/>
      <c r="M1415" s="46"/>
      <c r="N1415" s="46"/>
      <c r="O1415" s="46"/>
      <c r="P1415" s="118"/>
      <c r="Q1415" s="46"/>
      <c r="R1415" s="46"/>
      <c r="S1415" s="46"/>
      <c r="T1415" s="46"/>
      <c r="U1415" s="118"/>
      <c r="V1415" s="46"/>
      <c r="W1415" s="88" t="str">
        <f>IF(V1415&lt;&gt;"",SUMIFS('📊 รายงานสินค้าคงเหลือ'!G:G,'📊 รายงานสินค้าคงเหลือ'!D:D,V1415),"")</f>
        <v/>
      </c>
      <c r="X1415" s="46"/>
      <c r="Y1415" s="46"/>
      <c r="Z1415" s="46"/>
    </row>
    <row r="1416">
      <c r="A1416" s="46"/>
      <c r="B1416" s="16"/>
      <c r="C1416" s="118"/>
      <c r="D1416" s="126"/>
      <c r="E1416" s="88"/>
      <c r="F1416" s="118"/>
      <c r="G1416" s="46"/>
      <c r="H1416" s="46"/>
      <c r="I1416" s="118"/>
      <c r="J1416" s="46"/>
      <c r="K1416" s="16"/>
      <c r="L1416" s="118"/>
      <c r="M1416" s="46"/>
      <c r="N1416" s="46"/>
      <c r="O1416" s="46"/>
      <c r="P1416" s="118"/>
      <c r="Q1416" s="46"/>
      <c r="R1416" s="46"/>
      <c r="S1416" s="46"/>
      <c r="T1416" s="46"/>
      <c r="U1416" s="118"/>
      <c r="V1416" s="46"/>
      <c r="W1416" s="88" t="str">
        <f>IF(V1416&lt;&gt;"",SUMIFS('📊 รายงานสินค้าคงเหลือ'!G:G,'📊 รายงานสินค้าคงเหลือ'!D:D,V1416),"")</f>
        <v/>
      </c>
      <c r="X1416" s="46"/>
      <c r="Y1416" s="46"/>
      <c r="Z1416" s="46"/>
    </row>
    <row r="1417">
      <c r="A1417" s="46"/>
      <c r="B1417" s="16"/>
      <c r="C1417" s="118"/>
      <c r="D1417" s="126"/>
      <c r="E1417" s="88"/>
      <c r="F1417" s="118"/>
      <c r="G1417" s="46"/>
      <c r="H1417" s="46"/>
      <c r="I1417" s="118"/>
      <c r="J1417" s="46"/>
      <c r="K1417" s="16"/>
      <c r="L1417" s="118"/>
      <c r="M1417" s="46"/>
      <c r="N1417" s="46"/>
      <c r="O1417" s="46"/>
      <c r="P1417" s="118"/>
      <c r="Q1417" s="46"/>
      <c r="R1417" s="46"/>
      <c r="S1417" s="46"/>
      <c r="T1417" s="46"/>
      <c r="U1417" s="118"/>
      <c r="V1417" s="46"/>
      <c r="W1417" s="88" t="str">
        <f>IF(V1417&lt;&gt;"",SUMIFS('📊 รายงานสินค้าคงเหลือ'!G:G,'📊 รายงานสินค้าคงเหลือ'!D:D,V1417),"")</f>
        <v/>
      </c>
      <c r="X1417" s="46"/>
      <c r="Y1417" s="46"/>
      <c r="Z1417" s="46"/>
    </row>
    <row r="1418">
      <c r="A1418" s="46"/>
      <c r="B1418" s="16"/>
      <c r="C1418" s="118"/>
      <c r="D1418" s="126"/>
      <c r="E1418" s="88"/>
      <c r="F1418" s="118"/>
      <c r="G1418" s="46"/>
      <c r="H1418" s="46"/>
      <c r="I1418" s="118"/>
      <c r="J1418" s="46"/>
      <c r="K1418" s="16"/>
      <c r="L1418" s="118"/>
      <c r="M1418" s="46"/>
      <c r="N1418" s="46"/>
      <c r="O1418" s="46"/>
      <c r="P1418" s="118"/>
      <c r="Q1418" s="46"/>
      <c r="R1418" s="46"/>
      <c r="S1418" s="46"/>
      <c r="T1418" s="46"/>
      <c r="U1418" s="118"/>
      <c r="V1418" s="46"/>
      <c r="W1418" s="88" t="str">
        <f>IF(V1418&lt;&gt;"",SUMIFS('📊 รายงานสินค้าคงเหลือ'!G:G,'📊 รายงานสินค้าคงเหลือ'!D:D,V1418),"")</f>
        <v/>
      </c>
      <c r="X1418" s="46"/>
      <c r="Y1418" s="46"/>
      <c r="Z1418" s="46"/>
    </row>
    <row r="1419">
      <c r="A1419" s="46"/>
      <c r="B1419" s="16"/>
      <c r="C1419" s="118"/>
      <c r="D1419" s="126"/>
      <c r="E1419" s="88"/>
      <c r="F1419" s="118"/>
      <c r="G1419" s="46"/>
      <c r="H1419" s="46"/>
      <c r="I1419" s="118"/>
      <c r="J1419" s="46"/>
      <c r="K1419" s="16"/>
      <c r="L1419" s="118"/>
      <c r="M1419" s="46"/>
      <c r="N1419" s="46"/>
      <c r="O1419" s="46"/>
      <c r="P1419" s="118"/>
      <c r="Q1419" s="46"/>
      <c r="R1419" s="46"/>
      <c r="S1419" s="46"/>
      <c r="T1419" s="46"/>
      <c r="U1419" s="118"/>
      <c r="V1419" s="46"/>
      <c r="W1419" s="88" t="str">
        <f>IF(V1419&lt;&gt;"",SUMIFS('📊 รายงานสินค้าคงเหลือ'!G:G,'📊 รายงานสินค้าคงเหลือ'!D:D,V1419),"")</f>
        <v/>
      </c>
      <c r="X1419" s="46"/>
      <c r="Y1419" s="46"/>
      <c r="Z1419" s="46"/>
    </row>
    <row r="1420">
      <c r="A1420" s="46"/>
      <c r="B1420" s="16"/>
      <c r="C1420" s="118"/>
      <c r="D1420" s="126"/>
      <c r="E1420" s="88"/>
      <c r="F1420" s="118"/>
      <c r="G1420" s="46"/>
      <c r="H1420" s="46"/>
      <c r="I1420" s="118"/>
      <c r="J1420" s="46"/>
      <c r="K1420" s="16"/>
      <c r="L1420" s="118"/>
      <c r="M1420" s="46"/>
      <c r="N1420" s="46"/>
      <c r="O1420" s="46"/>
      <c r="P1420" s="118"/>
      <c r="Q1420" s="46"/>
      <c r="R1420" s="46"/>
      <c r="S1420" s="46"/>
      <c r="T1420" s="46"/>
      <c r="U1420" s="118"/>
      <c r="V1420" s="46"/>
      <c r="W1420" s="88" t="str">
        <f>IF(V1420&lt;&gt;"",SUMIFS('📊 รายงานสินค้าคงเหลือ'!G:G,'📊 รายงานสินค้าคงเหลือ'!D:D,V1420),"")</f>
        <v/>
      </c>
      <c r="X1420" s="46"/>
      <c r="Y1420" s="46"/>
      <c r="Z1420" s="46"/>
    </row>
    <row r="1421">
      <c r="A1421" s="46"/>
      <c r="B1421" s="16"/>
      <c r="C1421" s="118"/>
      <c r="D1421" s="126"/>
      <c r="E1421" s="88"/>
      <c r="F1421" s="118"/>
      <c r="G1421" s="46"/>
      <c r="H1421" s="46"/>
      <c r="I1421" s="118"/>
      <c r="J1421" s="46"/>
      <c r="K1421" s="16"/>
      <c r="L1421" s="118"/>
      <c r="M1421" s="46"/>
      <c r="N1421" s="46"/>
      <c r="O1421" s="46"/>
      <c r="P1421" s="118"/>
      <c r="Q1421" s="46"/>
      <c r="R1421" s="46"/>
      <c r="S1421" s="46"/>
      <c r="T1421" s="46"/>
      <c r="U1421" s="118"/>
      <c r="V1421" s="46"/>
      <c r="W1421" s="88" t="str">
        <f>IF(V1421&lt;&gt;"",SUMIFS('📊 รายงานสินค้าคงเหลือ'!G:G,'📊 รายงานสินค้าคงเหลือ'!D:D,V1421),"")</f>
        <v/>
      </c>
      <c r="X1421" s="46"/>
      <c r="Y1421" s="46"/>
      <c r="Z1421" s="46"/>
    </row>
    <row r="1422">
      <c r="A1422" s="46"/>
      <c r="B1422" s="16"/>
      <c r="C1422" s="118"/>
      <c r="D1422" s="126"/>
      <c r="E1422" s="88"/>
      <c r="F1422" s="118"/>
      <c r="G1422" s="46"/>
      <c r="H1422" s="46"/>
      <c r="I1422" s="118"/>
      <c r="J1422" s="46"/>
      <c r="K1422" s="16"/>
      <c r="L1422" s="118"/>
      <c r="M1422" s="46"/>
      <c r="N1422" s="46"/>
      <c r="O1422" s="46"/>
      <c r="P1422" s="118"/>
      <c r="Q1422" s="46"/>
      <c r="R1422" s="46"/>
      <c r="S1422" s="46"/>
      <c r="T1422" s="46"/>
      <c r="U1422" s="118"/>
      <c r="V1422" s="46"/>
      <c r="W1422" s="88" t="str">
        <f>IF(V1422&lt;&gt;"",SUMIFS('📊 รายงานสินค้าคงเหลือ'!G:G,'📊 รายงานสินค้าคงเหลือ'!D:D,V1422),"")</f>
        <v/>
      </c>
      <c r="X1422" s="46"/>
      <c r="Y1422" s="46"/>
      <c r="Z1422" s="46"/>
    </row>
    <row r="1423">
      <c r="A1423" s="46"/>
      <c r="B1423" s="16"/>
      <c r="C1423" s="118"/>
      <c r="D1423" s="126"/>
      <c r="E1423" s="88"/>
      <c r="F1423" s="118"/>
      <c r="G1423" s="46"/>
      <c r="H1423" s="46"/>
      <c r="I1423" s="118"/>
      <c r="J1423" s="46"/>
      <c r="K1423" s="16"/>
      <c r="L1423" s="118"/>
      <c r="M1423" s="46"/>
      <c r="N1423" s="46"/>
      <c r="O1423" s="46"/>
      <c r="P1423" s="118"/>
      <c r="Q1423" s="46"/>
      <c r="R1423" s="46"/>
      <c r="S1423" s="46"/>
      <c r="T1423" s="46"/>
      <c r="U1423" s="118"/>
      <c r="V1423" s="46"/>
      <c r="W1423" s="88" t="str">
        <f>IF(V1423&lt;&gt;"",SUMIFS('📊 รายงานสินค้าคงเหลือ'!G:G,'📊 รายงานสินค้าคงเหลือ'!D:D,V1423),"")</f>
        <v/>
      </c>
      <c r="X1423" s="46"/>
      <c r="Y1423" s="46"/>
      <c r="Z1423" s="46"/>
    </row>
    <row r="1424">
      <c r="A1424" s="46"/>
      <c r="B1424" s="16"/>
      <c r="C1424" s="118"/>
      <c r="D1424" s="126"/>
      <c r="E1424" s="88"/>
      <c r="F1424" s="118"/>
      <c r="G1424" s="46"/>
      <c r="H1424" s="46"/>
      <c r="I1424" s="118"/>
      <c r="J1424" s="46"/>
      <c r="K1424" s="16"/>
      <c r="L1424" s="118"/>
      <c r="M1424" s="46"/>
      <c r="N1424" s="46"/>
      <c r="O1424" s="46"/>
      <c r="P1424" s="118"/>
      <c r="Q1424" s="46"/>
      <c r="R1424" s="46"/>
      <c r="S1424" s="46"/>
      <c r="T1424" s="46"/>
      <c r="U1424" s="118"/>
      <c r="V1424" s="46"/>
      <c r="W1424" s="88" t="str">
        <f>IF(V1424&lt;&gt;"",SUMIFS('📊 รายงานสินค้าคงเหลือ'!G:G,'📊 รายงานสินค้าคงเหลือ'!D:D,V1424),"")</f>
        <v/>
      </c>
      <c r="X1424" s="46"/>
      <c r="Y1424" s="46"/>
      <c r="Z1424" s="46"/>
    </row>
    <row r="1425">
      <c r="A1425" s="46"/>
      <c r="B1425" s="16"/>
      <c r="C1425" s="118"/>
      <c r="D1425" s="126"/>
      <c r="E1425" s="88"/>
      <c r="F1425" s="118"/>
      <c r="G1425" s="46"/>
      <c r="H1425" s="46"/>
      <c r="I1425" s="118"/>
      <c r="J1425" s="46"/>
      <c r="K1425" s="16"/>
      <c r="L1425" s="118"/>
      <c r="M1425" s="46"/>
      <c r="N1425" s="46"/>
      <c r="O1425" s="46"/>
      <c r="P1425" s="118"/>
      <c r="Q1425" s="46"/>
      <c r="R1425" s="46"/>
      <c r="S1425" s="46"/>
      <c r="T1425" s="46"/>
      <c r="U1425" s="118"/>
      <c r="V1425" s="46"/>
      <c r="W1425" s="88" t="str">
        <f>IF(V1425&lt;&gt;"",SUMIFS('📊 รายงานสินค้าคงเหลือ'!G:G,'📊 รายงานสินค้าคงเหลือ'!D:D,V1425),"")</f>
        <v/>
      </c>
      <c r="X1425" s="46"/>
      <c r="Y1425" s="46"/>
      <c r="Z1425" s="46"/>
    </row>
    <row r="1426">
      <c r="A1426" s="46"/>
      <c r="B1426" s="16"/>
      <c r="C1426" s="118"/>
      <c r="D1426" s="126"/>
      <c r="E1426" s="88"/>
      <c r="F1426" s="118"/>
      <c r="G1426" s="46"/>
      <c r="H1426" s="46"/>
      <c r="I1426" s="118"/>
      <c r="J1426" s="46"/>
      <c r="K1426" s="16"/>
      <c r="L1426" s="118"/>
      <c r="M1426" s="46"/>
      <c r="N1426" s="46"/>
      <c r="O1426" s="46"/>
      <c r="P1426" s="118"/>
      <c r="Q1426" s="46"/>
      <c r="R1426" s="46"/>
      <c r="S1426" s="46"/>
      <c r="T1426" s="46"/>
      <c r="U1426" s="118"/>
      <c r="V1426" s="46"/>
      <c r="W1426" s="88" t="str">
        <f>IF(V1426&lt;&gt;"",SUMIFS('📊 รายงานสินค้าคงเหลือ'!G:G,'📊 รายงานสินค้าคงเหลือ'!D:D,V1426),"")</f>
        <v/>
      </c>
      <c r="X1426" s="46"/>
      <c r="Y1426" s="46"/>
      <c r="Z1426" s="46"/>
    </row>
    <row r="1427">
      <c r="A1427" s="46"/>
      <c r="B1427" s="16"/>
      <c r="C1427" s="118"/>
      <c r="D1427" s="126"/>
      <c r="E1427" s="88"/>
      <c r="F1427" s="118"/>
      <c r="G1427" s="46"/>
      <c r="H1427" s="46"/>
      <c r="I1427" s="118"/>
      <c r="J1427" s="46"/>
      <c r="K1427" s="16"/>
      <c r="L1427" s="118"/>
      <c r="M1427" s="46"/>
      <c r="N1427" s="46"/>
      <c r="O1427" s="46"/>
      <c r="P1427" s="118"/>
      <c r="Q1427" s="46"/>
      <c r="R1427" s="46"/>
      <c r="S1427" s="46"/>
      <c r="T1427" s="46"/>
      <c r="U1427" s="118"/>
      <c r="V1427" s="46"/>
      <c r="W1427" s="88" t="str">
        <f>IF(V1427&lt;&gt;"",SUMIFS('📊 รายงานสินค้าคงเหลือ'!G:G,'📊 รายงานสินค้าคงเหลือ'!D:D,V1427),"")</f>
        <v/>
      </c>
      <c r="X1427" s="46"/>
      <c r="Y1427" s="46"/>
      <c r="Z1427" s="46"/>
    </row>
    <row r="1428">
      <c r="A1428" s="46"/>
      <c r="B1428" s="16"/>
      <c r="C1428" s="118"/>
      <c r="D1428" s="126"/>
      <c r="E1428" s="88"/>
      <c r="F1428" s="118"/>
      <c r="G1428" s="46"/>
      <c r="H1428" s="46"/>
      <c r="I1428" s="118"/>
      <c r="J1428" s="46"/>
      <c r="K1428" s="16"/>
      <c r="L1428" s="118"/>
      <c r="M1428" s="46"/>
      <c r="N1428" s="46"/>
      <c r="O1428" s="46"/>
      <c r="P1428" s="118"/>
      <c r="Q1428" s="46"/>
      <c r="R1428" s="46"/>
      <c r="S1428" s="46"/>
      <c r="T1428" s="46"/>
      <c r="U1428" s="118"/>
      <c r="V1428" s="46"/>
      <c r="W1428" s="88" t="str">
        <f>IF(V1428&lt;&gt;"",SUMIFS('📊 รายงานสินค้าคงเหลือ'!G:G,'📊 รายงานสินค้าคงเหลือ'!D:D,V1428),"")</f>
        <v/>
      </c>
      <c r="X1428" s="46"/>
      <c r="Y1428" s="46"/>
      <c r="Z1428" s="46"/>
    </row>
    <row r="1429">
      <c r="A1429" s="46"/>
      <c r="B1429" s="16"/>
      <c r="C1429" s="118"/>
      <c r="D1429" s="126"/>
      <c r="E1429" s="88"/>
      <c r="F1429" s="118"/>
      <c r="G1429" s="46"/>
      <c r="H1429" s="46"/>
      <c r="I1429" s="118"/>
      <c r="J1429" s="46"/>
      <c r="K1429" s="16"/>
      <c r="L1429" s="118"/>
      <c r="M1429" s="46"/>
      <c r="N1429" s="46"/>
      <c r="O1429" s="46"/>
      <c r="P1429" s="118"/>
      <c r="Q1429" s="46"/>
      <c r="R1429" s="46"/>
      <c r="S1429" s="46"/>
      <c r="T1429" s="46"/>
      <c r="U1429" s="118"/>
      <c r="V1429" s="46"/>
      <c r="W1429" s="88" t="str">
        <f>IF(V1429&lt;&gt;"",SUMIFS('📊 รายงานสินค้าคงเหลือ'!G:G,'📊 รายงานสินค้าคงเหลือ'!D:D,V1429),"")</f>
        <v/>
      </c>
      <c r="X1429" s="46"/>
      <c r="Y1429" s="46"/>
      <c r="Z1429" s="46"/>
    </row>
    <row r="1430">
      <c r="A1430" s="46"/>
      <c r="B1430" s="16"/>
      <c r="C1430" s="118"/>
      <c r="D1430" s="126"/>
      <c r="E1430" s="88"/>
      <c r="F1430" s="118"/>
      <c r="G1430" s="46"/>
      <c r="H1430" s="46"/>
      <c r="I1430" s="118"/>
      <c r="J1430" s="46"/>
      <c r="K1430" s="16"/>
      <c r="L1430" s="118"/>
      <c r="M1430" s="46"/>
      <c r="N1430" s="46"/>
      <c r="O1430" s="46"/>
      <c r="P1430" s="118"/>
      <c r="Q1430" s="46"/>
      <c r="R1430" s="46"/>
      <c r="S1430" s="46"/>
      <c r="T1430" s="46"/>
      <c r="U1430" s="118"/>
      <c r="V1430" s="46"/>
      <c r="W1430" s="88" t="str">
        <f>IF(V1430&lt;&gt;"",SUMIFS('📊 รายงานสินค้าคงเหลือ'!G:G,'📊 รายงานสินค้าคงเหลือ'!D:D,V1430),"")</f>
        <v/>
      </c>
      <c r="X1430" s="46"/>
      <c r="Y1430" s="46"/>
      <c r="Z1430" s="46"/>
    </row>
    <row r="1431">
      <c r="A1431" s="46"/>
      <c r="B1431" s="16"/>
      <c r="C1431" s="118"/>
      <c r="D1431" s="126"/>
      <c r="E1431" s="88"/>
      <c r="F1431" s="118"/>
      <c r="G1431" s="46"/>
      <c r="H1431" s="46"/>
      <c r="I1431" s="118"/>
      <c r="J1431" s="46"/>
      <c r="K1431" s="16"/>
      <c r="L1431" s="118"/>
      <c r="M1431" s="46"/>
      <c r="N1431" s="46"/>
      <c r="O1431" s="46"/>
      <c r="P1431" s="118"/>
      <c r="Q1431" s="46"/>
      <c r="R1431" s="46"/>
      <c r="S1431" s="46"/>
      <c r="T1431" s="46"/>
      <c r="U1431" s="118"/>
      <c r="V1431" s="46"/>
      <c r="W1431" s="88" t="str">
        <f>IF(V1431&lt;&gt;"",SUMIFS('📊 รายงานสินค้าคงเหลือ'!G:G,'📊 รายงานสินค้าคงเหลือ'!D:D,V1431),"")</f>
        <v/>
      </c>
      <c r="X1431" s="46"/>
      <c r="Y1431" s="46"/>
      <c r="Z1431" s="46"/>
    </row>
    <row r="1432">
      <c r="A1432" s="46"/>
      <c r="B1432" s="16"/>
      <c r="C1432" s="118"/>
      <c r="D1432" s="126"/>
      <c r="E1432" s="88"/>
      <c r="F1432" s="118"/>
      <c r="G1432" s="46"/>
      <c r="H1432" s="46"/>
      <c r="I1432" s="118"/>
      <c r="J1432" s="46"/>
      <c r="K1432" s="16"/>
      <c r="L1432" s="118"/>
      <c r="M1432" s="46"/>
      <c r="N1432" s="46"/>
      <c r="O1432" s="46"/>
      <c r="P1432" s="118"/>
      <c r="Q1432" s="46"/>
      <c r="R1432" s="46"/>
      <c r="S1432" s="46"/>
      <c r="T1432" s="46"/>
      <c r="U1432" s="118"/>
      <c r="V1432" s="46"/>
      <c r="W1432" s="88" t="str">
        <f>IF(V1432&lt;&gt;"",SUMIFS('📊 รายงานสินค้าคงเหลือ'!G:G,'📊 รายงานสินค้าคงเหลือ'!D:D,V1432),"")</f>
        <v/>
      </c>
      <c r="X1432" s="46"/>
      <c r="Y1432" s="46"/>
      <c r="Z1432" s="46"/>
    </row>
    <row r="1433">
      <c r="A1433" s="46"/>
      <c r="B1433" s="16"/>
      <c r="C1433" s="118"/>
      <c r="D1433" s="126"/>
      <c r="E1433" s="88"/>
      <c r="F1433" s="118"/>
      <c r="G1433" s="46"/>
      <c r="H1433" s="46"/>
      <c r="I1433" s="118"/>
      <c r="J1433" s="46"/>
      <c r="K1433" s="16"/>
      <c r="L1433" s="118"/>
      <c r="M1433" s="46"/>
      <c r="N1433" s="46"/>
      <c r="O1433" s="46"/>
      <c r="P1433" s="118"/>
      <c r="Q1433" s="46"/>
      <c r="R1433" s="46"/>
      <c r="S1433" s="46"/>
      <c r="T1433" s="46"/>
      <c r="U1433" s="118"/>
      <c r="V1433" s="46"/>
      <c r="W1433" s="88" t="str">
        <f>IF(V1433&lt;&gt;"",SUMIFS('📊 รายงานสินค้าคงเหลือ'!G:G,'📊 รายงานสินค้าคงเหลือ'!D:D,V1433),"")</f>
        <v/>
      </c>
      <c r="X1433" s="46"/>
      <c r="Y1433" s="46"/>
      <c r="Z1433" s="46"/>
    </row>
    <row r="1434">
      <c r="A1434" s="46"/>
      <c r="B1434" s="16"/>
      <c r="C1434" s="118"/>
      <c r="D1434" s="126"/>
      <c r="E1434" s="88"/>
      <c r="F1434" s="118"/>
      <c r="G1434" s="46"/>
      <c r="H1434" s="46"/>
      <c r="I1434" s="118"/>
      <c r="J1434" s="46"/>
      <c r="K1434" s="16"/>
      <c r="L1434" s="118"/>
      <c r="M1434" s="46"/>
      <c r="N1434" s="46"/>
      <c r="O1434" s="46"/>
      <c r="P1434" s="118"/>
      <c r="Q1434" s="46"/>
      <c r="R1434" s="46"/>
      <c r="S1434" s="46"/>
      <c r="T1434" s="46"/>
      <c r="U1434" s="118"/>
      <c r="V1434" s="46"/>
      <c r="W1434" s="88" t="str">
        <f>IF(V1434&lt;&gt;"",SUMIFS('📊 รายงานสินค้าคงเหลือ'!G:G,'📊 รายงานสินค้าคงเหลือ'!D:D,V1434),"")</f>
        <v/>
      </c>
      <c r="X1434" s="46"/>
      <c r="Y1434" s="46"/>
      <c r="Z1434" s="46"/>
    </row>
    <row r="1435">
      <c r="A1435" s="46"/>
      <c r="B1435" s="16"/>
      <c r="C1435" s="118"/>
      <c r="D1435" s="126"/>
      <c r="E1435" s="88"/>
      <c r="F1435" s="118"/>
      <c r="G1435" s="46"/>
      <c r="H1435" s="46"/>
      <c r="I1435" s="118"/>
      <c r="J1435" s="46"/>
      <c r="K1435" s="16"/>
      <c r="L1435" s="118"/>
      <c r="M1435" s="46"/>
      <c r="N1435" s="46"/>
      <c r="O1435" s="46"/>
      <c r="P1435" s="118"/>
      <c r="Q1435" s="46"/>
      <c r="R1435" s="46"/>
      <c r="S1435" s="46"/>
      <c r="T1435" s="46"/>
      <c r="U1435" s="118"/>
      <c r="V1435" s="46"/>
      <c r="W1435" s="88" t="str">
        <f>IF(V1435&lt;&gt;"",SUMIFS('📊 รายงานสินค้าคงเหลือ'!G:G,'📊 รายงานสินค้าคงเหลือ'!D:D,V1435),"")</f>
        <v/>
      </c>
      <c r="X1435" s="46"/>
      <c r="Y1435" s="46"/>
      <c r="Z1435" s="46"/>
    </row>
    <row r="1436">
      <c r="A1436" s="46"/>
      <c r="B1436" s="16"/>
      <c r="C1436" s="118"/>
      <c r="D1436" s="126"/>
      <c r="E1436" s="88"/>
      <c r="F1436" s="118"/>
      <c r="G1436" s="46"/>
      <c r="H1436" s="46"/>
      <c r="I1436" s="118"/>
      <c r="J1436" s="46"/>
      <c r="K1436" s="16"/>
      <c r="L1436" s="118"/>
      <c r="M1436" s="46"/>
      <c r="N1436" s="46"/>
      <c r="O1436" s="46"/>
      <c r="P1436" s="118"/>
      <c r="Q1436" s="46"/>
      <c r="R1436" s="46"/>
      <c r="S1436" s="46"/>
      <c r="T1436" s="46"/>
      <c r="U1436" s="118"/>
      <c r="V1436" s="46"/>
      <c r="W1436" s="88" t="str">
        <f>IF(V1436&lt;&gt;"",SUMIFS('📊 รายงานสินค้าคงเหลือ'!G:G,'📊 รายงานสินค้าคงเหลือ'!D:D,V1436),"")</f>
        <v/>
      </c>
      <c r="X1436" s="46"/>
      <c r="Y1436" s="46"/>
      <c r="Z1436" s="46"/>
    </row>
    <row r="1437">
      <c r="A1437" s="46"/>
      <c r="B1437" s="16"/>
      <c r="C1437" s="118"/>
      <c r="D1437" s="126"/>
      <c r="E1437" s="88"/>
      <c r="F1437" s="118"/>
      <c r="G1437" s="46"/>
      <c r="H1437" s="46"/>
      <c r="I1437" s="118"/>
      <c r="J1437" s="46"/>
      <c r="K1437" s="16"/>
      <c r="L1437" s="118"/>
      <c r="M1437" s="46"/>
      <c r="N1437" s="46"/>
      <c r="O1437" s="46"/>
      <c r="P1437" s="118"/>
      <c r="Q1437" s="46"/>
      <c r="R1437" s="46"/>
      <c r="S1437" s="46"/>
      <c r="T1437" s="46"/>
      <c r="U1437" s="118"/>
      <c r="V1437" s="46"/>
      <c r="W1437" s="88" t="str">
        <f>IF(V1437&lt;&gt;"",SUMIFS('📊 รายงานสินค้าคงเหลือ'!G:G,'📊 รายงานสินค้าคงเหลือ'!D:D,V1437),"")</f>
        <v/>
      </c>
      <c r="X1437" s="46"/>
      <c r="Y1437" s="46"/>
      <c r="Z1437" s="46"/>
    </row>
    <row r="1438">
      <c r="A1438" s="46"/>
      <c r="B1438" s="16"/>
      <c r="C1438" s="118"/>
      <c r="D1438" s="126"/>
      <c r="E1438" s="88"/>
      <c r="F1438" s="118"/>
      <c r="G1438" s="46"/>
      <c r="H1438" s="46"/>
      <c r="I1438" s="118"/>
      <c r="J1438" s="46"/>
      <c r="K1438" s="16"/>
      <c r="L1438" s="118"/>
      <c r="M1438" s="46"/>
      <c r="N1438" s="46"/>
      <c r="O1438" s="46"/>
      <c r="P1438" s="118"/>
      <c r="Q1438" s="46"/>
      <c r="R1438" s="46"/>
      <c r="S1438" s="46"/>
      <c r="T1438" s="46"/>
      <c r="U1438" s="118"/>
      <c r="V1438" s="46"/>
      <c r="W1438" s="88" t="str">
        <f>IF(V1438&lt;&gt;"",SUMIFS('📊 รายงานสินค้าคงเหลือ'!G:G,'📊 รายงานสินค้าคงเหลือ'!D:D,V1438),"")</f>
        <v/>
      </c>
      <c r="X1438" s="46"/>
      <c r="Y1438" s="46"/>
      <c r="Z1438" s="46"/>
    </row>
    <row r="1439">
      <c r="A1439" s="46"/>
      <c r="B1439" s="16"/>
      <c r="C1439" s="118"/>
      <c r="D1439" s="126"/>
      <c r="E1439" s="88"/>
      <c r="F1439" s="118"/>
      <c r="G1439" s="46"/>
      <c r="H1439" s="46"/>
      <c r="I1439" s="118"/>
      <c r="J1439" s="46"/>
      <c r="K1439" s="16"/>
      <c r="L1439" s="118"/>
      <c r="M1439" s="46"/>
      <c r="N1439" s="46"/>
      <c r="O1439" s="46"/>
      <c r="P1439" s="118"/>
      <c r="Q1439" s="46"/>
      <c r="R1439" s="46"/>
      <c r="S1439" s="46"/>
      <c r="T1439" s="46"/>
      <c r="U1439" s="118"/>
      <c r="V1439" s="46"/>
      <c r="W1439" s="88" t="str">
        <f>IF(V1439&lt;&gt;"",SUMIFS('📊 รายงานสินค้าคงเหลือ'!G:G,'📊 รายงานสินค้าคงเหลือ'!D:D,V1439),"")</f>
        <v/>
      </c>
      <c r="X1439" s="46"/>
      <c r="Y1439" s="46"/>
      <c r="Z1439" s="46"/>
    </row>
    <row r="1440">
      <c r="A1440" s="46"/>
      <c r="B1440" s="16"/>
      <c r="C1440" s="118"/>
      <c r="D1440" s="126"/>
      <c r="E1440" s="88"/>
      <c r="F1440" s="118"/>
      <c r="G1440" s="46"/>
      <c r="H1440" s="46"/>
      <c r="I1440" s="118"/>
      <c r="J1440" s="46"/>
      <c r="K1440" s="16"/>
      <c r="L1440" s="118"/>
      <c r="M1440" s="46"/>
      <c r="N1440" s="46"/>
      <c r="O1440" s="46"/>
      <c r="P1440" s="118"/>
      <c r="Q1440" s="46"/>
      <c r="R1440" s="46"/>
      <c r="S1440" s="46"/>
      <c r="T1440" s="46"/>
      <c r="U1440" s="118"/>
      <c r="V1440" s="46"/>
      <c r="W1440" s="88" t="str">
        <f>IF(V1440&lt;&gt;"",SUMIFS('📊 รายงานสินค้าคงเหลือ'!G:G,'📊 รายงานสินค้าคงเหลือ'!D:D,V1440),"")</f>
        <v/>
      </c>
      <c r="X1440" s="46"/>
      <c r="Y1440" s="46"/>
      <c r="Z1440" s="46"/>
    </row>
    <row r="1441">
      <c r="A1441" s="46"/>
      <c r="B1441" s="16"/>
      <c r="C1441" s="118"/>
      <c r="D1441" s="126"/>
      <c r="E1441" s="88"/>
      <c r="F1441" s="118"/>
      <c r="G1441" s="46"/>
      <c r="H1441" s="46"/>
      <c r="I1441" s="118"/>
      <c r="J1441" s="46"/>
      <c r="K1441" s="16"/>
      <c r="L1441" s="118"/>
      <c r="M1441" s="46"/>
      <c r="N1441" s="46"/>
      <c r="O1441" s="46"/>
      <c r="P1441" s="118"/>
      <c r="Q1441" s="46"/>
      <c r="R1441" s="46"/>
      <c r="S1441" s="46"/>
      <c r="T1441" s="46"/>
      <c r="U1441" s="118"/>
      <c r="V1441" s="46"/>
      <c r="W1441" s="88" t="str">
        <f>IF(V1441&lt;&gt;"",SUMIFS('📊 รายงานสินค้าคงเหลือ'!G:G,'📊 รายงานสินค้าคงเหลือ'!D:D,V1441),"")</f>
        <v/>
      </c>
      <c r="X1441" s="46"/>
      <c r="Y1441" s="46"/>
      <c r="Z1441" s="46"/>
    </row>
    <row r="1442">
      <c r="A1442" s="46"/>
      <c r="B1442" s="16"/>
      <c r="C1442" s="118"/>
      <c r="D1442" s="126"/>
      <c r="E1442" s="88"/>
      <c r="F1442" s="118"/>
      <c r="G1442" s="46"/>
      <c r="H1442" s="46"/>
      <c r="I1442" s="118"/>
      <c r="J1442" s="46"/>
      <c r="K1442" s="16"/>
      <c r="L1442" s="118"/>
      <c r="M1442" s="46"/>
      <c r="N1442" s="46"/>
      <c r="O1442" s="46"/>
      <c r="P1442" s="118"/>
      <c r="Q1442" s="46"/>
      <c r="R1442" s="46"/>
      <c r="S1442" s="46"/>
      <c r="T1442" s="46"/>
      <c r="U1442" s="118"/>
      <c r="V1442" s="46"/>
      <c r="W1442" s="88" t="str">
        <f>IF(V1442&lt;&gt;"",SUMIFS('📊 รายงานสินค้าคงเหลือ'!G:G,'📊 รายงานสินค้าคงเหลือ'!D:D,V1442),"")</f>
        <v/>
      </c>
      <c r="X1442" s="46"/>
      <c r="Y1442" s="46"/>
      <c r="Z1442" s="46"/>
    </row>
    <row r="1443">
      <c r="A1443" s="46"/>
      <c r="B1443" s="16"/>
      <c r="C1443" s="118"/>
      <c r="D1443" s="126"/>
      <c r="E1443" s="88"/>
      <c r="F1443" s="118"/>
      <c r="G1443" s="46"/>
      <c r="H1443" s="46"/>
      <c r="I1443" s="118"/>
      <c r="J1443" s="46"/>
      <c r="K1443" s="16"/>
      <c r="L1443" s="118"/>
      <c r="M1443" s="46"/>
      <c r="N1443" s="46"/>
      <c r="O1443" s="46"/>
      <c r="P1443" s="118"/>
      <c r="Q1443" s="46"/>
      <c r="R1443" s="46"/>
      <c r="S1443" s="46"/>
      <c r="T1443" s="46"/>
      <c r="U1443" s="118"/>
      <c r="V1443" s="46"/>
      <c r="W1443" s="88" t="str">
        <f>IF(V1443&lt;&gt;"",SUMIFS('📊 รายงานสินค้าคงเหลือ'!G:G,'📊 รายงานสินค้าคงเหลือ'!D:D,V1443),"")</f>
        <v/>
      </c>
      <c r="X1443" s="46"/>
      <c r="Y1443" s="46"/>
      <c r="Z1443" s="46"/>
    </row>
    <row r="1444">
      <c r="A1444" s="46"/>
      <c r="B1444" s="16"/>
      <c r="C1444" s="118"/>
      <c r="D1444" s="126"/>
      <c r="E1444" s="88"/>
      <c r="F1444" s="118"/>
      <c r="G1444" s="46"/>
      <c r="H1444" s="46"/>
      <c r="I1444" s="118"/>
      <c r="J1444" s="46"/>
      <c r="K1444" s="16"/>
      <c r="L1444" s="118"/>
      <c r="M1444" s="46"/>
      <c r="N1444" s="46"/>
      <c r="O1444" s="46"/>
      <c r="P1444" s="118"/>
      <c r="Q1444" s="46"/>
      <c r="R1444" s="46"/>
      <c r="S1444" s="46"/>
      <c r="T1444" s="46"/>
      <c r="U1444" s="118"/>
      <c r="V1444" s="46"/>
      <c r="W1444" s="88" t="str">
        <f>IF(V1444&lt;&gt;"",SUMIFS('📊 รายงานสินค้าคงเหลือ'!G:G,'📊 รายงานสินค้าคงเหลือ'!D:D,V1444),"")</f>
        <v/>
      </c>
      <c r="X1444" s="46"/>
      <c r="Y1444" s="46"/>
      <c r="Z1444" s="46"/>
    </row>
    <row r="1445">
      <c r="A1445" s="46"/>
      <c r="B1445" s="16"/>
      <c r="C1445" s="118"/>
      <c r="D1445" s="126"/>
      <c r="E1445" s="88"/>
      <c r="F1445" s="118"/>
      <c r="G1445" s="46"/>
      <c r="H1445" s="46"/>
      <c r="I1445" s="118"/>
      <c r="J1445" s="46"/>
      <c r="K1445" s="16"/>
      <c r="L1445" s="118"/>
      <c r="M1445" s="46"/>
      <c r="N1445" s="46"/>
      <c r="O1445" s="46"/>
      <c r="P1445" s="118"/>
      <c r="Q1445" s="46"/>
      <c r="R1445" s="46"/>
      <c r="S1445" s="46"/>
      <c r="T1445" s="46"/>
      <c r="U1445" s="118"/>
      <c r="V1445" s="46"/>
      <c r="W1445" s="88" t="str">
        <f>IF(V1445&lt;&gt;"",SUMIFS('📊 รายงานสินค้าคงเหลือ'!G:G,'📊 รายงานสินค้าคงเหลือ'!D:D,V1445),"")</f>
        <v/>
      </c>
      <c r="X1445" s="46"/>
      <c r="Y1445" s="46"/>
      <c r="Z1445" s="46"/>
    </row>
    <row r="1446">
      <c r="A1446" s="46"/>
      <c r="B1446" s="16"/>
      <c r="C1446" s="118"/>
      <c r="D1446" s="126"/>
      <c r="E1446" s="88"/>
      <c r="F1446" s="118"/>
      <c r="G1446" s="46"/>
      <c r="H1446" s="46"/>
      <c r="I1446" s="118"/>
      <c r="J1446" s="46"/>
      <c r="K1446" s="16"/>
      <c r="L1446" s="118"/>
      <c r="M1446" s="46"/>
      <c r="N1446" s="46"/>
      <c r="O1446" s="46"/>
      <c r="P1446" s="118"/>
      <c r="Q1446" s="46"/>
      <c r="R1446" s="46"/>
      <c r="S1446" s="46"/>
      <c r="T1446" s="46"/>
      <c r="U1446" s="118"/>
      <c r="V1446" s="46"/>
      <c r="W1446" s="88" t="str">
        <f>IF(V1446&lt;&gt;"",SUMIFS('📊 รายงานสินค้าคงเหลือ'!G:G,'📊 รายงานสินค้าคงเหลือ'!D:D,V1446),"")</f>
        <v/>
      </c>
      <c r="X1446" s="46"/>
      <c r="Y1446" s="46"/>
      <c r="Z1446" s="46"/>
    </row>
    <row r="1447">
      <c r="A1447" s="46"/>
      <c r="B1447" s="16"/>
      <c r="C1447" s="118"/>
      <c r="D1447" s="126"/>
      <c r="E1447" s="88"/>
      <c r="F1447" s="118"/>
      <c r="G1447" s="46"/>
      <c r="H1447" s="46"/>
      <c r="I1447" s="118"/>
      <c r="J1447" s="46"/>
      <c r="K1447" s="16"/>
      <c r="L1447" s="118"/>
      <c r="M1447" s="46"/>
      <c r="N1447" s="46"/>
      <c r="O1447" s="46"/>
      <c r="P1447" s="118"/>
      <c r="Q1447" s="46"/>
      <c r="R1447" s="46"/>
      <c r="S1447" s="46"/>
      <c r="T1447" s="46"/>
      <c r="U1447" s="118"/>
      <c r="V1447" s="46"/>
      <c r="W1447" s="88" t="str">
        <f>IF(V1447&lt;&gt;"",SUMIFS('📊 รายงานสินค้าคงเหลือ'!G:G,'📊 รายงานสินค้าคงเหลือ'!D:D,V1447),"")</f>
        <v/>
      </c>
      <c r="X1447" s="46"/>
      <c r="Y1447" s="46"/>
      <c r="Z1447" s="46"/>
    </row>
    <row r="1448">
      <c r="A1448" s="46"/>
      <c r="B1448" s="16"/>
      <c r="C1448" s="118"/>
      <c r="D1448" s="126"/>
      <c r="E1448" s="88"/>
      <c r="F1448" s="118"/>
      <c r="G1448" s="46"/>
      <c r="H1448" s="46"/>
      <c r="I1448" s="118"/>
      <c r="J1448" s="46"/>
      <c r="K1448" s="16"/>
      <c r="L1448" s="118"/>
      <c r="M1448" s="46"/>
      <c r="N1448" s="46"/>
      <c r="O1448" s="46"/>
      <c r="P1448" s="118"/>
      <c r="Q1448" s="46"/>
      <c r="R1448" s="46"/>
      <c r="S1448" s="46"/>
      <c r="T1448" s="46"/>
      <c r="U1448" s="118"/>
      <c r="V1448" s="46"/>
      <c r="W1448" s="88" t="str">
        <f>IF(V1448&lt;&gt;"",SUMIFS('📊 รายงานสินค้าคงเหลือ'!G:G,'📊 รายงานสินค้าคงเหลือ'!D:D,V1448),"")</f>
        <v/>
      </c>
      <c r="X1448" s="46"/>
      <c r="Y1448" s="46"/>
      <c r="Z1448" s="46"/>
    </row>
    <row r="1449">
      <c r="A1449" s="46"/>
      <c r="B1449" s="16"/>
      <c r="C1449" s="118"/>
      <c r="D1449" s="126"/>
      <c r="E1449" s="88"/>
      <c r="F1449" s="118"/>
      <c r="G1449" s="46"/>
      <c r="H1449" s="46"/>
      <c r="I1449" s="118"/>
      <c r="J1449" s="46"/>
      <c r="K1449" s="16"/>
      <c r="L1449" s="118"/>
      <c r="M1449" s="46"/>
      <c r="N1449" s="46"/>
      <c r="O1449" s="46"/>
      <c r="P1449" s="118"/>
      <c r="Q1449" s="46"/>
      <c r="R1449" s="46"/>
      <c r="S1449" s="46"/>
      <c r="T1449" s="46"/>
      <c r="U1449" s="118"/>
      <c r="V1449" s="46"/>
      <c r="W1449" s="88" t="str">
        <f>IF(V1449&lt;&gt;"",SUMIFS('📊 รายงานสินค้าคงเหลือ'!G:G,'📊 รายงานสินค้าคงเหลือ'!D:D,V1449),"")</f>
        <v/>
      </c>
      <c r="X1449" s="46"/>
      <c r="Y1449" s="46"/>
      <c r="Z1449" s="46"/>
    </row>
    <row r="1450">
      <c r="A1450" s="46"/>
      <c r="B1450" s="16"/>
      <c r="C1450" s="118"/>
      <c r="D1450" s="126"/>
      <c r="E1450" s="88"/>
      <c r="F1450" s="118"/>
      <c r="G1450" s="46"/>
      <c r="H1450" s="46"/>
      <c r="I1450" s="118"/>
      <c r="J1450" s="46"/>
      <c r="K1450" s="16"/>
      <c r="L1450" s="118"/>
      <c r="M1450" s="46"/>
      <c r="N1450" s="46"/>
      <c r="O1450" s="46"/>
      <c r="P1450" s="118"/>
      <c r="Q1450" s="46"/>
      <c r="R1450" s="46"/>
      <c r="S1450" s="46"/>
      <c r="T1450" s="46"/>
      <c r="U1450" s="118"/>
      <c r="V1450" s="46"/>
      <c r="W1450" s="88" t="str">
        <f>IF(V1450&lt;&gt;"",SUMIFS('📊 รายงานสินค้าคงเหลือ'!G:G,'📊 รายงานสินค้าคงเหลือ'!D:D,V1450),"")</f>
        <v/>
      </c>
      <c r="X1450" s="46"/>
      <c r="Y1450" s="46"/>
      <c r="Z1450" s="46"/>
    </row>
    <row r="1451">
      <c r="A1451" s="46"/>
      <c r="B1451" s="16"/>
      <c r="C1451" s="118"/>
      <c r="D1451" s="126"/>
      <c r="E1451" s="88"/>
      <c r="F1451" s="118"/>
      <c r="G1451" s="46"/>
      <c r="H1451" s="46"/>
      <c r="I1451" s="118"/>
      <c r="J1451" s="46"/>
      <c r="K1451" s="16"/>
      <c r="L1451" s="118"/>
      <c r="M1451" s="46"/>
      <c r="N1451" s="46"/>
      <c r="O1451" s="46"/>
      <c r="P1451" s="118"/>
      <c r="Q1451" s="46"/>
      <c r="R1451" s="46"/>
      <c r="S1451" s="46"/>
      <c r="T1451" s="46"/>
      <c r="U1451" s="118"/>
      <c r="V1451" s="46"/>
      <c r="W1451" s="88" t="str">
        <f>IF(V1451&lt;&gt;"",SUMIFS('📊 รายงานสินค้าคงเหลือ'!G:G,'📊 รายงานสินค้าคงเหลือ'!D:D,V1451),"")</f>
        <v/>
      </c>
      <c r="X1451" s="46"/>
      <c r="Y1451" s="46"/>
      <c r="Z1451" s="46"/>
    </row>
    <row r="1452">
      <c r="A1452" s="46"/>
      <c r="B1452" s="16"/>
      <c r="C1452" s="118"/>
      <c r="D1452" s="126"/>
      <c r="E1452" s="88"/>
      <c r="F1452" s="118"/>
      <c r="G1452" s="46"/>
      <c r="H1452" s="46"/>
      <c r="I1452" s="118"/>
      <c r="J1452" s="46"/>
      <c r="K1452" s="16"/>
      <c r="L1452" s="118"/>
      <c r="M1452" s="46"/>
      <c r="N1452" s="46"/>
      <c r="O1452" s="46"/>
      <c r="P1452" s="118"/>
      <c r="Q1452" s="46"/>
      <c r="R1452" s="46"/>
      <c r="S1452" s="46"/>
      <c r="T1452" s="46"/>
      <c r="U1452" s="118"/>
      <c r="V1452" s="46"/>
      <c r="W1452" s="88" t="str">
        <f>IF(V1452&lt;&gt;"",SUMIFS('📊 รายงานสินค้าคงเหลือ'!G:G,'📊 รายงานสินค้าคงเหลือ'!D:D,V1452),"")</f>
        <v/>
      </c>
      <c r="X1452" s="46"/>
      <c r="Y1452" s="46"/>
      <c r="Z1452" s="46"/>
    </row>
    <row r="1453">
      <c r="A1453" s="46"/>
      <c r="B1453" s="16"/>
      <c r="C1453" s="118"/>
      <c r="D1453" s="126"/>
      <c r="E1453" s="88"/>
      <c r="F1453" s="118"/>
      <c r="G1453" s="46"/>
      <c r="H1453" s="46"/>
      <c r="I1453" s="118"/>
      <c r="J1453" s="46"/>
      <c r="K1453" s="16"/>
      <c r="L1453" s="118"/>
      <c r="M1453" s="46"/>
      <c r="N1453" s="46"/>
      <c r="O1453" s="46"/>
      <c r="P1453" s="118"/>
      <c r="Q1453" s="46"/>
      <c r="R1453" s="46"/>
      <c r="S1453" s="46"/>
      <c r="T1453" s="46"/>
      <c r="U1453" s="118"/>
      <c r="V1453" s="46"/>
      <c r="W1453" s="88" t="str">
        <f>IF(V1453&lt;&gt;"",SUMIFS('📊 รายงานสินค้าคงเหลือ'!G:G,'📊 รายงานสินค้าคงเหลือ'!D:D,V1453),"")</f>
        <v/>
      </c>
      <c r="X1453" s="46"/>
      <c r="Y1453" s="46"/>
      <c r="Z1453" s="46"/>
    </row>
    <row r="1454">
      <c r="A1454" s="46"/>
      <c r="B1454" s="16"/>
      <c r="C1454" s="118"/>
      <c r="D1454" s="126"/>
      <c r="E1454" s="88"/>
      <c r="F1454" s="118"/>
      <c r="G1454" s="46"/>
      <c r="H1454" s="46"/>
      <c r="I1454" s="118"/>
      <c r="J1454" s="46"/>
      <c r="K1454" s="16"/>
      <c r="L1454" s="118"/>
      <c r="M1454" s="46"/>
      <c r="N1454" s="46"/>
      <c r="O1454" s="46"/>
      <c r="P1454" s="118"/>
      <c r="Q1454" s="46"/>
      <c r="R1454" s="46"/>
      <c r="S1454" s="46"/>
      <c r="T1454" s="46"/>
      <c r="U1454" s="118"/>
      <c r="V1454" s="46"/>
      <c r="W1454" s="88" t="str">
        <f>IF(V1454&lt;&gt;"",SUMIFS('📊 รายงานสินค้าคงเหลือ'!G:G,'📊 รายงานสินค้าคงเหลือ'!D:D,V1454),"")</f>
        <v/>
      </c>
      <c r="X1454" s="46"/>
      <c r="Y1454" s="46"/>
      <c r="Z1454" s="46"/>
    </row>
    <row r="1455">
      <c r="A1455" s="46"/>
      <c r="B1455" s="16"/>
      <c r="C1455" s="118"/>
      <c r="D1455" s="126"/>
      <c r="E1455" s="88"/>
      <c r="F1455" s="118"/>
      <c r="G1455" s="46"/>
      <c r="H1455" s="46"/>
      <c r="I1455" s="118"/>
      <c r="J1455" s="46"/>
      <c r="K1455" s="16"/>
      <c r="L1455" s="118"/>
      <c r="M1455" s="46"/>
      <c r="N1455" s="46"/>
      <c r="O1455" s="46"/>
      <c r="P1455" s="118"/>
      <c r="Q1455" s="46"/>
      <c r="R1455" s="46"/>
      <c r="S1455" s="46"/>
      <c r="T1455" s="46"/>
      <c r="U1455" s="118"/>
      <c r="V1455" s="46"/>
      <c r="W1455" s="88" t="str">
        <f>IF(V1455&lt;&gt;"",SUMIFS('📊 รายงานสินค้าคงเหลือ'!G:G,'📊 รายงานสินค้าคงเหลือ'!D:D,V1455),"")</f>
        <v/>
      </c>
      <c r="X1455" s="46"/>
      <c r="Y1455" s="46"/>
      <c r="Z1455" s="46"/>
    </row>
    <row r="1456">
      <c r="A1456" s="46"/>
      <c r="B1456" s="16"/>
      <c r="C1456" s="118"/>
      <c r="D1456" s="126"/>
      <c r="E1456" s="88"/>
      <c r="F1456" s="118"/>
      <c r="G1456" s="46"/>
      <c r="H1456" s="46"/>
      <c r="I1456" s="118"/>
      <c r="J1456" s="46"/>
      <c r="K1456" s="16"/>
      <c r="L1456" s="118"/>
      <c r="M1456" s="46"/>
      <c r="N1456" s="46"/>
      <c r="O1456" s="46"/>
      <c r="P1456" s="118"/>
      <c r="Q1456" s="46"/>
      <c r="R1456" s="46"/>
      <c r="S1456" s="46"/>
      <c r="T1456" s="46"/>
      <c r="U1456" s="118"/>
      <c r="V1456" s="46"/>
      <c r="W1456" s="88" t="str">
        <f>IF(V1456&lt;&gt;"",SUMIFS('📊 รายงานสินค้าคงเหลือ'!G:G,'📊 รายงานสินค้าคงเหลือ'!D:D,V1456),"")</f>
        <v/>
      </c>
      <c r="X1456" s="46"/>
      <c r="Y1456" s="46"/>
      <c r="Z1456" s="46"/>
    </row>
    <row r="1457">
      <c r="A1457" s="46"/>
      <c r="B1457" s="16"/>
      <c r="C1457" s="118"/>
      <c r="D1457" s="126"/>
      <c r="E1457" s="88"/>
      <c r="F1457" s="118"/>
      <c r="G1457" s="46"/>
      <c r="H1457" s="46"/>
      <c r="I1457" s="118"/>
      <c r="J1457" s="46"/>
      <c r="K1457" s="16"/>
      <c r="L1457" s="118"/>
      <c r="M1457" s="46"/>
      <c r="N1457" s="46"/>
      <c r="O1457" s="46"/>
      <c r="P1457" s="118"/>
      <c r="Q1457" s="46"/>
      <c r="R1457" s="46"/>
      <c r="S1457" s="46"/>
      <c r="T1457" s="46"/>
      <c r="U1457" s="118"/>
      <c r="V1457" s="46"/>
      <c r="W1457" s="88" t="str">
        <f>IF(V1457&lt;&gt;"",SUMIFS('📊 รายงานสินค้าคงเหลือ'!G:G,'📊 รายงานสินค้าคงเหลือ'!D:D,V1457),"")</f>
        <v/>
      </c>
      <c r="X1457" s="46"/>
      <c r="Y1457" s="46"/>
      <c r="Z1457" s="46"/>
    </row>
    <row r="1458">
      <c r="A1458" s="46"/>
      <c r="B1458" s="16"/>
      <c r="C1458" s="118"/>
      <c r="D1458" s="126"/>
      <c r="E1458" s="88"/>
      <c r="F1458" s="118"/>
      <c r="G1458" s="46"/>
      <c r="H1458" s="46"/>
      <c r="I1458" s="118"/>
      <c r="J1458" s="46"/>
      <c r="K1458" s="16"/>
      <c r="L1458" s="118"/>
      <c r="M1458" s="46"/>
      <c r="N1458" s="46"/>
      <c r="O1458" s="46"/>
      <c r="P1458" s="118"/>
      <c r="Q1458" s="46"/>
      <c r="R1458" s="46"/>
      <c r="S1458" s="46"/>
      <c r="T1458" s="46"/>
      <c r="U1458" s="118"/>
      <c r="V1458" s="46"/>
      <c r="W1458" s="88" t="str">
        <f>IF(V1458&lt;&gt;"",SUMIFS('📊 รายงานสินค้าคงเหลือ'!G:G,'📊 รายงานสินค้าคงเหลือ'!D:D,V1458),"")</f>
        <v/>
      </c>
      <c r="X1458" s="46"/>
      <c r="Y1458" s="46"/>
      <c r="Z1458" s="46"/>
    </row>
    <row r="1459">
      <c r="A1459" s="46"/>
      <c r="B1459" s="16"/>
      <c r="C1459" s="118"/>
      <c r="D1459" s="126"/>
      <c r="E1459" s="88"/>
      <c r="F1459" s="118"/>
      <c r="G1459" s="46"/>
      <c r="H1459" s="46"/>
      <c r="I1459" s="118"/>
      <c r="J1459" s="46"/>
      <c r="K1459" s="16"/>
      <c r="L1459" s="118"/>
      <c r="M1459" s="46"/>
      <c r="N1459" s="46"/>
      <c r="O1459" s="46"/>
      <c r="P1459" s="118"/>
      <c r="Q1459" s="46"/>
      <c r="R1459" s="46"/>
      <c r="S1459" s="46"/>
      <c r="T1459" s="46"/>
      <c r="U1459" s="118"/>
      <c r="V1459" s="46"/>
      <c r="W1459" s="88" t="str">
        <f>IF(V1459&lt;&gt;"",SUMIFS('📊 รายงานสินค้าคงเหลือ'!G:G,'📊 รายงานสินค้าคงเหลือ'!D:D,V1459),"")</f>
        <v/>
      </c>
      <c r="X1459" s="46"/>
      <c r="Y1459" s="46"/>
      <c r="Z1459" s="46"/>
    </row>
    <row r="1460">
      <c r="A1460" s="46"/>
      <c r="B1460" s="16"/>
      <c r="C1460" s="118"/>
      <c r="D1460" s="126"/>
      <c r="E1460" s="88"/>
      <c r="F1460" s="118"/>
      <c r="G1460" s="46"/>
      <c r="H1460" s="46"/>
      <c r="I1460" s="118"/>
      <c r="J1460" s="46"/>
      <c r="K1460" s="16"/>
      <c r="L1460" s="118"/>
      <c r="M1460" s="46"/>
      <c r="N1460" s="46"/>
      <c r="O1460" s="46"/>
      <c r="P1460" s="118"/>
      <c r="Q1460" s="46"/>
      <c r="R1460" s="46"/>
      <c r="S1460" s="46"/>
      <c r="T1460" s="46"/>
      <c r="U1460" s="118"/>
      <c r="V1460" s="46"/>
      <c r="W1460" s="88" t="str">
        <f>IF(V1460&lt;&gt;"",SUMIFS('📊 รายงานสินค้าคงเหลือ'!G:G,'📊 รายงานสินค้าคงเหลือ'!D:D,V1460),"")</f>
        <v/>
      </c>
      <c r="X1460" s="46"/>
      <c r="Y1460" s="46"/>
      <c r="Z1460" s="46"/>
    </row>
    <row r="1461">
      <c r="A1461" s="46"/>
      <c r="B1461" s="16"/>
      <c r="C1461" s="118"/>
      <c r="D1461" s="126"/>
      <c r="E1461" s="88"/>
      <c r="F1461" s="118"/>
      <c r="G1461" s="46"/>
      <c r="H1461" s="46"/>
      <c r="I1461" s="118"/>
      <c r="J1461" s="46"/>
      <c r="K1461" s="16"/>
      <c r="L1461" s="118"/>
      <c r="M1461" s="46"/>
      <c r="N1461" s="46"/>
      <c r="O1461" s="46"/>
      <c r="P1461" s="118"/>
      <c r="Q1461" s="46"/>
      <c r="R1461" s="46"/>
      <c r="S1461" s="46"/>
      <c r="T1461" s="46"/>
      <c r="U1461" s="118"/>
      <c r="V1461" s="46"/>
      <c r="W1461" s="88" t="str">
        <f>IF(V1461&lt;&gt;"",SUMIFS('📊 รายงานสินค้าคงเหลือ'!G:G,'📊 รายงานสินค้าคงเหลือ'!D:D,V1461),"")</f>
        <v/>
      </c>
      <c r="X1461" s="46"/>
      <c r="Y1461" s="46"/>
      <c r="Z1461" s="46"/>
    </row>
    <row r="1462">
      <c r="A1462" s="46"/>
      <c r="B1462" s="16"/>
      <c r="C1462" s="118"/>
      <c r="D1462" s="126"/>
      <c r="E1462" s="88"/>
      <c r="F1462" s="118"/>
      <c r="G1462" s="46"/>
      <c r="H1462" s="46"/>
      <c r="I1462" s="118"/>
      <c r="J1462" s="46"/>
      <c r="K1462" s="16"/>
      <c r="L1462" s="118"/>
      <c r="M1462" s="46"/>
      <c r="N1462" s="46"/>
      <c r="O1462" s="46"/>
      <c r="P1462" s="118"/>
      <c r="Q1462" s="46"/>
      <c r="R1462" s="46"/>
      <c r="S1462" s="46"/>
      <c r="T1462" s="46"/>
      <c r="U1462" s="118"/>
      <c r="V1462" s="46"/>
      <c r="W1462" s="88" t="str">
        <f>IF(V1462&lt;&gt;"",SUMIFS('📊 รายงานสินค้าคงเหลือ'!G:G,'📊 รายงานสินค้าคงเหลือ'!D:D,V1462),"")</f>
        <v/>
      </c>
      <c r="X1462" s="46"/>
      <c r="Y1462" s="46"/>
      <c r="Z1462" s="46"/>
    </row>
    <row r="1463">
      <c r="A1463" s="46"/>
      <c r="B1463" s="16"/>
      <c r="C1463" s="118"/>
      <c r="D1463" s="126"/>
      <c r="E1463" s="88"/>
      <c r="F1463" s="118"/>
      <c r="G1463" s="46"/>
      <c r="H1463" s="46"/>
      <c r="I1463" s="118"/>
      <c r="J1463" s="46"/>
      <c r="K1463" s="16"/>
      <c r="L1463" s="118"/>
      <c r="M1463" s="46"/>
      <c r="N1463" s="46"/>
      <c r="O1463" s="46"/>
      <c r="P1463" s="118"/>
      <c r="Q1463" s="46"/>
      <c r="R1463" s="46"/>
      <c r="S1463" s="46"/>
      <c r="T1463" s="46"/>
      <c r="U1463" s="118"/>
      <c r="V1463" s="46"/>
      <c r="W1463" s="88" t="str">
        <f>IF(V1463&lt;&gt;"",SUMIFS('📊 รายงานสินค้าคงเหลือ'!G:G,'📊 รายงานสินค้าคงเหลือ'!D:D,V1463),"")</f>
        <v/>
      </c>
      <c r="X1463" s="46"/>
      <c r="Y1463" s="46"/>
      <c r="Z1463" s="46"/>
    </row>
    <row r="1464">
      <c r="A1464" s="46"/>
      <c r="B1464" s="16"/>
      <c r="C1464" s="118"/>
      <c r="D1464" s="126"/>
      <c r="E1464" s="88"/>
      <c r="F1464" s="118"/>
      <c r="G1464" s="46"/>
      <c r="H1464" s="46"/>
      <c r="I1464" s="118"/>
      <c r="J1464" s="46"/>
      <c r="K1464" s="16"/>
      <c r="L1464" s="118"/>
      <c r="M1464" s="46"/>
      <c r="N1464" s="46"/>
      <c r="O1464" s="46"/>
      <c r="P1464" s="118"/>
      <c r="Q1464" s="46"/>
      <c r="R1464" s="46"/>
      <c r="S1464" s="46"/>
      <c r="T1464" s="46"/>
      <c r="U1464" s="118"/>
      <c r="V1464" s="46"/>
      <c r="W1464" s="88" t="str">
        <f>IF(V1464&lt;&gt;"",SUMIFS('📊 รายงานสินค้าคงเหลือ'!G:G,'📊 รายงานสินค้าคงเหลือ'!D:D,V1464),"")</f>
        <v/>
      </c>
      <c r="X1464" s="46"/>
      <c r="Y1464" s="46"/>
      <c r="Z1464" s="46"/>
    </row>
    <row r="1465">
      <c r="A1465" s="46"/>
      <c r="B1465" s="16"/>
      <c r="C1465" s="118"/>
      <c r="D1465" s="126"/>
      <c r="E1465" s="88"/>
      <c r="F1465" s="118"/>
      <c r="G1465" s="46"/>
      <c r="H1465" s="46"/>
      <c r="I1465" s="118"/>
      <c r="J1465" s="46"/>
      <c r="K1465" s="16"/>
      <c r="L1465" s="118"/>
      <c r="M1465" s="46"/>
      <c r="N1465" s="46"/>
      <c r="O1465" s="46"/>
      <c r="P1465" s="118"/>
      <c r="Q1465" s="46"/>
      <c r="R1465" s="46"/>
      <c r="S1465" s="46"/>
      <c r="T1465" s="46"/>
      <c r="U1465" s="118"/>
      <c r="V1465" s="46"/>
      <c r="W1465" s="88" t="str">
        <f>IF(V1465&lt;&gt;"",SUMIFS('📊 รายงานสินค้าคงเหลือ'!G:G,'📊 รายงานสินค้าคงเหลือ'!D:D,V1465),"")</f>
        <v/>
      </c>
      <c r="X1465" s="46"/>
      <c r="Y1465" s="46"/>
      <c r="Z1465" s="46"/>
    </row>
    <row r="1466">
      <c r="A1466" s="46"/>
      <c r="B1466" s="16"/>
      <c r="C1466" s="118"/>
      <c r="D1466" s="126"/>
      <c r="E1466" s="88"/>
      <c r="F1466" s="118"/>
      <c r="G1466" s="46"/>
      <c r="H1466" s="46"/>
      <c r="I1466" s="118"/>
      <c r="J1466" s="46"/>
      <c r="K1466" s="16"/>
      <c r="L1466" s="118"/>
      <c r="M1466" s="46"/>
      <c r="N1466" s="46"/>
      <c r="O1466" s="46"/>
      <c r="P1466" s="118"/>
      <c r="Q1466" s="46"/>
      <c r="R1466" s="46"/>
      <c r="S1466" s="46"/>
      <c r="T1466" s="46"/>
      <c r="U1466" s="118"/>
      <c r="V1466" s="46"/>
      <c r="W1466" s="88" t="str">
        <f>IF(V1466&lt;&gt;"",SUMIFS('📊 รายงานสินค้าคงเหลือ'!G:G,'📊 รายงานสินค้าคงเหลือ'!D:D,V1466),"")</f>
        <v/>
      </c>
      <c r="X1466" s="46"/>
      <c r="Y1466" s="46"/>
      <c r="Z1466" s="46"/>
    </row>
    <row r="1467">
      <c r="A1467" s="46"/>
      <c r="B1467" s="16"/>
      <c r="C1467" s="118"/>
      <c r="D1467" s="126"/>
      <c r="E1467" s="88"/>
      <c r="F1467" s="118"/>
      <c r="G1467" s="46"/>
      <c r="H1467" s="46"/>
      <c r="I1467" s="118"/>
      <c r="J1467" s="46"/>
      <c r="K1467" s="16"/>
      <c r="L1467" s="118"/>
      <c r="M1467" s="46"/>
      <c r="N1467" s="46"/>
      <c r="O1467" s="46"/>
      <c r="P1467" s="118"/>
      <c r="Q1467" s="46"/>
      <c r="R1467" s="46"/>
      <c r="S1467" s="46"/>
      <c r="T1467" s="46"/>
      <c r="U1467" s="118"/>
      <c r="V1467" s="46"/>
      <c r="W1467" s="88" t="str">
        <f>IF(V1467&lt;&gt;"",SUMIFS('📊 รายงานสินค้าคงเหลือ'!G:G,'📊 รายงานสินค้าคงเหลือ'!D:D,V1467),"")</f>
        <v/>
      </c>
      <c r="X1467" s="46"/>
      <c r="Y1467" s="46"/>
      <c r="Z1467" s="46"/>
    </row>
    <row r="1468">
      <c r="A1468" s="46"/>
      <c r="B1468" s="16"/>
      <c r="C1468" s="118"/>
      <c r="D1468" s="126"/>
      <c r="E1468" s="88"/>
      <c r="F1468" s="118"/>
      <c r="G1468" s="46"/>
      <c r="H1468" s="46"/>
      <c r="I1468" s="118"/>
      <c r="J1468" s="46"/>
      <c r="K1468" s="16"/>
      <c r="L1468" s="118"/>
      <c r="M1468" s="46"/>
      <c r="N1468" s="46"/>
      <c r="O1468" s="46"/>
      <c r="P1468" s="118"/>
      <c r="Q1468" s="46"/>
      <c r="R1468" s="46"/>
      <c r="S1468" s="46"/>
      <c r="T1468" s="46"/>
      <c r="U1468" s="118"/>
      <c r="V1468" s="46"/>
      <c r="W1468" s="88" t="str">
        <f>IF(V1468&lt;&gt;"",SUMIFS('📊 รายงานสินค้าคงเหลือ'!G:G,'📊 รายงานสินค้าคงเหลือ'!D:D,V1468),"")</f>
        <v/>
      </c>
      <c r="X1468" s="46"/>
      <c r="Y1468" s="46"/>
      <c r="Z1468" s="46"/>
    </row>
    <row r="1469">
      <c r="A1469" s="46"/>
      <c r="B1469" s="16"/>
      <c r="C1469" s="118"/>
      <c r="D1469" s="126"/>
      <c r="E1469" s="88"/>
      <c r="F1469" s="118"/>
      <c r="G1469" s="46"/>
      <c r="H1469" s="46"/>
      <c r="I1469" s="118"/>
      <c r="J1469" s="46"/>
      <c r="K1469" s="16"/>
      <c r="L1469" s="118"/>
      <c r="M1469" s="46"/>
      <c r="N1469" s="46"/>
      <c r="O1469" s="46"/>
      <c r="P1469" s="118"/>
      <c r="Q1469" s="46"/>
      <c r="R1469" s="46"/>
      <c r="S1469" s="46"/>
      <c r="T1469" s="46"/>
      <c r="U1469" s="118"/>
      <c r="V1469" s="46"/>
      <c r="W1469" s="88" t="str">
        <f>IF(V1469&lt;&gt;"",SUMIFS('📊 รายงานสินค้าคงเหลือ'!G:G,'📊 รายงานสินค้าคงเหลือ'!D:D,V1469),"")</f>
        <v/>
      </c>
      <c r="X1469" s="46"/>
      <c r="Y1469" s="46"/>
      <c r="Z1469" s="46"/>
    </row>
    <row r="1470">
      <c r="A1470" s="46"/>
      <c r="B1470" s="16"/>
      <c r="C1470" s="118"/>
      <c r="D1470" s="126"/>
      <c r="E1470" s="88"/>
      <c r="F1470" s="118"/>
      <c r="G1470" s="46"/>
      <c r="H1470" s="46"/>
      <c r="I1470" s="118"/>
      <c r="J1470" s="46"/>
      <c r="K1470" s="16"/>
      <c r="L1470" s="118"/>
      <c r="M1470" s="46"/>
      <c r="N1470" s="46"/>
      <c r="O1470" s="46"/>
      <c r="P1470" s="118"/>
      <c r="Q1470" s="46"/>
      <c r="R1470" s="46"/>
      <c r="S1470" s="46"/>
      <c r="T1470" s="46"/>
      <c r="U1470" s="118"/>
      <c r="V1470" s="46"/>
      <c r="W1470" s="88" t="str">
        <f>IF(V1470&lt;&gt;"",SUMIFS('📊 รายงานสินค้าคงเหลือ'!G:G,'📊 รายงานสินค้าคงเหลือ'!D:D,V1470),"")</f>
        <v/>
      </c>
      <c r="X1470" s="46"/>
      <c r="Y1470" s="46"/>
      <c r="Z1470" s="46"/>
    </row>
    <row r="1471">
      <c r="A1471" s="46"/>
      <c r="B1471" s="16"/>
      <c r="C1471" s="118"/>
      <c r="D1471" s="126"/>
      <c r="E1471" s="88"/>
      <c r="F1471" s="118"/>
      <c r="G1471" s="46"/>
      <c r="H1471" s="46"/>
      <c r="I1471" s="118"/>
      <c r="J1471" s="46"/>
      <c r="K1471" s="16"/>
      <c r="L1471" s="118"/>
      <c r="M1471" s="46"/>
      <c r="N1471" s="46"/>
      <c r="O1471" s="46"/>
      <c r="P1471" s="118"/>
      <c r="Q1471" s="46"/>
      <c r="R1471" s="46"/>
      <c r="S1471" s="46"/>
      <c r="T1471" s="46"/>
      <c r="U1471" s="118"/>
      <c r="V1471" s="46"/>
      <c r="W1471" s="88" t="str">
        <f>IF(V1471&lt;&gt;"",SUMIFS('📊 รายงานสินค้าคงเหลือ'!G:G,'📊 รายงานสินค้าคงเหลือ'!D:D,V1471),"")</f>
        <v/>
      </c>
      <c r="X1471" s="46"/>
      <c r="Y1471" s="46"/>
      <c r="Z1471" s="46"/>
    </row>
    <row r="1472">
      <c r="A1472" s="46"/>
      <c r="B1472" s="16"/>
      <c r="C1472" s="118"/>
      <c r="D1472" s="126"/>
      <c r="E1472" s="88"/>
      <c r="F1472" s="118"/>
      <c r="G1472" s="46"/>
      <c r="H1472" s="46"/>
      <c r="I1472" s="118"/>
      <c r="J1472" s="46"/>
      <c r="K1472" s="16"/>
      <c r="L1472" s="118"/>
      <c r="M1472" s="46"/>
      <c r="N1472" s="46"/>
      <c r="O1472" s="46"/>
      <c r="P1472" s="118"/>
      <c r="Q1472" s="46"/>
      <c r="R1472" s="46"/>
      <c r="S1472" s="46"/>
      <c r="T1472" s="46"/>
      <c r="U1472" s="118"/>
      <c r="V1472" s="46"/>
      <c r="W1472" s="88" t="str">
        <f>IF(V1472&lt;&gt;"",SUMIFS('📊 รายงานสินค้าคงเหลือ'!G:G,'📊 รายงานสินค้าคงเหลือ'!D:D,V1472),"")</f>
        <v/>
      </c>
      <c r="X1472" s="46"/>
      <c r="Y1472" s="46"/>
      <c r="Z1472" s="46"/>
    </row>
    <row r="1473">
      <c r="A1473" s="46"/>
      <c r="B1473" s="16"/>
      <c r="C1473" s="118"/>
      <c r="D1473" s="126"/>
      <c r="E1473" s="88"/>
      <c r="F1473" s="118"/>
      <c r="G1473" s="46"/>
      <c r="H1473" s="46"/>
      <c r="I1473" s="118"/>
      <c r="J1473" s="46"/>
      <c r="K1473" s="16"/>
      <c r="L1473" s="118"/>
      <c r="M1473" s="46"/>
      <c r="N1473" s="46"/>
      <c r="O1473" s="46"/>
      <c r="P1473" s="118"/>
      <c r="Q1473" s="46"/>
      <c r="R1473" s="46"/>
      <c r="S1473" s="46"/>
      <c r="T1473" s="46"/>
      <c r="U1473" s="118"/>
      <c r="V1473" s="46"/>
      <c r="W1473" s="88" t="str">
        <f>IF(V1473&lt;&gt;"",SUMIFS('📊 รายงานสินค้าคงเหลือ'!G:G,'📊 รายงานสินค้าคงเหลือ'!D:D,V1473),"")</f>
        <v/>
      </c>
      <c r="X1473" s="46"/>
      <c r="Y1473" s="46"/>
      <c r="Z1473" s="46"/>
    </row>
    <row r="1474">
      <c r="A1474" s="46"/>
      <c r="B1474" s="16"/>
      <c r="C1474" s="118"/>
      <c r="D1474" s="126"/>
      <c r="E1474" s="88"/>
      <c r="F1474" s="118"/>
      <c r="G1474" s="46"/>
      <c r="H1474" s="46"/>
      <c r="I1474" s="118"/>
      <c r="J1474" s="46"/>
      <c r="K1474" s="16"/>
      <c r="L1474" s="118"/>
      <c r="M1474" s="46"/>
      <c r="N1474" s="46"/>
      <c r="O1474" s="46"/>
      <c r="P1474" s="118"/>
      <c r="Q1474" s="46"/>
      <c r="R1474" s="46"/>
      <c r="S1474" s="46"/>
      <c r="T1474" s="46"/>
      <c r="U1474" s="118"/>
      <c r="V1474" s="46"/>
      <c r="W1474" s="88" t="str">
        <f>IF(V1474&lt;&gt;"",SUMIFS('📊 รายงานสินค้าคงเหลือ'!G:G,'📊 รายงานสินค้าคงเหลือ'!D:D,V1474),"")</f>
        <v/>
      </c>
      <c r="X1474" s="46"/>
      <c r="Y1474" s="46"/>
      <c r="Z1474" s="46"/>
    </row>
    <row r="1475">
      <c r="A1475" s="46"/>
      <c r="B1475" s="16"/>
      <c r="C1475" s="118"/>
      <c r="D1475" s="126"/>
      <c r="E1475" s="88"/>
      <c r="F1475" s="118"/>
      <c r="G1475" s="46"/>
      <c r="H1475" s="46"/>
      <c r="I1475" s="118"/>
      <c r="J1475" s="46"/>
      <c r="K1475" s="16"/>
      <c r="L1475" s="118"/>
      <c r="M1475" s="46"/>
      <c r="N1475" s="46"/>
      <c r="O1475" s="46"/>
      <c r="P1475" s="118"/>
      <c r="Q1475" s="46"/>
      <c r="R1475" s="46"/>
      <c r="S1475" s="46"/>
      <c r="T1475" s="46"/>
      <c r="U1475" s="118"/>
      <c r="V1475" s="46"/>
      <c r="W1475" s="88" t="str">
        <f>IF(V1475&lt;&gt;"",SUMIFS('📊 รายงานสินค้าคงเหลือ'!G:G,'📊 รายงานสินค้าคงเหลือ'!D:D,V1475),"")</f>
        <v/>
      </c>
      <c r="X1475" s="46"/>
      <c r="Y1475" s="46"/>
      <c r="Z1475" s="46"/>
    </row>
    <row r="1476">
      <c r="A1476" s="46"/>
      <c r="B1476" s="16"/>
      <c r="C1476" s="118"/>
      <c r="D1476" s="126"/>
      <c r="E1476" s="88"/>
      <c r="F1476" s="118"/>
      <c r="G1476" s="46"/>
      <c r="H1476" s="46"/>
      <c r="I1476" s="118"/>
      <c r="J1476" s="46"/>
      <c r="K1476" s="16"/>
      <c r="L1476" s="118"/>
      <c r="M1476" s="46"/>
      <c r="N1476" s="46"/>
      <c r="O1476" s="46"/>
      <c r="P1476" s="118"/>
      <c r="Q1476" s="46"/>
      <c r="R1476" s="46"/>
      <c r="S1476" s="46"/>
      <c r="T1476" s="46"/>
      <c r="U1476" s="118"/>
      <c r="V1476" s="46"/>
      <c r="W1476" s="88" t="str">
        <f>IF(V1476&lt;&gt;"",SUMIFS('📊 รายงานสินค้าคงเหลือ'!G:G,'📊 รายงานสินค้าคงเหลือ'!D:D,V1476),"")</f>
        <v/>
      </c>
      <c r="X1476" s="46"/>
      <c r="Y1476" s="46"/>
      <c r="Z1476" s="46"/>
    </row>
    <row r="1477">
      <c r="A1477" s="46"/>
      <c r="B1477" s="16"/>
      <c r="C1477" s="118"/>
      <c r="D1477" s="126"/>
      <c r="E1477" s="88"/>
      <c r="F1477" s="118"/>
      <c r="G1477" s="46"/>
      <c r="H1477" s="46"/>
      <c r="I1477" s="118"/>
      <c r="J1477" s="46"/>
      <c r="K1477" s="16"/>
      <c r="L1477" s="118"/>
      <c r="M1477" s="46"/>
      <c r="N1477" s="46"/>
      <c r="O1477" s="46"/>
      <c r="P1477" s="118"/>
      <c r="Q1477" s="46"/>
      <c r="R1477" s="46"/>
      <c r="S1477" s="46"/>
      <c r="T1477" s="46"/>
      <c r="U1477" s="118"/>
      <c r="V1477" s="46"/>
      <c r="W1477" s="88" t="str">
        <f>IF(V1477&lt;&gt;"",SUMIFS('📊 รายงานสินค้าคงเหลือ'!G:G,'📊 รายงานสินค้าคงเหลือ'!D:D,V1477),"")</f>
        <v/>
      </c>
      <c r="X1477" s="46"/>
      <c r="Y1477" s="46"/>
      <c r="Z1477" s="46"/>
    </row>
    <row r="1478">
      <c r="A1478" s="46"/>
      <c r="B1478" s="16"/>
      <c r="C1478" s="118"/>
      <c r="D1478" s="126"/>
      <c r="E1478" s="88"/>
      <c r="F1478" s="118"/>
      <c r="G1478" s="46"/>
      <c r="H1478" s="46"/>
      <c r="I1478" s="118"/>
      <c r="J1478" s="46"/>
      <c r="K1478" s="16"/>
      <c r="L1478" s="118"/>
      <c r="M1478" s="46"/>
      <c r="N1478" s="46"/>
      <c r="O1478" s="46"/>
      <c r="P1478" s="118"/>
      <c r="Q1478" s="46"/>
      <c r="R1478" s="46"/>
      <c r="S1478" s="46"/>
      <c r="T1478" s="46"/>
      <c r="U1478" s="118"/>
      <c r="V1478" s="46"/>
      <c r="W1478" s="88" t="str">
        <f>IF(V1478&lt;&gt;"",SUMIFS('📊 รายงานสินค้าคงเหลือ'!G:G,'📊 รายงานสินค้าคงเหลือ'!D:D,V1478),"")</f>
        <v/>
      </c>
      <c r="X1478" s="46"/>
      <c r="Y1478" s="46"/>
      <c r="Z1478" s="46"/>
    </row>
    <row r="1479">
      <c r="A1479" s="46"/>
      <c r="B1479" s="16"/>
      <c r="C1479" s="118"/>
      <c r="D1479" s="126"/>
      <c r="E1479" s="88"/>
      <c r="F1479" s="118"/>
      <c r="G1479" s="46"/>
      <c r="H1479" s="46"/>
      <c r="I1479" s="118"/>
      <c r="J1479" s="46"/>
      <c r="K1479" s="16"/>
      <c r="L1479" s="118"/>
      <c r="M1479" s="46"/>
      <c r="N1479" s="46"/>
      <c r="O1479" s="46"/>
      <c r="P1479" s="118"/>
      <c r="Q1479" s="46"/>
      <c r="R1479" s="46"/>
      <c r="S1479" s="46"/>
      <c r="T1479" s="46"/>
      <c r="U1479" s="118"/>
      <c r="V1479" s="46"/>
      <c r="W1479" s="88" t="str">
        <f>IF(V1479&lt;&gt;"",SUMIFS('📊 รายงานสินค้าคงเหลือ'!G:G,'📊 รายงานสินค้าคงเหลือ'!D:D,V1479),"")</f>
        <v/>
      </c>
      <c r="X1479" s="46"/>
      <c r="Y1479" s="46"/>
      <c r="Z1479" s="46"/>
    </row>
    <row r="1480">
      <c r="A1480" s="46"/>
      <c r="B1480" s="16"/>
      <c r="C1480" s="118"/>
      <c r="D1480" s="126"/>
      <c r="E1480" s="88"/>
      <c r="F1480" s="118"/>
      <c r="G1480" s="46"/>
      <c r="H1480" s="46"/>
      <c r="I1480" s="118"/>
      <c r="J1480" s="46"/>
      <c r="K1480" s="16"/>
      <c r="L1480" s="118"/>
      <c r="M1480" s="46"/>
      <c r="N1480" s="46"/>
      <c r="O1480" s="46"/>
      <c r="P1480" s="118"/>
      <c r="Q1480" s="46"/>
      <c r="R1480" s="46"/>
      <c r="S1480" s="46"/>
      <c r="T1480" s="46"/>
      <c r="U1480" s="118"/>
      <c r="V1480" s="46"/>
      <c r="W1480" s="88" t="str">
        <f>IF(V1480&lt;&gt;"",SUMIFS('📊 รายงานสินค้าคงเหลือ'!G:G,'📊 รายงานสินค้าคงเหลือ'!D:D,V1480),"")</f>
        <v/>
      </c>
      <c r="X1480" s="46"/>
      <c r="Y1480" s="46"/>
      <c r="Z1480" s="46"/>
    </row>
    <row r="1481">
      <c r="A1481" s="46"/>
      <c r="B1481" s="16"/>
      <c r="C1481" s="118"/>
      <c r="D1481" s="126"/>
      <c r="E1481" s="88"/>
      <c r="F1481" s="118"/>
      <c r="G1481" s="46"/>
      <c r="H1481" s="46"/>
      <c r="I1481" s="118"/>
      <c r="J1481" s="46"/>
      <c r="K1481" s="16"/>
      <c r="L1481" s="118"/>
      <c r="M1481" s="46"/>
      <c r="N1481" s="46"/>
      <c r="O1481" s="46"/>
      <c r="P1481" s="118"/>
      <c r="Q1481" s="46"/>
      <c r="R1481" s="46"/>
      <c r="S1481" s="46"/>
      <c r="T1481" s="46"/>
      <c r="U1481" s="118"/>
      <c r="V1481" s="46"/>
      <c r="W1481" s="88" t="str">
        <f>IF(V1481&lt;&gt;"",SUMIFS('📊 รายงานสินค้าคงเหลือ'!G:G,'📊 รายงานสินค้าคงเหลือ'!D:D,V1481),"")</f>
        <v/>
      </c>
      <c r="X1481" s="46"/>
      <c r="Y1481" s="46"/>
      <c r="Z1481" s="46"/>
    </row>
    <row r="1482">
      <c r="A1482" s="46"/>
      <c r="B1482" s="16"/>
      <c r="C1482" s="118"/>
      <c r="D1482" s="126"/>
      <c r="E1482" s="88"/>
      <c r="F1482" s="118"/>
      <c r="G1482" s="46"/>
      <c r="H1482" s="46"/>
      <c r="I1482" s="118"/>
      <c r="J1482" s="46"/>
      <c r="K1482" s="16"/>
      <c r="L1482" s="118"/>
      <c r="M1482" s="46"/>
      <c r="N1482" s="46"/>
      <c r="O1482" s="46"/>
      <c r="P1482" s="118"/>
      <c r="Q1482" s="46"/>
      <c r="R1482" s="46"/>
      <c r="S1482" s="46"/>
      <c r="T1482" s="46"/>
      <c r="U1482" s="118"/>
      <c r="V1482" s="46"/>
      <c r="W1482" s="88" t="str">
        <f>IF(V1482&lt;&gt;"",SUMIFS('📊 รายงานสินค้าคงเหลือ'!G:G,'📊 รายงานสินค้าคงเหลือ'!D:D,V1482),"")</f>
        <v/>
      </c>
      <c r="X1482" s="46"/>
      <c r="Y1482" s="46"/>
      <c r="Z1482" s="46"/>
    </row>
    <row r="1483">
      <c r="A1483" s="46"/>
      <c r="B1483" s="16"/>
      <c r="C1483" s="118"/>
      <c r="D1483" s="126"/>
      <c r="E1483" s="88"/>
      <c r="F1483" s="118"/>
      <c r="G1483" s="46"/>
      <c r="H1483" s="46"/>
      <c r="I1483" s="118"/>
      <c r="J1483" s="46"/>
      <c r="K1483" s="16"/>
      <c r="L1483" s="118"/>
      <c r="M1483" s="46"/>
      <c r="N1483" s="46"/>
      <c r="O1483" s="46"/>
      <c r="P1483" s="118"/>
      <c r="Q1483" s="46"/>
      <c r="R1483" s="46"/>
      <c r="S1483" s="46"/>
      <c r="T1483" s="46"/>
      <c r="U1483" s="118"/>
      <c r="V1483" s="46"/>
      <c r="W1483" s="88" t="str">
        <f>IF(V1483&lt;&gt;"",SUMIFS('📊 รายงานสินค้าคงเหลือ'!G:G,'📊 รายงานสินค้าคงเหลือ'!D:D,V1483),"")</f>
        <v/>
      </c>
      <c r="X1483" s="46"/>
      <c r="Y1483" s="46"/>
      <c r="Z1483" s="46"/>
    </row>
    <row r="1484">
      <c r="A1484" s="46"/>
      <c r="B1484" s="16"/>
      <c r="C1484" s="118"/>
      <c r="D1484" s="126"/>
      <c r="E1484" s="88"/>
      <c r="F1484" s="118"/>
      <c r="G1484" s="46"/>
      <c r="H1484" s="46"/>
      <c r="I1484" s="118"/>
      <c r="J1484" s="46"/>
      <c r="K1484" s="16"/>
      <c r="L1484" s="118"/>
      <c r="M1484" s="46"/>
      <c r="N1484" s="46"/>
      <c r="O1484" s="46"/>
      <c r="P1484" s="118"/>
      <c r="Q1484" s="46"/>
      <c r="R1484" s="46"/>
      <c r="S1484" s="46"/>
      <c r="T1484" s="46"/>
      <c r="U1484" s="118"/>
      <c r="V1484" s="46"/>
      <c r="W1484" s="88" t="str">
        <f>IF(V1484&lt;&gt;"",SUMIFS('📊 รายงานสินค้าคงเหลือ'!G:G,'📊 รายงานสินค้าคงเหลือ'!D:D,V1484),"")</f>
        <v/>
      </c>
      <c r="X1484" s="46"/>
      <c r="Y1484" s="46"/>
      <c r="Z1484" s="46"/>
    </row>
    <row r="1485">
      <c r="A1485" s="46"/>
      <c r="B1485" s="16"/>
      <c r="C1485" s="118"/>
      <c r="D1485" s="126"/>
      <c r="E1485" s="88"/>
      <c r="F1485" s="118"/>
      <c r="G1485" s="46"/>
      <c r="H1485" s="46"/>
      <c r="I1485" s="118"/>
      <c r="J1485" s="46"/>
      <c r="K1485" s="16"/>
      <c r="L1485" s="118"/>
      <c r="M1485" s="46"/>
      <c r="N1485" s="46"/>
      <c r="O1485" s="46"/>
      <c r="P1485" s="118"/>
      <c r="Q1485" s="46"/>
      <c r="R1485" s="46"/>
      <c r="S1485" s="46"/>
      <c r="T1485" s="46"/>
      <c r="U1485" s="118"/>
      <c r="V1485" s="46"/>
      <c r="W1485" s="88" t="str">
        <f>IF(V1485&lt;&gt;"",SUMIFS('📊 รายงานสินค้าคงเหลือ'!G:G,'📊 รายงานสินค้าคงเหลือ'!D:D,V1485),"")</f>
        <v/>
      </c>
      <c r="X1485" s="46"/>
      <c r="Y1485" s="46"/>
      <c r="Z1485" s="46"/>
    </row>
    <row r="1486">
      <c r="A1486" s="46"/>
      <c r="B1486" s="16"/>
      <c r="C1486" s="118"/>
      <c r="D1486" s="126"/>
      <c r="E1486" s="88"/>
      <c r="F1486" s="118"/>
      <c r="G1486" s="46"/>
      <c r="H1486" s="46"/>
      <c r="I1486" s="118"/>
      <c r="J1486" s="46"/>
      <c r="K1486" s="16"/>
      <c r="L1486" s="118"/>
      <c r="M1486" s="46"/>
      <c r="N1486" s="46"/>
      <c r="O1486" s="46"/>
      <c r="P1486" s="118"/>
      <c r="Q1486" s="46"/>
      <c r="R1486" s="46"/>
      <c r="S1486" s="46"/>
      <c r="T1486" s="46"/>
      <c r="U1486" s="118"/>
      <c r="V1486" s="46"/>
      <c r="W1486" s="88" t="str">
        <f>IF(V1486&lt;&gt;"",SUMIFS('📊 รายงานสินค้าคงเหลือ'!G:G,'📊 รายงานสินค้าคงเหลือ'!D:D,V1486),"")</f>
        <v/>
      </c>
      <c r="X1486" s="46"/>
      <c r="Y1486" s="46"/>
      <c r="Z1486" s="46"/>
    </row>
    <row r="1487">
      <c r="A1487" s="46"/>
      <c r="B1487" s="16"/>
      <c r="C1487" s="118"/>
      <c r="D1487" s="126"/>
      <c r="E1487" s="88"/>
      <c r="F1487" s="118"/>
      <c r="G1487" s="46"/>
      <c r="H1487" s="46"/>
      <c r="I1487" s="118"/>
      <c r="J1487" s="46"/>
      <c r="K1487" s="16"/>
      <c r="L1487" s="118"/>
      <c r="M1487" s="46"/>
      <c r="N1487" s="46"/>
      <c r="O1487" s="46"/>
      <c r="P1487" s="118"/>
      <c r="Q1487" s="46"/>
      <c r="R1487" s="46"/>
      <c r="S1487" s="46"/>
      <c r="T1487" s="46"/>
      <c r="U1487" s="118"/>
      <c r="V1487" s="46"/>
      <c r="W1487" s="88" t="str">
        <f>IF(V1487&lt;&gt;"",SUMIFS('📊 รายงานสินค้าคงเหลือ'!G:G,'📊 รายงานสินค้าคงเหลือ'!D:D,V1487),"")</f>
        <v/>
      </c>
      <c r="X1487" s="46"/>
      <c r="Y1487" s="46"/>
      <c r="Z1487" s="46"/>
    </row>
    <row r="1488">
      <c r="A1488" s="46"/>
      <c r="B1488" s="16"/>
      <c r="C1488" s="118"/>
      <c r="D1488" s="126"/>
      <c r="E1488" s="88"/>
      <c r="F1488" s="118"/>
      <c r="G1488" s="46"/>
      <c r="H1488" s="46"/>
      <c r="I1488" s="118"/>
      <c r="J1488" s="46"/>
      <c r="K1488" s="16"/>
      <c r="L1488" s="118"/>
      <c r="M1488" s="46"/>
      <c r="N1488" s="46"/>
      <c r="O1488" s="46"/>
      <c r="P1488" s="118"/>
      <c r="Q1488" s="46"/>
      <c r="R1488" s="46"/>
      <c r="S1488" s="46"/>
      <c r="T1488" s="46"/>
      <c r="U1488" s="118"/>
      <c r="V1488" s="46"/>
      <c r="W1488" s="88" t="str">
        <f>IF(V1488&lt;&gt;"",SUMIFS('📊 รายงานสินค้าคงเหลือ'!G:G,'📊 รายงานสินค้าคงเหลือ'!D:D,V1488),"")</f>
        <v/>
      </c>
      <c r="X1488" s="46"/>
      <c r="Y1488" s="46"/>
      <c r="Z1488" s="46"/>
    </row>
    <row r="1489">
      <c r="A1489" s="46"/>
      <c r="B1489" s="16"/>
      <c r="C1489" s="118"/>
      <c r="D1489" s="126"/>
      <c r="E1489" s="88"/>
      <c r="F1489" s="118"/>
      <c r="G1489" s="46"/>
      <c r="H1489" s="46"/>
      <c r="I1489" s="118"/>
      <c r="J1489" s="46"/>
      <c r="K1489" s="16"/>
      <c r="L1489" s="118"/>
      <c r="M1489" s="46"/>
      <c r="N1489" s="46"/>
      <c r="O1489" s="46"/>
      <c r="P1489" s="118"/>
      <c r="Q1489" s="46"/>
      <c r="R1489" s="46"/>
      <c r="S1489" s="46"/>
      <c r="T1489" s="46"/>
      <c r="U1489" s="118"/>
      <c r="V1489" s="46"/>
      <c r="W1489" s="88" t="str">
        <f>IF(V1489&lt;&gt;"",SUMIFS('📊 รายงานสินค้าคงเหลือ'!G:G,'📊 รายงานสินค้าคงเหลือ'!D:D,V1489),"")</f>
        <v/>
      </c>
      <c r="X1489" s="46"/>
      <c r="Y1489" s="46"/>
      <c r="Z1489" s="46"/>
    </row>
    <row r="1490">
      <c r="A1490" s="46"/>
      <c r="B1490" s="16"/>
      <c r="C1490" s="118"/>
      <c r="D1490" s="126"/>
      <c r="E1490" s="88"/>
      <c r="F1490" s="118"/>
      <c r="G1490" s="46"/>
      <c r="H1490" s="46"/>
      <c r="I1490" s="118"/>
      <c r="J1490" s="46"/>
      <c r="K1490" s="16"/>
      <c r="L1490" s="118"/>
      <c r="M1490" s="46"/>
      <c r="N1490" s="46"/>
      <c r="O1490" s="46"/>
      <c r="P1490" s="118"/>
      <c r="Q1490" s="46"/>
      <c r="R1490" s="46"/>
      <c r="S1490" s="46"/>
      <c r="T1490" s="46"/>
      <c r="U1490" s="118"/>
      <c r="V1490" s="46"/>
      <c r="W1490" s="88" t="str">
        <f>IF(V1490&lt;&gt;"",SUMIFS('📊 รายงานสินค้าคงเหลือ'!G:G,'📊 รายงานสินค้าคงเหลือ'!D:D,V1490),"")</f>
        <v/>
      </c>
      <c r="X1490" s="46"/>
      <c r="Y1490" s="46"/>
      <c r="Z1490" s="46"/>
    </row>
    <row r="1491">
      <c r="A1491" s="46"/>
      <c r="B1491" s="16"/>
      <c r="C1491" s="118"/>
      <c r="D1491" s="126"/>
      <c r="E1491" s="88"/>
      <c r="F1491" s="118"/>
      <c r="G1491" s="46"/>
      <c r="H1491" s="46"/>
      <c r="I1491" s="118"/>
      <c r="J1491" s="46"/>
      <c r="K1491" s="16"/>
      <c r="L1491" s="118"/>
      <c r="M1491" s="46"/>
      <c r="N1491" s="46"/>
      <c r="O1491" s="46"/>
      <c r="P1491" s="118"/>
      <c r="Q1491" s="46"/>
      <c r="R1491" s="46"/>
      <c r="S1491" s="46"/>
      <c r="T1491" s="46"/>
      <c r="U1491" s="118"/>
      <c r="V1491" s="46"/>
      <c r="W1491" s="88" t="str">
        <f>IF(V1491&lt;&gt;"",SUMIFS('📊 รายงานสินค้าคงเหลือ'!G:G,'📊 รายงานสินค้าคงเหลือ'!D:D,V1491),"")</f>
        <v/>
      </c>
      <c r="X1491" s="46"/>
      <c r="Y1491" s="46"/>
      <c r="Z1491" s="46"/>
    </row>
    <row r="1492">
      <c r="A1492" s="46"/>
      <c r="B1492" s="16"/>
      <c r="C1492" s="118"/>
      <c r="D1492" s="126"/>
      <c r="E1492" s="88"/>
      <c r="F1492" s="118"/>
      <c r="G1492" s="46"/>
      <c r="H1492" s="46"/>
      <c r="I1492" s="118"/>
      <c r="J1492" s="46"/>
      <c r="K1492" s="16"/>
      <c r="L1492" s="118"/>
      <c r="M1492" s="46"/>
      <c r="N1492" s="46"/>
      <c r="O1492" s="46"/>
      <c r="P1492" s="118"/>
      <c r="Q1492" s="46"/>
      <c r="R1492" s="46"/>
      <c r="S1492" s="46"/>
      <c r="T1492" s="46"/>
      <c r="U1492" s="118"/>
      <c r="V1492" s="46"/>
      <c r="W1492" s="88" t="str">
        <f>IF(V1492&lt;&gt;"",SUMIFS('📊 รายงานสินค้าคงเหลือ'!G:G,'📊 รายงานสินค้าคงเหลือ'!D:D,V1492),"")</f>
        <v/>
      </c>
      <c r="X1492" s="46"/>
      <c r="Y1492" s="46"/>
      <c r="Z1492" s="46"/>
    </row>
    <row r="1493">
      <c r="A1493" s="46"/>
      <c r="B1493" s="16"/>
      <c r="C1493" s="118"/>
      <c r="D1493" s="126"/>
      <c r="E1493" s="88"/>
      <c r="F1493" s="118"/>
      <c r="G1493" s="46"/>
      <c r="H1493" s="46"/>
      <c r="I1493" s="118"/>
      <c r="J1493" s="46"/>
      <c r="K1493" s="16"/>
      <c r="L1493" s="118"/>
      <c r="M1493" s="46"/>
      <c r="N1493" s="46"/>
      <c r="O1493" s="46"/>
      <c r="P1493" s="118"/>
      <c r="Q1493" s="46"/>
      <c r="R1493" s="46"/>
      <c r="S1493" s="46"/>
      <c r="T1493" s="46"/>
      <c r="U1493" s="118"/>
      <c r="V1493" s="46"/>
      <c r="W1493" s="88" t="str">
        <f>IF(V1493&lt;&gt;"",SUMIFS('📊 รายงานสินค้าคงเหลือ'!G:G,'📊 รายงานสินค้าคงเหลือ'!D:D,V1493),"")</f>
        <v/>
      </c>
      <c r="X1493" s="46"/>
      <c r="Y1493" s="46"/>
      <c r="Z1493" s="46"/>
    </row>
    <row r="1494">
      <c r="A1494" s="46"/>
      <c r="B1494" s="16"/>
      <c r="C1494" s="118"/>
      <c r="D1494" s="126"/>
      <c r="E1494" s="88"/>
      <c r="F1494" s="118"/>
      <c r="G1494" s="46"/>
      <c r="H1494" s="46"/>
      <c r="I1494" s="118"/>
      <c r="J1494" s="46"/>
      <c r="K1494" s="16"/>
      <c r="L1494" s="118"/>
      <c r="M1494" s="46"/>
      <c r="N1494" s="46"/>
      <c r="O1494" s="46"/>
      <c r="P1494" s="118"/>
      <c r="Q1494" s="46"/>
      <c r="R1494" s="46"/>
      <c r="S1494" s="46"/>
      <c r="T1494" s="46"/>
      <c r="U1494" s="118"/>
      <c r="V1494" s="46"/>
      <c r="W1494" s="88" t="str">
        <f>IF(V1494&lt;&gt;"",SUMIFS('📊 รายงานสินค้าคงเหลือ'!G:G,'📊 รายงานสินค้าคงเหลือ'!D:D,V1494),"")</f>
        <v/>
      </c>
      <c r="X1494" s="46"/>
      <c r="Y1494" s="46"/>
      <c r="Z1494" s="46"/>
    </row>
    <row r="1495">
      <c r="A1495" s="46"/>
      <c r="B1495" s="16"/>
      <c r="C1495" s="118"/>
      <c r="D1495" s="126"/>
      <c r="E1495" s="88"/>
      <c r="F1495" s="118"/>
      <c r="G1495" s="46"/>
      <c r="H1495" s="46"/>
      <c r="I1495" s="118"/>
      <c r="J1495" s="46"/>
      <c r="K1495" s="16"/>
      <c r="L1495" s="118"/>
      <c r="M1495" s="46"/>
      <c r="N1495" s="46"/>
      <c r="O1495" s="46"/>
      <c r="P1495" s="118"/>
      <c r="Q1495" s="46"/>
      <c r="R1495" s="46"/>
      <c r="S1495" s="46"/>
      <c r="T1495" s="46"/>
      <c r="U1495" s="118"/>
      <c r="V1495" s="46"/>
      <c r="W1495" s="88" t="str">
        <f>IF(V1495&lt;&gt;"",SUMIFS('📊 รายงานสินค้าคงเหลือ'!G:G,'📊 รายงานสินค้าคงเหลือ'!D:D,V1495),"")</f>
        <v/>
      </c>
      <c r="X1495" s="46"/>
      <c r="Y1495" s="46"/>
      <c r="Z1495" s="46"/>
    </row>
    <row r="1496">
      <c r="A1496" s="46"/>
      <c r="B1496" s="16"/>
      <c r="C1496" s="118"/>
      <c r="D1496" s="126"/>
      <c r="E1496" s="88"/>
      <c r="F1496" s="118"/>
      <c r="G1496" s="46"/>
      <c r="H1496" s="46"/>
      <c r="I1496" s="118"/>
      <c r="J1496" s="46"/>
      <c r="K1496" s="16"/>
      <c r="L1496" s="118"/>
      <c r="M1496" s="46"/>
      <c r="N1496" s="46"/>
      <c r="O1496" s="46"/>
      <c r="P1496" s="118"/>
      <c r="Q1496" s="46"/>
      <c r="R1496" s="46"/>
      <c r="S1496" s="46"/>
      <c r="T1496" s="46"/>
      <c r="U1496" s="118"/>
      <c r="V1496" s="46"/>
      <c r="W1496" s="88" t="str">
        <f>IF(V1496&lt;&gt;"",SUMIFS('📊 รายงานสินค้าคงเหลือ'!G:G,'📊 รายงานสินค้าคงเหลือ'!D:D,V1496),"")</f>
        <v/>
      </c>
      <c r="X1496" s="46"/>
      <c r="Y1496" s="46"/>
      <c r="Z1496" s="46"/>
    </row>
    <row r="1497">
      <c r="A1497" s="46"/>
      <c r="B1497" s="16"/>
      <c r="C1497" s="118"/>
      <c r="D1497" s="126"/>
      <c r="E1497" s="88"/>
      <c r="F1497" s="118"/>
      <c r="G1497" s="46"/>
      <c r="H1497" s="46"/>
      <c r="I1497" s="118"/>
      <c r="J1497" s="46"/>
      <c r="K1497" s="16"/>
      <c r="L1497" s="118"/>
      <c r="M1497" s="46"/>
      <c r="N1497" s="46"/>
      <c r="O1497" s="46"/>
      <c r="P1497" s="118"/>
      <c r="Q1497" s="46"/>
      <c r="R1497" s="46"/>
      <c r="S1497" s="46"/>
      <c r="T1497" s="46"/>
      <c r="U1497" s="118"/>
      <c r="V1497" s="46"/>
      <c r="W1497" s="88" t="str">
        <f>IF(V1497&lt;&gt;"",SUMIFS('📊 รายงานสินค้าคงเหลือ'!G:G,'📊 รายงานสินค้าคงเหลือ'!D:D,V1497),"")</f>
        <v/>
      </c>
      <c r="X1497" s="46"/>
      <c r="Y1497" s="46"/>
      <c r="Z1497" s="46"/>
    </row>
    <row r="1498">
      <c r="A1498" s="46"/>
      <c r="B1498" s="16"/>
      <c r="C1498" s="118"/>
      <c r="D1498" s="126"/>
      <c r="E1498" s="88"/>
      <c r="F1498" s="118"/>
      <c r="G1498" s="46"/>
      <c r="H1498" s="46"/>
      <c r="I1498" s="118"/>
      <c r="J1498" s="46"/>
      <c r="K1498" s="16"/>
      <c r="L1498" s="118"/>
      <c r="M1498" s="46"/>
      <c r="N1498" s="46"/>
      <c r="O1498" s="46"/>
      <c r="P1498" s="118"/>
      <c r="Q1498" s="46"/>
      <c r="R1498" s="46"/>
      <c r="S1498" s="46"/>
      <c r="T1498" s="46"/>
      <c r="U1498" s="118"/>
      <c r="V1498" s="46"/>
      <c r="W1498" s="88" t="str">
        <f>IF(V1498&lt;&gt;"",SUMIFS('📊 รายงานสินค้าคงเหลือ'!G:G,'📊 รายงานสินค้าคงเหลือ'!D:D,V1498),"")</f>
        <v/>
      </c>
      <c r="X1498" s="46"/>
      <c r="Y1498" s="46"/>
      <c r="Z1498" s="46"/>
    </row>
    <row r="1499">
      <c r="A1499" s="46"/>
      <c r="B1499" s="16"/>
      <c r="C1499" s="118"/>
      <c r="D1499" s="126"/>
      <c r="E1499" s="88"/>
      <c r="F1499" s="118"/>
      <c r="G1499" s="46"/>
      <c r="H1499" s="46"/>
      <c r="I1499" s="118"/>
      <c r="J1499" s="46"/>
      <c r="K1499" s="16"/>
      <c r="L1499" s="118"/>
      <c r="M1499" s="46"/>
      <c r="N1499" s="46"/>
      <c r="O1499" s="46"/>
      <c r="P1499" s="118"/>
      <c r="Q1499" s="46"/>
      <c r="R1499" s="46"/>
      <c r="S1499" s="46"/>
      <c r="T1499" s="46"/>
      <c r="U1499" s="118"/>
      <c r="V1499" s="46"/>
      <c r="W1499" s="88" t="str">
        <f>IF(V1499&lt;&gt;"",SUMIFS('📊 รายงานสินค้าคงเหลือ'!G:G,'📊 รายงานสินค้าคงเหลือ'!D:D,V1499),"")</f>
        <v/>
      </c>
      <c r="X1499" s="46"/>
      <c r="Y1499" s="46"/>
      <c r="Z1499" s="46"/>
    </row>
    <row r="1500">
      <c r="A1500" s="46"/>
      <c r="B1500" s="16"/>
      <c r="C1500" s="118"/>
      <c r="D1500" s="126"/>
      <c r="E1500" s="88"/>
      <c r="F1500" s="118"/>
      <c r="G1500" s="46"/>
      <c r="H1500" s="46"/>
      <c r="I1500" s="118"/>
      <c r="J1500" s="46"/>
      <c r="K1500" s="16"/>
      <c r="L1500" s="118"/>
      <c r="M1500" s="46"/>
      <c r="N1500" s="46"/>
      <c r="O1500" s="46"/>
      <c r="P1500" s="118"/>
      <c r="Q1500" s="46"/>
      <c r="R1500" s="46"/>
      <c r="S1500" s="46"/>
      <c r="T1500" s="46"/>
      <c r="U1500" s="118"/>
      <c r="V1500" s="46"/>
      <c r="W1500" s="88" t="str">
        <f>IF(V1500&lt;&gt;"",SUMIFS('📊 รายงานสินค้าคงเหลือ'!G:G,'📊 รายงานสินค้าคงเหลือ'!D:D,V1500),"")</f>
        <v/>
      </c>
      <c r="X1500" s="46"/>
      <c r="Y1500" s="46"/>
      <c r="Z1500" s="4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27" t="s">
        <v>104</v>
      </c>
      <c r="B1" s="128" t="s">
        <v>140</v>
      </c>
    </row>
    <row r="2">
      <c r="A2" s="129" t="s">
        <v>141</v>
      </c>
      <c r="B2" s="130">
        <v>50000.0</v>
      </c>
    </row>
    <row r="3">
      <c r="A3" s="131" t="s">
        <v>142</v>
      </c>
      <c r="B3" s="130">
        <v>50000.0</v>
      </c>
    </row>
    <row r="4">
      <c r="A4" s="131" t="s">
        <v>143</v>
      </c>
      <c r="B4" s="130">
        <v>50000.0</v>
      </c>
    </row>
    <row r="5">
      <c r="A5" s="131" t="s">
        <v>144</v>
      </c>
      <c r="B5" s="130">
        <v>50000.0</v>
      </c>
    </row>
    <row r="6">
      <c r="A6" s="131" t="s">
        <v>145</v>
      </c>
      <c r="B6" s="130">
        <v>50000.0</v>
      </c>
    </row>
    <row r="7">
      <c r="A7" s="131" t="s">
        <v>146</v>
      </c>
      <c r="B7" s="130">
        <v>50000.0</v>
      </c>
    </row>
    <row r="8">
      <c r="A8" s="131" t="s">
        <v>147</v>
      </c>
      <c r="B8" s="130">
        <v>50000.0</v>
      </c>
    </row>
    <row r="9">
      <c r="A9" s="131" t="s">
        <v>148</v>
      </c>
      <c r="B9" s="130">
        <v>50000.0</v>
      </c>
    </row>
    <row r="10">
      <c r="A10" s="131" t="s">
        <v>149</v>
      </c>
      <c r="B10" s="130">
        <v>50000.0</v>
      </c>
    </row>
    <row r="11">
      <c r="A11" s="131" t="s">
        <v>150</v>
      </c>
      <c r="B11" s="130">
        <v>50000.0</v>
      </c>
    </row>
    <row r="12">
      <c r="A12" s="131" t="s">
        <v>151</v>
      </c>
      <c r="B12" s="130">
        <v>50000.0</v>
      </c>
    </row>
    <row r="13">
      <c r="A13" s="131" t="s">
        <v>152</v>
      </c>
      <c r="B13" s="130">
        <v>50000.0</v>
      </c>
    </row>
    <row r="14">
      <c r="B14" s="132"/>
    </row>
    <row r="15">
      <c r="B15" s="132"/>
    </row>
    <row r="16">
      <c r="B16" s="132"/>
    </row>
    <row r="17">
      <c r="B17" s="132"/>
    </row>
    <row r="18">
      <c r="B18" s="132"/>
    </row>
    <row r="19">
      <c r="B19" s="132"/>
    </row>
    <row r="20">
      <c r="B20" s="132"/>
    </row>
    <row r="21">
      <c r="B21" s="132"/>
    </row>
    <row r="22">
      <c r="B22" s="132"/>
    </row>
    <row r="23">
      <c r="B23" s="132"/>
    </row>
    <row r="24">
      <c r="B24" s="132"/>
    </row>
    <row r="25">
      <c r="B25" s="132"/>
    </row>
    <row r="26">
      <c r="B26" s="132"/>
    </row>
    <row r="27">
      <c r="B27" s="132"/>
    </row>
    <row r="28">
      <c r="B28" s="132"/>
    </row>
    <row r="29">
      <c r="B29" s="132"/>
    </row>
    <row r="30">
      <c r="B30" s="132"/>
    </row>
    <row r="31">
      <c r="B31" s="132"/>
    </row>
    <row r="32">
      <c r="B32" s="132"/>
    </row>
    <row r="33">
      <c r="B33" s="132"/>
    </row>
    <row r="34">
      <c r="B34" s="132"/>
    </row>
    <row r="35">
      <c r="B35" s="132"/>
    </row>
    <row r="36">
      <c r="B36" s="132"/>
    </row>
    <row r="37">
      <c r="B37" s="132"/>
    </row>
    <row r="38">
      <c r="B38" s="132"/>
    </row>
    <row r="39">
      <c r="B39" s="132"/>
    </row>
    <row r="40">
      <c r="B40" s="132"/>
    </row>
    <row r="41">
      <c r="B41" s="132"/>
    </row>
    <row r="42">
      <c r="B42" s="132"/>
    </row>
    <row r="43">
      <c r="B43" s="132"/>
    </row>
    <row r="44">
      <c r="B44" s="132"/>
    </row>
    <row r="45">
      <c r="B45" s="132"/>
    </row>
    <row r="46">
      <c r="B46" s="132"/>
    </row>
    <row r="47">
      <c r="B47" s="132"/>
    </row>
    <row r="48">
      <c r="B48" s="132"/>
    </row>
    <row r="49">
      <c r="B49" s="132"/>
    </row>
    <row r="50">
      <c r="B50" s="132"/>
    </row>
    <row r="51">
      <c r="B51" s="132"/>
    </row>
    <row r="52">
      <c r="B52" s="132"/>
    </row>
    <row r="53">
      <c r="B53" s="132"/>
    </row>
    <row r="54">
      <c r="B54" s="132"/>
    </row>
    <row r="55">
      <c r="B55" s="132"/>
    </row>
    <row r="56">
      <c r="B56" s="132"/>
    </row>
    <row r="57">
      <c r="B57" s="132"/>
    </row>
    <row r="58">
      <c r="B58" s="132"/>
    </row>
    <row r="59">
      <c r="B59" s="132"/>
    </row>
    <row r="60">
      <c r="B60" s="132"/>
    </row>
    <row r="61">
      <c r="B61" s="132"/>
    </row>
    <row r="62">
      <c r="B62" s="132"/>
    </row>
    <row r="63">
      <c r="B63" s="132"/>
    </row>
    <row r="64">
      <c r="B64" s="132"/>
    </row>
    <row r="65">
      <c r="B65" s="132"/>
    </row>
    <row r="66">
      <c r="B66" s="132"/>
    </row>
    <row r="67">
      <c r="B67" s="132"/>
    </row>
    <row r="68">
      <c r="B68" s="132"/>
    </row>
    <row r="69">
      <c r="B69" s="132"/>
    </row>
    <row r="70">
      <c r="B70" s="132"/>
    </row>
    <row r="71">
      <c r="B71" s="132"/>
    </row>
    <row r="72">
      <c r="B72" s="132"/>
    </row>
    <row r="73">
      <c r="B73" s="132"/>
    </row>
    <row r="74">
      <c r="B74" s="132"/>
    </row>
    <row r="75">
      <c r="B75" s="132"/>
    </row>
    <row r="76">
      <c r="B76" s="132"/>
    </row>
    <row r="77">
      <c r="B77" s="132"/>
    </row>
    <row r="78">
      <c r="B78" s="132"/>
    </row>
    <row r="79">
      <c r="B79" s="132"/>
    </row>
    <row r="80">
      <c r="B80" s="132"/>
    </row>
    <row r="81">
      <c r="B81" s="132"/>
    </row>
    <row r="82">
      <c r="B82" s="132"/>
    </row>
    <row r="83">
      <c r="B83" s="132"/>
    </row>
    <row r="84">
      <c r="B84" s="132"/>
    </row>
    <row r="85">
      <c r="B85" s="132"/>
    </row>
    <row r="86">
      <c r="B86" s="132"/>
    </row>
    <row r="87">
      <c r="B87" s="132"/>
    </row>
    <row r="88">
      <c r="B88" s="132"/>
    </row>
    <row r="89">
      <c r="B89" s="132"/>
    </row>
    <row r="90">
      <c r="B90" s="132"/>
    </row>
    <row r="91">
      <c r="B91" s="132"/>
    </row>
    <row r="92">
      <c r="B92" s="132"/>
    </row>
    <row r="93">
      <c r="B93" s="132"/>
    </row>
    <row r="94">
      <c r="B94" s="132"/>
    </row>
    <row r="95">
      <c r="B95" s="132"/>
    </row>
    <row r="96">
      <c r="B96" s="132"/>
    </row>
    <row r="97">
      <c r="B97" s="132"/>
    </row>
    <row r="98">
      <c r="B98" s="132"/>
    </row>
    <row r="99">
      <c r="B99" s="132"/>
    </row>
    <row r="100">
      <c r="B100" s="132"/>
    </row>
    <row r="101">
      <c r="B101" s="132"/>
    </row>
    <row r="102">
      <c r="B102" s="132"/>
    </row>
    <row r="103">
      <c r="B103" s="132"/>
    </row>
    <row r="104">
      <c r="B104" s="132"/>
    </row>
    <row r="105">
      <c r="B105" s="132"/>
    </row>
    <row r="106">
      <c r="B106" s="132"/>
    </row>
    <row r="107">
      <c r="B107" s="132"/>
    </row>
    <row r="108">
      <c r="B108" s="132"/>
    </row>
    <row r="109">
      <c r="B109" s="132"/>
    </row>
    <row r="110">
      <c r="B110" s="132"/>
    </row>
    <row r="111">
      <c r="B111" s="132"/>
    </row>
    <row r="112">
      <c r="B112" s="132"/>
    </row>
    <row r="113">
      <c r="B113" s="132"/>
    </row>
    <row r="114">
      <c r="B114" s="132"/>
    </row>
    <row r="115">
      <c r="B115" s="132"/>
    </row>
    <row r="116">
      <c r="B116" s="132"/>
    </row>
    <row r="117">
      <c r="B117" s="132"/>
    </row>
    <row r="118">
      <c r="B118" s="132"/>
    </row>
    <row r="119">
      <c r="B119" s="132"/>
    </row>
    <row r="120">
      <c r="B120" s="132"/>
    </row>
    <row r="121">
      <c r="B121" s="132"/>
    </row>
    <row r="122">
      <c r="B122" s="132"/>
    </row>
    <row r="123">
      <c r="B123" s="132"/>
    </row>
    <row r="124">
      <c r="B124" s="132"/>
    </row>
    <row r="125">
      <c r="B125" s="132"/>
    </row>
    <row r="126">
      <c r="B126" s="132"/>
    </row>
    <row r="127">
      <c r="B127" s="132"/>
    </row>
    <row r="128">
      <c r="B128" s="132"/>
    </row>
    <row r="129">
      <c r="B129" s="132"/>
    </row>
    <row r="130">
      <c r="B130" s="132"/>
    </row>
    <row r="131">
      <c r="B131" s="132"/>
    </row>
    <row r="132">
      <c r="B132" s="132"/>
    </row>
    <row r="133">
      <c r="B133" s="132"/>
    </row>
    <row r="134">
      <c r="B134" s="132"/>
    </row>
    <row r="135">
      <c r="B135" s="132"/>
    </row>
    <row r="136">
      <c r="B136" s="132"/>
    </row>
    <row r="137">
      <c r="B137" s="132"/>
    </row>
    <row r="138">
      <c r="B138" s="132"/>
    </row>
    <row r="139">
      <c r="B139" s="132"/>
    </row>
    <row r="140">
      <c r="B140" s="132"/>
    </row>
    <row r="141">
      <c r="B141" s="132"/>
    </row>
    <row r="142">
      <c r="B142" s="132"/>
    </row>
    <row r="143">
      <c r="B143" s="132"/>
    </row>
    <row r="144">
      <c r="B144" s="132"/>
    </row>
    <row r="145">
      <c r="B145" s="132"/>
    </row>
    <row r="146">
      <c r="B146" s="132"/>
    </row>
    <row r="147">
      <c r="B147" s="132"/>
    </row>
    <row r="148">
      <c r="B148" s="132"/>
    </row>
    <row r="149">
      <c r="B149" s="132"/>
    </row>
    <row r="150">
      <c r="B150" s="132"/>
    </row>
    <row r="151">
      <c r="B151" s="132"/>
    </row>
    <row r="152">
      <c r="B152" s="132"/>
    </row>
    <row r="153">
      <c r="B153" s="132"/>
    </row>
    <row r="154">
      <c r="B154" s="132"/>
    </row>
    <row r="155">
      <c r="B155" s="132"/>
    </row>
    <row r="156">
      <c r="B156" s="132"/>
    </row>
    <row r="157">
      <c r="B157" s="132"/>
    </row>
    <row r="158">
      <c r="B158" s="132"/>
    </row>
    <row r="159">
      <c r="B159" s="132"/>
    </row>
    <row r="160">
      <c r="B160" s="132"/>
    </row>
    <row r="161">
      <c r="B161" s="132"/>
    </row>
    <row r="162">
      <c r="B162" s="132"/>
    </row>
    <row r="163">
      <c r="B163" s="132"/>
    </row>
    <row r="164">
      <c r="B164" s="132"/>
    </row>
    <row r="165">
      <c r="B165" s="132"/>
    </row>
    <row r="166">
      <c r="B166" s="132"/>
    </row>
    <row r="167">
      <c r="B167" s="132"/>
    </row>
    <row r="168">
      <c r="B168" s="132"/>
    </row>
    <row r="169">
      <c r="B169" s="132"/>
    </row>
    <row r="170">
      <c r="B170" s="132"/>
    </row>
    <row r="171">
      <c r="B171" s="132"/>
    </row>
    <row r="172">
      <c r="B172" s="132"/>
    </row>
    <row r="173">
      <c r="B173" s="132"/>
    </row>
    <row r="174">
      <c r="B174" s="132"/>
    </row>
    <row r="175">
      <c r="B175" s="132"/>
    </row>
    <row r="176">
      <c r="B176" s="132"/>
    </row>
    <row r="177">
      <c r="B177" s="132"/>
    </row>
    <row r="178">
      <c r="B178" s="132"/>
    </row>
    <row r="179">
      <c r="B179" s="132"/>
    </row>
    <row r="180">
      <c r="B180" s="132"/>
    </row>
    <row r="181">
      <c r="B181" s="132"/>
    </row>
    <row r="182">
      <c r="B182" s="132"/>
    </row>
    <row r="183">
      <c r="B183" s="132"/>
    </row>
    <row r="184">
      <c r="B184" s="132"/>
    </row>
    <row r="185">
      <c r="B185" s="132"/>
    </row>
    <row r="186">
      <c r="B186" s="132"/>
    </row>
    <row r="187">
      <c r="B187" s="132"/>
    </row>
    <row r="188">
      <c r="B188" s="132"/>
    </row>
    <row r="189">
      <c r="B189" s="132"/>
    </row>
    <row r="190">
      <c r="B190" s="132"/>
    </row>
    <row r="191">
      <c r="B191" s="132"/>
    </row>
    <row r="192">
      <c r="B192" s="132"/>
    </row>
    <row r="193">
      <c r="B193" s="132"/>
    </row>
    <row r="194">
      <c r="B194" s="132"/>
    </row>
    <row r="195">
      <c r="B195" s="132"/>
    </row>
    <row r="196">
      <c r="B196" s="132"/>
    </row>
    <row r="197">
      <c r="B197" s="132"/>
    </row>
    <row r="198">
      <c r="B198" s="132"/>
    </row>
    <row r="199">
      <c r="B199" s="132"/>
    </row>
    <row r="200">
      <c r="B200" s="132"/>
    </row>
    <row r="201">
      <c r="B201" s="132"/>
    </row>
    <row r="202">
      <c r="B202" s="132"/>
    </row>
    <row r="203">
      <c r="B203" s="132"/>
    </row>
    <row r="204">
      <c r="B204" s="132"/>
    </row>
    <row r="205">
      <c r="B205" s="132"/>
    </row>
    <row r="206">
      <c r="B206" s="132"/>
    </row>
    <row r="207">
      <c r="B207" s="132"/>
    </row>
    <row r="208">
      <c r="B208" s="132"/>
    </row>
    <row r="209">
      <c r="B209" s="132"/>
    </row>
    <row r="210">
      <c r="B210" s="132"/>
    </row>
    <row r="211">
      <c r="B211" s="132"/>
    </row>
    <row r="212">
      <c r="B212" s="132"/>
    </row>
    <row r="213">
      <c r="B213" s="132"/>
    </row>
    <row r="214">
      <c r="B214" s="132"/>
    </row>
    <row r="215">
      <c r="B215" s="132"/>
    </row>
    <row r="216">
      <c r="B216" s="132"/>
    </row>
    <row r="217">
      <c r="B217" s="132"/>
    </row>
    <row r="218">
      <c r="B218" s="132"/>
    </row>
    <row r="219">
      <c r="B219" s="132"/>
    </row>
    <row r="220">
      <c r="B220" s="132"/>
    </row>
    <row r="221">
      <c r="B221" s="132"/>
    </row>
    <row r="222">
      <c r="B222" s="132"/>
    </row>
    <row r="223">
      <c r="B223" s="132"/>
    </row>
    <row r="224">
      <c r="B224" s="132"/>
    </row>
    <row r="225">
      <c r="B225" s="132"/>
    </row>
    <row r="226">
      <c r="B226" s="132"/>
    </row>
    <row r="227">
      <c r="B227" s="132"/>
    </row>
    <row r="228">
      <c r="B228" s="132"/>
    </row>
    <row r="229">
      <c r="B229" s="132"/>
    </row>
    <row r="230">
      <c r="B230" s="132"/>
    </row>
    <row r="231">
      <c r="B231" s="132"/>
    </row>
    <row r="232">
      <c r="B232" s="132"/>
    </row>
    <row r="233">
      <c r="B233" s="132"/>
    </row>
    <row r="234">
      <c r="B234" s="132"/>
    </row>
    <row r="235">
      <c r="B235" s="132"/>
    </row>
    <row r="236">
      <c r="B236" s="132"/>
    </row>
    <row r="237">
      <c r="B237" s="132"/>
    </row>
    <row r="238">
      <c r="B238" s="132"/>
    </row>
    <row r="239">
      <c r="B239" s="132"/>
    </row>
    <row r="240">
      <c r="B240" s="132"/>
    </row>
    <row r="241">
      <c r="B241" s="132"/>
    </row>
    <row r="242">
      <c r="B242" s="132"/>
    </row>
    <row r="243">
      <c r="B243" s="132"/>
    </row>
    <row r="244">
      <c r="B244" s="132"/>
    </row>
    <row r="245">
      <c r="B245" s="132"/>
    </row>
    <row r="246">
      <c r="B246" s="132"/>
    </row>
    <row r="247">
      <c r="B247" s="132"/>
    </row>
    <row r="248">
      <c r="B248" s="132"/>
    </row>
    <row r="249">
      <c r="B249" s="132"/>
    </row>
    <row r="250">
      <c r="B250" s="132"/>
    </row>
    <row r="251">
      <c r="B251" s="132"/>
    </row>
    <row r="252">
      <c r="B252" s="132"/>
    </row>
    <row r="253">
      <c r="B253" s="132"/>
    </row>
    <row r="254">
      <c r="B254" s="132"/>
    </row>
    <row r="255">
      <c r="B255" s="132"/>
    </row>
    <row r="256">
      <c r="B256" s="132"/>
    </row>
    <row r="257">
      <c r="B257" s="132"/>
    </row>
    <row r="258">
      <c r="B258" s="132"/>
    </row>
    <row r="259">
      <c r="B259" s="132"/>
    </row>
    <row r="260">
      <c r="B260" s="132"/>
    </row>
    <row r="261">
      <c r="B261" s="132"/>
    </row>
    <row r="262">
      <c r="B262" s="132"/>
    </row>
    <row r="263">
      <c r="B263" s="132"/>
    </row>
    <row r="264">
      <c r="B264" s="132"/>
    </row>
    <row r="265">
      <c r="B265" s="132"/>
    </row>
    <row r="266">
      <c r="B266" s="132"/>
    </row>
    <row r="267">
      <c r="B267" s="132"/>
    </row>
    <row r="268">
      <c r="B268" s="132"/>
    </row>
    <row r="269">
      <c r="B269" s="132"/>
    </row>
    <row r="270">
      <c r="B270" s="132"/>
    </row>
    <row r="271">
      <c r="B271" s="132"/>
    </row>
    <row r="272">
      <c r="B272" s="132"/>
    </row>
    <row r="273">
      <c r="B273" s="132"/>
    </row>
    <row r="274">
      <c r="B274" s="132"/>
    </row>
    <row r="275">
      <c r="B275" s="132"/>
    </row>
    <row r="276">
      <c r="B276" s="132"/>
    </row>
    <row r="277">
      <c r="B277" s="132"/>
    </row>
    <row r="278">
      <c r="B278" s="132"/>
    </row>
    <row r="279">
      <c r="B279" s="132"/>
    </row>
    <row r="280">
      <c r="B280" s="132"/>
    </row>
    <row r="281">
      <c r="B281" s="132"/>
    </row>
    <row r="282">
      <c r="B282" s="132"/>
    </row>
    <row r="283">
      <c r="B283" s="132"/>
    </row>
    <row r="284">
      <c r="B284" s="132"/>
    </row>
    <row r="285">
      <c r="B285" s="132"/>
    </row>
    <row r="286">
      <c r="B286" s="132"/>
    </row>
    <row r="287">
      <c r="B287" s="132"/>
    </row>
    <row r="288">
      <c r="B288" s="132"/>
    </row>
    <row r="289">
      <c r="B289" s="132"/>
    </row>
    <row r="290">
      <c r="B290" s="132"/>
    </row>
    <row r="291">
      <c r="B291" s="132"/>
    </row>
    <row r="292">
      <c r="B292" s="132"/>
    </row>
    <row r="293">
      <c r="B293" s="132"/>
    </row>
    <row r="294">
      <c r="B294" s="132"/>
    </row>
    <row r="295">
      <c r="B295" s="132"/>
    </row>
    <row r="296">
      <c r="B296" s="132"/>
    </row>
    <row r="297">
      <c r="B297" s="132"/>
    </row>
    <row r="298">
      <c r="B298" s="132"/>
    </row>
    <row r="299">
      <c r="B299" s="132"/>
    </row>
    <row r="300">
      <c r="B300" s="132"/>
    </row>
    <row r="301">
      <c r="B301" s="132"/>
    </row>
    <row r="302">
      <c r="B302" s="132"/>
    </row>
    <row r="303">
      <c r="B303" s="132"/>
    </row>
    <row r="304">
      <c r="B304" s="132"/>
    </row>
    <row r="305">
      <c r="B305" s="132"/>
    </row>
    <row r="306">
      <c r="B306" s="132"/>
    </row>
    <row r="307">
      <c r="B307" s="132"/>
    </row>
    <row r="308">
      <c r="B308" s="132"/>
    </row>
    <row r="309">
      <c r="B309" s="132"/>
    </row>
    <row r="310">
      <c r="B310" s="132"/>
    </row>
    <row r="311">
      <c r="B311" s="132"/>
    </row>
    <row r="312">
      <c r="B312" s="132"/>
    </row>
    <row r="313">
      <c r="B313" s="132"/>
    </row>
    <row r="314">
      <c r="B314" s="132"/>
    </row>
    <row r="315">
      <c r="B315" s="132"/>
    </row>
    <row r="316">
      <c r="B316" s="132"/>
    </row>
    <row r="317">
      <c r="B317" s="132"/>
    </row>
    <row r="318">
      <c r="B318" s="132"/>
    </row>
    <row r="319">
      <c r="B319" s="132"/>
    </row>
    <row r="320">
      <c r="B320" s="132"/>
    </row>
    <row r="321">
      <c r="B321" s="132"/>
    </row>
    <row r="322">
      <c r="B322" s="132"/>
    </row>
    <row r="323">
      <c r="B323" s="132"/>
    </row>
    <row r="324">
      <c r="B324" s="132"/>
    </row>
    <row r="325">
      <c r="B325" s="132"/>
    </row>
    <row r="326">
      <c r="B326" s="132"/>
    </row>
    <row r="327">
      <c r="B327" s="132"/>
    </row>
    <row r="328">
      <c r="B328" s="132"/>
    </row>
    <row r="329">
      <c r="B329" s="132"/>
    </row>
    <row r="330">
      <c r="B330" s="132"/>
    </row>
    <row r="331">
      <c r="B331" s="132"/>
    </row>
    <row r="332">
      <c r="B332" s="132"/>
    </row>
    <row r="333">
      <c r="B333" s="132"/>
    </row>
    <row r="334">
      <c r="B334" s="132"/>
    </row>
    <row r="335">
      <c r="B335" s="132"/>
    </row>
    <row r="336">
      <c r="B336" s="132"/>
    </row>
    <row r="337">
      <c r="B337" s="132"/>
    </row>
    <row r="338">
      <c r="B338" s="132"/>
    </row>
    <row r="339">
      <c r="B339" s="132"/>
    </row>
    <row r="340">
      <c r="B340" s="132"/>
    </row>
    <row r="341">
      <c r="B341" s="132"/>
    </row>
    <row r="342">
      <c r="B342" s="132"/>
    </row>
    <row r="343">
      <c r="B343" s="132"/>
    </row>
    <row r="344">
      <c r="B344" s="132"/>
    </row>
    <row r="345">
      <c r="B345" s="132"/>
    </row>
    <row r="346">
      <c r="B346" s="132"/>
    </row>
    <row r="347">
      <c r="B347" s="132"/>
    </row>
    <row r="348">
      <c r="B348" s="132"/>
    </row>
    <row r="349">
      <c r="B349" s="132"/>
    </row>
    <row r="350">
      <c r="B350" s="132"/>
    </row>
    <row r="351">
      <c r="B351" s="132"/>
    </row>
    <row r="352">
      <c r="B352" s="132"/>
    </row>
    <row r="353">
      <c r="B353" s="132"/>
    </row>
    <row r="354">
      <c r="B354" s="132"/>
    </row>
    <row r="355">
      <c r="B355" s="132"/>
    </row>
    <row r="356">
      <c r="B356" s="132"/>
    </row>
    <row r="357">
      <c r="B357" s="132"/>
    </row>
    <row r="358">
      <c r="B358" s="132"/>
    </row>
    <row r="359">
      <c r="B359" s="132"/>
    </row>
    <row r="360">
      <c r="B360" s="132"/>
    </row>
    <row r="361">
      <c r="B361" s="132"/>
    </row>
    <row r="362">
      <c r="B362" s="132"/>
    </row>
    <row r="363">
      <c r="B363" s="132"/>
    </row>
    <row r="364">
      <c r="B364" s="132"/>
    </row>
    <row r="365">
      <c r="B365" s="132"/>
    </row>
    <row r="366">
      <c r="B366" s="132"/>
    </row>
    <row r="367">
      <c r="B367" s="132"/>
    </row>
    <row r="368">
      <c r="B368" s="132"/>
    </row>
    <row r="369">
      <c r="B369" s="132"/>
    </row>
    <row r="370">
      <c r="B370" s="132"/>
    </row>
    <row r="371">
      <c r="B371" s="132"/>
    </row>
    <row r="372">
      <c r="B372" s="132"/>
    </row>
    <row r="373">
      <c r="B373" s="132"/>
    </row>
    <row r="374">
      <c r="B374" s="132"/>
    </row>
    <row r="375">
      <c r="B375" s="132"/>
    </row>
    <row r="376">
      <c r="B376" s="132"/>
    </row>
    <row r="377">
      <c r="B377" s="132"/>
    </row>
    <row r="378">
      <c r="B378" s="132"/>
    </row>
    <row r="379">
      <c r="B379" s="132"/>
    </row>
    <row r="380">
      <c r="B380" s="132"/>
    </row>
    <row r="381">
      <c r="B381" s="132"/>
    </row>
    <row r="382">
      <c r="B382" s="132"/>
    </row>
    <row r="383">
      <c r="B383" s="132"/>
    </row>
    <row r="384">
      <c r="B384" s="132"/>
    </row>
    <row r="385">
      <c r="B385" s="132"/>
    </row>
    <row r="386">
      <c r="B386" s="132"/>
    </row>
    <row r="387">
      <c r="B387" s="132"/>
    </row>
    <row r="388">
      <c r="B388" s="132"/>
    </row>
    <row r="389">
      <c r="B389" s="132"/>
    </row>
    <row r="390">
      <c r="B390" s="132"/>
    </row>
    <row r="391">
      <c r="B391" s="132"/>
    </row>
    <row r="392">
      <c r="B392" s="132"/>
    </row>
    <row r="393">
      <c r="B393" s="132"/>
    </row>
    <row r="394">
      <c r="B394" s="132"/>
    </row>
    <row r="395">
      <c r="B395" s="132"/>
    </row>
    <row r="396">
      <c r="B396" s="132"/>
    </row>
    <row r="397">
      <c r="B397" s="132"/>
    </row>
    <row r="398">
      <c r="B398" s="132"/>
    </row>
    <row r="399">
      <c r="B399" s="132"/>
    </row>
    <row r="400">
      <c r="B400" s="132"/>
    </row>
    <row r="401">
      <c r="B401" s="132"/>
    </row>
    <row r="402">
      <c r="B402" s="132"/>
    </row>
    <row r="403">
      <c r="B403" s="132"/>
    </row>
    <row r="404">
      <c r="B404" s="132"/>
    </row>
    <row r="405">
      <c r="B405" s="132"/>
    </row>
    <row r="406">
      <c r="B406" s="132"/>
    </row>
    <row r="407">
      <c r="B407" s="132"/>
    </row>
    <row r="408">
      <c r="B408" s="132"/>
    </row>
    <row r="409">
      <c r="B409" s="132"/>
    </row>
    <row r="410">
      <c r="B410" s="132"/>
    </row>
    <row r="411">
      <c r="B411" s="132"/>
    </row>
    <row r="412">
      <c r="B412" s="132"/>
    </row>
    <row r="413">
      <c r="B413" s="132"/>
    </row>
    <row r="414">
      <c r="B414" s="132"/>
    </row>
    <row r="415">
      <c r="B415" s="132"/>
    </row>
    <row r="416">
      <c r="B416" s="132"/>
    </row>
    <row r="417">
      <c r="B417" s="132"/>
    </row>
    <row r="418">
      <c r="B418" s="132"/>
    </row>
    <row r="419">
      <c r="B419" s="132"/>
    </row>
    <row r="420">
      <c r="B420" s="132"/>
    </row>
    <row r="421">
      <c r="B421" s="132"/>
    </row>
    <row r="422">
      <c r="B422" s="132"/>
    </row>
    <row r="423">
      <c r="B423" s="132"/>
    </row>
    <row r="424">
      <c r="B424" s="132"/>
    </row>
    <row r="425">
      <c r="B425" s="132"/>
    </row>
    <row r="426">
      <c r="B426" s="132"/>
    </row>
    <row r="427">
      <c r="B427" s="132"/>
    </row>
    <row r="428">
      <c r="B428" s="132"/>
    </row>
    <row r="429">
      <c r="B429" s="132"/>
    </row>
    <row r="430">
      <c r="B430" s="132"/>
    </row>
    <row r="431">
      <c r="B431" s="132"/>
    </row>
    <row r="432">
      <c r="B432" s="132"/>
    </row>
    <row r="433">
      <c r="B433" s="132"/>
    </row>
    <row r="434">
      <c r="B434" s="132"/>
    </row>
    <row r="435">
      <c r="B435" s="132"/>
    </row>
    <row r="436">
      <c r="B436" s="132"/>
    </row>
    <row r="437">
      <c r="B437" s="132"/>
    </row>
    <row r="438">
      <c r="B438" s="132"/>
    </row>
    <row r="439">
      <c r="B439" s="132"/>
    </row>
    <row r="440">
      <c r="B440" s="132"/>
    </row>
    <row r="441">
      <c r="B441" s="132"/>
    </row>
    <row r="442">
      <c r="B442" s="132"/>
    </row>
    <row r="443">
      <c r="B443" s="132"/>
    </row>
    <row r="444">
      <c r="B444" s="132"/>
    </row>
    <row r="445">
      <c r="B445" s="132"/>
    </row>
    <row r="446">
      <c r="B446" s="132"/>
    </row>
    <row r="447">
      <c r="B447" s="132"/>
    </row>
    <row r="448">
      <c r="B448" s="132"/>
    </row>
    <row r="449">
      <c r="B449" s="132"/>
    </row>
    <row r="450">
      <c r="B450" s="132"/>
    </row>
    <row r="451">
      <c r="B451" s="132"/>
    </row>
    <row r="452">
      <c r="B452" s="132"/>
    </row>
    <row r="453">
      <c r="B453" s="132"/>
    </row>
    <row r="454">
      <c r="B454" s="132"/>
    </row>
    <row r="455">
      <c r="B455" s="132"/>
    </row>
    <row r="456">
      <c r="B456" s="132"/>
    </row>
    <row r="457">
      <c r="B457" s="132"/>
    </row>
    <row r="458">
      <c r="B458" s="132"/>
    </row>
    <row r="459">
      <c r="B459" s="132"/>
    </row>
    <row r="460">
      <c r="B460" s="132"/>
    </row>
    <row r="461">
      <c r="B461" s="132"/>
    </row>
    <row r="462">
      <c r="B462" s="132"/>
    </row>
    <row r="463">
      <c r="B463" s="132"/>
    </row>
    <row r="464">
      <c r="B464" s="132"/>
    </row>
    <row r="465">
      <c r="B465" s="132"/>
    </row>
    <row r="466">
      <c r="B466" s="132"/>
    </row>
    <row r="467">
      <c r="B467" s="132"/>
    </row>
    <row r="468">
      <c r="B468" s="132"/>
    </row>
    <row r="469">
      <c r="B469" s="132"/>
    </row>
    <row r="470">
      <c r="B470" s="132"/>
    </row>
    <row r="471">
      <c r="B471" s="132"/>
    </row>
    <row r="472">
      <c r="B472" s="132"/>
    </row>
    <row r="473">
      <c r="B473" s="132"/>
    </row>
    <row r="474">
      <c r="B474" s="132"/>
    </row>
    <row r="475">
      <c r="B475" s="132"/>
    </row>
    <row r="476">
      <c r="B476" s="132"/>
    </row>
    <row r="477">
      <c r="B477" s="132"/>
    </row>
    <row r="478">
      <c r="B478" s="132"/>
    </row>
    <row r="479">
      <c r="B479" s="132"/>
    </row>
    <row r="480">
      <c r="B480" s="132"/>
    </row>
    <row r="481">
      <c r="B481" s="132"/>
    </row>
    <row r="482">
      <c r="B482" s="132"/>
    </row>
    <row r="483">
      <c r="B483" s="132"/>
    </row>
    <row r="484">
      <c r="B484" s="132"/>
    </row>
    <row r="485">
      <c r="B485" s="132"/>
    </row>
    <row r="486">
      <c r="B486" s="132"/>
    </row>
    <row r="487">
      <c r="B487" s="132"/>
    </row>
    <row r="488">
      <c r="B488" s="132"/>
    </row>
    <row r="489">
      <c r="B489" s="132"/>
    </row>
    <row r="490">
      <c r="B490" s="132"/>
    </row>
    <row r="491">
      <c r="B491" s="132"/>
    </row>
    <row r="492">
      <c r="B492" s="132"/>
    </row>
    <row r="493">
      <c r="B493" s="132"/>
    </row>
    <row r="494">
      <c r="B494" s="132"/>
    </row>
    <row r="495">
      <c r="B495" s="132"/>
    </row>
    <row r="496">
      <c r="B496" s="132"/>
    </row>
    <row r="497">
      <c r="B497" s="132"/>
    </row>
    <row r="498">
      <c r="B498" s="132"/>
    </row>
    <row r="499">
      <c r="B499" s="132"/>
    </row>
    <row r="500">
      <c r="B500" s="132"/>
    </row>
    <row r="501">
      <c r="B501" s="132"/>
    </row>
    <row r="502">
      <c r="B502" s="132"/>
    </row>
    <row r="503">
      <c r="B503" s="132"/>
    </row>
    <row r="504">
      <c r="B504" s="132"/>
    </row>
    <row r="505">
      <c r="B505" s="132"/>
    </row>
    <row r="506">
      <c r="B506" s="132"/>
    </row>
    <row r="507">
      <c r="B507" s="132"/>
    </row>
    <row r="508">
      <c r="B508" s="132"/>
    </row>
    <row r="509">
      <c r="B509" s="132"/>
    </row>
    <row r="510">
      <c r="B510" s="132"/>
    </row>
    <row r="511">
      <c r="B511" s="132"/>
    </row>
    <row r="512">
      <c r="B512" s="132"/>
    </row>
    <row r="513">
      <c r="B513" s="132"/>
    </row>
    <row r="514">
      <c r="B514" s="132"/>
    </row>
    <row r="515">
      <c r="B515" s="132"/>
    </row>
    <row r="516">
      <c r="B516" s="132"/>
    </row>
    <row r="517">
      <c r="B517" s="132"/>
    </row>
    <row r="518">
      <c r="B518" s="132"/>
    </row>
    <row r="519">
      <c r="B519" s="132"/>
    </row>
    <row r="520">
      <c r="B520" s="132"/>
    </row>
    <row r="521">
      <c r="B521" s="132"/>
    </row>
    <row r="522">
      <c r="B522" s="132"/>
    </row>
    <row r="523">
      <c r="B523" s="132"/>
    </row>
    <row r="524">
      <c r="B524" s="132"/>
    </row>
    <row r="525">
      <c r="B525" s="132"/>
    </row>
    <row r="526">
      <c r="B526" s="132"/>
    </row>
    <row r="527">
      <c r="B527" s="132"/>
    </row>
    <row r="528">
      <c r="B528" s="132"/>
    </row>
    <row r="529">
      <c r="B529" s="132"/>
    </row>
    <row r="530">
      <c r="B530" s="132"/>
    </row>
    <row r="531">
      <c r="B531" s="132"/>
    </row>
    <row r="532">
      <c r="B532" s="132"/>
    </row>
    <row r="533">
      <c r="B533" s="132"/>
    </row>
    <row r="534">
      <c r="B534" s="132"/>
    </row>
    <row r="535">
      <c r="B535" s="132"/>
    </row>
    <row r="536">
      <c r="B536" s="132"/>
    </row>
    <row r="537">
      <c r="B537" s="132"/>
    </row>
    <row r="538">
      <c r="B538" s="132"/>
    </row>
    <row r="539">
      <c r="B539" s="132"/>
    </row>
    <row r="540">
      <c r="B540" s="132"/>
    </row>
    <row r="541">
      <c r="B541" s="132"/>
    </row>
    <row r="542">
      <c r="B542" s="132"/>
    </row>
    <row r="543">
      <c r="B543" s="132"/>
    </row>
    <row r="544">
      <c r="B544" s="132"/>
    </row>
    <row r="545">
      <c r="B545" s="132"/>
    </row>
    <row r="546">
      <c r="B546" s="132"/>
    </row>
    <row r="547">
      <c r="B547" s="132"/>
    </row>
    <row r="548">
      <c r="B548" s="132"/>
    </row>
    <row r="549">
      <c r="B549" s="132"/>
    </row>
    <row r="550">
      <c r="B550" s="132"/>
    </row>
    <row r="551">
      <c r="B551" s="132"/>
    </row>
    <row r="552">
      <c r="B552" s="132"/>
    </row>
    <row r="553">
      <c r="B553" s="132"/>
    </row>
    <row r="554">
      <c r="B554" s="132"/>
    </row>
    <row r="555">
      <c r="B555" s="132"/>
    </row>
    <row r="556">
      <c r="B556" s="132"/>
    </row>
    <row r="557">
      <c r="B557" s="132"/>
    </row>
    <row r="558">
      <c r="B558" s="132"/>
    </row>
    <row r="559">
      <c r="B559" s="132"/>
    </row>
    <row r="560">
      <c r="B560" s="132"/>
    </row>
    <row r="561">
      <c r="B561" s="132"/>
    </row>
    <row r="562">
      <c r="B562" s="132"/>
    </row>
    <row r="563">
      <c r="B563" s="132"/>
    </row>
    <row r="564">
      <c r="B564" s="132"/>
    </row>
    <row r="565">
      <c r="B565" s="132"/>
    </row>
    <row r="566">
      <c r="B566" s="132"/>
    </row>
    <row r="567">
      <c r="B567" s="132"/>
    </row>
    <row r="568">
      <c r="B568" s="132"/>
    </row>
    <row r="569">
      <c r="B569" s="132"/>
    </row>
    <row r="570">
      <c r="B570" s="132"/>
    </row>
    <row r="571">
      <c r="B571" s="132"/>
    </row>
    <row r="572">
      <c r="B572" s="132"/>
    </row>
    <row r="573">
      <c r="B573" s="132"/>
    </row>
    <row r="574">
      <c r="B574" s="132"/>
    </row>
    <row r="575">
      <c r="B575" s="132"/>
    </row>
    <row r="576">
      <c r="B576" s="132"/>
    </row>
    <row r="577">
      <c r="B577" s="132"/>
    </row>
    <row r="578">
      <c r="B578" s="132"/>
    </row>
    <row r="579">
      <c r="B579" s="132"/>
    </row>
    <row r="580">
      <c r="B580" s="132"/>
    </row>
    <row r="581">
      <c r="B581" s="132"/>
    </row>
    <row r="582">
      <c r="B582" s="132"/>
    </row>
    <row r="583">
      <c r="B583" s="132"/>
    </row>
    <row r="584">
      <c r="B584" s="132"/>
    </row>
    <row r="585">
      <c r="B585" s="132"/>
    </row>
    <row r="586">
      <c r="B586" s="132"/>
    </row>
    <row r="587">
      <c r="B587" s="132"/>
    </row>
    <row r="588">
      <c r="B588" s="132"/>
    </row>
    <row r="589">
      <c r="B589" s="132"/>
    </row>
    <row r="590">
      <c r="B590" s="132"/>
    </row>
    <row r="591">
      <c r="B591" s="132"/>
    </row>
    <row r="592">
      <c r="B592" s="132"/>
    </row>
    <row r="593">
      <c r="B593" s="132"/>
    </row>
    <row r="594">
      <c r="B594" s="132"/>
    </row>
    <row r="595">
      <c r="B595" s="132"/>
    </row>
    <row r="596">
      <c r="B596" s="132"/>
    </row>
    <row r="597">
      <c r="B597" s="132"/>
    </row>
    <row r="598">
      <c r="B598" s="132"/>
    </row>
    <row r="599">
      <c r="B599" s="132"/>
    </row>
    <row r="600">
      <c r="B600" s="132"/>
    </row>
    <row r="601">
      <c r="B601" s="132"/>
    </row>
    <row r="602">
      <c r="B602" s="132"/>
    </row>
    <row r="603">
      <c r="B603" s="132"/>
    </row>
    <row r="604">
      <c r="B604" s="132"/>
    </row>
    <row r="605">
      <c r="B605" s="132"/>
    </row>
    <row r="606">
      <c r="B606" s="132"/>
    </row>
    <row r="607">
      <c r="B607" s="132"/>
    </row>
    <row r="608">
      <c r="B608" s="132"/>
    </row>
    <row r="609">
      <c r="B609" s="132"/>
    </row>
    <row r="610">
      <c r="B610" s="132"/>
    </row>
    <row r="611">
      <c r="B611" s="132"/>
    </row>
    <row r="612">
      <c r="B612" s="132"/>
    </row>
    <row r="613">
      <c r="B613" s="132"/>
    </row>
    <row r="614">
      <c r="B614" s="132"/>
    </row>
    <row r="615">
      <c r="B615" s="132"/>
    </row>
    <row r="616">
      <c r="B616" s="132"/>
    </row>
    <row r="617">
      <c r="B617" s="132"/>
    </row>
    <row r="618">
      <c r="B618" s="132"/>
    </row>
    <row r="619">
      <c r="B619" s="132"/>
    </row>
    <row r="620">
      <c r="B620" s="132"/>
    </row>
    <row r="621">
      <c r="B621" s="132"/>
    </row>
    <row r="622">
      <c r="B622" s="132"/>
    </row>
    <row r="623">
      <c r="B623" s="132"/>
    </row>
    <row r="624">
      <c r="B624" s="132"/>
    </row>
    <row r="625">
      <c r="B625" s="132"/>
    </row>
    <row r="626">
      <c r="B626" s="132"/>
    </row>
    <row r="627">
      <c r="B627" s="132"/>
    </row>
    <row r="628">
      <c r="B628" s="132"/>
    </row>
    <row r="629">
      <c r="B629" s="132"/>
    </row>
    <row r="630">
      <c r="B630" s="132"/>
    </row>
    <row r="631">
      <c r="B631" s="132"/>
    </row>
    <row r="632">
      <c r="B632" s="132"/>
    </row>
    <row r="633">
      <c r="B633" s="132"/>
    </row>
    <row r="634">
      <c r="B634" s="132"/>
    </row>
    <row r="635">
      <c r="B635" s="132"/>
    </row>
    <row r="636">
      <c r="B636" s="132"/>
    </row>
    <row r="637">
      <c r="B637" s="132"/>
    </row>
    <row r="638">
      <c r="B638" s="132"/>
    </row>
    <row r="639">
      <c r="B639" s="132"/>
    </row>
    <row r="640">
      <c r="B640" s="132"/>
    </row>
    <row r="641">
      <c r="B641" s="132"/>
    </row>
    <row r="642">
      <c r="B642" s="132"/>
    </row>
    <row r="643">
      <c r="B643" s="132"/>
    </row>
    <row r="644">
      <c r="B644" s="132"/>
    </row>
    <row r="645">
      <c r="B645" s="132"/>
    </row>
    <row r="646">
      <c r="B646" s="132"/>
    </row>
    <row r="647">
      <c r="B647" s="132"/>
    </row>
    <row r="648">
      <c r="B648" s="132"/>
    </row>
    <row r="649">
      <c r="B649" s="132"/>
    </row>
    <row r="650">
      <c r="B650" s="132"/>
    </row>
    <row r="651">
      <c r="B651" s="132"/>
    </row>
    <row r="652">
      <c r="B652" s="132"/>
    </row>
    <row r="653">
      <c r="B653" s="132"/>
    </row>
    <row r="654">
      <c r="B654" s="132"/>
    </row>
    <row r="655">
      <c r="B655" s="132"/>
    </row>
    <row r="656">
      <c r="B656" s="132"/>
    </row>
    <row r="657">
      <c r="B657" s="132"/>
    </row>
    <row r="658">
      <c r="B658" s="132"/>
    </row>
    <row r="659">
      <c r="B659" s="132"/>
    </row>
    <row r="660">
      <c r="B660" s="132"/>
    </row>
    <row r="661">
      <c r="B661" s="132"/>
    </row>
    <row r="662">
      <c r="B662" s="132"/>
    </row>
    <row r="663">
      <c r="B663" s="132"/>
    </row>
    <row r="664">
      <c r="B664" s="132"/>
    </row>
    <row r="665">
      <c r="B665" s="132"/>
    </row>
    <row r="666">
      <c r="B666" s="132"/>
    </row>
    <row r="667">
      <c r="B667" s="132"/>
    </row>
    <row r="668">
      <c r="B668" s="132"/>
    </row>
    <row r="669">
      <c r="B669" s="132"/>
    </row>
    <row r="670">
      <c r="B670" s="132"/>
    </row>
    <row r="671">
      <c r="B671" s="132"/>
    </row>
    <row r="672">
      <c r="B672" s="132"/>
    </row>
    <row r="673">
      <c r="B673" s="132"/>
    </row>
    <row r="674">
      <c r="B674" s="132"/>
    </row>
    <row r="675">
      <c r="B675" s="132"/>
    </row>
    <row r="676">
      <c r="B676" s="132"/>
    </row>
    <row r="677">
      <c r="B677" s="132"/>
    </row>
    <row r="678">
      <c r="B678" s="132"/>
    </row>
    <row r="679">
      <c r="B679" s="132"/>
    </row>
    <row r="680">
      <c r="B680" s="132"/>
    </row>
    <row r="681">
      <c r="B681" s="132"/>
    </row>
    <row r="682">
      <c r="B682" s="132"/>
    </row>
    <row r="683">
      <c r="B683" s="132"/>
    </row>
    <row r="684">
      <c r="B684" s="132"/>
    </row>
    <row r="685">
      <c r="B685" s="132"/>
    </row>
    <row r="686">
      <c r="B686" s="132"/>
    </row>
    <row r="687">
      <c r="B687" s="132"/>
    </row>
    <row r="688">
      <c r="B688" s="132"/>
    </row>
    <row r="689">
      <c r="B689" s="132"/>
    </row>
    <row r="690">
      <c r="B690" s="132"/>
    </row>
    <row r="691">
      <c r="B691" s="132"/>
    </row>
    <row r="692">
      <c r="B692" s="132"/>
    </row>
    <row r="693">
      <c r="B693" s="132"/>
    </row>
    <row r="694">
      <c r="B694" s="132"/>
    </row>
    <row r="695">
      <c r="B695" s="132"/>
    </row>
    <row r="696">
      <c r="B696" s="132"/>
    </row>
    <row r="697">
      <c r="B697" s="132"/>
    </row>
    <row r="698">
      <c r="B698" s="132"/>
    </row>
    <row r="699">
      <c r="B699" s="132"/>
    </row>
    <row r="700">
      <c r="B700" s="132"/>
    </row>
    <row r="701">
      <c r="B701" s="132"/>
    </row>
    <row r="702">
      <c r="B702" s="132"/>
    </row>
    <row r="703">
      <c r="B703" s="132"/>
    </row>
    <row r="704">
      <c r="B704" s="132"/>
    </row>
    <row r="705">
      <c r="B705" s="132"/>
    </row>
    <row r="706">
      <c r="B706" s="132"/>
    </row>
    <row r="707">
      <c r="B707" s="132"/>
    </row>
    <row r="708">
      <c r="B708" s="132"/>
    </row>
    <row r="709">
      <c r="B709" s="132"/>
    </row>
    <row r="710">
      <c r="B710" s="132"/>
    </row>
    <row r="711">
      <c r="B711" s="132"/>
    </row>
    <row r="712">
      <c r="B712" s="132"/>
    </row>
    <row r="713">
      <c r="B713" s="132"/>
    </row>
    <row r="714">
      <c r="B714" s="132"/>
    </row>
    <row r="715">
      <c r="B715" s="132"/>
    </row>
    <row r="716">
      <c r="B716" s="132"/>
    </row>
    <row r="717">
      <c r="B717" s="132"/>
    </row>
    <row r="718">
      <c r="B718" s="132"/>
    </row>
    <row r="719">
      <c r="B719" s="132"/>
    </row>
    <row r="720">
      <c r="B720" s="132"/>
    </row>
    <row r="721">
      <c r="B721" s="132"/>
    </row>
    <row r="722">
      <c r="B722" s="132"/>
    </row>
    <row r="723">
      <c r="B723" s="132"/>
    </row>
    <row r="724">
      <c r="B724" s="132"/>
    </row>
    <row r="725">
      <c r="B725" s="132"/>
    </row>
    <row r="726">
      <c r="B726" s="132"/>
    </row>
    <row r="727">
      <c r="B727" s="132"/>
    </row>
    <row r="728">
      <c r="B728" s="132"/>
    </row>
    <row r="729">
      <c r="B729" s="132"/>
    </row>
    <row r="730">
      <c r="B730" s="132"/>
    </row>
    <row r="731">
      <c r="B731" s="132"/>
    </row>
    <row r="732">
      <c r="B732" s="132"/>
    </row>
    <row r="733">
      <c r="B733" s="132"/>
    </row>
    <row r="734">
      <c r="B734" s="132"/>
    </row>
    <row r="735">
      <c r="B735" s="132"/>
    </row>
    <row r="736">
      <c r="B736" s="132"/>
    </row>
    <row r="737">
      <c r="B737" s="132"/>
    </row>
    <row r="738">
      <c r="B738" s="132"/>
    </row>
    <row r="739">
      <c r="B739" s="132"/>
    </row>
    <row r="740">
      <c r="B740" s="132"/>
    </row>
    <row r="741">
      <c r="B741" s="132"/>
    </row>
    <row r="742">
      <c r="B742" s="132"/>
    </row>
    <row r="743">
      <c r="B743" s="132"/>
    </row>
    <row r="744">
      <c r="B744" s="132"/>
    </row>
    <row r="745">
      <c r="B745" s="132"/>
    </row>
    <row r="746">
      <c r="B746" s="132"/>
    </row>
    <row r="747">
      <c r="B747" s="132"/>
    </row>
    <row r="748">
      <c r="B748" s="132"/>
    </row>
    <row r="749">
      <c r="B749" s="132"/>
    </row>
    <row r="750">
      <c r="B750" s="132"/>
    </row>
    <row r="751">
      <c r="B751" s="132"/>
    </row>
    <row r="752">
      <c r="B752" s="132"/>
    </row>
    <row r="753">
      <c r="B753" s="132"/>
    </row>
    <row r="754">
      <c r="B754" s="132"/>
    </row>
    <row r="755">
      <c r="B755" s="132"/>
    </row>
    <row r="756">
      <c r="B756" s="132"/>
    </row>
    <row r="757">
      <c r="B757" s="132"/>
    </row>
    <row r="758">
      <c r="B758" s="132"/>
    </row>
    <row r="759">
      <c r="B759" s="132"/>
    </row>
    <row r="760">
      <c r="B760" s="132"/>
    </row>
    <row r="761">
      <c r="B761" s="132"/>
    </row>
    <row r="762">
      <c r="B762" s="132"/>
    </row>
    <row r="763">
      <c r="B763" s="132"/>
    </row>
    <row r="764">
      <c r="B764" s="132"/>
    </row>
    <row r="765">
      <c r="B765" s="132"/>
    </row>
    <row r="766">
      <c r="B766" s="132"/>
    </row>
    <row r="767">
      <c r="B767" s="132"/>
    </row>
    <row r="768">
      <c r="B768" s="132"/>
    </row>
    <row r="769">
      <c r="B769" s="132"/>
    </row>
    <row r="770">
      <c r="B770" s="132"/>
    </row>
    <row r="771">
      <c r="B771" s="132"/>
    </row>
    <row r="772">
      <c r="B772" s="132"/>
    </row>
    <row r="773">
      <c r="B773" s="132"/>
    </row>
    <row r="774">
      <c r="B774" s="132"/>
    </row>
    <row r="775">
      <c r="B775" s="132"/>
    </row>
    <row r="776">
      <c r="B776" s="132"/>
    </row>
    <row r="777">
      <c r="B777" s="132"/>
    </row>
    <row r="778">
      <c r="B778" s="132"/>
    </row>
    <row r="779">
      <c r="B779" s="132"/>
    </row>
    <row r="780">
      <c r="B780" s="132"/>
    </row>
    <row r="781">
      <c r="B781" s="132"/>
    </row>
    <row r="782">
      <c r="B782" s="132"/>
    </row>
    <row r="783">
      <c r="B783" s="132"/>
    </row>
    <row r="784">
      <c r="B784" s="132"/>
    </row>
    <row r="785">
      <c r="B785" s="132"/>
    </row>
    <row r="786">
      <c r="B786" s="132"/>
    </row>
    <row r="787">
      <c r="B787" s="132"/>
    </row>
    <row r="788">
      <c r="B788" s="132"/>
    </row>
    <row r="789">
      <c r="B789" s="132"/>
    </row>
    <row r="790">
      <c r="B790" s="132"/>
    </row>
    <row r="791">
      <c r="B791" s="132"/>
    </row>
    <row r="792">
      <c r="B792" s="132"/>
    </row>
    <row r="793">
      <c r="B793" s="132"/>
    </row>
    <row r="794">
      <c r="B794" s="132"/>
    </row>
    <row r="795">
      <c r="B795" s="132"/>
    </row>
    <row r="796">
      <c r="B796" s="132"/>
    </row>
    <row r="797">
      <c r="B797" s="132"/>
    </row>
    <row r="798">
      <c r="B798" s="132"/>
    </row>
    <row r="799">
      <c r="B799" s="132"/>
    </row>
    <row r="800">
      <c r="B800" s="132"/>
    </row>
    <row r="801">
      <c r="B801" s="132"/>
    </row>
    <row r="802">
      <c r="B802" s="132"/>
    </row>
    <row r="803">
      <c r="B803" s="132"/>
    </row>
    <row r="804">
      <c r="B804" s="132"/>
    </row>
    <row r="805">
      <c r="B805" s="132"/>
    </row>
    <row r="806">
      <c r="B806" s="132"/>
    </row>
    <row r="807">
      <c r="B807" s="132"/>
    </row>
    <row r="808">
      <c r="B808" s="132"/>
    </row>
    <row r="809">
      <c r="B809" s="132"/>
    </row>
    <row r="810">
      <c r="B810" s="132"/>
    </row>
    <row r="811">
      <c r="B811" s="132"/>
    </row>
    <row r="812">
      <c r="B812" s="132"/>
    </row>
    <row r="813">
      <c r="B813" s="132"/>
    </row>
    <row r="814">
      <c r="B814" s="132"/>
    </row>
    <row r="815">
      <c r="B815" s="132"/>
    </row>
    <row r="816">
      <c r="B816" s="132"/>
    </row>
    <row r="817">
      <c r="B817" s="132"/>
    </row>
    <row r="818">
      <c r="B818" s="132"/>
    </row>
    <row r="819">
      <c r="B819" s="132"/>
    </row>
    <row r="820">
      <c r="B820" s="132"/>
    </row>
    <row r="821">
      <c r="B821" s="132"/>
    </row>
    <row r="822">
      <c r="B822" s="132"/>
    </row>
    <row r="823">
      <c r="B823" s="132"/>
    </row>
    <row r="824">
      <c r="B824" s="132"/>
    </row>
    <row r="825">
      <c r="B825" s="132"/>
    </row>
    <row r="826">
      <c r="B826" s="132"/>
    </row>
    <row r="827">
      <c r="B827" s="132"/>
    </row>
    <row r="828">
      <c r="B828" s="132"/>
    </row>
    <row r="829">
      <c r="B829" s="132"/>
    </row>
    <row r="830">
      <c r="B830" s="132"/>
    </row>
    <row r="831">
      <c r="B831" s="132"/>
    </row>
    <row r="832">
      <c r="B832" s="132"/>
    </row>
    <row r="833">
      <c r="B833" s="132"/>
    </row>
    <row r="834">
      <c r="B834" s="132"/>
    </row>
    <row r="835">
      <c r="B835" s="132"/>
    </row>
    <row r="836">
      <c r="B836" s="132"/>
    </row>
    <row r="837">
      <c r="B837" s="132"/>
    </row>
    <row r="838">
      <c r="B838" s="132"/>
    </row>
    <row r="839">
      <c r="B839" s="132"/>
    </row>
    <row r="840">
      <c r="B840" s="132"/>
    </row>
    <row r="841">
      <c r="B841" s="132"/>
    </row>
    <row r="842">
      <c r="B842" s="132"/>
    </row>
    <row r="843">
      <c r="B843" s="132"/>
    </row>
    <row r="844">
      <c r="B844" s="132"/>
    </row>
    <row r="845">
      <c r="B845" s="132"/>
    </row>
    <row r="846">
      <c r="B846" s="132"/>
    </row>
    <row r="847">
      <c r="B847" s="132"/>
    </row>
    <row r="848">
      <c r="B848" s="132"/>
    </row>
    <row r="849">
      <c r="B849" s="132"/>
    </row>
    <row r="850">
      <c r="B850" s="132"/>
    </row>
    <row r="851">
      <c r="B851" s="132"/>
    </row>
    <row r="852">
      <c r="B852" s="132"/>
    </row>
    <row r="853">
      <c r="B853" s="132"/>
    </row>
    <row r="854">
      <c r="B854" s="132"/>
    </row>
    <row r="855">
      <c r="B855" s="132"/>
    </row>
    <row r="856">
      <c r="B856" s="132"/>
    </row>
    <row r="857">
      <c r="B857" s="132"/>
    </row>
    <row r="858">
      <c r="B858" s="132"/>
    </row>
    <row r="859">
      <c r="B859" s="132"/>
    </row>
    <row r="860">
      <c r="B860" s="132"/>
    </row>
    <row r="861">
      <c r="B861" s="132"/>
    </row>
    <row r="862">
      <c r="B862" s="132"/>
    </row>
    <row r="863">
      <c r="B863" s="132"/>
    </row>
    <row r="864">
      <c r="B864" s="132"/>
    </row>
    <row r="865">
      <c r="B865" s="132"/>
    </row>
    <row r="866">
      <c r="B866" s="132"/>
    </row>
    <row r="867">
      <c r="B867" s="132"/>
    </row>
    <row r="868">
      <c r="B868" s="132"/>
    </row>
    <row r="869">
      <c r="B869" s="132"/>
    </row>
    <row r="870">
      <c r="B870" s="132"/>
    </row>
    <row r="871">
      <c r="B871" s="132"/>
    </row>
    <row r="872">
      <c r="B872" s="132"/>
    </row>
    <row r="873">
      <c r="B873" s="132"/>
    </row>
    <row r="874">
      <c r="B874" s="132"/>
    </row>
    <row r="875">
      <c r="B875" s="132"/>
    </row>
    <row r="876">
      <c r="B876" s="132"/>
    </row>
    <row r="877">
      <c r="B877" s="132"/>
    </row>
    <row r="878">
      <c r="B878" s="132"/>
    </row>
    <row r="879">
      <c r="B879" s="132"/>
    </row>
    <row r="880">
      <c r="B880" s="132"/>
    </row>
    <row r="881">
      <c r="B881" s="132"/>
    </row>
    <row r="882">
      <c r="B882" s="132"/>
    </row>
    <row r="883">
      <c r="B883" s="132"/>
    </row>
    <row r="884">
      <c r="B884" s="132"/>
    </row>
    <row r="885">
      <c r="B885" s="132"/>
    </row>
    <row r="886">
      <c r="B886" s="132"/>
    </row>
    <row r="887">
      <c r="B887" s="132"/>
    </row>
    <row r="888">
      <c r="B888" s="132"/>
    </row>
    <row r="889">
      <c r="B889" s="132"/>
    </row>
    <row r="890">
      <c r="B890" s="132"/>
    </row>
    <row r="891">
      <c r="B891" s="132"/>
    </row>
    <row r="892">
      <c r="B892" s="132"/>
    </row>
    <row r="893">
      <c r="B893" s="132"/>
    </row>
    <row r="894">
      <c r="B894" s="132"/>
    </row>
    <row r="895">
      <c r="B895" s="132"/>
    </row>
    <row r="896">
      <c r="B896" s="132"/>
    </row>
    <row r="897">
      <c r="B897" s="132"/>
    </row>
    <row r="898">
      <c r="B898" s="132"/>
    </row>
    <row r="899">
      <c r="B899" s="132"/>
    </row>
    <row r="900">
      <c r="B900" s="132"/>
    </row>
    <row r="901">
      <c r="B901" s="132"/>
    </row>
    <row r="902">
      <c r="B902" s="132"/>
    </row>
    <row r="903">
      <c r="B903" s="132"/>
    </row>
    <row r="904">
      <c r="B904" s="132"/>
    </row>
    <row r="905">
      <c r="B905" s="132"/>
    </row>
    <row r="906">
      <c r="B906" s="132"/>
    </row>
    <row r="907">
      <c r="B907" s="132"/>
    </row>
    <row r="908">
      <c r="B908" s="132"/>
    </row>
    <row r="909">
      <c r="B909" s="132"/>
    </row>
    <row r="910">
      <c r="B910" s="132"/>
    </row>
    <row r="911">
      <c r="B911" s="132"/>
    </row>
    <row r="912">
      <c r="B912" s="132"/>
    </row>
    <row r="913">
      <c r="B913" s="132"/>
    </row>
    <row r="914">
      <c r="B914" s="132"/>
    </row>
    <row r="915">
      <c r="B915" s="132"/>
    </row>
    <row r="916">
      <c r="B916" s="132"/>
    </row>
    <row r="917">
      <c r="B917" s="132"/>
    </row>
    <row r="918">
      <c r="B918" s="132"/>
    </row>
    <row r="919">
      <c r="B919" s="132"/>
    </row>
    <row r="920">
      <c r="B920" s="132"/>
    </row>
    <row r="921">
      <c r="B921" s="132"/>
    </row>
    <row r="922">
      <c r="B922" s="132"/>
    </row>
    <row r="923">
      <c r="B923" s="132"/>
    </row>
    <row r="924">
      <c r="B924" s="132"/>
    </row>
    <row r="925">
      <c r="B925" s="132"/>
    </row>
    <row r="926">
      <c r="B926" s="132"/>
    </row>
    <row r="927">
      <c r="B927" s="132"/>
    </row>
    <row r="928">
      <c r="B928" s="132"/>
    </row>
    <row r="929">
      <c r="B929" s="132"/>
    </row>
    <row r="930">
      <c r="B930" s="132"/>
    </row>
    <row r="931">
      <c r="B931" s="132"/>
    </row>
    <row r="932">
      <c r="B932" s="132"/>
    </row>
    <row r="933">
      <c r="B933" s="132"/>
    </row>
    <row r="934">
      <c r="B934" s="132"/>
    </row>
    <row r="935">
      <c r="B935" s="132"/>
    </row>
    <row r="936">
      <c r="B936" s="132"/>
    </row>
    <row r="937">
      <c r="B937" s="132"/>
    </row>
    <row r="938">
      <c r="B938" s="132"/>
    </row>
    <row r="939">
      <c r="B939" s="132"/>
    </row>
    <row r="940">
      <c r="B940" s="132"/>
    </row>
    <row r="941">
      <c r="B941" s="132"/>
    </row>
    <row r="942">
      <c r="B942" s="132"/>
    </row>
    <row r="943">
      <c r="B943" s="132"/>
    </row>
    <row r="944">
      <c r="B944" s="132"/>
    </row>
    <row r="945">
      <c r="B945" s="132"/>
    </row>
    <row r="946">
      <c r="B946" s="132"/>
    </row>
    <row r="947">
      <c r="B947" s="132"/>
    </row>
    <row r="948">
      <c r="B948" s="132"/>
    </row>
    <row r="949">
      <c r="B949" s="132"/>
    </row>
    <row r="950">
      <c r="B950" s="132"/>
    </row>
    <row r="951">
      <c r="B951" s="132"/>
    </row>
    <row r="952">
      <c r="B952" s="132"/>
    </row>
    <row r="953">
      <c r="B953" s="132"/>
    </row>
    <row r="954">
      <c r="B954" s="132"/>
    </row>
    <row r="955">
      <c r="B955" s="132"/>
    </row>
    <row r="956">
      <c r="B956" s="132"/>
    </row>
    <row r="957">
      <c r="B957" s="132"/>
    </row>
    <row r="958">
      <c r="B958" s="132"/>
    </row>
    <row r="959">
      <c r="B959" s="132"/>
    </row>
    <row r="960">
      <c r="B960" s="132"/>
    </row>
    <row r="961">
      <c r="B961" s="132"/>
    </row>
    <row r="962">
      <c r="B962" s="132"/>
    </row>
    <row r="963">
      <c r="B963" s="132"/>
    </row>
    <row r="964">
      <c r="B964" s="132"/>
    </row>
    <row r="965">
      <c r="B965" s="132"/>
    </row>
    <row r="966">
      <c r="B966" s="132"/>
    </row>
    <row r="967">
      <c r="B967" s="132"/>
    </row>
    <row r="968">
      <c r="B968" s="132"/>
    </row>
    <row r="969">
      <c r="B969" s="132"/>
    </row>
    <row r="970">
      <c r="B970" s="132"/>
    </row>
    <row r="971">
      <c r="B971" s="132"/>
    </row>
    <row r="972">
      <c r="B972" s="132"/>
    </row>
    <row r="973">
      <c r="B973" s="132"/>
    </row>
    <row r="974">
      <c r="B974" s="132"/>
    </row>
    <row r="975">
      <c r="B975" s="132"/>
    </row>
    <row r="976">
      <c r="B976" s="13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4.25"/>
    <col customWidth="1" min="3" max="3" width="4.13"/>
    <col customWidth="1" min="5" max="5" width="6.38"/>
    <col customWidth="1" min="6" max="6" width="4.0"/>
    <col customWidth="1" min="7" max="7" width="24.25"/>
    <col customWidth="1" min="9" max="9" width="3.38"/>
    <col customWidth="1" min="11" max="11" width="16.38"/>
    <col customWidth="1" min="12" max="12" width="15.63"/>
  </cols>
  <sheetData>
    <row r="1">
      <c r="A1" s="133" t="s">
        <v>10</v>
      </c>
      <c r="B1" s="16"/>
      <c r="C1" s="134">
        <v>1.0</v>
      </c>
      <c r="D1" s="135" t="s">
        <v>153</v>
      </c>
      <c r="E1" s="135" t="s">
        <v>154</v>
      </c>
      <c r="F1" s="16"/>
      <c r="G1" s="136" t="s">
        <v>155</v>
      </c>
      <c r="H1" s="137">
        <f>TODAY()</f>
        <v>46122</v>
      </c>
      <c r="I1" s="16"/>
      <c r="J1" s="16"/>
      <c r="K1" s="6" t="s">
        <v>57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>
      <c r="A2" s="6" t="s">
        <v>57</v>
      </c>
      <c r="B2" s="16"/>
      <c r="C2" s="134">
        <v>2.0</v>
      </c>
      <c r="D2" s="135" t="s">
        <v>156</v>
      </c>
      <c r="E2" s="135" t="s">
        <v>157</v>
      </c>
      <c r="F2" s="16"/>
      <c r="G2" s="136" t="s">
        <v>158</v>
      </c>
      <c r="H2" s="6">
        <v>30.0</v>
      </c>
      <c r="I2" s="16"/>
      <c r="J2" s="6">
        <v>0.0</v>
      </c>
      <c r="K2" s="6" t="s">
        <v>63</v>
      </c>
      <c r="L2" s="16" t="str">
        <f t="shared" ref="L2:L5" si="1">"ตั้งแต่ "&amp;J2&amp;" ถึง "&amp;J3-1</f>
        <v>ตั้งแต่ 0 ถึง 7</v>
      </c>
      <c r="M2" s="16"/>
      <c r="N2" s="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6" t="s">
        <v>40</v>
      </c>
      <c r="B3" s="16"/>
      <c r="C3" s="134">
        <v>3.0</v>
      </c>
      <c r="D3" s="135" t="s">
        <v>159</v>
      </c>
      <c r="E3" s="135" t="s">
        <v>160</v>
      </c>
      <c r="F3" s="16"/>
      <c r="G3" s="138"/>
      <c r="H3" s="137">
        <f>H1-H2</f>
        <v>46092</v>
      </c>
      <c r="I3" s="16"/>
      <c r="J3" s="6">
        <v>8.0</v>
      </c>
      <c r="K3" s="6" t="s">
        <v>64</v>
      </c>
      <c r="L3" s="16" t="str">
        <f t="shared" si="1"/>
        <v>ตั้งแต่ 8 ถึง 14</v>
      </c>
      <c r="M3" s="16"/>
      <c r="N3" s="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6" t="s">
        <v>161</v>
      </c>
      <c r="B4" s="16"/>
      <c r="C4" s="134">
        <v>4.0</v>
      </c>
      <c r="D4" s="135" t="s">
        <v>162</v>
      </c>
      <c r="E4" s="135" t="s">
        <v>163</v>
      </c>
      <c r="F4" s="16"/>
      <c r="G4" s="138"/>
      <c r="H4" s="16"/>
      <c r="I4" s="16"/>
      <c r="J4" s="6">
        <v>15.0</v>
      </c>
      <c r="K4" s="6" t="s">
        <v>61</v>
      </c>
      <c r="L4" s="16" t="str">
        <f t="shared" si="1"/>
        <v>ตั้งแต่ 15 ถึง 30</v>
      </c>
      <c r="M4" s="16"/>
      <c r="N4" s="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6" t="s">
        <v>42</v>
      </c>
      <c r="B5" s="16"/>
      <c r="C5" s="134">
        <v>5.0</v>
      </c>
      <c r="D5" s="135" t="s">
        <v>164</v>
      </c>
      <c r="E5" s="135" t="s">
        <v>165</v>
      </c>
      <c r="F5" s="16"/>
      <c r="G5" s="138"/>
      <c r="H5" s="16"/>
      <c r="I5" s="16"/>
      <c r="J5" s="6">
        <v>31.0</v>
      </c>
      <c r="K5" s="6" t="s">
        <v>65</v>
      </c>
      <c r="L5" s="16" t="str">
        <f t="shared" si="1"/>
        <v>ตั้งแต่ 31 ถึง 60</v>
      </c>
      <c r="M5" s="16"/>
      <c r="N5" s="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6" t="s">
        <v>166</v>
      </c>
      <c r="B6" s="16"/>
      <c r="C6" s="134">
        <v>6.0</v>
      </c>
      <c r="D6" s="135" t="s">
        <v>167</v>
      </c>
      <c r="E6" s="135" t="s">
        <v>168</v>
      </c>
      <c r="F6" s="16"/>
      <c r="G6" s="138"/>
      <c r="H6" s="16"/>
      <c r="I6" s="16"/>
      <c r="J6" s="6">
        <v>61.0</v>
      </c>
      <c r="K6" s="6" t="s">
        <v>53</v>
      </c>
      <c r="L6" s="16" t="str">
        <f>"ตั้งแต่ "&amp;J6&amp;" เป็นต้นไป"</f>
        <v>ตั้งแต่ 61 เป็นต้นไป</v>
      </c>
      <c r="M6" s="16"/>
      <c r="N6" s="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6" t="s">
        <v>43</v>
      </c>
      <c r="B7" s="16"/>
      <c r="C7" s="134">
        <v>7.0</v>
      </c>
      <c r="D7" s="135" t="s">
        <v>169</v>
      </c>
      <c r="E7" s="135" t="s">
        <v>170</v>
      </c>
      <c r="F7" s="16"/>
      <c r="G7" s="138"/>
      <c r="H7" s="16"/>
      <c r="I7" s="16"/>
      <c r="J7" s="16"/>
      <c r="K7" s="16"/>
      <c r="L7" s="16"/>
      <c r="M7" s="16"/>
      <c r="N7" s="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16"/>
      <c r="B8" s="16"/>
      <c r="C8" s="134">
        <v>8.0</v>
      </c>
      <c r="D8" s="135" t="s">
        <v>171</v>
      </c>
      <c r="E8" s="135" t="s">
        <v>172</v>
      </c>
      <c r="F8" s="16"/>
      <c r="G8" s="138"/>
      <c r="H8" s="16"/>
      <c r="I8" s="16"/>
      <c r="J8" s="16"/>
      <c r="K8" s="16"/>
      <c r="L8" s="16"/>
      <c r="M8" s="16"/>
      <c r="N8" s="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16"/>
      <c r="B9" s="16"/>
      <c r="C9" s="134">
        <v>9.0</v>
      </c>
      <c r="D9" s="135" t="s">
        <v>173</v>
      </c>
      <c r="E9" s="135" t="s">
        <v>174</v>
      </c>
      <c r="F9" s="16"/>
      <c r="G9" s="138"/>
      <c r="H9" s="16"/>
      <c r="I9" s="16"/>
      <c r="J9" s="16"/>
      <c r="K9" s="16"/>
      <c r="L9" s="16"/>
      <c r="M9" s="16"/>
      <c r="N9" s="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16"/>
      <c r="B10" s="16"/>
      <c r="C10" s="134">
        <v>10.0</v>
      </c>
      <c r="D10" s="135" t="s">
        <v>175</v>
      </c>
      <c r="E10" s="135" t="s">
        <v>176</v>
      </c>
      <c r="F10" s="16"/>
      <c r="G10" s="138"/>
      <c r="H10" s="16"/>
      <c r="I10" s="16"/>
      <c r="J10" s="16"/>
      <c r="K10" s="16"/>
      <c r="L10" s="16"/>
      <c r="M10" s="16"/>
      <c r="N10" s="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16"/>
      <c r="B11" s="16"/>
      <c r="C11" s="134">
        <v>11.0</v>
      </c>
      <c r="D11" s="135" t="s">
        <v>177</v>
      </c>
      <c r="E11" s="135" t="s">
        <v>178</v>
      </c>
      <c r="F11" s="16"/>
      <c r="G11" s="138"/>
      <c r="H11" s="16"/>
      <c r="I11" s="16"/>
      <c r="J11" s="16"/>
      <c r="K11" s="16"/>
      <c r="L11" s="16"/>
      <c r="M11" s="16"/>
      <c r="N11" s="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16"/>
      <c r="B12" s="16"/>
      <c r="C12" s="134">
        <v>12.0</v>
      </c>
      <c r="D12" s="135" t="s">
        <v>179</v>
      </c>
      <c r="E12" s="135" t="s">
        <v>180</v>
      </c>
      <c r="F12" s="16"/>
      <c r="G12" s="138"/>
      <c r="H12" s="16"/>
      <c r="I12" s="16"/>
      <c r="J12" s="16"/>
      <c r="K12" s="16"/>
      <c r="L12" s="16"/>
      <c r="M12" s="16"/>
      <c r="N12" s="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16"/>
      <c r="B13" s="16"/>
      <c r="C13" s="16"/>
      <c r="D13" s="16"/>
      <c r="E13" s="16"/>
      <c r="F13" s="16"/>
      <c r="G13" s="138"/>
      <c r="H13" s="16"/>
      <c r="I13" s="16"/>
      <c r="J13" s="16"/>
      <c r="K13" s="16"/>
      <c r="L13" s="16"/>
      <c r="M13" s="16"/>
      <c r="N13" s="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16"/>
      <c r="B14" s="16"/>
      <c r="C14" s="16"/>
      <c r="D14" s="16"/>
      <c r="E14" s="16"/>
      <c r="F14" s="16"/>
      <c r="G14" s="138"/>
      <c r="H14" s="16"/>
      <c r="I14" s="16"/>
      <c r="J14" s="16"/>
      <c r="K14" s="16"/>
      <c r="L14" s="16"/>
      <c r="M14" s="16"/>
      <c r="N14" s="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16"/>
      <c r="B15" s="16"/>
      <c r="C15" s="16"/>
      <c r="D15" s="16"/>
      <c r="E15" s="16"/>
      <c r="F15" s="16"/>
      <c r="G15" s="138"/>
      <c r="H15" s="16"/>
      <c r="I15" s="16"/>
      <c r="J15" s="16"/>
      <c r="K15" s="16"/>
      <c r="L15" s="16"/>
      <c r="M15" s="16"/>
      <c r="N15" s="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16"/>
      <c r="B16" s="16"/>
      <c r="C16" s="16"/>
      <c r="D16" s="16"/>
      <c r="E16" s="16"/>
      <c r="F16" s="16"/>
      <c r="G16" s="138"/>
      <c r="H16" s="16"/>
      <c r="I16" s="16"/>
      <c r="J16" s="16"/>
      <c r="K16" s="16"/>
      <c r="L16" s="16"/>
      <c r="M16" s="16"/>
      <c r="N16" s="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16"/>
      <c r="B17" s="16"/>
      <c r="C17" s="16"/>
      <c r="D17" s="16"/>
      <c r="E17" s="16"/>
      <c r="F17" s="16"/>
      <c r="G17" s="138"/>
      <c r="H17" s="16"/>
      <c r="I17" s="16"/>
      <c r="J17" s="16"/>
      <c r="K17" s="16"/>
      <c r="L17" s="16"/>
      <c r="M17" s="16"/>
      <c r="N17" s="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16"/>
      <c r="B18" s="16"/>
      <c r="C18" s="16"/>
      <c r="D18" s="16"/>
      <c r="E18" s="16"/>
      <c r="F18" s="16"/>
      <c r="G18" s="138"/>
      <c r="H18" s="16"/>
      <c r="I18" s="16"/>
      <c r="J18" s="16"/>
      <c r="K18" s="16"/>
      <c r="L18" s="16"/>
      <c r="M18" s="16"/>
      <c r="N18" s="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16"/>
      <c r="B19" s="16"/>
      <c r="C19" s="16"/>
      <c r="D19" s="16"/>
      <c r="E19" s="16"/>
      <c r="F19" s="16"/>
      <c r="G19" s="138"/>
      <c r="H19" s="16"/>
      <c r="I19" s="16"/>
      <c r="J19" s="16"/>
      <c r="K19" s="16"/>
      <c r="L19" s="16"/>
      <c r="M19" s="16"/>
      <c r="N19" s="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16"/>
      <c r="B20" s="16"/>
      <c r="C20" s="16"/>
      <c r="D20" s="16"/>
      <c r="E20" s="16"/>
      <c r="F20" s="16"/>
      <c r="G20" s="138"/>
      <c r="H20" s="16"/>
      <c r="I20" s="16"/>
      <c r="J20" s="16"/>
      <c r="K20" s="16"/>
      <c r="L20" s="16"/>
      <c r="M20" s="16"/>
      <c r="N20" s="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16"/>
      <c r="B21" s="16"/>
      <c r="C21" s="16"/>
      <c r="D21" s="16"/>
      <c r="E21" s="16"/>
      <c r="F21" s="16"/>
      <c r="G21" s="138"/>
      <c r="H21" s="16"/>
      <c r="I21" s="16"/>
      <c r="J21" s="16"/>
      <c r="K21" s="16"/>
      <c r="L21" s="16"/>
      <c r="M21" s="16"/>
      <c r="N21" s="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16"/>
      <c r="B22" s="16"/>
      <c r="C22" s="16"/>
      <c r="D22" s="16"/>
      <c r="E22" s="16"/>
      <c r="F22" s="16"/>
      <c r="G22" s="138"/>
      <c r="H22" s="16"/>
      <c r="I22" s="16"/>
      <c r="J22" s="16"/>
      <c r="K22" s="16"/>
      <c r="L22" s="16"/>
      <c r="M22" s="16"/>
      <c r="N22" s="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16"/>
      <c r="B23" s="16"/>
      <c r="C23" s="16"/>
      <c r="D23" s="16"/>
      <c r="E23" s="16"/>
      <c r="F23" s="16"/>
      <c r="G23" s="138"/>
      <c r="H23" s="16"/>
      <c r="I23" s="16"/>
      <c r="J23" s="16"/>
      <c r="K23" s="16"/>
      <c r="L23" s="16"/>
      <c r="M23" s="16"/>
      <c r="N23" s="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16"/>
      <c r="B24" s="16"/>
      <c r="C24" s="16"/>
      <c r="D24" s="16"/>
      <c r="E24" s="16"/>
      <c r="F24" s="16"/>
      <c r="G24" s="138"/>
      <c r="H24" s="16"/>
      <c r="I24" s="16"/>
      <c r="J24" s="16"/>
      <c r="K24" s="16"/>
      <c r="L24" s="16"/>
      <c r="M24" s="16"/>
      <c r="N24" s="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16"/>
      <c r="B25" s="16"/>
      <c r="C25" s="16"/>
      <c r="D25" s="16"/>
      <c r="E25" s="16"/>
      <c r="F25" s="16"/>
      <c r="G25" s="138"/>
      <c r="H25" s="16"/>
      <c r="I25" s="16"/>
      <c r="J25" s="16"/>
      <c r="K25" s="16"/>
      <c r="L25" s="16"/>
      <c r="M25" s="16"/>
      <c r="N25" s="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16"/>
      <c r="B26" s="16"/>
      <c r="C26" s="16"/>
      <c r="D26" s="16"/>
      <c r="E26" s="16"/>
      <c r="F26" s="16"/>
      <c r="G26" s="138"/>
      <c r="H26" s="16"/>
      <c r="I26" s="16"/>
      <c r="J26" s="16"/>
      <c r="K26" s="16"/>
      <c r="L26" s="16"/>
      <c r="M26" s="16"/>
      <c r="N26" s="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6"/>
      <c r="B27" s="16"/>
      <c r="C27" s="16"/>
      <c r="D27" s="16"/>
      <c r="E27" s="16"/>
      <c r="F27" s="16"/>
      <c r="G27" s="138"/>
      <c r="H27" s="16"/>
      <c r="I27" s="16"/>
      <c r="J27" s="16"/>
      <c r="K27" s="16"/>
      <c r="L27" s="16"/>
      <c r="M27" s="16"/>
      <c r="N27" s="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16"/>
      <c r="B28" s="16"/>
      <c r="C28" s="16"/>
      <c r="D28" s="16"/>
      <c r="E28" s="16"/>
      <c r="F28" s="16"/>
      <c r="G28" s="138"/>
      <c r="H28" s="16"/>
      <c r="I28" s="16"/>
      <c r="J28" s="16"/>
      <c r="K28" s="16"/>
      <c r="L28" s="16"/>
      <c r="M28" s="16"/>
      <c r="N28" s="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16"/>
      <c r="B29" s="16"/>
      <c r="C29" s="16"/>
      <c r="D29" s="16"/>
      <c r="E29" s="16"/>
      <c r="F29" s="16"/>
      <c r="G29" s="138"/>
      <c r="H29" s="16"/>
      <c r="I29" s="16"/>
      <c r="J29" s="16"/>
      <c r="K29" s="16"/>
      <c r="L29" s="16"/>
      <c r="M29" s="16"/>
      <c r="N29" s="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6"/>
      <c r="B30" s="16"/>
      <c r="C30" s="16"/>
      <c r="D30" s="16"/>
      <c r="E30" s="16"/>
      <c r="F30" s="16"/>
      <c r="G30" s="138"/>
      <c r="H30" s="16"/>
      <c r="I30" s="16"/>
      <c r="J30" s="16"/>
      <c r="K30" s="16"/>
      <c r="L30" s="16"/>
      <c r="M30" s="16"/>
      <c r="N30" s="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6"/>
      <c r="B31" s="16"/>
      <c r="C31" s="16"/>
      <c r="D31" s="16"/>
      <c r="E31" s="16"/>
      <c r="F31" s="16"/>
      <c r="G31" s="138"/>
      <c r="H31" s="16"/>
      <c r="I31" s="16"/>
      <c r="J31" s="16"/>
      <c r="K31" s="16"/>
      <c r="L31" s="16"/>
      <c r="M31" s="16"/>
      <c r="N31" s="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6"/>
      <c r="B32" s="16"/>
      <c r="C32" s="16"/>
      <c r="D32" s="16"/>
      <c r="E32" s="16"/>
      <c r="F32" s="16"/>
      <c r="G32" s="138"/>
      <c r="H32" s="16"/>
      <c r="I32" s="16"/>
      <c r="J32" s="16"/>
      <c r="K32" s="16"/>
      <c r="L32" s="16"/>
      <c r="M32" s="16"/>
      <c r="N32" s="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6"/>
      <c r="B33" s="16"/>
      <c r="C33" s="16"/>
      <c r="D33" s="16"/>
      <c r="E33" s="16"/>
      <c r="F33" s="16"/>
      <c r="G33" s="138"/>
      <c r="H33" s="16"/>
      <c r="I33" s="16"/>
      <c r="J33" s="16"/>
      <c r="K33" s="16"/>
      <c r="L33" s="16"/>
      <c r="M33" s="16"/>
      <c r="N33" s="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6"/>
      <c r="B34" s="16"/>
      <c r="C34" s="16"/>
      <c r="D34" s="16"/>
      <c r="E34" s="16"/>
      <c r="F34" s="16"/>
      <c r="G34" s="138"/>
      <c r="H34" s="16"/>
      <c r="I34" s="16"/>
      <c r="J34" s="16"/>
      <c r="K34" s="16"/>
      <c r="L34" s="16"/>
      <c r="M34" s="16"/>
      <c r="N34" s="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6"/>
      <c r="B35" s="16"/>
      <c r="C35" s="16"/>
      <c r="D35" s="16"/>
      <c r="E35" s="16"/>
      <c r="F35" s="16"/>
      <c r="G35" s="138"/>
      <c r="H35" s="16"/>
      <c r="I35" s="16"/>
      <c r="J35" s="16"/>
      <c r="K35" s="16"/>
      <c r="L35" s="16"/>
      <c r="M35" s="16"/>
      <c r="N35" s="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6"/>
      <c r="B36" s="16"/>
      <c r="C36" s="16"/>
      <c r="D36" s="16"/>
      <c r="E36" s="16"/>
      <c r="F36" s="16"/>
      <c r="G36" s="138"/>
      <c r="H36" s="16"/>
      <c r="I36" s="16"/>
      <c r="J36" s="16"/>
      <c r="K36" s="16"/>
      <c r="L36" s="16"/>
      <c r="M36" s="16"/>
      <c r="N36" s="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6"/>
      <c r="B37" s="16"/>
      <c r="C37" s="16"/>
      <c r="D37" s="16"/>
      <c r="E37" s="16"/>
      <c r="F37" s="16"/>
      <c r="G37" s="138"/>
      <c r="H37" s="16"/>
      <c r="I37" s="16"/>
      <c r="J37" s="16"/>
      <c r="K37" s="16"/>
      <c r="L37" s="16"/>
      <c r="M37" s="16"/>
      <c r="N37" s="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6"/>
      <c r="B38" s="16"/>
      <c r="C38" s="16"/>
      <c r="D38" s="16"/>
      <c r="E38" s="16"/>
      <c r="F38" s="16"/>
      <c r="G38" s="138"/>
      <c r="H38" s="16"/>
      <c r="I38" s="16"/>
      <c r="J38" s="16"/>
      <c r="K38" s="16"/>
      <c r="L38" s="16"/>
      <c r="M38" s="16"/>
      <c r="N38" s="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6"/>
      <c r="B39" s="16"/>
      <c r="C39" s="16"/>
      <c r="D39" s="16"/>
      <c r="E39" s="16"/>
      <c r="F39" s="16"/>
      <c r="G39" s="138"/>
      <c r="H39" s="16"/>
      <c r="I39" s="16"/>
      <c r="J39" s="16"/>
      <c r="K39" s="16"/>
      <c r="L39" s="16"/>
      <c r="M39" s="16"/>
      <c r="N39" s="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6"/>
      <c r="B40" s="16"/>
      <c r="C40" s="16"/>
      <c r="D40" s="16"/>
      <c r="E40" s="16"/>
      <c r="F40" s="16"/>
      <c r="G40" s="138"/>
      <c r="H40" s="16"/>
      <c r="I40" s="16"/>
      <c r="J40" s="16"/>
      <c r="K40" s="16"/>
      <c r="L40" s="16"/>
      <c r="M40" s="16"/>
      <c r="N40" s="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6"/>
      <c r="B41" s="16"/>
      <c r="C41" s="16"/>
      <c r="D41" s="16"/>
      <c r="E41" s="16"/>
      <c r="F41" s="16"/>
      <c r="G41" s="138"/>
      <c r="H41" s="16"/>
      <c r="I41" s="16"/>
      <c r="J41" s="16"/>
      <c r="K41" s="16"/>
      <c r="L41" s="16"/>
      <c r="M41" s="16"/>
      <c r="N41" s="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6"/>
      <c r="B42" s="16"/>
      <c r="C42" s="16"/>
      <c r="D42" s="16"/>
      <c r="E42" s="16"/>
      <c r="F42" s="16"/>
      <c r="G42" s="138"/>
      <c r="H42" s="16"/>
      <c r="I42" s="16"/>
      <c r="J42" s="16"/>
      <c r="K42" s="16"/>
      <c r="L42" s="16"/>
      <c r="M42" s="16"/>
      <c r="N42" s="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6"/>
      <c r="B43" s="16"/>
      <c r="C43" s="16"/>
      <c r="D43" s="16"/>
      <c r="E43" s="16"/>
      <c r="F43" s="16"/>
      <c r="G43" s="138"/>
      <c r="H43" s="16"/>
      <c r="I43" s="16"/>
      <c r="J43" s="16"/>
      <c r="K43" s="16"/>
      <c r="L43" s="16"/>
      <c r="M43" s="16"/>
      <c r="N43" s="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6"/>
      <c r="B44" s="16"/>
      <c r="C44" s="16"/>
      <c r="D44" s="16"/>
      <c r="E44" s="16"/>
      <c r="F44" s="16"/>
      <c r="G44" s="138"/>
      <c r="H44" s="16"/>
      <c r="I44" s="16"/>
      <c r="J44" s="16"/>
      <c r="K44" s="16"/>
      <c r="L44" s="16"/>
      <c r="M44" s="16"/>
      <c r="N44" s="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6"/>
      <c r="B45" s="16"/>
      <c r="C45" s="16"/>
      <c r="D45" s="16"/>
      <c r="E45" s="16"/>
      <c r="F45" s="16"/>
      <c r="G45" s="138"/>
      <c r="H45" s="16"/>
      <c r="I45" s="16"/>
      <c r="J45" s="16"/>
      <c r="K45" s="16"/>
      <c r="L45" s="16"/>
      <c r="M45" s="16"/>
      <c r="N45" s="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6"/>
      <c r="B46" s="16"/>
      <c r="C46" s="16"/>
      <c r="D46" s="16"/>
      <c r="E46" s="16"/>
      <c r="F46" s="16"/>
      <c r="G46" s="138"/>
      <c r="H46" s="16"/>
      <c r="I46" s="16"/>
      <c r="J46" s="16"/>
      <c r="K46" s="16"/>
      <c r="L46" s="16"/>
      <c r="M46" s="16"/>
      <c r="N46" s="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6"/>
      <c r="B47" s="16"/>
      <c r="C47" s="16"/>
      <c r="D47" s="16"/>
      <c r="E47" s="16"/>
      <c r="F47" s="16"/>
      <c r="G47" s="138"/>
      <c r="H47" s="16"/>
      <c r="I47" s="16"/>
      <c r="J47" s="16"/>
      <c r="K47" s="16"/>
      <c r="L47" s="16"/>
      <c r="M47" s="16"/>
      <c r="N47" s="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6"/>
      <c r="B48" s="16"/>
      <c r="C48" s="16"/>
      <c r="D48" s="16"/>
      <c r="E48" s="16"/>
      <c r="F48" s="16"/>
      <c r="G48" s="138"/>
      <c r="H48" s="16"/>
      <c r="I48" s="16"/>
      <c r="J48" s="16"/>
      <c r="K48" s="16"/>
      <c r="L48" s="16"/>
      <c r="M48" s="16"/>
      <c r="N48" s="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6"/>
      <c r="B49" s="16"/>
      <c r="C49" s="16"/>
      <c r="D49" s="16"/>
      <c r="E49" s="16"/>
      <c r="F49" s="16"/>
      <c r="G49" s="138"/>
      <c r="H49" s="16"/>
      <c r="I49" s="16"/>
      <c r="J49" s="16"/>
      <c r="K49" s="16"/>
      <c r="L49" s="16"/>
      <c r="M49" s="16"/>
      <c r="N49" s="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6"/>
      <c r="B50" s="16"/>
      <c r="C50" s="16"/>
      <c r="D50" s="16"/>
      <c r="E50" s="16"/>
      <c r="F50" s="16"/>
      <c r="G50" s="138"/>
      <c r="H50" s="16"/>
      <c r="I50" s="16"/>
      <c r="J50" s="16"/>
      <c r="K50" s="16"/>
      <c r="L50" s="16"/>
      <c r="M50" s="16"/>
      <c r="N50" s="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6"/>
      <c r="B51" s="16"/>
      <c r="C51" s="16"/>
      <c r="D51" s="16"/>
      <c r="E51" s="16"/>
      <c r="F51" s="16"/>
      <c r="G51" s="138"/>
      <c r="H51" s="16"/>
      <c r="I51" s="16"/>
      <c r="J51" s="16"/>
      <c r="K51" s="16"/>
      <c r="L51" s="16"/>
      <c r="M51" s="16"/>
      <c r="N51" s="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6"/>
      <c r="B52" s="16"/>
      <c r="C52" s="16"/>
      <c r="D52" s="16"/>
      <c r="E52" s="16"/>
      <c r="F52" s="16"/>
      <c r="G52" s="138"/>
      <c r="H52" s="16"/>
      <c r="I52" s="16"/>
      <c r="J52" s="16"/>
      <c r="K52" s="16"/>
      <c r="L52" s="16"/>
      <c r="M52" s="16"/>
      <c r="N52" s="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6"/>
      <c r="B53" s="16"/>
      <c r="C53" s="16"/>
      <c r="D53" s="16"/>
      <c r="E53" s="16"/>
      <c r="F53" s="16"/>
      <c r="G53" s="138"/>
      <c r="H53" s="16"/>
      <c r="I53" s="16"/>
      <c r="J53" s="16"/>
      <c r="K53" s="16"/>
      <c r="L53" s="16"/>
      <c r="M53" s="16"/>
      <c r="N53" s="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6"/>
      <c r="B54" s="16"/>
      <c r="C54" s="16"/>
      <c r="D54" s="16"/>
      <c r="E54" s="16"/>
      <c r="F54" s="16"/>
      <c r="G54" s="138"/>
      <c r="H54" s="16"/>
      <c r="I54" s="16"/>
      <c r="J54" s="16"/>
      <c r="K54" s="16"/>
      <c r="L54" s="16"/>
      <c r="M54" s="16"/>
      <c r="N54" s="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6"/>
      <c r="B55" s="16"/>
      <c r="C55" s="16"/>
      <c r="D55" s="16"/>
      <c r="E55" s="16"/>
      <c r="F55" s="16"/>
      <c r="G55" s="138"/>
      <c r="H55" s="16"/>
      <c r="I55" s="16"/>
      <c r="J55" s="16"/>
      <c r="K55" s="16"/>
      <c r="L55" s="16"/>
      <c r="M55" s="16"/>
      <c r="N55" s="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6"/>
      <c r="B56" s="16"/>
      <c r="C56" s="16"/>
      <c r="D56" s="16"/>
      <c r="E56" s="16"/>
      <c r="F56" s="16"/>
      <c r="G56" s="138"/>
      <c r="H56" s="16"/>
      <c r="I56" s="16"/>
      <c r="J56" s="16"/>
      <c r="K56" s="16"/>
      <c r="L56" s="16"/>
      <c r="M56" s="16"/>
      <c r="N56" s="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6"/>
      <c r="B57" s="16"/>
      <c r="C57" s="16"/>
      <c r="D57" s="16"/>
      <c r="E57" s="16"/>
      <c r="F57" s="16"/>
      <c r="G57" s="138"/>
      <c r="H57" s="16"/>
      <c r="I57" s="16"/>
      <c r="J57" s="16"/>
      <c r="K57" s="16"/>
      <c r="L57" s="16"/>
      <c r="M57" s="16"/>
      <c r="N57" s="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6"/>
      <c r="B58" s="16"/>
      <c r="C58" s="16"/>
      <c r="D58" s="16"/>
      <c r="E58" s="16"/>
      <c r="F58" s="16"/>
      <c r="G58" s="138"/>
      <c r="H58" s="16"/>
      <c r="I58" s="16"/>
      <c r="J58" s="16"/>
      <c r="K58" s="16"/>
      <c r="L58" s="16"/>
      <c r="M58" s="16"/>
      <c r="N58" s="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6"/>
      <c r="B59" s="16"/>
      <c r="C59" s="16"/>
      <c r="D59" s="16"/>
      <c r="E59" s="16"/>
      <c r="F59" s="16"/>
      <c r="G59" s="138"/>
      <c r="H59" s="16"/>
      <c r="I59" s="16"/>
      <c r="J59" s="16"/>
      <c r="K59" s="16"/>
      <c r="L59" s="16"/>
      <c r="M59" s="16"/>
      <c r="N59" s="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6"/>
      <c r="B60" s="16"/>
      <c r="C60" s="16"/>
      <c r="D60" s="16"/>
      <c r="E60" s="16"/>
      <c r="F60" s="16"/>
      <c r="G60" s="138"/>
      <c r="H60" s="16"/>
      <c r="I60" s="16"/>
      <c r="J60" s="16"/>
      <c r="K60" s="16"/>
      <c r="L60" s="16"/>
      <c r="M60" s="16"/>
      <c r="N60" s="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6"/>
      <c r="B61" s="16"/>
      <c r="C61" s="16"/>
      <c r="D61" s="16"/>
      <c r="E61" s="16"/>
      <c r="F61" s="16"/>
      <c r="G61" s="138"/>
      <c r="H61" s="16"/>
      <c r="I61" s="16"/>
      <c r="J61" s="16"/>
      <c r="K61" s="16"/>
      <c r="L61" s="16"/>
      <c r="M61" s="16"/>
      <c r="N61" s="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6"/>
      <c r="B62" s="16"/>
      <c r="C62" s="16"/>
      <c r="D62" s="16"/>
      <c r="E62" s="16"/>
      <c r="F62" s="16"/>
      <c r="G62" s="138"/>
      <c r="H62" s="16"/>
      <c r="I62" s="16"/>
      <c r="J62" s="16"/>
      <c r="K62" s="16"/>
      <c r="L62" s="16"/>
      <c r="M62" s="16"/>
      <c r="N62" s="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6"/>
      <c r="B63" s="16"/>
      <c r="C63" s="16"/>
      <c r="D63" s="16"/>
      <c r="E63" s="16"/>
      <c r="F63" s="16"/>
      <c r="G63" s="138"/>
      <c r="H63" s="16"/>
      <c r="I63" s="16"/>
      <c r="J63" s="16"/>
      <c r="K63" s="16"/>
      <c r="L63" s="16"/>
      <c r="M63" s="16"/>
      <c r="N63" s="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6"/>
      <c r="B64" s="16"/>
      <c r="C64" s="16"/>
      <c r="D64" s="16"/>
      <c r="E64" s="16"/>
      <c r="F64" s="16"/>
      <c r="G64" s="138"/>
      <c r="H64" s="16"/>
      <c r="I64" s="16"/>
      <c r="J64" s="16"/>
      <c r="K64" s="16"/>
      <c r="L64" s="16"/>
      <c r="M64" s="16"/>
      <c r="N64" s="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6"/>
      <c r="B65" s="16"/>
      <c r="C65" s="16"/>
      <c r="D65" s="16"/>
      <c r="E65" s="16"/>
      <c r="F65" s="16"/>
      <c r="G65" s="138"/>
      <c r="H65" s="16"/>
      <c r="I65" s="16"/>
      <c r="J65" s="16"/>
      <c r="K65" s="16"/>
      <c r="L65" s="16"/>
      <c r="M65" s="16"/>
      <c r="N65" s="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6"/>
      <c r="B66" s="16"/>
      <c r="C66" s="16"/>
      <c r="D66" s="16"/>
      <c r="E66" s="16"/>
      <c r="F66" s="16"/>
      <c r="G66" s="138"/>
      <c r="H66" s="16"/>
      <c r="I66" s="16"/>
      <c r="J66" s="16"/>
      <c r="K66" s="16"/>
      <c r="L66" s="16"/>
      <c r="M66" s="16"/>
      <c r="N66" s="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6"/>
      <c r="B67" s="16"/>
      <c r="C67" s="16"/>
      <c r="D67" s="16"/>
      <c r="E67" s="16"/>
      <c r="F67" s="16"/>
      <c r="G67" s="138"/>
      <c r="H67" s="16"/>
      <c r="I67" s="16"/>
      <c r="J67" s="16"/>
      <c r="K67" s="16"/>
      <c r="L67" s="16"/>
      <c r="M67" s="16"/>
      <c r="N67" s="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6"/>
      <c r="B68" s="16"/>
      <c r="C68" s="16"/>
      <c r="D68" s="16"/>
      <c r="E68" s="16"/>
      <c r="F68" s="16"/>
      <c r="G68" s="138"/>
      <c r="H68" s="16"/>
      <c r="I68" s="16"/>
      <c r="J68" s="16"/>
      <c r="K68" s="16"/>
      <c r="L68" s="16"/>
      <c r="M68" s="16"/>
      <c r="N68" s="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6"/>
      <c r="B69" s="16"/>
      <c r="C69" s="16"/>
      <c r="D69" s="16"/>
      <c r="E69" s="16"/>
      <c r="F69" s="16"/>
      <c r="G69" s="138"/>
      <c r="H69" s="16"/>
      <c r="I69" s="16"/>
      <c r="J69" s="16"/>
      <c r="K69" s="16"/>
      <c r="L69" s="16"/>
      <c r="M69" s="16"/>
      <c r="N69" s="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6"/>
      <c r="B70" s="16"/>
      <c r="C70" s="16"/>
      <c r="D70" s="16"/>
      <c r="E70" s="16"/>
      <c r="F70" s="16"/>
      <c r="G70" s="138"/>
      <c r="H70" s="16"/>
      <c r="I70" s="16"/>
      <c r="J70" s="16"/>
      <c r="K70" s="16"/>
      <c r="L70" s="16"/>
      <c r="M70" s="16"/>
      <c r="N70" s="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6"/>
      <c r="B71" s="16"/>
      <c r="C71" s="16"/>
      <c r="D71" s="16"/>
      <c r="E71" s="16"/>
      <c r="F71" s="16"/>
      <c r="G71" s="138"/>
      <c r="H71" s="16"/>
      <c r="I71" s="16"/>
      <c r="J71" s="16"/>
      <c r="K71" s="16"/>
      <c r="L71" s="16"/>
      <c r="M71" s="16"/>
      <c r="N71" s="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6"/>
      <c r="B72" s="16"/>
      <c r="C72" s="16"/>
      <c r="D72" s="16"/>
      <c r="E72" s="16"/>
      <c r="F72" s="16"/>
      <c r="G72" s="138"/>
      <c r="H72" s="16"/>
      <c r="I72" s="16"/>
      <c r="J72" s="16"/>
      <c r="K72" s="16"/>
      <c r="L72" s="16"/>
      <c r="M72" s="16"/>
      <c r="N72" s="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6"/>
      <c r="B73" s="16"/>
      <c r="C73" s="16"/>
      <c r="D73" s="16"/>
      <c r="E73" s="16"/>
      <c r="F73" s="16"/>
      <c r="G73" s="138"/>
      <c r="H73" s="16"/>
      <c r="I73" s="16"/>
      <c r="J73" s="16"/>
      <c r="K73" s="16"/>
      <c r="L73" s="16"/>
      <c r="M73" s="16"/>
      <c r="N73" s="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6"/>
      <c r="B74" s="16"/>
      <c r="C74" s="16"/>
      <c r="D74" s="16"/>
      <c r="E74" s="16"/>
      <c r="F74" s="16"/>
      <c r="G74" s="138"/>
      <c r="H74" s="16"/>
      <c r="I74" s="16"/>
      <c r="J74" s="16"/>
      <c r="K74" s="16"/>
      <c r="L74" s="16"/>
      <c r="M74" s="16"/>
      <c r="N74" s="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6"/>
      <c r="B75" s="16"/>
      <c r="C75" s="16"/>
      <c r="D75" s="16"/>
      <c r="E75" s="16"/>
      <c r="F75" s="16"/>
      <c r="G75" s="138"/>
      <c r="H75" s="16"/>
      <c r="I75" s="16"/>
      <c r="J75" s="16"/>
      <c r="K75" s="16"/>
      <c r="L75" s="16"/>
      <c r="M75" s="16"/>
      <c r="N75" s="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6"/>
      <c r="B76" s="16"/>
      <c r="C76" s="16"/>
      <c r="D76" s="16"/>
      <c r="E76" s="16"/>
      <c r="F76" s="16"/>
      <c r="G76" s="138"/>
      <c r="H76" s="16"/>
      <c r="I76" s="16"/>
      <c r="J76" s="16"/>
      <c r="K76" s="16"/>
      <c r="L76" s="16"/>
      <c r="M76" s="16"/>
      <c r="N76" s="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6"/>
      <c r="B77" s="16"/>
      <c r="C77" s="16"/>
      <c r="D77" s="16"/>
      <c r="E77" s="16"/>
      <c r="F77" s="16"/>
      <c r="G77" s="138"/>
      <c r="H77" s="16"/>
      <c r="I77" s="16"/>
      <c r="J77" s="16"/>
      <c r="K77" s="16"/>
      <c r="L77" s="16"/>
      <c r="M77" s="16"/>
      <c r="N77" s="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6"/>
      <c r="B78" s="16"/>
      <c r="C78" s="16"/>
      <c r="D78" s="16"/>
      <c r="E78" s="16"/>
      <c r="F78" s="16"/>
      <c r="G78" s="138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6"/>
      <c r="B79" s="16"/>
      <c r="C79" s="16"/>
      <c r="D79" s="16"/>
      <c r="E79" s="16"/>
      <c r="F79" s="16"/>
      <c r="G79" s="138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6"/>
      <c r="B80" s="16"/>
      <c r="C80" s="16"/>
      <c r="D80" s="16"/>
      <c r="E80" s="16"/>
      <c r="F80" s="16"/>
      <c r="G80" s="138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6"/>
      <c r="B81" s="16"/>
      <c r="C81" s="16"/>
      <c r="D81" s="16"/>
      <c r="E81" s="16"/>
      <c r="F81" s="16"/>
      <c r="G81" s="138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6"/>
      <c r="B82" s="16"/>
      <c r="C82" s="16"/>
      <c r="D82" s="16"/>
      <c r="E82" s="16"/>
      <c r="F82" s="16"/>
      <c r="G82" s="138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6"/>
      <c r="B83" s="16"/>
      <c r="C83" s="16"/>
      <c r="D83" s="16"/>
      <c r="E83" s="16"/>
      <c r="F83" s="16"/>
      <c r="G83" s="138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6"/>
      <c r="B84" s="16"/>
      <c r="C84" s="16"/>
      <c r="D84" s="16"/>
      <c r="E84" s="16"/>
      <c r="F84" s="16"/>
      <c r="G84" s="138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6"/>
      <c r="B85" s="16"/>
      <c r="C85" s="16"/>
      <c r="D85" s="16"/>
      <c r="E85" s="16"/>
      <c r="F85" s="16"/>
      <c r="G85" s="138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6"/>
      <c r="B86" s="16"/>
      <c r="C86" s="16"/>
      <c r="D86" s="16"/>
      <c r="E86" s="16"/>
      <c r="F86" s="16"/>
      <c r="G86" s="138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6"/>
      <c r="B87" s="16"/>
      <c r="C87" s="16"/>
      <c r="D87" s="16"/>
      <c r="E87" s="16"/>
      <c r="F87" s="16"/>
      <c r="G87" s="138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6"/>
      <c r="B88" s="16"/>
      <c r="C88" s="16"/>
      <c r="D88" s="16"/>
      <c r="E88" s="16"/>
      <c r="F88" s="16"/>
      <c r="G88" s="138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6"/>
      <c r="B89" s="16"/>
      <c r="C89" s="16"/>
      <c r="D89" s="16"/>
      <c r="E89" s="16"/>
      <c r="F89" s="16"/>
      <c r="G89" s="138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6"/>
      <c r="B90" s="16"/>
      <c r="C90" s="16"/>
      <c r="D90" s="16"/>
      <c r="E90" s="16"/>
      <c r="F90" s="16"/>
      <c r="G90" s="138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6"/>
      <c r="B91" s="16"/>
      <c r="C91" s="16"/>
      <c r="D91" s="16"/>
      <c r="E91" s="16"/>
      <c r="F91" s="16"/>
      <c r="G91" s="138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6"/>
      <c r="B92" s="16"/>
      <c r="C92" s="16"/>
      <c r="D92" s="16"/>
      <c r="E92" s="16"/>
      <c r="F92" s="16"/>
      <c r="G92" s="138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6"/>
      <c r="B93" s="16"/>
      <c r="C93" s="16"/>
      <c r="D93" s="16"/>
      <c r="E93" s="16"/>
      <c r="F93" s="16"/>
      <c r="G93" s="138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6"/>
      <c r="B94" s="16"/>
      <c r="C94" s="16"/>
      <c r="D94" s="16"/>
      <c r="E94" s="16"/>
      <c r="F94" s="16"/>
      <c r="G94" s="138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6"/>
      <c r="B95" s="16"/>
      <c r="C95" s="16"/>
      <c r="D95" s="16"/>
      <c r="E95" s="16"/>
      <c r="F95" s="16"/>
      <c r="G95" s="138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6"/>
      <c r="B96" s="16"/>
      <c r="C96" s="16"/>
      <c r="D96" s="16"/>
      <c r="E96" s="16"/>
      <c r="F96" s="16"/>
      <c r="G96" s="138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6"/>
      <c r="B97" s="16"/>
      <c r="C97" s="16"/>
      <c r="D97" s="16"/>
      <c r="E97" s="16"/>
      <c r="F97" s="16"/>
      <c r="G97" s="138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6"/>
      <c r="B98" s="16"/>
      <c r="C98" s="16"/>
      <c r="D98" s="16"/>
      <c r="E98" s="16"/>
      <c r="F98" s="16"/>
      <c r="G98" s="138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6"/>
      <c r="B99" s="16"/>
      <c r="C99" s="16"/>
      <c r="D99" s="16"/>
      <c r="E99" s="16"/>
      <c r="F99" s="16"/>
      <c r="G99" s="138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6"/>
      <c r="B100" s="16"/>
      <c r="C100" s="16"/>
      <c r="D100" s="16"/>
      <c r="E100" s="16"/>
      <c r="F100" s="16"/>
      <c r="G100" s="138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6"/>
      <c r="B101" s="16"/>
      <c r="C101" s="16"/>
      <c r="D101" s="16"/>
      <c r="E101" s="16"/>
      <c r="F101" s="16"/>
      <c r="G101" s="138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6"/>
      <c r="B102" s="16"/>
      <c r="C102" s="16"/>
      <c r="D102" s="16"/>
      <c r="E102" s="16"/>
      <c r="F102" s="16"/>
      <c r="G102" s="138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6"/>
      <c r="B103" s="16"/>
      <c r="C103" s="16"/>
      <c r="D103" s="16"/>
      <c r="E103" s="16"/>
      <c r="F103" s="16"/>
      <c r="G103" s="138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6"/>
      <c r="B104" s="16"/>
      <c r="C104" s="16"/>
      <c r="D104" s="16"/>
      <c r="E104" s="16"/>
      <c r="F104" s="16"/>
      <c r="G104" s="138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6"/>
      <c r="B105" s="16"/>
      <c r="C105" s="16"/>
      <c r="D105" s="16"/>
      <c r="E105" s="16"/>
      <c r="F105" s="16"/>
      <c r="G105" s="138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6"/>
      <c r="B106" s="16"/>
      <c r="C106" s="16"/>
      <c r="D106" s="16"/>
      <c r="E106" s="16"/>
      <c r="F106" s="16"/>
      <c r="G106" s="138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/>
      <c r="B107" s="16"/>
      <c r="C107" s="16"/>
      <c r="D107" s="16"/>
      <c r="E107" s="16"/>
      <c r="F107" s="16"/>
      <c r="G107" s="138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/>
      <c r="B108" s="16"/>
      <c r="C108" s="16"/>
      <c r="D108" s="16"/>
      <c r="E108" s="16"/>
      <c r="F108" s="16"/>
      <c r="G108" s="138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/>
      <c r="B109" s="16"/>
      <c r="C109" s="16"/>
      <c r="D109" s="16"/>
      <c r="E109" s="16"/>
      <c r="F109" s="16"/>
      <c r="G109" s="138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/>
      <c r="B110" s="16"/>
      <c r="C110" s="16"/>
      <c r="D110" s="16"/>
      <c r="E110" s="16"/>
      <c r="F110" s="16"/>
      <c r="G110" s="138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6"/>
      <c r="B111" s="16"/>
      <c r="C111" s="16"/>
      <c r="D111" s="16"/>
      <c r="E111" s="16"/>
      <c r="F111" s="16"/>
      <c r="G111" s="138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6"/>
      <c r="B112" s="16"/>
      <c r="C112" s="16"/>
      <c r="D112" s="16"/>
      <c r="E112" s="16"/>
      <c r="F112" s="16"/>
      <c r="G112" s="138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6"/>
      <c r="B113" s="16"/>
      <c r="C113" s="16"/>
      <c r="D113" s="16"/>
      <c r="E113" s="16"/>
      <c r="F113" s="16"/>
      <c r="G113" s="138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6"/>
      <c r="B114" s="16"/>
      <c r="C114" s="16"/>
      <c r="D114" s="16"/>
      <c r="E114" s="16"/>
      <c r="F114" s="16"/>
      <c r="G114" s="138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6"/>
      <c r="B115" s="16"/>
      <c r="C115" s="16"/>
      <c r="D115" s="16"/>
      <c r="E115" s="16"/>
      <c r="F115" s="16"/>
      <c r="G115" s="138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6"/>
      <c r="B116" s="16"/>
      <c r="C116" s="16"/>
      <c r="D116" s="16"/>
      <c r="E116" s="16"/>
      <c r="F116" s="16"/>
      <c r="G116" s="138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6"/>
      <c r="B117" s="16"/>
      <c r="C117" s="16"/>
      <c r="D117" s="16"/>
      <c r="E117" s="16"/>
      <c r="F117" s="16"/>
      <c r="G117" s="138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6"/>
      <c r="B118" s="16"/>
      <c r="C118" s="16"/>
      <c r="D118" s="16"/>
      <c r="E118" s="16"/>
      <c r="F118" s="16"/>
      <c r="G118" s="138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6"/>
      <c r="B119" s="16"/>
      <c r="C119" s="16"/>
      <c r="D119" s="16"/>
      <c r="E119" s="16"/>
      <c r="F119" s="16"/>
      <c r="G119" s="138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6"/>
      <c r="B120" s="16"/>
      <c r="C120" s="16"/>
      <c r="D120" s="16"/>
      <c r="E120" s="16"/>
      <c r="F120" s="16"/>
      <c r="G120" s="138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6"/>
      <c r="B121" s="16"/>
      <c r="C121" s="16"/>
      <c r="D121" s="16"/>
      <c r="E121" s="16"/>
      <c r="F121" s="16"/>
      <c r="G121" s="138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6"/>
      <c r="B122" s="16"/>
      <c r="C122" s="16"/>
      <c r="D122" s="16"/>
      <c r="E122" s="16"/>
      <c r="F122" s="16"/>
      <c r="G122" s="138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6"/>
      <c r="B123" s="16"/>
      <c r="C123" s="16"/>
      <c r="D123" s="16"/>
      <c r="E123" s="16"/>
      <c r="F123" s="16"/>
      <c r="G123" s="138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6"/>
      <c r="B124" s="16"/>
      <c r="C124" s="16"/>
      <c r="D124" s="16"/>
      <c r="E124" s="16"/>
      <c r="F124" s="16"/>
      <c r="G124" s="138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/>
      <c r="B125" s="16"/>
      <c r="C125" s="16"/>
      <c r="D125" s="16"/>
      <c r="E125" s="16"/>
      <c r="F125" s="16"/>
      <c r="G125" s="138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/>
      <c r="B126" s="16"/>
      <c r="C126" s="16"/>
      <c r="D126" s="16"/>
      <c r="E126" s="16"/>
      <c r="F126" s="16"/>
      <c r="G126" s="138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/>
      <c r="B127" s="16"/>
      <c r="C127" s="16"/>
      <c r="D127" s="16"/>
      <c r="E127" s="16"/>
      <c r="F127" s="16"/>
      <c r="G127" s="138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6"/>
      <c r="B128" s="16"/>
      <c r="C128" s="16"/>
      <c r="D128" s="16"/>
      <c r="E128" s="16"/>
      <c r="F128" s="16"/>
      <c r="G128" s="138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6"/>
      <c r="B129" s="16"/>
      <c r="C129" s="16"/>
      <c r="D129" s="16"/>
      <c r="E129" s="16"/>
      <c r="F129" s="16"/>
      <c r="G129" s="138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6"/>
      <c r="B130" s="16"/>
      <c r="C130" s="16"/>
      <c r="D130" s="16"/>
      <c r="E130" s="16"/>
      <c r="F130" s="16"/>
      <c r="G130" s="138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6"/>
      <c r="B131" s="16"/>
      <c r="C131" s="16"/>
      <c r="D131" s="16"/>
      <c r="E131" s="16"/>
      <c r="F131" s="16"/>
      <c r="G131" s="138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6"/>
      <c r="B132" s="16"/>
      <c r="C132" s="16"/>
      <c r="D132" s="16"/>
      <c r="E132" s="16"/>
      <c r="F132" s="16"/>
      <c r="G132" s="138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6"/>
      <c r="B133" s="16"/>
      <c r="C133" s="16"/>
      <c r="D133" s="16"/>
      <c r="E133" s="16"/>
      <c r="F133" s="16"/>
      <c r="G133" s="138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6"/>
      <c r="B134" s="16"/>
      <c r="C134" s="16"/>
      <c r="D134" s="16"/>
      <c r="E134" s="16"/>
      <c r="F134" s="16"/>
      <c r="G134" s="138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6"/>
      <c r="B135" s="16"/>
      <c r="C135" s="16"/>
      <c r="D135" s="16"/>
      <c r="E135" s="16"/>
      <c r="F135" s="16"/>
      <c r="G135" s="138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6"/>
      <c r="B136" s="16"/>
      <c r="C136" s="16"/>
      <c r="D136" s="16"/>
      <c r="E136" s="16"/>
      <c r="F136" s="16"/>
      <c r="G136" s="138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6"/>
      <c r="B137" s="16"/>
      <c r="C137" s="16"/>
      <c r="D137" s="16"/>
      <c r="E137" s="16"/>
      <c r="F137" s="16"/>
      <c r="G137" s="138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6"/>
      <c r="B138" s="16"/>
      <c r="C138" s="16"/>
      <c r="D138" s="16"/>
      <c r="E138" s="16"/>
      <c r="F138" s="16"/>
      <c r="G138" s="138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6"/>
      <c r="B139" s="16"/>
      <c r="C139" s="16"/>
      <c r="D139" s="16"/>
      <c r="E139" s="16"/>
      <c r="F139" s="16"/>
      <c r="G139" s="138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6"/>
      <c r="B140" s="16"/>
      <c r="C140" s="16"/>
      <c r="D140" s="16"/>
      <c r="E140" s="16"/>
      <c r="F140" s="16"/>
      <c r="G140" s="138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6"/>
      <c r="B141" s="16"/>
      <c r="C141" s="16"/>
      <c r="D141" s="16"/>
      <c r="E141" s="16"/>
      <c r="F141" s="16"/>
      <c r="G141" s="138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6"/>
      <c r="B142" s="16"/>
      <c r="C142" s="16"/>
      <c r="D142" s="16"/>
      <c r="E142" s="16"/>
      <c r="F142" s="16"/>
      <c r="G142" s="138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/>
      <c r="B143" s="16"/>
      <c r="C143" s="16"/>
      <c r="D143" s="16"/>
      <c r="E143" s="16"/>
      <c r="F143" s="16"/>
      <c r="G143" s="138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/>
      <c r="B144" s="16"/>
      <c r="C144" s="16"/>
      <c r="D144" s="16"/>
      <c r="E144" s="16"/>
      <c r="F144" s="16"/>
      <c r="G144" s="138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/>
      <c r="B145" s="16"/>
      <c r="C145" s="16"/>
      <c r="D145" s="16"/>
      <c r="E145" s="16"/>
      <c r="F145" s="16"/>
      <c r="G145" s="138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6"/>
      <c r="B146" s="16"/>
      <c r="C146" s="16"/>
      <c r="D146" s="16"/>
      <c r="E146" s="16"/>
      <c r="F146" s="16"/>
      <c r="G146" s="138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6"/>
      <c r="B147" s="16"/>
      <c r="C147" s="16"/>
      <c r="D147" s="16"/>
      <c r="E147" s="16"/>
      <c r="F147" s="16"/>
      <c r="G147" s="138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6"/>
      <c r="B148" s="16"/>
      <c r="C148" s="16"/>
      <c r="D148" s="16"/>
      <c r="E148" s="16"/>
      <c r="F148" s="16"/>
      <c r="G148" s="138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6"/>
      <c r="B149" s="16"/>
      <c r="C149" s="16"/>
      <c r="D149" s="16"/>
      <c r="E149" s="16"/>
      <c r="F149" s="16"/>
      <c r="G149" s="138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6"/>
      <c r="B150" s="16"/>
      <c r="C150" s="16"/>
      <c r="D150" s="16"/>
      <c r="E150" s="16"/>
      <c r="F150" s="16"/>
      <c r="G150" s="138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6"/>
      <c r="B151" s="16"/>
      <c r="C151" s="16"/>
      <c r="D151" s="16"/>
      <c r="E151" s="16"/>
      <c r="F151" s="16"/>
      <c r="G151" s="138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6"/>
      <c r="B152" s="16"/>
      <c r="C152" s="16"/>
      <c r="D152" s="16"/>
      <c r="E152" s="16"/>
      <c r="F152" s="16"/>
      <c r="G152" s="138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6"/>
      <c r="B153" s="16"/>
      <c r="C153" s="16"/>
      <c r="D153" s="16"/>
      <c r="E153" s="16"/>
      <c r="F153" s="16"/>
      <c r="G153" s="138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6"/>
      <c r="B154" s="16"/>
      <c r="C154" s="16"/>
      <c r="D154" s="16"/>
      <c r="E154" s="16"/>
      <c r="F154" s="16"/>
      <c r="G154" s="138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6"/>
      <c r="B155" s="16"/>
      <c r="C155" s="16"/>
      <c r="D155" s="16"/>
      <c r="E155" s="16"/>
      <c r="F155" s="16"/>
      <c r="G155" s="138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6"/>
      <c r="B156" s="16"/>
      <c r="C156" s="16"/>
      <c r="D156" s="16"/>
      <c r="E156" s="16"/>
      <c r="F156" s="16"/>
      <c r="G156" s="138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6"/>
      <c r="B157" s="16"/>
      <c r="C157" s="16"/>
      <c r="D157" s="16"/>
      <c r="E157" s="16"/>
      <c r="F157" s="16"/>
      <c r="G157" s="138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6"/>
      <c r="B158" s="16"/>
      <c r="C158" s="16"/>
      <c r="D158" s="16"/>
      <c r="E158" s="16"/>
      <c r="F158" s="16"/>
      <c r="G158" s="138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6"/>
      <c r="B159" s="16"/>
      <c r="C159" s="16"/>
      <c r="D159" s="16"/>
      <c r="E159" s="16"/>
      <c r="F159" s="16"/>
      <c r="G159" s="138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6"/>
      <c r="B160" s="16"/>
      <c r="C160" s="16"/>
      <c r="D160" s="16"/>
      <c r="E160" s="16"/>
      <c r="F160" s="16"/>
      <c r="G160" s="138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/>
      <c r="B161" s="16"/>
      <c r="C161" s="16"/>
      <c r="D161" s="16"/>
      <c r="E161" s="16"/>
      <c r="F161" s="16"/>
      <c r="G161" s="138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/>
      <c r="B162" s="16"/>
      <c r="C162" s="16"/>
      <c r="D162" s="16"/>
      <c r="E162" s="16"/>
      <c r="F162" s="16"/>
      <c r="G162" s="138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/>
      <c r="B163" s="16"/>
      <c r="C163" s="16"/>
      <c r="D163" s="16"/>
      <c r="E163" s="16"/>
      <c r="F163" s="16"/>
      <c r="G163" s="138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6"/>
      <c r="B164" s="16"/>
      <c r="C164" s="16"/>
      <c r="D164" s="16"/>
      <c r="E164" s="16"/>
      <c r="F164" s="16"/>
      <c r="G164" s="138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6"/>
      <c r="B165" s="16"/>
      <c r="C165" s="16"/>
      <c r="D165" s="16"/>
      <c r="E165" s="16"/>
      <c r="F165" s="16"/>
      <c r="G165" s="138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6"/>
      <c r="B166" s="16"/>
      <c r="C166" s="16"/>
      <c r="D166" s="16"/>
      <c r="E166" s="16"/>
      <c r="F166" s="16"/>
      <c r="G166" s="138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6"/>
      <c r="B167" s="16"/>
      <c r="C167" s="16"/>
      <c r="D167" s="16"/>
      <c r="E167" s="16"/>
      <c r="F167" s="16"/>
      <c r="G167" s="138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6"/>
      <c r="B168" s="16"/>
      <c r="C168" s="16"/>
      <c r="D168" s="16"/>
      <c r="E168" s="16"/>
      <c r="F168" s="16"/>
      <c r="G168" s="138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6"/>
      <c r="B169" s="16"/>
      <c r="C169" s="16"/>
      <c r="D169" s="16"/>
      <c r="E169" s="16"/>
      <c r="F169" s="16"/>
      <c r="G169" s="138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6"/>
      <c r="B170" s="16"/>
      <c r="C170" s="16"/>
      <c r="D170" s="16"/>
      <c r="E170" s="16"/>
      <c r="F170" s="16"/>
      <c r="G170" s="138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6"/>
      <c r="B171" s="16"/>
      <c r="C171" s="16"/>
      <c r="D171" s="16"/>
      <c r="E171" s="16"/>
      <c r="F171" s="16"/>
      <c r="G171" s="138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6"/>
      <c r="B172" s="16"/>
      <c r="C172" s="16"/>
      <c r="D172" s="16"/>
      <c r="E172" s="16"/>
      <c r="F172" s="16"/>
      <c r="G172" s="138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6"/>
      <c r="B173" s="16"/>
      <c r="C173" s="16"/>
      <c r="D173" s="16"/>
      <c r="E173" s="16"/>
      <c r="F173" s="16"/>
      <c r="G173" s="138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6"/>
      <c r="B174" s="16"/>
      <c r="C174" s="16"/>
      <c r="D174" s="16"/>
      <c r="E174" s="16"/>
      <c r="F174" s="16"/>
      <c r="G174" s="138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6"/>
      <c r="B175" s="16"/>
      <c r="C175" s="16"/>
      <c r="D175" s="16"/>
      <c r="E175" s="16"/>
      <c r="F175" s="16"/>
      <c r="G175" s="138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6"/>
      <c r="B176" s="16"/>
      <c r="C176" s="16"/>
      <c r="D176" s="16"/>
      <c r="E176" s="16"/>
      <c r="F176" s="16"/>
      <c r="G176" s="138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6"/>
      <c r="B177" s="16"/>
      <c r="C177" s="16"/>
      <c r="D177" s="16"/>
      <c r="E177" s="16"/>
      <c r="F177" s="16"/>
      <c r="G177" s="138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6"/>
      <c r="B178" s="16"/>
      <c r="C178" s="16"/>
      <c r="D178" s="16"/>
      <c r="E178" s="16"/>
      <c r="F178" s="16"/>
      <c r="G178" s="138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/>
      <c r="B179" s="16"/>
      <c r="C179" s="16"/>
      <c r="D179" s="16"/>
      <c r="E179" s="16"/>
      <c r="F179" s="16"/>
      <c r="G179" s="138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/>
      <c r="B180" s="16"/>
      <c r="C180" s="16"/>
      <c r="D180" s="16"/>
      <c r="E180" s="16"/>
      <c r="F180" s="16"/>
      <c r="G180" s="138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/>
      <c r="B181" s="16"/>
      <c r="C181" s="16"/>
      <c r="D181" s="16"/>
      <c r="E181" s="16"/>
      <c r="F181" s="16"/>
      <c r="G181" s="138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6"/>
      <c r="B182" s="16"/>
      <c r="C182" s="16"/>
      <c r="D182" s="16"/>
      <c r="E182" s="16"/>
      <c r="F182" s="16"/>
      <c r="G182" s="138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6"/>
      <c r="B183" s="16"/>
      <c r="C183" s="16"/>
      <c r="D183" s="16"/>
      <c r="E183" s="16"/>
      <c r="F183" s="16"/>
      <c r="G183" s="138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6"/>
      <c r="B184" s="16"/>
      <c r="C184" s="16"/>
      <c r="D184" s="16"/>
      <c r="E184" s="16"/>
      <c r="F184" s="16"/>
      <c r="G184" s="138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6"/>
      <c r="B185" s="16"/>
      <c r="C185" s="16"/>
      <c r="D185" s="16"/>
      <c r="E185" s="16"/>
      <c r="F185" s="16"/>
      <c r="G185" s="138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6"/>
      <c r="B186" s="16"/>
      <c r="C186" s="16"/>
      <c r="D186" s="16"/>
      <c r="E186" s="16"/>
      <c r="F186" s="16"/>
      <c r="G186" s="138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6"/>
      <c r="B187" s="16"/>
      <c r="C187" s="16"/>
      <c r="D187" s="16"/>
      <c r="E187" s="16"/>
      <c r="F187" s="16"/>
      <c r="G187" s="138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6"/>
      <c r="B188" s="16"/>
      <c r="C188" s="16"/>
      <c r="D188" s="16"/>
      <c r="E188" s="16"/>
      <c r="F188" s="16"/>
      <c r="G188" s="138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6"/>
      <c r="B189" s="16"/>
      <c r="C189" s="16"/>
      <c r="D189" s="16"/>
      <c r="E189" s="16"/>
      <c r="F189" s="16"/>
      <c r="G189" s="138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6"/>
      <c r="B190" s="16"/>
      <c r="C190" s="16"/>
      <c r="D190" s="16"/>
      <c r="E190" s="16"/>
      <c r="F190" s="16"/>
      <c r="G190" s="138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6"/>
      <c r="B191" s="16"/>
      <c r="C191" s="16"/>
      <c r="D191" s="16"/>
      <c r="E191" s="16"/>
      <c r="F191" s="16"/>
      <c r="G191" s="138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6"/>
      <c r="B192" s="16"/>
      <c r="C192" s="16"/>
      <c r="D192" s="16"/>
      <c r="E192" s="16"/>
      <c r="F192" s="16"/>
      <c r="G192" s="138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6"/>
      <c r="B193" s="16"/>
      <c r="C193" s="16"/>
      <c r="D193" s="16"/>
      <c r="E193" s="16"/>
      <c r="F193" s="16"/>
      <c r="G193" s="138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6"/>
      <c r="B194" s="16"/>
      <c r="C194" s="16"/>
      <c r="D194" s="16"/>
      <c r="E194" s="16"/>
      <c r="F194" s="16"/>
      <c r="G194" s="138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6"/>
      <c r="B195" s="16"/>
      <c r="C195" s="16"/>
      <c r="D195" s="16"/>
      <c r="E195" s="16"/>
      <c r="F195" s="16"/>
      <c r="G195" s="138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6"/>
      <c r="B196" s="16"/>
      <c r="C196" s="16"/>
      <c r="D196" s="16"/>
      <c r="E196" s="16"/>
      <c r="F196" s="16"/>
      <c r="G196" s="138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/>
      <c r="B197" s="16"/>
      <c r="C197" s="16"/>
      <c r="D197" s="16"/>
      <c r="E197" s="16"/>
      <c r="F197" s="16"/>
      <c r="G197" s="138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/>
      <c r="B198" s="16"/>
      <c r="C198" s="16"/>
      <c r="D198" s="16"/>
      <c r="E198" s="16"/>
      <c r="F198" s="16"/>
      <c r="G198" s="138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/>
      <c r="B199" s="16"/>
      <c r="C199" s="16"/>
      <c r="D199" s="16"/>
      <c r="E199" s="16"/>
      <c r="F199" s="16"/>
      <c r="G199" s="138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6"/>
      <c r="B200" s="16"/>
      <c r="C200" s="16"/>
      <c r="D200" s="16"/>
      <c r="E200" s="16"/>
      <c r="F200" s="16"/>
      <c r="G200" s="138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6"/>
      <c r="B201" s="16"/>
      <c r="C201" s="16"/>
      <c r="D201" s="16"/>
      <c r="E201" s="16"/>
      <c r="F201" s="16"/>
      <c r="G201" s="138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6"/>
      <c r="B202" s="16"/>
      <c r="C202" s="16"/>
      <c r="D202" s="16"/>
      <c r="E202" s="16"/>
      <c r="F202" s="16"/>
      <c r="G202" s="138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6"/>
      <c r="B203" s="16"/>
      <c r="C203" s="16"/>
      <c r="D203" s="16"/>
      <c r="E203" s="16"/>
      <c r="F203" s="16"/>
      <c r="G203" s="138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6"/>
      <c r="B204" s="16"/>
      <c r="C204" s="16"/>
      <c r="D204" s="16"/>
      <c r="E204" s="16"/>
      <c r="F204" s="16"/>
      <c r="G204" s="138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6"/>
      <c r="B205" s="16"/>
      <c r="C205" s="16"/>
      <c r="D205" s="16"/>
      <c r="E205" s="16"/>
      <c r="F205" s="16"/>
      <c r="G205" s="138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6"/>
      <c r="B206" s="16"/>
      <c r="C206" s="16"/>
      <c r="D206" s="16"/>
      <c r="E206" s="16"/>
      <c r="F206" s="16"/>
      <c r="G206" s="138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6"/>
      <c r="B207" s="16"/>
      <c r="C207" s="16"/>
      <c r="D207" s="16"/>
      <c r="E207" s="16"/>
      <c r="F207" s="16"/>
      <c r="G207" s="138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6"/>
      <c r="B208" s="16"/>
      <c r="C208" s="16"/>
      <c r="D208" s="16"/>
      <c r="E208" s="16"/>
      <c r="F208" s="16"/>
      <c r="G208" s="138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6"/>
      <c r="B209" s="16"/>
      <c r="C209" s="16"/>
      <c r="D209" s="16"/>
      <c r="E209" s="16"/>
      <c r="F209" s="16"/>
      <c r="G209" s="138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6"/>
      <c r="B210" s="16"/>
      <c r="C210" s="16"/>
      <c r="D210" s="16"/>
      <c r="E210" s="16"/>
      <c r="F210" s="16"/>
      <c r="G210" s="138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6"/>
      <c r="B211" s="16"/>
      <c r="C211" s="16"/>
      <c r="D211" s="16"/>
      <c r="E211" s="16"/>
      <c r="F211" s="16"/>
      <c r="G211" s="138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6"/>
      <c r="B212" s="16"/>
      <c r="C212" s="16"/>
      <c r="D212" s="16"/>
      <c r="E212" s="16"/>
      <c r="F212" s="16"/>
      <c r="G212" s="138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6"/>
      <c r="B213" s="16"/>
      <c r="C213" s="16"/>
      <c r="D213" s="16"/>
      <c r="E213" s="16"/>
      <c r="F213" s="16"/>
      <c r="G213" s="138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6"/>
      <c r="B214" s="16"/>
      <c r="C214" s="16"/>
      <c r="D214" s="16"/>
      <c r="E214" s="16"/>
      <c r="F214" s="16"/>
      <c r="G214" s="138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/>
      <c r="B215" s="16"/>
      <c r="C215" s="16"/>
      <c r="D215" s="16"/>
      <c r="E215" s="16"/>
      <c r="F215" s="16"/>
      <c r="G215" s="138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/>
      <c r="B216" s="16"/>
      <c r="C216" s="16"/>
      <c r="D216" s="16"/>
      <c r="E216" s="16"/>
      <c r="F216" s="16"/>
      <c r="G216" s="138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/>
      <c r="B217" s="16"/>
      <c r="C217" s="16"/>
      <c r="D217" s="16"/>
      <c r="E217" s="16"/>
      <c r="F217" s="16"/>
      <c r="G217" s="138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6"/>
      <c r="B218" s="16"/>
      <c r="C218" s="16"/>
      <c r="D218" s="16"/>
      <c r="E218" s="16"/>
      <c r="F218" s="16"/>
      <c r="G218" s="138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6"/>
      <c r="B219" s="16"/>
      <c r="C219" s="16"/>
      <c r="D219" s="16"/>
      <c r="E219" s="16"/>
      <c r="F219" s="16"/>
      <c r="G219" s="138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6"/>
      <c r="B220" s="16"/>
      <c r="C220" s="16"/>
      <c r="D220" s="16"/>
      <c r="E220" s="16"/>
      <c r="F220" s="16"/>
      <c r="G220" s="138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6"/>
      <c r="B221" s="16"/>
      <c r="C221" s="16"/>
      <c r="D221" s="16"/>
      <c r="E221" s="16"/>
      <c r="F221" s="16"/>
      <c r="G221" s="138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6"/>
      <c r="B222" s="16"/>
      <c r="C222" s="16"/>
      <c r="D222" s="16"/>
      <c r="E222" s="16"/>
      <c r="F222" s="16"/>
      <c r="G222" s="138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6"/>
      <c r="B223" s="16"/>
      <c r="C223" s="16"/>
      <c r="D223" s="16"/>
      <c r="E223" s="16"/>
      <c r="F223" s="16"/>
      <c r="G223" s="138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6"/>
      <c r="B224" s="16"/>
      <c r="C224" s="16"/>
      <c r="D224" s="16"/>
      <c r="E224" s="16"/>
      <c r="F224" s="16"/>
      <c r="G224" s="138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6"/>
      <c r="B225" s="16"/>
      <c r="C225" s="16"/>
      <c r="D225" s="16"/>
      <c r="E225" s="16"/>
      <c r="F225" s="16"/>
      <c r="G225" s="138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6"/>
      <c r="B226" s="16"/>
      <c r="C226" s="16"/>
      <c r="D226" s="16"/>
      <c r="E226" s="16"/>
      <c r="F226" s="16"/>
      <c r="G226" s="138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6"/>
      <c r="B227" s="16"/>
      <c r="C227" s="16"/>
      <c r="D227" s="16"/>
      <c r="E227" s="16"/>
      <c r="F227" s="16"/>
      <c r="G227" s="138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6"/>
      <c r="B228" s="16"/>
      <c r="C228" s="16"/>
      <c r="D228" s="16"/>
      <c r="E228" s="16"/>
      <c r="F228" s="16"/>
      <c r="G228" s="138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6"/>
      <c r="B229" s="16"/>
      <c r="C229" s="16"/>
      <c r="D229" s="16"/>
      <c r="E229" s="16"/>
      <c r="F229" s="16"/>
      <c r="G229" s="138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6"/>
      <c r="B230" s="16"/>
      <c r="C230" s="16"/>
      <c r="D230" s="16"/>
      <c r="E230" s="16"/>
      <c r="F230" s="16"/>
      <c r="G230" s="138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6"/>
      <c r="B231" s="16"/>
      <c r="C231" s="16"/>
      <c r="D231" s="16"/>
      <c r="E231" s="16"/>
      <c r="F231" s="16"/>
      <c r="G231" s="138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6"/>
      <c r="B232" s="16"/>
      <c r="C232" s="16"/>
      <c r="D232" s="16"/>
      <c r="E232" s="16"/>
      <c r="F232" s="16"/>
      <c r="G232" s="138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6"/>
      <c r="B233" s="16"/>
      <c r="C233" s="16"/>
      <c r="D233" s="16"/>
      <c r="E233" s="16"/>
      <c r="F233" s="16"/>
      <c r="G233" s="138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6"/>
      <c r="B234" s="16"/>
      <c r="C234" s="16"/>
      <c r="D234" s="16"/>
      <c r="E234" s="16"/>
      <c r="F234" s="16"/>
      <c r="G234" s="138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6"/>
      <c r="B235" s="16"/>
      <c r="C235" s="16"/>
      <c r="D235" s="16"/>
      <c r="E235" s="16"/>
      <c r="F235" s="16"/>
      <c r="G235" s="138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6"/>
      <c r="B236" s="16"/>
      <c r="C236" s="16"/>
      <c r="D236" s="16"/>
      <c r="E236" s="16"/>
      <c r="F236" s="16"/>
      <c r="G236" s="138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6"/>
      <c r="B237" s="16"/>
      <c r="C237" s="16"/>
      <c r="D237" s="16"/>
      <c r="E237" s="16"/>
      <c r="F237" s="16"/>
      <c r="G237" s="138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6"/>
      <c r="B238" s="16"/>
      <c r="C238" s="16"/>
      <c r="D238" s="16"/>
      <c r="E238" s="16"/>
      <c r="F238" s="16"/>
      <c r="G238" s="138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6"/>
      <c r="B239" s="16"/>
      <c r="C239" s="16"/>
      <c r="D239" s="16"/>
      <c r="E239" s="16"/>
      <c r="F239" s="16"/>
      <c r="G239" s="138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6"/>
      <c r="B240" s="16"/>
      <c r="C240" s="16"/>
      <c r="D240" s="16"/>
      <c r="E240" s="16"/>
      <c r="F240" s="16"/>
      <c r="G240" s="138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6"/>
      <c r="B241" s="16"/>
      <c r="C241" s="16"/>
      <c r="D241" s="16"/>
      <c r="E241" s="16"/>
      <c r="F241" s="16"/>
      <c r="G241" s="138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6"/>
      <c r="B242" s="16"/>
      <c r="C242" s="16"/>
      <c r="D242" s="16"/>
      <c r="E242" s="16"/>
      <c r="F242" s="16"/>
      <c r="G242" s="138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6"/>
      <c r="B243" s="16"/>
      <c r="C243" s="16"/>
      <c r="D243" s="16"/>
      <c r="E243" s="16"/>
      <c r="F243" s="16"/>
      <c r="G243" s="138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6"/>
      <c r="B244" s="16"/>
      <c r="C244" s="16"/>
      <c r="D244" s="16"/>
      <c r="E244" s="16"/>
      <c r="F244" s="16"/>
      <c r="G244" s="138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6"/>
      <c r="B245" s="16"/>
      <c r="C245" s="16"/>
      <c r="D245" s="16"/>
      <c r="E245" s="16"/>
      <c r="F245" s="16"/>
      <c r="G245" s="138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6"/>
      <c r="B246" s="16"/>
      <c r="C246" s="16"/>
      <c r="D246" s="16"/>
      <c r="E246" s="16"/>
      <c r="F246" s="16"/>
      <c r="G246" s="138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6"/>
      <c r="B247" s="16"/>
      <c r="C247" s="16"/>
      <c r="D247" s="16"/>
      <c r="E247" s="16"/>
      <c r="F247" s="16"/>
      <c r="G247" s="138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6"/>
      <c r="B248" s="16"/>
      <c r="C248" s="16"/>
      <c r="D248" s="16"/>
      <c r="E248" s="16"/>
      <c r="F248" s="16"/>
      <c r="G248" s="138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6"/>
      <c r="B249" s="16"/>
      <c r="C249" s="16"/>
      <c r="D249" s="16"/>
      <c r="E249" s="16"/>
      <c r="F249" s="16"/>
      <c r="G249" s="138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6"/>
      <c r="B250" s="16"/>
      <c r="C250" s="16"/>
      <c r="D250" s="16"/>
      <c r="E250" s="16"/>
      <c r="F250" s="16"/>
      <c r="G250" s="138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6"/>
      <c r="B251" s="16"/>
      <c r="C251" s="16"/>
      <c r="D251" s="16"/>
      <c r="E251" s="16"/>
      <c r="F251" s="16"/>
      <c r="G251" s="138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6"/>
      <c r="B252" s="16"/>
      <c r="C252" s="16"/>
      <c r="D252" s="16"/>
      <c r="E252" s="16"/>
      <c r="F252" s="16"/>
      <c r="G252" s="138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6"/>
      <c r="B253" s="16"/>
      <c r="C253" s="16"/>
      <c r="D253" s="16"/>
      <c r="E253" s="16"/>
      <c r="F253" s="16"/>
      <c r="G253" s="138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6"/>
      <c r="B254" s="16"/>
      <c r="C254" s="16"/>
      <c r="D254" s="16"/>
      <c r="E254" s="16"/>
      <c r="F254" s="16"/>
      <c r="G254" s="138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6"/>
      <c r="B255" s="16"/>
      <c r="C255" s="16"/>
      <c r="D255" s="16"/>
      <c r="E255" s="16"/>
      <c r="F255" s="16"/>
      <c r="G255" s="138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6"/>
      <c r="B256" s="16"/>
      <c r="C256" s="16"/>
      <c r="D256" s="16"/>
      <c r="E256" s="16"/>
      <c r="F256" s="16"/>
      <c r="G256" s="138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6"/>
      <c r="B257" s="16"/>
      <c r="C257" s="16"/>
      <c r="D257" s="16"/>
      <c r="E257" s="16"/>
      <c r="F257" s="16"/>
      <c r="G257" s="138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6"/>
      <c r="B258" s="16"/>
      <c r="C258" s="16"/>
      <c r="D258" s="16"/>
      <c r="E258" s="16"/>
      <c r="F258" s="16"/>
      <c r="G258" s="138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6"/>
      <c r="B259" s="16"/>
      <c r="C259" s="16"/>
      <c r="D259" s="16"/>
      <c r="E259" s="16"/>
      <c r="F259" s="16"/>
      <c r="G259" s="138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6"/>
      <c r="B260" s="16"/>
      <c r="C260" s="16"/>
      <c r="D260" s="16"/>
      <c r="E260" s="16"/>
      <c r="F260" s="16"/>
      <c r="G260" s="138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6"/>
      <c r="B261" s="16"/>
      <c r="C261" s="16"/>
      <c r="D261" s="16"/>
      <c r="E261" s="16"/>
      <c r="F261" s="16"/>
      <c r="G261" s="138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6"/>
      <c r="B262" s="16"/>
      <c r="C262" s="16"/>
      <c r="D262" s="16"/>
      <c r="E262" s="16"/>
      <c r="F262" s="16"/>
      <c r="G262" s="138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6"/>
      <c r="B263" s="16"/>
      <c r="C263" s="16"/>
      <c r="D263" s="16"/>
      <c r="E263" s="16"/>
      <c r="F263" s="16"/>
      <c r="G263" s="138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6"/>
      <c r="B264" s="16"/>
      <c r="C264" s="16"/>
      <c r="D264" s="16"/>
      <c r="E264" s="16"/>
      <c r="F264" s="16"/>
      <c r="G264" s="138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6"/>
      <c r="B265" s="16"/>
      <c r="C265" s="16"/>
      <c r="D265" s="16"/>
      <c r="E265" s="16"/>
      <c r="F265" s="16"/>
      <c r="G265" s="138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6"/>
      <c r="B266" s="16"/>
      <c r="C266" s="16"/>
      <c r="D266" s="16"/>
      <c r="E266" s="16"/>
      <c r="F266" s="16"/>
      <c r="G266" s="138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6"/>
      <c r="B267" s="16"/>
      <c r="C267" s="16"/>
      <c r="D267" s="16"/>
      <c r="E267" s="16"/>
      <c r="F267" s="16"/>
      <c r="G267" s="138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6"/>
      <c r="B268" s="16"/>
      <c r="C268" s="16"/>
      <c r="D268" s="16"/>
      <c r="E268" s="16"/>
      <c r="F268" s="16"/>
      <c r="G268" s="138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6"/>
      <c r="B269" s="16"/>
      <c r="C269" s="16"/>
      <c r="D269" s="16"/>
      <c r="E269" s="16"/>
      <c r="F269" s="16"/>
      <c r="G269" s="138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6"/>
      <c r="B270" s="16"/>
      <c r="C270" s="16"/>
      <c r="D270" s="16"/>
      <c r="E270" s="16"/>
      <c r="F270" s="16"/>
      <c r="G270" s="138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6"/>
      <c r="B271" s="16"/>
      <c r="C271" s="16"/>
      <c r="D271" s="16"/>
      <c r="E271" s="16"/>
      <c r="F271" s="16"/>
      <c r="G271" s="138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6"/>
      <c r="B272" s="16"/>
      <c r="C272" s="16"/>
      <c r="D272" s="16"/>
      <c r="E272" s="16"/>
      <c r="F272" s="16"/>
      <c r="G272" s="138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6"/>
      <c r="B273" s="16"/>
      <c r="C273" s="16"/>
      <c r="D273" s="16"/>
      <c r="E273" s="16"/>
      <c r="F273" s="16"/>
      <c r="G273" s="138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6"/>
      <c r="B274" s="16"/>
      <c r="C274" s="16"/>
      <c r="D274" s="16"/>
      <c r="E274" s="16"/>
      <c r="F274" s="16"/>
      <c r="G274" s="138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6"/>
      <c r="B275" s="16"/>
      <c r="C275" s="16"/>
      <c r="D275" s="16"/>
      <c r="E275" s="16"/>
      <c r="F275" s="16"/>
      <c r="G275" s="138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6"/>
      <c r="B276" s="16"/>
      <c r="C276" s="16"/>
      <c r="D276" s="16"/>
      <c r="E276" s="16"/>
      <c r="F276" s="16"/>
      <c r="G276" s="138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6"/>
      <c r="B277" s="16"/>
      <c r="C277" s="16"/>
      <c r="D277" s="16"/>
      <c r="E277" s="16"/>
      <c r="F277" s="16"/>
      <c r="G277" s="138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6"/>
      <c r="B278" s="16"/>
      <c r="C278" s="16"/>
      <c r="D278" s="16"/>
      <c r="E278" s="16"/>
      <c r="F278" s="16"/>
      <c r="G278" s="138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6"/>
      <c r="B279" s="16"/>
      <c r="C279" s="16"/>
      <c r="D279" s="16"/>
      <c r="E279" s="16"/>
      <c r="F279" s="16"/>
      <c r="G279" s="138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6"/>
      <c r="B280" s="16"/>
      <c r="C280" s="16"/>
      <c r="D280" s="16"/>
      <c r="E280" s="16"/>
      <c r="F280" s="16"/>
      <c r="G280" s="138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6"/>
      <c r="B281" s="16"/>
      <c r="C281" s="16"/>
      <c r="D281" s="16"/>
      <c r="E281" s="16"/>
      <c r="F281" s="16"/>
      <c r="G281" s="138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6"/>
      <c r="B282" s="16"/>
      <c r="C282" s="16"/>
      <c r="D282" s="16"/>
      <c r="E282" s="16"/>
      <c r="F282" s="16"/>
      <c r="G282" s="138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6"/>
      <c r="B283" s="16"/>
      <c r="C283" s="16"/>
      <c r="D283" s="16"/>
      <c r="E283" s="16"/>
      <c r="F283" s="16"/>
      <c r="G283" s="138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6"/>
      <c r="B284" s="16"/>
      <c r="C284" s="16"/>
      <c r="D284" s="16"/>
      <c r="E284" s="16"/>
      <c r="F284" s="16"/>
      <c r="G284" s="138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6"/>
      <c r="B285" s="16"/>
      <c r="C285" s="16"/>
      <c r="D285" s="16"/>
      <c r="E285" s="16"/>
      <c r="F285" s="16"/>
      <c r="G285" s="138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6"/>
      <c r="B286" s="16"/>
      <c r="C286" s="16"/>
      <c r="D286" s="16"/>
      <c r="E286" s="16"/>
      <c r="F286" s="16"/>
      <c r="G286" s="138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6"/>
      <c r="B287" s="16"/>
      <c r="C287" s="16"/>
      <c r="D287" s="16"/>
      <c r="E287" s="16"/>
      <c r="F287" s="16"/>
      <c r="G287" s="138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6"/>
      <c r="B288" s="16"/>
      <c r="C288" s="16"/>
      <c r="D288" s="16"/>
      <c r="E288" s="16"/>
      <c r="F288" s="16"/>
      <c r="G288" s="138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6"/>
      <c r="B289" s="16"/>
      <c r="C289" s="16"/>
      <c r="D289" s="16"/>
      <c r="E289" s="16"/>
      <c r="F289" s="16"/>
      <c r="G289" s="138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6"/>
      <c r="B290" s="16"/>
      <c r="C290" s="16"/>
      <c r="D290" s="16"/>
      <c r="E290" s="16"/>
      <c r="F290" s="16"/>
      <c r="G290" s="138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6"/>
      <c r="B291" s="16"/>
      <c r="C291" s="16"/>
      <c r="D291" s="16"/>
      <c r="E291" s="16"/>
      <c r="F291" s="16"/>
      <c r="G291" s="138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6"/>
      <c r="B292" s="16"/>
      <c r="C292" s="16"/>
      <c r="D292" s="16"/>
      <c r="E292" s="16"/>
      <c r="F292" s="16"/>
      <c r="G292" s="138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6"/>
      <c r="B293" s="16"/>
      <c r="C293" s="16"/>
      <c r="D293" s="16"/>
      <c r="E293" s="16"/>
      <c r="F293" s="16"/>
      <c r="G293" s="138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6"/>
      <c r="B294" s="16"/>
      <c r="C294" s="16"/>
      <c r="D294" s="16"/>
      <c r="E294" s="16"/>
      <c r="F294" s="16"/>
      <c r="G294" s="138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6"/>
      <c r="B295" s="16"/>
      <c r="C295" s="16"/>
      <c r="D295" s="16"/>
      <c r="E295" s="16"/>
      <c r="F295" s="16"/>
      <c r="G295" s="138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6"/>
      <c r="B296" s="16"/>
      <c r="C296" s="16"/>
      <c r="D296" s="16"/>
      <c r="E296" s="16"/>
      <c r="F296" s="16"/>
      <c r="G296" s="138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6"/>
      <c r="B297" s="16"/>
      <c r="C297" s="16"/>
      <c r="D297" s="16"/>
      <c r="E297" s="16"/>
      <c r="F297" s="16"/>
      <c r="G297" s="138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6"/>
      <c r="B298" s="16"/>
      <c r="C298" s="16"/>
      <c r="D298" s="16"/>
      <c r="E298" s="16"/>
      <c r="F298" s="16"/>
      <c r="G298" s="138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6"/>
      <c r="B299" s="16"/>
      <c r="C299" s="16"/>
      <c r="D299" s="16"/>
      <c r="E299" s="16"/>
      <c r="F299" s="16"/>
      <c r="G299" s="138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6"/>
      <c r="B300" s="16"/>
      <c r="C300" s="16"/>
      <c r="D300" s="16"/>
      <c r="E300" s="16"/>
      <c r="F300" s="16"/>
      <c r="G300" s="138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6"/>
      <c r="B301" s="16"/>
      <c r="C301" s="16"/>
      <c r="D301" s="16"/>
      <c r="E301" s="16"/>
      <c r="F301" s="16"/>
      <c r="G301" s="138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6"/>
      <c r="B302" s="16"/>
      <c r="C302" s="16"/>
      <c r="D302" s="16"/>
      <c r="E302" s="16"/>
      <c r="F302" s="16"/>
      <c r="G302" s="138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6"/>
      <c r="B303" s="16"/>
      <c r="C303" s="16"/>
      <c r="D303" s="16"/>
      <c r="E303" s="16"/>
      <c r="F303" s="16"/>
      <c r="G303" s="138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6"/>
      <c r="B304" s="16"/>
      <c r="C304" s="16"/>
      <c r="D304" s="16"/>
      <c r="E304" s="16"/>
      <c r="F304" s="16"/>
      <c r="G304" s="138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6"/>
      <c r="B305" s="16"/>
      <c r="C305" s="16"/>
      <c r="D305" s="16"/>
      <c r="E305" s="16"/>
      <c r="F305" s="16"/>
      <c r="G305" s="138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6"/>
      <c r="B306" s="16"/>
      <c r="C306" s="16"/>
      <c r="D306" s="16"/>
      <c r="E306" s="16"/>
      <c r="F306" s="16"/>
      <c r="G306" s="138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6"/>
      <c r="B307" s="16"/>
      <c r="C307" s="16"/>
      <c r="D307" s="16"/>
      <c r="E307" s="16"/>
      <c r="F307" s="16"/>
      <c r="G307" s="138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6"/>
      <c r="B308" s="16"/>
      <c r="C308" s="16"/>
      <c r="D308" s="16"/>
      <c r="E308" s="16"/>
      <c r="F308" s="16"/>
      <c r="G308" s="138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6"/>
      <c r="B309" s="16"/>
      <c r="C309" s="16"/>
      <c r="D309" s="16"/>
      <c r="E309" s="16"/>
      <c r="F309" s="16"/>
      <c r="G309" s="138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6"/>
      <c r="B310" s="16"/>
      <c r="C310" s="16"/>
      <c r="D310" s="16"/>
      <c r="E310" s="16"/>
      <c r="F310" s="16"/>
      <c r="G310" s="138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6"/>
      <c r="B311" s="16"/>
      <c r="C311" s="16"/>
      <c r="D311" s="16"/>
      <c r="E311" s="16"/>
      <c r="F311" s="16"/>
      <c r="G311" s="138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6"/>
      <c r="B312" s="16"/>
      <c r="C312" s="16"/>
      <c r="D312" s="16"/>
      <c r="E312" s="16"/>
      <c r="F312" s="16"/>
      <c r="G312" s="138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6"/>
      <c r="B313" s="16"/>
      <c r="C313" s="16"/>
      <c r="D313" s="16"/>
      <c r="E313" s="16"/>
      <c r="F313" s="16"/>
      <c r="G313" s="138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6"/>
      <c r="B314" s="16"/>
      <c r="C314" s="16"/>
      <c r="D314" s="16"/>
      <c r="E314" s="16"/>
      <c r="F314" s="16"/>
      <c r="G314" s="138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6"/>
      <c r="B315" s="16"/>
      <c r="C315" s="16"/>
      <c r="D315" s="16"/>
      <c r="E315" s="16"/>
      <c r="F315" s="16"/>
      <c r="G315" s="138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6"/>
      <c r="B316" s="16"/>
      <c r="C316" s="16"/>
      <c r="D316" s="16"/>
      <c r="E316" s="16"/>
      <c r="F316" s="16"/>
      <c r="G316" s="138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6"/>
      <c r="B317" s="16"/>
      <c r="C317" s="16"/>
      <c r="D317" s="16"/>
      <c r="E317" s="16"/>
      <c r="F317" s="16"/>
      <c r="G317" s="138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6"/>
      <c r="B318" s="16"/>
      <c r="C318" s="16"/>
      <c r="D318" s="16"/>
      <c r="E318" s="16"/>
      <c r="F318" s="16"/>
      <c r="G318" s="138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6"/>
      <c r="B319" s="16"/>
      <c r="C319" s="16"/>
      <c r="D319" s="16"/>
      <c r="E319" s="16"/>
      <c r="F319" s="16"/>
      <c r="G319" s="138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6"/>
      <c r="B320" s="16"/>
      <c r="C320" s="16"/>
      <c r="D320" s="16"/>
      <c r="E320" s="16"/>
      <c r="F320" s="16"/>
      <c r="G320" s="138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6"/>
      <c r="B321" s="16"/>
      <c r="C321" s="16"/>
      <c r="D321" s="16"/>
      <c r="E321" s="16"/>
      <c r="F321" s="16"/>
      <c r="G321" s="138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6"/>
      <c r="B322" s="16"/>
      <c r="C322" s="16"/>
      <c r="D322" s="16"/>
      <c r="E322" s="16"/>
      <c r="F322" s="16"/>
      <c r="G322" s="138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6"/>
      <c r="B323" s="16"/>
      <c r="C323" s="16"/>
      <c r="D323" s="16"/>
      <c r="E323" s="16"/>
      <c r="F323" s="16"/>
      <c r="G323" s="138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6"/>
      <c r="B324" s="16"/>
      <c r="C324" s="16"/>
      <c r="D324" s="16"/>
      <c r="E324" s="16"/>
      <c r="F324" s="16"/>
      <c r="G324" s="138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6"/>
      <c r="B325" s="16"/>
      <c r="C325" s="16"/>
      <c r="D325" s="16"/>
      <c r="E325" s="16"/>
      <c r="F325" s="16"/>
      <c r="G325" s="138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6"/>
      <c r="B326" s="16"/>
      <c r="C326" s="16"/>
      <c r="D326" s="16"/>
      <c r="E326" s="16"/>
      <c r="F326" s="16"/>
      <c r="G326" s="138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6"/>
      <c r="B327" s="16"/>
      <c r="C327" s="16"/>
      <c r="D327" s="16"/>
      <c r="E327" s="16"/>
      <c r="F327" s="16"/>
      <c r="G327" s="138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6"/>
      <c r="B328" s="16"/>
      <c r="C328" s="16"/>
      <c r="D328" s="16"/>
      <c r="E328" s="16"/>
      <c r="F328" s="16"/>
      <c r="G328" s="138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6"/>
      <c r="B329" s="16"/>
      <c r="C329" s="16"/>
      <c r="D329" s="16"/>
      <c r="E329" s="16"/>
      <c r="F329" s="16"/>
      <c r="G329" s="138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6"/>
      <c r="B330" s="16"/>
      <c r="C330" s="16"/>
      <c r="D330" s="16"/>
      <c r="E330" s="16"/>
      <c r="F330" s="16"/>
      <c r="G330" s="138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6"/>
      <c r="B331" s="16"/>
      <c r="C331" s="16"/>
      <c r="D331" s="16"/>
      <c r="E331" s="16"/>
      <c r="F331" s="16"/>
      <c r="G331" s="138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16"/>
      <c r="B332" s="16"/>
      <c r="C332" s="16"/>
      <c r="D332" s="16"/>
      <c r="E332" s="16"/>
      <c r="F332" s="16"/>
      <c r="G332" s="138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16"/>
      <c r="B333" s="16"/>
      <c r="C333" s="16"/>
      <c r="D333" s="16"/>
      <c r="E333" s="16"/>
      <c r="F333" s="16"/>
      <c r="G333" s="138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16"/>
      <c r="B334" s="16"/>
      <c r="C334" s="16"/>
      <c r="D334" s="16"/>
      <c r="E334" s="16"/>
      <c r="F334" s="16"/>
      <c r="G334" s="138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16"/>
      <c r="B335" s="16"/>
      <c r="C335" s="16"/>
      <c r="D335" s="16"/>
      <c r="E335" s="16"/>
      <c r="F335" s="16"/>
      <c r="G335" s="138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16"/>
      <c r="B336" s="16"/>
      <c r="C336" s="16"/>
      <c r="D336" s="16"/>
      <c r="E336" s="16"/>
      <c r="F336" s="16"/>
      <c r="G336" s="138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16"/>
      <c r="B337" s="16"/>
      <c r="C337" s="16"/>
      <c r="D337" s="16"/>
      <c r="E337" s="16"/>
      <c r="F337" s="16"/>
      <c r="G337" s="138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16"/>
      <c r="B338" s="16"/>
      <c r="C338" s="16"/>
      <c r="D338" s="16"/>
      <c r="E338" s="16"/>
      <c r="F338" s="16"/>
      <c r="G338" s="138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16"/>
      <c r="B339" s="16"/>
      <c r="C339" s="16"/>
      <c r="D339" s="16"/>
      <c r="E339" s="16"/>
      <c r="F339" s="16"/>
      <c r="G339" s="138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16"/>
      <c r="B340" s="16"/>
      <c r="C340" s="16"/>
      <c r="D340" s="16"/>
      <c r="E340" s="16"/>
      <c r="F340" s="16"/>
      <c r="G340" s="138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16"/>
      <c r="B341" s="16"/>
      <c r="C341" s="16"/>
      <c r="D341" s="16"/>
      <c r="E341" s="16"/>
      <c r="F341" s="16"/>
      <c r="G341" s="138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16"/>
      <c r="B342" s="16"/>
      <c r="C342" s="16"/>
      <c r="D342" s="16"/>
      <c r="E342" s="16"/>
      <c r="F342" s="16"/>
      <c r="G342" s="138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16"/>
      <c r="B343" s="16"/>
      <c r="C343" s="16"/>
      <c r="D343" s="16"/>
      <c r="E343" s="16"/>
      <c r="F343" s="16"/>
      <c r="G343" s="138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16"/>
      <c r="B344" s="16"/>
      <c r="C344" s="16"/>
      <c r="D344" s="16"/>
      <c r="E344" s="16"/>
      <c r="F344" s="16"/>
      <c r="G344" s="138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16"/>
      <c r="B345" s="16"/>
      <c r="C345" s="16"/>
      <c r="D345" s="16"/>
      <c r="E345" s="16"/>
      <c r="F345" s="16"/>
      <c r="G345" s="138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16"/>
      <c r="B346" s="16"/>
      <c r="C346" s="16"/>
      <c r="D346" s="16"/>
      <c r="E346" s="16"/>
      <c r="F346" s="16"/>
      <c r="G346" s="138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16"/>
      <c r="B347" s="16"/>
      <c r="C347" s="16"/>
      <c r="D347" s="16"/>
      <c r="E347" s="16"/>
      <c r="F347" s="16"/>
      <c r="G347" s="138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16"/>
      <c r="B348" s="16"/>
      <c r="C348" s="16"/>
      <c r="D348" s="16"/>
      <c r="E348" s="16"/>
      <c r="F348" s="16"/>
      <c r="G348" s="138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16"/>
      <c r="B349" s="16"/>
      <c r="C349" s="16"/>
      <c r="D349" s="16"/>
      <c r="E349" s="16"/>
      <c r="F349" s="16"/>
      <c r="G349" s="138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16"/>
      <c r="B350" s="16"/>
      <c r="C350" s="16"/>
      <c r="D350" s="16"/>
      <c r="E350" s="16"/>
      <c r="F350" s="16"/>
      <c r="G350" s="138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16"/>
      <c r="B351" s="16"/>
      <c r="C351" s="16"/>
      <c r="D351" s="16"/>
      <c r="E351" s="16"/>
      <c r="F351" s="16"/>
      <c r="G351" s="138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16"/>
      <c r="B352" s="16"/>
      <c r="C352" s="16"/>
      <c r="D352" s="16"/>
      <c r="E352" s="16"/>
      <c r="F352" s="16"/>
      <c r="G352" s="138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16"/>
      <c r="B353" s="16"/>
      <c r="C353" s="16"/>
      <c r="D353" s="16"/>
      <c r="E353" s="16"/>
      <c r="F353" s="16"/>
      <c r="G353" s="138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16"/>
      <c r="B354" s="16"/>
      <c r="C354" s="16"/>
      <c r="D354" s="16"/>
      <c r="E354" s="16"/>
      <c r="F354" s="16"/>
      <c r="G354" s="138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16"/>
      <c r="B355" s="16"/>
      <c r="C355" s="16"/>
      <c r="D355" s="16"/>
      <c r="E355" s="16"/>
      <c r="F355" s="16"/>
      <c r="G355" s="138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16"/>
      <c r="B356" s="16"/>
      <c r="C356" s="16"/>
      <c r="D356" s="16"/>
      <c r="E356" s="16"/>
      <c r="F356" s="16"/>
      <c r="G356" s="138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16"/>
      <c r="B357" s="16"/>
      <c r="C357" s="16"/>
      <c r="D357" s="16"/>
      <c r="E357" s="16"/>
      <c r="F357" s="16"/>
      <c r="G357" s="138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16"/>
      <c r="B358" s="16"/>
      <c r="C358" s="16"/>
      <c r="D358" s="16"/>
      <c r="E358" s="16"/>
      <c r="F358" s="16"/>
      <c r="G358" s="138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16"/>
      <c r="B359" s="16"/>
      <c r="C359" s="16"/>
      <c r="D359" s="16"/>
      <c r="E359" s="16"/>
      <c r="F359" s="16"/>
      <c r="G359" s="138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16"/>
      <c r="B360" s="16"/>
      <c r="C360" s="16"/>
      <c r="D360" s="16"/>
      <c r="E360" s="16"/>
      <c r="F360" s="16"/>
      <c r="G360" s="138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16"/>
      <c r="B361" s="16"/>
      <c r="C361" s="16"/>
      <c r="D361" s="16"/>
      <c r="E361" s="16"/>
      <c r="F361" s="16"/>
      <c r="G361" s="138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16"/>
      <c r="B362" s="16"/>
      <c r="C362" s="16"/>
      <c r="D362" s="16"/>
      <c r="E362" s="16"/>
      <c r="F362" s="16"/>
      <c r="G362" s="138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16"/>
      <c r="B363" s="16"/>
      <c r="C363" s="16"/>
      <c r="D363" s="16"/>
      <c r="E363" s="16"/>
      <c r="F363" s="16"/>
      <c r="G363" s="138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16"/>
      <c r="B364" s="16"/>
      <c r="C364" s="16"/>
      <c r="D364" s="16"/>
      <c r="E364" s="16"/>
      <c r="F364" s="16"/>
      <c r="G364" s="138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16"/>
      <c r="B365" s="16"/>
      <c r="C365" s="16"/>
      <c r="D365" s="16"/>
      <c r="E365" s="16"/>
      <c r="F365" s="16"/>
      <c r="G365" s="138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16"/>
      <c r="B366" s="16"/>
      <c r="C366" s="16"/>
      <c r="D366" s="16"/>
      <c r="E366" s="16"/>
      <c r="F366" s="16"/>
      <c r="G366" s="138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16"/>
      <c r="B367" s="16"/>
      <c r="C367" s="16"/>
      <c r="D367" s="16"/>
      <c r="E367" s="16"/>
      <c r="F367" s="16"/>
      <c r="G367" s="138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16"/>
      <c r="B368" s="16"/>
      <c r="C368" s="16"/>
      <c r="D368" s="16"/>
      <c r="E368" s="16"/>
      <c r="F368" s="16"/>
      <c r="G368" s="138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16"/>
      <c r="B369" s="16"/>
      <c r="C369" s="16"/>
      <c r="D369" s="16"/>
      <c r="E369" s="16"/>
      <c r="F369" s="16"/>
      <c r="G369" s="138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16"/>
      <c r="B370" s="16"/>
      <c r="C370" s="16"/>
      <c r="D370" s="16"/>
      <c r="E370" s="16"/>
      <c r="F370" s="16"/>
      <c r="G370" s="138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16"/>
      <c r="B371" s="16"/>
      <c r="C371" s="16"/>
      <c r="D371" s="16"/>
      <c r="E371" s="16"/>
      <c r="F371" s="16"/>
      <c r="G371" s="138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16"/>
      <c r="B372" s="16"/>
      <c r="C372" s="16"/>
      <c r="D372" s="16"/>
      <c r="E372" s="16"/>
      <c r="F372" s="16"/>
      <c r="G372" s="138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16"/>
      <c r="B373" s="16"/>
      <c r="C373" s="16"/>
      <c r="D373" s="16"/>
      <c r="E373" s="16"/>
      <c r="F373" s="16"/>
      <c r="G373" s="138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16"/>
      <c r="B374" s="16"/>
      <c r="C374" s="16"/>
      <c r="D374" s="16"/>
      <c r="E374" s="16"/>
      <c r="F374" s="16"/>
      <c r="G374" s="138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16"/>
      <c r="B375" s="16"/>
      <c r="C375" s="16"/>
      <c r="D375" s="16"/>
      <c r="E375" s="16"/>
      <c r="F375" s="16"/>
      <c r="G375" s="138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16"/>
      <c r="B376" s="16"/>
      <c r="C376" s="16"/>
      <c r="D376" s="16"/>
      <c r="E376" s="16"/>
      <c r="F376" s="16"/>
      <c r="G376" s="138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16"/>
      <c r="B377" s="16"/>
      <c r="C377" s="16"/>
      <c r="D377" s="16"/>
      <c r="E377" s="16"/>
      <c r="F377" s="16"/>
      <c r="G377" s="138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16"/>
      <c r="B378" s="16"/>
      <c r="C378" s="16"/>
      <c r="D378" s="16"/>
      <c r="E378" s="16"/>
      <c r="F378" s="16"/>
      <c r="G378" s="138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16"/>
      <c r="B379" s="16"/>
      <c r="C379" s="16"/>
      <c r="D379" s="16"/>
      <c r="E379" s="16"/>
      <c r="F379" s="16"/>
      <c r="G379" s="138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16"/>
      <c r="B380" s="16"/>
      <c r="C380" s="16"/>
      <c r="D380" s="16"/>
      <c r="E380" s="16"/>
      <c r="F380" s="16"/>
      <c r="G380" s="138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16"/>
      <c r="B381" s="16"/>
      <c r="C381" s="16"/>
      <c r="D381" s="16"/>
      <c r="E381" s="16"/>
      <c r="F381" s="16"/>
      <c r="G381" s="138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16"/>
      <c r="B382" s="16"/>
      <c r="C382" s="16"/>
      <c r="D382" s="16"/>
      <c r="E382" s="16"/>
      <c r="F382" s="16"/>
      <c r="G382" s="138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16"/>
      <c r="B383" s="16"/>
      <c r="C383" s="16"/>
      <c r="D383" s="16"/>
      <c r="E383" s="16"/>
      <c r="F383" s="16"/>
      <c r="G383" s="138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16"/>
      <c r="B384" s="16"/>
      <c r="C384" s="16"/>
      <c r="D384" s="16"/>
      <c r="E384" s="16"/>
      <c r="F384" s="16"/>
      <c r="G384" s="138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16"/>
      <c r="B385" s="16"/>
      <c r="C385" s="16"/>
      <c r="D385" s="16"/>
      <c r="E385" s="16"/>
      <c r="F385" s="16"/>
      <c r="G385" s="138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16"/>
      <c r="B386" s="16"/>
      <c r="C386" s="16"/>
      <c r="D386" s="16"/>
      <c r="E386" s="16"/>
      <c r="F386" s="16"/>
      <c r="G386" s="138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16"/>
      <c r="B387" s="16"/>
      <c r="C387" s="16"/>
      <c r="D387" s="16"/>
      <c r="E387" s="16"/>
      <c r="F387" s="16"/>
      <c r="G387" s="138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16"/>
      <c r="B388" s="16"/>
      <c r="C388" s="16"/>
      <c r="D388" s="16"/>
      <c r="E388" s="16"/>
      <c r="F388" s="16"/>
      <c r="G388" s="138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16"/>
      <c r="B389" s="16"/>
      <c r="C389" s="16"/>
      <c r="D389" s="16"/>
      <c r="E389" s="16"/>
      <c r="F389" s="16"/>
      <c r="G389" s="138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16"/>
      <c r="B390" s="16"/>
      <c r="C390" s="16"/>
      <c r="D390" s="16"/>
      <c r="E390" s="16"/>
      <c r="F390" s="16"/>
      <c r="G390" s="138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16"/>
      <c r="B391" s="16"/>
      <c r="C391" s="16"/>
      <c r="D391" s="16"/>
      <c r="E391" s="16"/>
      <c r="F391" s="16"/>
      <c r="G391" s="138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16"/>
      <c r="B392" s="16"/>
      <c r="C392" s="16"/>
      <c r="D392" s="16"/>
      <c r="E392" s="16"/>
      <c r="F392" s="16"/>
      <c r="G392" s="138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16"/>
      <c r="B393" s="16"/>
      <c r="C393" s="16"/>
      <c r="D393" s="16"/>
      <c r="E393" s="16"/>
      <c r="F393" s="16"/>
      <c r="G393" s="138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16"/>
      <c r="B394" s="16"/>
      <c r="C394" s="16"/>
      <c r="D394" s="16"/>
      <c r="E394" s="16"/>
      <c r="F394" s="16"/>
      <c r="G394" s="138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16"/>
      <c r="B395" s="16"/>
      <c r="C395" s="16"/>
      <c r="D395" s="16"/>
      <c r="E395" s="16"/>
      <c r="F395" s="16"/>
      <c r="G395" s="138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16"/>
      <c r="B396" s="16"/>
      <c r="C396" s="16"/>
      <c r="D396" s="16"/>
      <c r="E396" s="16"/>
      <c r="F396" s="16"/>
      <c r="G396" s="138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16"/>
      <c r="B397" s="16"/>
      <c r="C397" s="16"/>
      <c r="D397" s="16"/>
      <c r="E397" s="16"/>
      <c r="F397" s="16"/>
      <c r="G397" s="138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16"/>
      <c r="B398" s="16"/>
      <c r="C398" s="16"/>
      <c r="D398" s="16"/>
      <c r="E398" s="16"/>
      <c r="F398" s="16"/>
      <c r="G398" s="138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16"/>
      <c r="B399" s="16"/>
      <c r="C399" s="16"/>
      <c r="D399" s="16"/>
      <c r="E399" s="16"/>
      <c r="F399" s="16"/>
      <c r="G399" s="138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16"/>
      <c r="B400" s="16"/>
      <c r="C400" s="16"/>
      <c r="D400" s="16"/>
      <c r="E400" s="16"/>
      <c r="F400" s="16"/>
      <c r="G400" s="138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16"/>
      <c r="B401" s="16"/>
      <c r="C401" s="16"/>
      <c r="D401" s="16"/>
      <c r="E401" s="16"/>
      <c r="F401" s="16"/>
      <c r="G401" s="138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16"/>
      <c r="B402" s="16"/>
      <c r="C402" s="16"/>
      <c r="D402" s="16"/>
      <c r="E402" s="16"/>
      <c r="F402" s="16"/>
      <c r="G402" s="138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16"/>
      <c r="B403" s="16"/>
      <c r="C403" s="16"/>
      <c r="D403" s="16"/>
      <c r="E403" s="16"/>
      <c r="F403" s="16"/>
      <c r="G403" s="138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6"/>
      <c r="B404" s="16"/>
      <c r="C404" s="16"/>
      <c r="D404" s="16"/>
      <c r="E404" s="16"/>
      <c r="F404" s="16"/>
      <c r="G404" s="138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16"/>
      <c r="B405" s="16"/>
      <c r="C405" s="16"/>
      <c r="D405" s="16"/>
      <c r="E405" s="16"/>
      <c r="F405" s="16"/>
      <c r="G405" s="138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16"/>
      <c r="B406" s="16"/>
      <c r="C406" s="16"/>
      <c r="D406" s="16"/>
      <c r="E406" s="16"/>
      <c r="F406" s="16"/>
      <c r="G406" s="138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16"/>
      <c r="B407" s="16"/>
      <c r="C407" s="16"/>
      <c r="D407" s="16"/>
      <c r="E407" s="16"/>
      <c r="F407" s="16"/>
      <c r="G407" s="138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16"/>
      <c r="B408" s="16"/>
      <c r="C408" s="16"/>
      <c r="D408" s="16"/>
      <c r="E408" s="16"/>
      <c r="F408" s="16"/>
      <c r="G408" s="138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16"/>
      <c r="B409" s="16"/>
      <c r="C409" s="16"/>
      <c r="D409" s="16"/>
      <c r="E409" s="16"/>
      <c r="F409" s="16"/>
      <c r="G409" s="138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16"/>
      <c r="B410" s="16"/>
      <c r="C410" s="16"/>
      <c r="D410" s="16"/>
      <c r="E410" s="16"/>
      <c r="F410" s="16"/>
      <c r="G410" s="138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16"/>
      <c r="B411" s="16"/>
      <c r="C411" s="16"/>
      <c r="D411" s="16"/>
      <c r="E411" s="16"/>
      <c r="F411" s="16"/>
      <c r="G411" s="138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16"/>
      <c r="B412" s="16"/>
      <c r="C412" s="16"/>
      <c r="D412" s="16"/>
      <c r="E412" s="16"/>
      <c r="F412" s="16"/>
      <c r="G412" s="138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16"/>
      <c r="B413" s="16"/>
      <c r="C413" s="16"/>
      <c r="D413" s="16"/>
      <c r="E413" s="16"/>
      <c r="F413" s="16"/>
      <c r="G413" s="138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16"/>
      <c r="B414" s="16"/>
      <c r="C414" s="16"/>
      <c r="D414" s="16"/>
      <c r="E414" s="16"/>
      <c r="F414" s="16"/>
      <c r="G414" s="138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16"/>
      <c r="B415" s="16"/>
      <c r="C415" s="16"/>
      <c r="D415" s="16"/>
      <c r="E415" s="16"/>
      <c r="F415" s="16"/>
      <c r="G415" s="138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16"/>
      <c r="B416" s="16"/>
      <c r="C416" s="16"/>
      <c r="D416" s="16"/>
      <c r="E416" s="16"/>
      <c r="F416" s="16"/>
      <c r="G416" s="138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16"/>
      <c r="B417" s="16"/>
      <c r="C417" s="16"/>
      <c r="D417" s="16"/>
      <c r="E417" s="16"/>
      <c r="F417" s="16"/>
      <c r="G417" s="138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16"/>
      <c r="B418" s="16"/>
      <c r="C418" s="16"/>
      <c r="D418" s="16"/>
      <c r="E418" s="16"/>
      <c r="F418" s="16"/>
      <c r="G418" s="138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16"/>
      <c r="B419" s="16"/>
      <c r="C419" s="16"/>
      <c r="D419" s="16"/>
      <c r="E419" s="16"/>
      <c r="F419" s="16"/>
      <c r="G419" s="138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16"/>
      <c r="B420" s="16"/>
      <c r="C420" s="16"/>
      <c r="D420" s="16"/>
      <c r="E420" s="16"/>
      <c r="F420" s="16"/>
      <c r="G420" s="138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16"/>
      <c r="B421" s="16"/>
      <c r="C421" s="16"/>
      <c r="D421" s="16"/>
      <c r="E421" s="16"/>
      <c r="F421" s="16"/>
      <c r="G421" s="138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16"/>
      <c r="B422" s="16"/>
      <c r="C422" s="16"/>
      <c r="D422" s="16"/>
      <c r="E422" s="16"/>
      <c r="F422" s="16"/>
      <c r="G422" s="138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16"/>
      <c r="B423" s="16"/>
      <c r="C423" s="16"/>
      <c r="D423" s="16"/>
      <c r="E423" s="16"/>
      <c r="F423" s="16"/>
      <c r="G423" s="138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16"/>
      <c r="B424" s="16"/>
      <c r="C424" s="16"/>
      <c r="D424" s="16"/>
      <c r="E424" s="16"/>
      <c r="F424" s="16"/>
      <c r="G424" s="138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16"/>
      <c r="B425" s="16"/>
      <c r="C425" s="16"/>
      <c r="D425" s="16"/>
      <c r="E425" s="16"/>
      <c r="F425" s="16"/>
      <c r="G425" s="138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16"/>
      <c r="B426" s="16"/>
      <c r="C426" s="16"/>
      <c r="D426" s="16"/>
      <c r="E426" s="16"/>
      <c r="F426" s="16"/>
      <c r="G426" s="138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16"/>
      <c r="B427" s="16"/>
      <c r="C427" s="16"/>
      <c r="D427" s="16"/>
      <c r="E427" s="16"/>
      <c r="F427" s="16"/>
      <c r="G427" s="138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16"/>
      <c r="B428" s="16"/>
      <c r="C428" s="16"/>
      <c r="D428" s="16"/>
      <c r="E428" s="16"/>
      <c r="F428" s="16"/>
      <c r="G428" s="138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16"/>
      <c r="B429" s="16"/>
      <c r="C429" s="16"/>
      <c r="D429" s="16"/>
      <c r="E429" s="16"/>
      <c r="F429" s="16"/>
      <c r="G429" s="138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16"/>
      <c r="B430" s="16"/>
      <c r="C430" s="16"/>
      <c r="D430" s="16"/>
      <c r="E430" s="16"/>
      <c r="F430" s="16"/>
      <c r="G430" s="138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16"/>
      <c r="B431" s="16"/>
      <c r="C431" s="16"/>
      <c r="D431" s="16"/>
      <c r="E431" s="16"/>
      <c r="F431" s="16"/>
      <c r="G431" s="138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16"/>
      <c r="B432" s="16"/>
      <c r="C432" s="16"/>
      <c r="D432" s="16"/>
      <c r="E432" s="16"/>
      <c r="F432" s="16"/>
      <c r="G432" s="138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16"/>
      <c r="B433" s="16"/>
      <c r="C433" s="16"/>
      <c r="D433" s="16"/>
      <c r="E433" s="16"/>
      <c r="F433" s="16"/>
      <c r="G433" s="138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16"/>
      <c r="B434" s="16"/>
      <c r="C434" s="16"/>
      <c r="D434" s="16"/>
      <c r="E434" s="16"/>
      <c r="F434" s="16"/>
      <c r="G434" s="138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16"/>
      <c r="B435" s="16"/>
      <c r="C435" s="16"/>
      <c r="D435" s="16"/>
      <c r="E435" s="16"/>
      <c r="F435" s="16"/>
      <c r="G435" s="138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16"/>
      <c r="B436" s="16"/>
      <c r="C436" s="16"/>
      <c r="D436" s="16"/>
      <c r="E436" s="16"/>
      <c r="F436" s="16"/>
      <c r="G436" s="138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16"/>
      <c r="B437" s="16"/>
      <c r="C437" s="16"/>
      <c r="D437" s="16"/>
      <c r="E437" s="16"/>
      <c r="F437" s="16"/>
      <c r="G437" s="138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16"/>
      <c r="B438" s="16"/>
      <c r="C438" s="16"/>
      <c r="D438" s="16"/>
      <c r="E438" s="16"/>
      <c r="F438" s="16"/>
      <c r="G438" s="138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16"/>
      <c r="B439" s="16"/>
      <c r="C439" s="16"/>
      <c r="D439" s="16"/>
      <c r="E439" s="16"/>
      <c r="F439" s="16"/>
      <c r="G439" s="138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16"/>
      <c r="B440" s="16"/>
      <c r="C440" s="16"/>
      <c r="D440" s="16"/>
      <c r="E440" s="16"/>
      <c r="F440" s="16"/>
      <c r="G440" s="138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16"/>
      <c r="B441" s="16"/>
      <c r="C441" s="16"/>
      <c r="D441" s="16"/>
      <c r="E441" s="16"/>
      <c r="F441" s="16"/>
      <c r="G441" s="138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16"/>
      <c r="B442" s="16"/>
      <c r="C442" s="16"/>
      <c r="D442" s="16"/>
      <c r="E442" s="16"/>
      <c r="F442" s="16"/>
      <c r="G442" s="138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16"/>
      <c r="B443" s="16"/>
      <c r="C443" s="16"/>
      <c r="D443" s="16"/>
      <c r="E443" s="16"/>
      <c r="F443" s="16"/>
      <c r="G443" s="138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6"/>
      <c r="B444" s="16"/>
      <c r="C444" s="16"/>
      <c r="D444" s="16"/>
      <c r="E444" s="16"/>
      <c r="F444" s="16"/>
      <c r="G444" s="138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16"/>
      <c r="B445" s="16"/>
      <c r="C445" s="16"/>
      <c r="D445" s="16"/>
      <c r="E445" s="16"/>
      <c r="F445" s="16"/>
      <c r="G445" s="138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16"/>
      <c r="B446" s="16"/>
      <c r="C446" s="16"/>
      <c r="D446" s="16"/>
      <c r="E446" s="16"/>
      <c r="F446" s="16"/>
      <c r="G446" s="138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16"/>
      <c r="B447" s="16"/>
      <c r="C447" s="16"/>
      <c r="D447" s="16"/>
      <c r="E447" s="16"/>
      <c r="F447" s="16"/>
      <c r="G447" s="138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16"/>
      <c r="B448" s="16"/>
      <c r="C448" s="16"/>
      <c r="D448" s="16"/>
      <c r="E448" s="16"/>
      <c r="F448" s="16"/>
      <c r="G448" s="138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16"/>
      <c r="B449" s="16"/>
      <c r="C449" s="16"/>
      <c r="D449" s="16"/>
      <c r="E449" s="16"/>
      <c r="F449" s="16"/>
      <c r="G449" s="138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16"/>
      <c r="B450" s="16"/>
      <c r="C450" s="16"/>
      <c r="D450" s="16"/>
      <c r="E450" s="16"/>
      <c r="F450" s="16"/>
      <c r="G450" s="138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16"/>
      <c r="B451" s="16"/>
      <c r="C451" s="16"/>
      <c r="D451" s="16"/>
      <c r="E451" s="16"/>
      <c r="F451" s="16"/>
      <c r="G451" s="138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16"/>
      <c r="B452" s="16"/>
      <c r="C452" s="16"/>
      <c r="D452" s="16"/>
      <c r="E452" s="16"/>
      <c r="F452" s="16"/>
      <c r="G452" s="138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16"/>
      <c r="B453" s="16"/>
      <c r="C453" s="16"/>
      <c r="D453" s="16"/>
      <c r="E453" s="16"/>
      <c r="F453" s="16"/>
      <c r="G453" s="138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16"/>
      <c r="B454" s="16"/>
      <c r="C454" s="16"/>
      <c r="D454" s="16"/>
      <c r="E454" s="16"/>
      <c r="F454" s="16"/>
      <c r="G454" s="138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16"/>
      <c r="B455" s="16"/>
      <c r="C455" s="16"/>
      <c r="D455" s="16"/>
      <c r="E455" s="16"/>
      <c r="F455" s="16"/>
      <c r="G455" s="138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16"/>
      <c r="B456" s="16"/>
      <c r="C456" s="16"/>
      <c r="D456" s="16"/>
      <c r="E456" s="16"/>
      <c r="F456" s="16"/>
      <c r="G456" s="138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16"/>
      <c r="B457" s="16"/>
      <c r="C457" s="16"/>
      <c r="D457" s="16"/>
      <c r="E457" s="16"/>
      <c r="F457" s="16"/>
      <c r="G457" s="138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16"/>
      <c r="B458" s="16"/>
      <c r="C458" s="16"/>
      <c r="D458" s="16"/>
      <c r="E458" s="16"/>
      <c r="F458" s="16"/>
      <c r="G458" s="138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16"/>
      <c r="B459" s="16"/>
      <c r="C459" s="16"/>
      <c r="D459" s="16"/>
      <c r="E459" s="16"/>
      <c r="F459" s="16"/>
      <c r="G459" s="138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16"/>
      <c r="B460" s="16"/>
      <c r="C460" s="16"/>
      <c r="D460" s="16"/>
      <c r="E460" s="16"/>
      <c r="F460" s="16"/>
      <c r="G460" s="138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16"/>
      <c r="B461" s="16"/>
      <c r="C461" s="16"/>
      <c r="D461" s="16"/>
      <c r="E461" s="16"/>
      <c r="F461" s="16"/>
      <c r="G461" s="138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16"/>
      <c r="B462" s="16"/>
      <c r="C462" s="16"/>
      <c r="D462" s="16"/>
      <c r="E462" s="16"/>
      <c r="F462" s="16"/>
      <c r="G462" s="138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16"/>
      <c r="B463" s="16"/>
      <c r="C463" s="16"/>
      <c r="D463" s="16"/>
      <c r="E463" s="16"/>
      <c r="F463" s="16"/>
      <c r="G463" s="138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16"/>
      <c r="B464" s="16"/>
      <c r="C464" s="16"/>
      <c r="D464" s="16"/>
      <c r="E464" s="16"/>
      <c r="F464" s="16"/>
      <c r="G464" s="138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16"/>
      <c r="B465" s="16"/>
      <c r="C465" s="16"/>
      <c r="D465" s="16"/>
      <c r="E465" s="16"/>
      <c r="F465" s="16"/>
      <c r="G465" s="138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16"/>
      <c r="B466" s="16"/>
      <c r="C466" s="16"/>
      <c r="D466" s="16"/>
      <c r="E466" s="16"/>
      <c r="F466" s="16"/>
      <c r="G466" s="138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16"/>
      <c r="B467" s="16"/>
      <c r="C467" s="16"/>
      <c r="D467" s="16"/>
      <c r="E467" s="16"/>
      <c r="F467" s="16"/>
      <c r="G467" s="138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16"/>
      <c r="B468" s="16"/>
      <c r="C468" s="16"/>
      <c r="D468" s="16"/>
      <c r="E468" s="16"/>
      <c r="F468" s="16"/>
      <c r="G468" s="138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16"/>
      <c r="B469" s="16"/>
      <c r="C469" s="16"/>
      <c r="D469" s="16"/>
      <c r="E469" s="16"/>
      <c r="F469" s="16"/>
      <c r="G469" s="138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16"/>
      <c r="B470" s="16"/>
      <c r="C470" s="16"/>
      <c r="D470" s="16"/>
      <c r="E470" s="16"/>
      <c r="F470" s="16"/>
      <c r="G470" s="138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16"/>
      <c r="B471" s="16"/>
      <c r="C471" s="16"/>
      <c r="D471" s="16"/>
      <c r="E471" s="16"/>
      <c r="F471" s="16"/>
      <c r="G471" s="138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16"/>
      <c r="B472" s="16"/>
      <c r="C472" s="16"/>
      <c r="D472" s="16"/>
      <c r="E472" s="16"/>
      <c r="F472" s="16"/>
      <c r="G472" s="138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16"/>
      <c r="B473" s="16"/>
      <c r="C473" s="16"/>
      <c r="D473" s="16"/>
      <c r="E473" s="16"/>
      <c r="F473" s="16"/>
      <c r="G473" s="138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16"/>
      <c r="B474" s="16"/>
      <c r="C474" s="16"/>
      <c r="D474" s="16"/>
      <c r="E474" s="16"/>
      <c r="F474" s="16"/>
      <c r="G474" s="138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16"/>
      <c r="B475" s="16"/>
      <c r="C475" s="16"/>
      <c r="D475" s="16"/>
      <c r="E475" s="16"/>
      <c r="F475" s="16"/>
      <c r="G475" s="138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16"/>
      <c r="B476" s="16"/>
      <c r="C476" s="16"/>
      <c r="D476" s="16"/>
      <c r="E476" s="16"/>
      <c r="F476" s="16"/>
      <c r="G476" s="138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16"/>
      <c r="B477" s="16"/>
      <c r="C477" s="16"/>
      <c r="D477" s="16"/>
      <c r="E477" s="16"/>
      <c r="F477" s="16"/>
      <c r="G477" s="138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16"/>
      <c r="B478" s="16"/>
      <c r="C478" s="16"/>
      <c r="D478" s="16"/>
      <c r="E478" s="16"/>
      <c r="F478" s="16"/>
      <c r="G478" s="138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16"/>
      <c r="B479" s="16"/>
      <c r="C479" s="16"/>
      <c r="D479" s="16"/>
      <c r="E479" s="16"/>
      <c r="F479" s="16"/>
      <c r="G479" s="138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16"/>
      <c r="B480" s="16"/>
      <c r="C480" s="16"/>
      <c r="D480" s="16"/>
      <c r="E480" s="16"/>
      <c r="F480" s="16"/>
      <c r="G480" s="138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16"/>
      <c r="B481" s="16"/>
      <c r="C481" s="16"/>
      <c r="D481" s="16"/>
      <c r="E481" s="16"/>
      <c r="F481" s="16"/>
      <c r="G481" s="138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16"/>
      <c r="B482" s="16"/>
      <c r="C482" s="16"/>
      <c r="D482" s="16"/>
      <c r="E482" s="16"/>
      <c r="F482" s="16"/>
      <c r="G482" s="138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16"/>
      <c r="B483" s="16"/>
      <c r="C483" s="16"/>
      <c r="D483" s="16"/>
      <c r="E483" s="16"/>
      <c r="F483" s="16"/>
      <c r="G483" s="138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6"/>
      <c r="B484" s="16"/>
      <c r="C484" s="16"/>
      <c r="D484" s="16"/>
      <c r="E484" s="16"/>
      <c r="F484" s="16"/>
      <c r="G484" s="138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16"/>
      <c r="B485" s="16"/>
      <c r="C485" s="16"/>
      <c r="D485" s="16"/>
      <c r="E485" s="16"/>
      <c r="F485" s="16"/>
      <c r="G485" s="138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16"/>
      <c r="B486" s="16"/>
      <c r="C486" s="16"/>
      <c r="D486" s="16"/>
      <c r="E486" s="16"/>
      <c r="F486" s="16"/>
      <c r="G486" s="138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16"/>
      <c r="B487" s="16"/>
      <c r="C487" s="16"/>
      <c r="D487" s="16"/>
      <c r="E487" s="16"/>
      <c r="F487" s="16"/>
      <c r="G487" s="138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16"/>
      <c r="B488" s="16"/>
      <c r="C488" s="16"/>
      <c r="D488" s="16"/>
      <c r="E488" s="16"/>
      <c r="F488" s="16"/>
      <c r="G488" s="138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16"/>
      <c r="B489" s="16"/>
      <c r="C489" s="16"/>
      <c r="D489" s="16"/>
      <c r="E489" s="16"/>
      <c r="F489" s="16"/>
      <c r="G489" s="138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16"/>
      <c r="B490" s="16"/>
      <c r="C490" s="16"/>
      <c r="D490" s="16"/>
      <c r="E490" s="16"/>
      <c r="F490" s="16"/>
      <c r="G490" s="138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16"/>
      <c r="B491" s="16"/>
      <c r="C491" s="16"/>
      <c r="D491" s="16"/>
      <c r="E491" s="16"/>
      <c r="F491" s="16"/>
      <c r="G491" s="138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16"/>
      <c r="B492" s="16"/>
      <c r="C492" s="16"/>
      <c r="D492" s="16"/>
      <c r="E492" s="16"/>
      <c r="F492" s="16"/>
      <c r="G492" s="138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16"/>
      <c r="B493" s="16"/>
      <c r="C493" s="16"/>
      <c r="D493" s="16"/>
      <c r="E493" s="16"/>
      <c r="F493" s="16"/>
      <c r="G493" s="138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16"/>
      <c r="B494" s="16"/>
      <c r="C494" s="16"/>
      <c r="D494" s="16"/>
      <c r="E494" s="16"/>
      <c r="F494" s="16"/>
      <c r="G494" s="138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16"/>
      <c r="B495" s="16"/>
      <c r="C495" s="16"/>
      <c r="D495" s="16"/>
      <c r="E495" s="16"/>
      <c r="F495" s="16"/>
      <c r="G495" s="138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16"/>
      <c r="B496" s="16"/>
      <c r="C496" s="16"/>
      <c r="D496" s="16"/>
      <c r="E496" s="16"/>
      <c r="F496" s="16"/>
      <c r="G496" s="138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16"/>
      <c r="B497" s="16"/>
      <c r="C497" s="16"/>
      <c r="D497" s="16"/>
      <c r="E497" s="16"/>
      <c r="F497" s="16"/>
      <c r="G497" s="138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16"/>
      <c r="B498" s="16"/>
      <c r="C498" s="16"/>
      <c r="D498" s="16"/>
      <c r="E498" s="16"/>
      <c r="F498" s="16"/>
      <c r="G498" s="138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16"/>
      <c r="B499" s="16"/>
      <c r="C499" s="16"/>
      <c r="D499" s="16"/>
      <c r="E499" s="16"/>
      <c r="F499" s="16"/>
      <c r="G499" s="138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16"/>
      <c r="B500" s="16"/>
      <c r="C500" s="16"/>
      <c r="D500" s="16"/>
      <c r="E500" s="16"/>
      <c r="F500" s="16"/>
      <c r="G500" s="138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16"/>
      <c r="B501" s="16"/>
      <c r="C501" s="16"/>
      <c r="D501" s="16"/>
      <c r="E501" s="16"/>
      <c r="F501" s="16"/>
      <c r="G501" s="138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16"/>
      <c r="B502" s="16"/>
      <c r="C502" s="16"/>
      <c r="D502" s="16"/>
      <c r="E502" s="16"/>
      <c r="F502" s="16"/>
      <c r="G502" s="138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16"/>
      <c r="B503" s="16"/>
      <c r="C503" s="16"/>
      <c r="D503" s="16"/>
      <c r="E503" s="16"/>
      <c r="F503" s="16"/>
      <c r="G503" s="138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16"/>
      <c r="B504" s="16"/>
      <c r="C504" s="16"/>
      <c r="D504" s="16"/>
      <c r="E504" s="16"/>
      <c r="F504" s="16"/>
      <c r="G504" s="138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16"/>
      <c r="B505" s="16"/>
      <c r="C505" s="16"/>
      <c r="D505" s="16"/>
      <c r="E505" s="16"/>
      <c r="F505" s="16"/>
      <c r="G505" s="138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16"/>
      <c r="B506" s="16"/>
      <c r="C506" s="16"/>
      <c r="D506" s="16"/>
      <c r="E506" s="16"/>
      <c r="F506" s="16"/>
      <c r="G506" s="138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16"/>
      <c r="B507" s="16"/>
      <c r="C507" s="16"/>
      <c r="D507" s="16"/>
      <c r="E507" s="16"/>
      <c r="F507" s="16"/>
      <c r="G507" s="138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16"/>
      <c r="B508" s="16"/>
      <c r="C508" s="16"/>
      <c r="D508" s="16"/>
      <c r="E508" s="16"/>
      <c r="F508" s="16"/>
      <c r="G508" s="138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16"/>
      <c r="B509" s="16"/>
      <c r="C509" s="16"/>
      <c r="D509" s="16"/>
      <c r="E509" s="16"/>
      <c r="F509" s="16"/>
      <c r="G509" s="138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16"/>
      <c r="B510" s="16"/>
      <c r="C510" s="16"/>
      <c r="D510" s="16"/>
      <c r="E510" s="16"/>
      <c r="F510" s="16"/>
      <c r="G510" s="138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16"/>
      <c r="B511" s="16"/>
      <c r="C511" s="16"/>
      <c r="D511" s="16"/>
      <c r="E511" s="16"/>
      <c r="F511" s="16"/>
      <c r="G511" s="138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16"/>
      <c r="B512" s="16"/>
      <c r="C512" s="16"/>
      <c r="D512" s="16"/>
      <c r="E512" s="16"/>
      <c r="F512" s="16"/>
      <c r="G512" s="138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16"/>
      <c r="B513" s="16"/>
      <c r="C513" s="16"/>
      <c r="D513" s="16"/>
      <c r="E513" s="16"/>
      <c r="F513" s="16"/>
      <c r="G513" s="138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16"/>
      <c r="B514" s="16"/>
      <c r="C514" s="16"/>
      <c r="D514" s="16"/>
      <c r="E514" s="16"/>
      <c r="F514" s="16"/>
      <c r="G514" s="138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16"/>
      <c r="B515" s="16"/>
      <c r="C515" s="16"/>
      <c r="D515" s="16"/>
      <c r="E515" s="16"/>
      <c r="F515" s="16"/>
      <c r="G515" s="138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16"/>
      <c r="B516" s="16"/>
      <c r="C516" s="16"/>
      <c r="D516" s="16"/>
      <c r="E516" s="16"/>
      <c r="F516" s="16"/>
      <c r="G516" s="138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16"/>
      <c r="B517" s="16"/>
      <c r="C517" s="16"/>
      <c r="D517" s="16"/>
      <c r="E517" s="16"/>
      <c r="F517" s="16"/>
      <c r="G517" s="138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16"/>
      <c r="B518" s="16"/>
      <c r="C518" s="16"/>
      <c r="D518" s="16"/>
      <c r="E518" s="16"/>
      <c r="F518" s="16"/>
      <c r="G518" s="138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16"/>
      <c r="B519" s="16"/>
      <c r="C519" s="16"/>
      <c r="D519" s="16"/>
      <c r="E519" s="16"/>
      <c r="F519" s="16"/>
      <c r="G519" s="138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16"/>
      <c r="B520" s="16"/>
      <c r="C520" s="16"/>
      <c r="D520" s="16"/>
      <c r="E520" s="16"/>
      <c r="F520" s="16"/>
      <c r="G520" s="138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16"/>
      <c r="B521" s="16"/>
      <c r="C521" s="16"/>
      <c r="D521" s="16"/>
      <c r="E521" s="16"/>
      <c r="F521" s="16"/>
      <c r="G521" s="138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16"/>
      <c r="B522" s="16"/>
      <c r="C522" s="16"/>
      <c r="D522" s="16"/>
      <c r="E522" s="16"/>
      <c r="F522" s="16"/>
      <c r="G522" s="138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16"/>
      <c r="B523" s="16"/>
      <c r="C523" s="16"/>
      <c r="D523" s="16"/>
      <c r="E523" s="16"/>
      <c r="F523" s="16"/>
      <c r="G523" s="138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6"/>
      <c r="B524" s="16"/>
      <c r="C524" s="16"/>
      <c r="D524" s="16"/>
      <c r="E524" s="16"/>
      <c r="F524" s="16"/>
      <c r="G524" s="138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16"/>
      <c r="B525" s="16"/>
      <c r="C525" s="16"/>
      <c r="D525" s="16"/>
      <c r="E525" s="16"/>
      <c r="F525" s="16"/>
      <c r="G525" s="138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16"/>
      <c r="B526" s="16"/>
      <c r="C526" s="16"/>
      <c r="D526" s="16"/>
      <c r="E526" s="16"/>
      <c r="F526" s="16"/>
      <c r="G526" s="138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16"/>
      <c r="B527" s="16"/>
      <c r="C527" s="16"/>
      <c r="D527" s="16"/>
      <c r="E527" s="16"/>
      <c r="F527" s="16"/>
      <c r="G527" s="138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16"/>
      <c r="B528" s="16"/>
      <c r="C528" s="16"/>
      <c r="D528" s="16"/>
      <c r="E528" s="16"/>
      <c r="F528" s="16"/>
      <c r="G528" s="138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16"/>
      <c r="B529" s="16"/>
      <c r="C529" s="16"/>
      <c r="D529" s="16"/>
      <c r="E529" s="16"/>
      <c r="F529" s="16"/>
      <c r="G529" s="138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16"/>
      <c r="B530" s="16"/>
      <c r="C530" s="16"/>
      <c r="D530" s="16"/>
      <c r="E530" s="16"/>
      <c r="F530" s="16"/>
      <c r="G530" s="138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16"/>
      <c r="B531" s="16"/>
      <c r="C531" s="16"/>
      <c r="D531" s="16"/>
      <c r="E531" s="16"/>
      <c r="F531" s="16"/>
      <c r="G531" s="138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16"/>
      <c r="B532" s="16"/>
      <c r="C532" s="16"/>
      <c r="D532" s="16"/>
      <c r="E532" s="16"/>
      <c r="F532" s="16"/>
      <c r="G532" s="138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16"/>
      <c r="B533" s="16"/>
      <c r="C533" s="16"/>
      <c r="D533" s="16"/>
      <c r="E533" s="16"/>
      <c r="F533" s="16"/>
      <c r="G533" s="138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16"/>
      <c r="B534" s="16"/>
      <c r="C534" s="16"/>
      <c r="D534" s="16"/>
      <c r="E534" s="16"/>
      <c r="F534" s="16"/>
      <c r="G534" s="138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16"/>
      <c r="B535" s="16"/>
      <c r="C535" s="16"/>
      <c r="D535" s="16"/>
      <c r="E535" s="16"/>
      <c r="F535" s="16"/>
      <c r="G535" s="138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16"/>
      <c r="B536" s="16"/>
      <c r="C536" s="16"/>
      <c r="D536" s="16"/>
      <c r="E536" s="16"/>
      <c r="F536" s="16"/>
      <c r="G536" s="138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16"/>
      <c r="B537" s="16"/>
      <c r="C537" s="16"/>
      <c r="D537" s="16"/>
      <c r="E537" s="16"/>
      <c r="F537" s="16"/>
      <c r="G537" s="138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16"/>
      <c r="B538" s="16"/>
      <c r="C538" s="16"/>
      <c r="D538" s="16"/>
      <c r="E538" s="16"/>
      <c r="F538" s="16"/>
      <c r="G538" s="138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16"/>
      <c r="B539" s="16"/>
      <c r="C539" s="16"/>
      <c r="D539" s="16"/>
      <c r="E539" s="16"/>
      <c r="F539" s="16"/>
      <c r="G539" s="138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16"/>
      <c r="B540" s="16"/>
      <c r="C540" s="16"/>
      <c r="D540" s="16"/>
      <c r="E540" s="16"/>
      <c r="F540" s="16"/>
      <c r="G540" s="138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16"/>
      <c r="B541" s="16"/>
      <c r="C541" s="16"/>
      <c r="D541" s="16"/>
      <c r="E541" s="16"/>
      <c r="F541" s="16"/>
      <c r="G541" s="138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16"/>
      <c r="B542" s="16"/>
      <c r="C542" s="16"/>
      <c r="D542" s="16"/>
      <c r="E542" s="16"/>
      <c r="F542" s="16"/>
      <c r="G542" s="138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16"/>
      <c r="B543" s="16"/>
      <c r="C543" s="16"/>
      <c r="D543" s="16"/>
      <c r="E543" s="16"/>
      <c r="F543" s="16"/>
      <c r="G543" s="138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16"/>
      <c r="B544" s="16"/>
      <c r="C544" s="16"/>
      <c r="D544" s="16"/>
      <c r="E544" s="16"/>
      <c r="F544" s="16"/>
      <c r="G544" s="138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16"/>
      <c r="B545" s="16"/>
      <c r="C545" s="16"/>
      <c r="D545" s="16"/>
      <c r="E545" s="16"/>
      <c r="F545" s="16"/>
      <c r="G545" s="138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16"/>
      <c r="B546" s="16"/>
      <c r="C546" s="16"/>
      <c r="D546" s="16"/>
      <c r="E546" s="16"/>
      <c r="F546" s="16"/>
      <c r="G546" s="138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16"/>
      <c r="B547" s="16"/>
      <c r="C547" s="16"/>
      <c r="D547" s="16"/>
      <c r="E547" s="16"/>
      <c r="F547" s="16"/>
      <c r="G547" s="138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16"/>
      <c r="B548" s="16"/>
      <c r="C548" s="16"/>
      <c r="D548" s="16"/>
      <c r="E548" s="16"/>
      <c r="F548" s="16"/>
      <c r="G548" s="138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16"/>
      <c r="B549" s="16"/>
      <c r="C549" s="16"/>
      <c r="D549" s="16"/>
      <c r="E549" s="16"/>
      <c r="F549" s="16"/>
      <c r="G549" s="138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16"/>
      <c r="B550" s="16"/>
      <c r="C550" s="16"/>
      <c r="D550" s="16"/>
      <c r="E550" s="16"/>
      <c r="F550" s="16"/>
      <c r="G550" s="138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16"/>
      <c r="B551" s="16"/>
      <c r="C551" s="16"/>
      <c r="D551" s="16"/>
      <c r="E551" s="16"/>
      <c r="F551" s="16"/>
      <c r="G551" s="138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16"/>
      <c r="B552" s="16"/>
      <c r="C552" s="16"/>
      <c r="D552" s="16"/>
      <c r="E552" s="16"/>
      <c r="F552" s="16"/>
      <c r="G552" s="138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16"/>
      <c r="B553" s="16"/>
      <c r="C553" s="16"/>
      <c r="D553" s="16"/>
      <c r="E553" s="16"/>
      <c r="F553" s="16"/>
      <c r="G553" s="138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16"/>
      <c r="B554" s="16"/>
      <c r="C554" s="16"/>
      <c r="D554" s="16"/>
      <c r="E554" s="16"/>
      <c r="F554" s="16"/>
      <c r="G554" s="138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16"/>
      <c r="B555" s="16"/>
      <c r="C555" s="16"/>
      <c r="D555" s="16"/>
      <c r="E555" s="16"/>
      <c r="F555" s="16"/>
      <c r="G555" s="138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16"/>
      <c r="B556" s="16"/>
      <c r="C556" s="16"/>
      <c r="D556" s="16"/>
      <c r="E556" s="16"/>
      <c r="F556" s="16"/>
      <c r="G556" s="138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16"/>
      <c r="B557" s="16"/>
      <c r="C557" s="16"/>
      <c r="D557" s="16"/>
      <c r="E557" s="16"/>
      <c r="F557" s="16"/>
      <c r="G557" s="138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16"/>
      <c r="B558" s="16"/>
      <c r="C558" s="16"/>
      <c r="D558" s="16"/>
      <c r="E558" s="16"/>
      <c r="F558" s="16"/>
      <c r="G558" s="138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16"/>
      <c r="B559" s="16"/>
      <c r="C559" s="16"/>
      <c r="D559" s="16"/>
      <c r="E559" s="16"/>
      <c r="F559" s="16"/>
      <c r="G559" s="138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16"/>
      <c r="B560" s="16"/>
      <c r="C560" s="16"/>
      <c r="D560" s="16"/>
      <c r="E560" s="16"/>
      <c r="F560" s="16"/>
      <c r="G560" s="138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16"/>
      <c r="B561" s="16"/>
      <c r="C561" s="16"/>
      <c r="D561" s="16"/>
      <c r="E561" s="16"/>
      <c r="F561" s="16"/>
      <c r="G561" s="138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16"/>
      <c r="B562" s="16"/>
      <c r="C562" s="16"/>
      <c r="D562" s="16"/>
      <c r="E562" s="16"/>
      <c r="F562" s="16"/>
      <c r="G562" s="138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16"/>
      <c r="B563" s="16"/>
      <c r="C563" s="16"/>
      <c r="D563" s="16"/>
      <c r="E563" s="16"/>
      <c r="F563" s="16"/>
      <c r="G563" s="138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6"/>
      <c r="B564" s="16"/>
      <c r="C564" s="16"/>
      <c r="D564" s="16"/>
      <c r="E564" s="16"/>
      <c r="F564" s="16"/>
      <c r="G564" s="138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16"/>
      <c r="B565" s="16"/>
      <c r="C565" s="16"/>
      <c r="D565" s="16"/>
      <c r="E565" s="16"/>
      <c r="F565" s="16"/>
      <c r="G565" s="138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16"/>
      <c r="B566" s="16"/>
      <c r="C566" s="16"/>
      <c r="D566" s="16"/>
      <c r="E566" s="16"/>
      <c r="F566" s="16"/>
      <c r="G566" s="138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16"/>
      <c r="B567" s="16"/>
      <c r="C567" s="16"/>
      <c r="D567" s="16"/>
      <c r="E567" s="16"/>
      <c r="F567" s="16"/>
      <c r="G567" s="138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16"/>
      <c r="B568" s="16"/>
      <c r="C568" s="16"/>
      <c r="D568" s="16"/>
      <c r="E568" s="16"/>
      <c r="F568" s="16"/>
      <c r="G568" s="138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16"/>
      <c r="B569" s="16"/>
      <c r="C569" s="16"/>
      <c r="D569" s="16"/>
      <c r="E569" s="16"/>
      <c r="F569" s="16"/>
      <c r="G569" s="138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16"/>
      <c r="B570" s="16"/>
      <c r="C570" s="16"/>
      <c r="D570" s="16"/>
      <c r="E570" s="16"/>
      <c r="F570" s="16"/>
      <c r="G570" s="138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16"/>
      <c r="B571" s="16"/>
      <c r="C571" s="16"/>
      <c r="D571" s="16"/>
      <c r="E571" s="16"/>
      <c r="F571" s="16"/>
      <c r="G571" s="138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16"/>
      <c r="B572" s="16"/>
      <c r="C572" s="16"/>
      <c r="D572" s="16"/>
      <c r="E572" s="16"/>
      <c r="F572" s="16"/>
      <c r="G572" s="138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16"/>
      <c r="B573" s="16"/>
      <c r="C573" s="16"/>
      <c r="D573" s="16"/>
      <c r="E573" s="16"/>
      <c r="F573" s="16"/>
      <c r="G573" s="138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16"/>
      <c r="B574" s="16"/>
      <c r="C574" s="16"/>
      <c r="D574" s="16"/>
      <c r="E574" s="16"/>
      <c r="F574" s="16"/>
      <c r="G574" s="138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16"/>
      <c r="B575" s="16"/>
      <c r="C575" s="16"/>
      <c r="D575" s="16"/>
      <c r="E575" s="16"/>
      <c r="F575" s="16"/>
      <c r="G575" s="138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16"/>
      <c r="B576" s="16"/>
      <c r="C576" s="16"/>
      <c r="D576" s="16"/>
      <c r="E576" s="16"/>
      <c r="F576" s="16"/>
      <c r="G576" s="138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16"/>
      <c r="B577" s="16"/>
      <c r="C577" s="16"/>
      <c r="D577" s="16"/>
      <c r="E577" s="16"/>
      <c r="F577" s="16"/>
      <c r="G577" s="138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16"/>
      <c r="B578" s="16"/>
      <c r="C578" s="16"/>
      <c r="D578" s="16"/>
      <c r="E578" s="16"/>
      <c r="F578" s="16"/>
      <c r="G578" s="138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16"/>
      <c r="B579" s="16"/>
      <c r="C579" s="16"/>
      <c r="D579" s="16"/>
      <c r="E579" s="16"/>
      <c r="F579" s="16"/>
      <c r="G579" s="138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16"/>
      <c r="B580" s="16"/>
      <c r="C580" s="16"/>
      <c r="D580" s="16"/>
      <c r="E580" s="16"/>
      <c r="F580" s="16"/>
      <c r="G580" s="138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16"/>
      <c r="B581" s="16"/>
      <c r="C581" s="16"/>
      <c r="D581" s="16"/>
      <c r="E581" s="16"/>
      <c r="F581" s="16"/>
      <c r="G581" s="138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16"/>
      <c r="B582" s="16"/>
      <c r="C582" s="16"/>
      <c r="D582" s="16"/>
      <c r="E582" s="16"/>
      <c r="F582" s="16"/>
      <c r="G582" s="138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16"/>
      <c r="B583" s="16"/>
      <c r="C583" s="16"/>
      <c r="D583" s="16"/>
      <c r="E583" s="16"/>
      <c r="F583" s="16"/>
      <c r="G583" s="138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16"/>
      <c r="B584" s="16"/>
      <c r="C584" s="16"/>
      <c r="D584" s="16"/>
      <c r="E584" s="16"/>
      <c r="F584" s="16"/>
      <c r="G584" s="138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16"/>
      <c r="B585" s="16"/>
      <c r="C585" s="16"/>
      <c r="D585" s="16"/>
      <c r="E585" s="16"/>
      <c r="F585" s="16"/>
      <c r="G585" s="138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16"/>
      <c r="B586" s="16"/>
      <c r="C586" s="16"/>
      <c r="D586" s="16"/>
      <c r="E586" s="16"/>
      <c r="F586" s="16"/>
      <c r="G586" s="138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16"/>
      <c r="B587" s="16"/>
      <c r="C587" s="16"/>
      <c r="D587" s="16"/>
      <c r="E587" s="16"/>
      <c r="F587" s="16"/>
      <c r="G587" s="138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16"/>
      <c r="B588" s="16"/>
      <c r="C588" s="16"/>
      <c r="D588" s="16"/>
      <c r="E588" s="16"/>
      <c r="F588" s="16"/>
      <c r="G588" s="138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16"/>
      <c r="B589" s="16"/>
      <c r="C589" s="16"/>
      <c r="D589" s="16"/>
      <c r="E589" s="16"/>
      <c r="F589" s="16"/>
      <c r="G589" s="138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16"/>
      <c r="B590" s="16"/>
      <c r="C590" s="16"/>
      <c r="D590" s="16"/>
      <c r="E590" s="16"/>
      <c r="F590" s="16"/>
      <c r="G590" s="138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16"/>
      <c r="B591" s="16"/>
      <c r="C591" s="16"/>
      <c r="D591" s="16"/>
      <c r="E591" s="16"/>
      <c r="F591" s="16"/>
      <c r="G591" s="138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16"/>
      <c r="B592" s="16"/>
      <c r="C592" s="16"/>
      <c r="D592" s="16"/>
      <c r="E592" s="16"/>
      <c r="F592" s="16"/>
      <c r="G592" s="138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16"/>
      <c r="B593" s="16"/>
      <c r="C593" s="16"/>
      <c r="D593" s="16"/>
      <c r="E593" s="16"/>
      <c r="F593" s="16"/>
      <c r="G593" s="138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16"/>
      <c r="B594" s="16"/>
      <c r="C594" s="16"/>
      <c r="D594" s="16"/>
      <c r="E594" s="16"/>
      <c r="F594" s="16"/>
      <c r="G594" s="138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16"/>
      <c r="B595" s="16"/>
      <c r="C595" s="16"/>
      <c r="D595" s="16"/>
      <c r="E595" s="16"/>
      <c r="F595" s="16"/>
      <c r="G595" s="138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16"/>
      <c r="B596" s="16"/>
      <c r="C596" s="16"/>
      <c r="D596" s="16"/>
      <c r="E596" s="16"/>
      <c r="F596" s="16"/>
      <c r="G596" s="138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16"/>
      <c r="B597" s="16"/>
      <c r="C597" s="16"/>
      <c r="D597" s="16"/>
      <c r="E597" s="16"/>
      <c r="F597" s="16"/>
      <c r="G597" s="138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16"/>
      <c r="B598" s="16"/>
      <c r="C598" s="16"/>
      <c r="D598" s="16"/>
      <c r="E598" s="16"/>
      <c r="F598" s="16"/>
      <c r="G598" s="138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16"/>
      <c r="B599" s="16"/>
      <c r="C599" s="16"/>
      <c r="D599" s="16"/>
      <c r="E599" s="16"/>
      <c r="F599" s="16"/>
      <c r="G599" s="138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16"/>
      <c r="B600" s="16"/>
      <c r="C600" s="16"/>
      <c r="D600" s="16"/>
      <c r="E600" s="16"/>
      <c r="F600" s="16"/>
      <c r="G600" s="138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16"/>
      <c r="B601" s="16"/>
      <c r="C601" s="16"/>
      <c r="D601" s="16"/>
      <c r="E601" s="16"/>
      <c r="F601" s="16"/>
      <c r="G601" s="138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16"/>
      <c r="B602" s="16"/>
      <c r="C602" s="16"/>
      <c r="D602" s="16"/>
      <c r="E602" s="16"/>
      <c r="F602" s="16"/>
      <c r="G602" s="138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16"/>
      <c r="B603" s="16"/>
      <c r="C603" s="16"/>
      <c r="D603" s="16"/>
      <c r="E603" s="16"/>
      <c r="F603" s="16"/>
      <c r="G603" s="138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6"/>
      <c r="B604" s="16"/>
      <c r="C604" s="16"/>
      <c r="D604" s="16"/>
      <c r="E604" s="16"/>
      <c r="F604" s="16"/>
      <c r="G604" s="138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16"/>
      <c r="B605" s="16"/>
      <c r="C605" s="16"/>
      <c r="D605" s="16"/>
      <c r="E605" s="16"/>
      <c r="F605" s="16"/>
      <c r="G605" s="138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16"/>
      <c r="B606" s="16"/>
      <c r="C606" s="16"/>
      <c r="D606" s="16"/>
      <c r="E606" s="16"/>
      <c r="F606" s="16"/>
      <c r="G606" s="138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16"/>
      <c r="B607" s="16"/>
      <c r="C607" s="16"/>
      <c r="D607" s="16"/>
      <c r="E607" s="16"/>
      <c r="F607" s="16"/>
      <c r="G607" s="138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16"/>
      <c r="B608" s="16"/>
      <c r="C608" s="16"/>
      <c r="D608" s="16"/>
      <c r="E608" s="16"/>
      <c r="F608" s="16"/>
      <c r="G608" s="138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16"/>
      <c r="B609" s="16"/>
      <c r="C609" s="16"/>
      <c r="D609" s="16"/>
      <c r="E609" s="16"/>
      <c r="F609" s="16"/>
      <c r="G609" s="138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16"/>
      <c r="B610" s="16"/>
      <c r="C610" s="16"/>
      <c r="D610" s="16"/>
      <c r="E610" s="16"/>
      <c r="F610" s="16"/>
      <c r="G610" s="138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16"/>
      <c r="B611" s="16"/>
      <c r="C611" s="16"/>
      <c r="D611" s="16"/>
      <c r="E611" s="16"/>
      <c r="F611" s="16"/>
      <c r="G611" s="138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16"/>
      <c r="B612" s="16"/>
      <c r="C612" s="16"/>
      <c r="D612" s="16"/>
      <c r="E612" s="16"/>
      <c r="F612" s="16"/>
      <c r="G612" s="138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16"/>
      <c r="B613" s="16"/>
      <c r="C613" s="16"/>
      <c r="D613" s="16"/>
      <c r="E613" s="16"/>
      <c r="F613" s="16"/>
      <c r="G613" s="138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16"/>
      <c r="B614" s="16"/>
      <c r="C614" s="16"/>
      <c r="D614" s="16"/>
      <c r="E614" s="16"/>
      <c r="F614" s="16"/>
      <c r="G614" s="138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16"/>
      <c r="B615" s="16"/>
      <c r="C615" s="16"/>
      <c r="D615" s="16"/>
      <c r="E615" s="16"/>
      <c r="F615" s="16"/>
      <c r="G615" s="138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16"/>
      <c r="B616" s="16"/>
      <c r="C616" s="16"/>
      <c r="D616" s="16"/>
      <c r="E616" s="16"/>
      <c r="F616" s="16"/>
      <c r="G616" s="138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16"/>
      <c r="B617" s="16"/>
      <c r="C617" s="16"/>
      <c r="D617" s="16"/>
      <c r="E617" s="16"/>
      <c r="F617" s="16"/>
      <c r="G617" s="138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16"/>
      <c r="B618" s="16"/>
      <c r="C618" s="16"/>
      <c r="D618" s="16"/>
      <c r="E618" s="16"/>
      <c r="F618" s="16"/>
      <c r="G618" s="138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16"/>
      <c r="B619" s="16"/>
      <c r="C619" s="16"/>
      <c r="D619" s="16"/>
      <c r="E619" s="16"/>
      <c r="F619" s="16"/>
      <c r="G619" s="138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16"/>
      <c r="B620" s="16"/>
      <c r="C620" s="16"/>
      <c r="D620" s="16"/>
      <c r="E620" s="16"/>
      <c r="F620" s="16"/>
      <c r="G620" s="138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16"/>
      <c r="B621" s="16"/>
      <c r="C621" s="16"/>
      <c r="D621" s="16"/>
      <c r="E621" s="16"/>
      <c r="F621" s="16"/>
      <c r="G621" s="138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16"/>
      <c r="B622" s="16"/>
      <c r="C622" s="16"/>
      <c r="D622" s="16"/>
      <c r="E622" s="16"/>
      <c r="F622" s="16"/>
      <c r="G622" s="138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16"/>
      <c r="B623" s="16"/>
      <c r="C623" s="16"/>
      <c r="D623" s="16"/>
      <c r="E623" s="16"/>
      <c r="F623" s="16"/>
      <c r="G623" s="138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16"/>
      <c r="B624" s="16"/>
      <c r="C624" s="16"/>
      <c r="D624" s="16"/>
      <c r="E624" s="16"/>
      <c r="F624" s="16"/>
      <c r="G624" s="138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16"/>
      <c r="B625" s="16"/>
      <c r="C625" s="16"/>
      <c r="D625" s="16"/>
      <c r="E625" s="16"/>
      <c r="F625" s="16"/>
      <c r="G625" s="138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16"/>
      <c r="B626" s="16"/>
      <c r="C626" s="16"/>
      <c r="D626" s="16"/>
      <c r="E626" s="16"/>
      <c r="F626" s="16"/>
      <c r="G626" s="138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16"/>
      <c r="B627" s="16"/>
      <c r="C627" s="16"/>
      <c r="D627" s="16"/>
      <c r="E627" s="16"/>
      <c r="F627" s="16"/>
      <c r="G627" s="138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16"/>
      <c r="B628" s="16"/>
      <c r="C628" s="16"/>
      <c r="D628" s="16"/>
      <c r="E628" s="16"/>
      <c r="F628" s="16"/>
      <c r="G628" s="138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16"/>
      <c r="B629" s="16"/>
      <c r="C629" s="16"/>
      <c r="D629" s="16"/>
      <c r="E629" s="16"/>
      <c r="F629" s="16"/>
      <c r="G629" s="138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16"/>
      <c r="B630" s="16"/>
      <c r="C630" s="16"/>
      <c r="D630" s="16"/>
      <c r="E630" s="16"/>
      <c r="F630" s="16"/>
      <c r="G630" s="138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16"/>
      <c r="B631" s="16"/>
      <c r="C631" s="16"/>
      <c r="D631" s="16"/>
      <c r="E631" s="16"/>
      <c r="F631" s="16"/>
      <c r="G631" s="138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16"/>
      <c r="B632" s="16"/>
      <c r="C632" s="16"/>
      <c r="D632" s="16"/>
      <c r="E632" s="16"/>
      <c r="F632" s="16"/>
      <c r="G632" s="138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16"/>
      <c r="B633" s="16"/>
      <c r="C633" s="16"/>
      <c r="D633" s="16"/>
      <c r="E633" s="16"/>
      <c r="F633" s="16"/>
      <c r="G633" s="138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16"/>
      <c r="B634" s="16"/>
      <c r="C634" s="16"/>
      <c r="D634" s="16"/>
      <c r="E634" s="16"/>
      <c r="F634" s="16"/>
      <c r="G634" s="138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16"/>
      <c r="B635" s="16"/>
      <c r="C635" s="16"/>
      <c r="D635" s="16"/>
      <c r="E635" s="16"/>
      <c r="F635" s="16"/>
      <c r="G635" s="138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16"/>
      <c r="B636" s="16"/>
      <c r="C636" s="16"/>
      <c r="D636" s="16"/>
      <c r="E636" s="16"/>
      <c r="F636" s="16"/>
      <c r="G636" s="138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16"/>
      <c r="B637" s="16"/>
      <c r="C637" s="16"/>
      <c r="D637" s="16"/>
      <c r="E637" s="16"/>
      <c r="F637" s="16"/>
      <c r="G637" s="138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16"/>
      <c r="B638" s="16"/>
      <c r="C638" s="16"/>
      <c r="D638" s="16"/>
      <c r="E638" s="16"/>
      <c r="F638" s="16"/>
      <c r="G638" s="138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16"/>
      <c r="B639" s="16"/>
      <c r="C639" s="16"/>
      <c r="D639" s="16"/>
      <c r="E639" s="16"/>
      <c r="F639" s="16"/>
      <c r="G639" s="138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16"/>
      <c r="B640" s="16"/>
      <c r="C640" s="16"/>
      <c r="D640" s="16"/>
      <c r="E640" s="16"/>
      <c r="F640" s="16"/>
      <c r="G640" s="138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16"/>
      <c r="B641" s="16"/>
      <c r="C641" s="16"/>
      <c r="D641" s="16"/>
      <c r="E641" s="16"/>
      <c r="F641" s="16"/>
      <c r="G641" s="138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16"/>
      <c r="B642" s="16"/>
      <c r="C642" s="16"/>
      <c r="D642" s="16"/>
      <c r="E642" s="16"/>
      <c r="F642" s="16"/>
      <c r="G642" s="138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16"/>
      <c r="B643" s="16"/>
      <c r="C643" s="16"/>
      <c r="D643" s="16"/>
      <c r="E643" s="16"/>
      <c r="F643" s="16"/>
      <c r="G643" s="138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6"/>
      <c r="B644" s="16"/>
      <c r="C644" s="16"/>
      <c r="D644" s="16"/>
      <c r="E644" s="16"/>
      <c r="F644" s="16"/>
      <c r="G644" s="138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16"/>
      <c r="B645" s="16"/>
      <c r="C645" s="16"/>
      <c r="D645" s="16"/>
      <c r="E645" s="16"/>
      <c r="F645" s="16"/>
      <c r="G645" s="138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16"/>
      <c r="B646" s="16"/>
      <c r="C646" s="16"/>
      <c r="D646" s="16"/>
      <c r="E646" s="16"/>
      <c r="F646" s="16"/>
      <c r="G646" s="138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16"/>
      <c r="B647" s="16"/>
      <c r="C647" s="16"/>
      <c r="D647" s="16"/>
      <c r="E647" s="16"/>
      <c r="F647" s="16"/>
      <c r="G647" s="138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16"/>
      <c r="B648" s="16"/>
      <c r="C648" s="16"/>
      <c r="D648" s="16"/>
      <c r="E648" s="16"/>
      <c r="F648" s="16"/>
      <c r="G648" s="138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16"/>
      <c r="B649" s="16"/>
      <c r="C649" s="16"/>
      <c r="D649" s="16"/>
      <c r="E649" s="16"/>
      <c r="F649" s="16"/>
      <c r="G649" s="138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16"/>
      <c r="B650" s="16"/>
      <c r="C650" s="16"/>
      <c r="D650" s="16"/>
      <c r="E650" s="16"/>
      <c r="F650" s="16"/>
      <c r="G650" s="138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16"/>
      <c r="B651" s="16"/>
      <c r="C651" s="16"/>
      <c r="D651" s="16"/>
      <c r="E651" s="16"/>
      <c r="F651" s="16"/>
      <c r="G651" s="138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16"/>
      <c r="B652" s="16"/>
      <c r="C652" s="16"/>
      <c r="D652" s="16"/>
      <c r="E652" s="16"/>
      <c r="F652" s="16"/>
      <c r="G652" s="138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16"/>
      <c r="B653" s="16"/>
      <c r="C653" s="16"/>
      <c r="D653" s="16"/>
      <c r="E653" s="16"/>
      <c r="F653" s="16"/>
      <c r="G653" s="138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16"/>
      <c r="B654" s="16"/>
      <c r="C654" s="16"/>
      <c r="D654" s="16"/>
      <c r="E654" s="16"/>
      <c r="F654" s="16"/>
      <c r="G654" s="138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16"/>
      <c r="B655" s="16"/>
      <c r="C655" s="16"/>
      <c r="D655" s="16"/>
      <c r="E655" s="16"/>
      <c r="F655" s="16"/>
      <c r="G655" s="138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16"/>
      <c r="B656" s="16"/>
      <c r="C656" s="16"/>
      <c r="D656" s="16"/>
      <c r="E656" s="16"/>
      <c r="F656" s="16"/>
      <c r="G656" s="138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16"/>
      <c r="B657" s="16"/>
      <c r="C657" s="16"/>
      <c r="D657" s="16"/>
      <c r="E657" s="16"/>
      <c r="F657" s="16"/>
      <c r="G657" s="138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16"/>
      <c r="B658" s="16"/>
      <c r="C658" s="16"/>
      <c r="D658" s="16"/>
      <c r="E658" s="16"/>
      <c r="F658" s="16"/>
      <c r="G658" s="138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16"/>
      <c r="B659" s="16"/>
      <c r="C659" s="16"/>
      <c r="D659" s="16"/>
      <c r="E659" s="16"/>
      <c r="F659" s="16"/>
      <c r="G659" s="138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16"/>
      <c r="B660" s="16"/>
      <c r="C660" s="16"/>
      <c r="D660" s="16"/>
      <c r="E660" s="16"/>
      <c r="F660" s="16"/>
      <c r="G660" s="138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16"/>
      <c r="B661" s="16"/>
      <c r="C661" s="16"/>
      <c r="D661" s="16"/>
      <c r="E661" s="16"/>
      <c r="F661" s="16"/>
      <c r="G661" s="138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16"/>
      <c r="B662" s="16"/>
      <c r="C662" s="16"/>
      <c r="D662" s="16"/>
      <c r="E662" s="16"/>
      <c r="F662" s="16"/>
      <c r="G662" s="138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16"/>
      <c r="B663" s="16"/>
      <c r="C663" s="16"/>
      <c r="D663" s="16"/>
      <c r="E663" s="16"/>
      <c r="F663" s="16"/>
      <c r="G663" s="138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16"/>
      <c r="B664" s="16"/>
      <c r="C664" s="16"/>
      <c r="D664" s="16"/>
      <c r="E664" s="16"/>
      <c r="F664" s="16"/>
      <c r="G664" s="138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16"/>
      <c r="B665" s="16"/>
      <c r="C665" s="16"/>
      <c r="D665" s="16"/>
      <c r="E665" s="16"/>
      <c r="F665" s="16"/>
      <c r="G665" s="138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16"/>
      <c r="B666" s="16"/>
      <c r="C666" s="16"/>
      <c r="D666" s="16"/>
      <c r="E666" s="16"/>
      <c r="F666" s="16"/>
      <c r="G666" s="138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16"/>
      <c r="B667" s="16"/>
      <c r="C667" s="16"/>
      <c r="D667" s="16"/>
      <c r="E667" s="16"/>
      <c r="F667" s="16"/>
      <c r="G667" s="138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16"/>
      <c r="B668" s="16"/>
      <c r="C668" s="16"/>
      <c r="D668" s="16"/>
      <c r="E668" s="16"/>
      <c r="F668" s="16"/>
      <c r="G668" s="138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16"/>
      <c r="B669" s="16"/>
      <c r="C669" s="16"/>
      <c r="D669" s="16"/>
      <c r="E669" s="16"/>
      <c r="F669" s="16"/>
      <c r="G669" s="138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16"/>
      <c r="B670" s="16"/>
      <c r="C670" s="16"/>
      <c r="D670" s="16"/>
      <c r="E670" s="16"/>
      <c r="F670" s="16"/>
      <c r="G670" s="138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16"/>
      <c r="B671" s="16"/>
      <c r="C671" s="16"/>
      <c r="D671" s="16"/>
      <c r="E671" s="16"/>
      <c r="F671" s="16"/>
      <c r="G671" s="138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16"/>
      <c r="B672" s="16"/>
      <c r="C672" s="16"/>
      <c r="D672" s="16"/>
      <c r="E672" s="16"/>
      <c r="F672" s="16"/>
      <c r="G672" s="138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16"/>
      <c r="B673" s="16"/>
      <c r="C673" s="16"/>
      <c r="D673" s="16"/>
      <c r="E673" s="16"/>
      <c r="F673" s="16"/>
      <c r="G673" s="138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16"/>
      <c r="B674" s="16"/>
      <c r="C674" s="16"/>
      <c r="D674" s="16"/>
      <c r="E674" s="16"/>
      <c r="F674" s="16"/>
      <c r="G674" s="138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16"/>
      <c r="B675" s="16"/>
      <c r="C675" s="16"/>
      <c r="D675" s="16"/>
      <c r="E675" s="16"/>
      <c r="F675" s="16"/>
      <c r="G675" s="138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16"/>
      <c r="B676" s="16"/>
      <c r="C676" s="16"/>
      <c r="D676" s="16"/>
      <c r="E676" s="16"/>
      <c r="F676" s="16"/>
      <c r="G676" s="138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16"/>
      <c r="B677" s="16"/>
      <c r="C677" s="16"/>
      <c r="D677" s="16"/>
      <c r="E677" s="16"/>
      <c r="F677" s="16"/>
      <c r="G677" s="138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16"/>
      <c r="B678" s="16"/>
      <c r="C678" s="16"/>
      <c r="D678" s="16"/>
      <c r="E678" s="16"/>
      <c r="F678" s="16"/>
      <c r="G678" s="138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16"/>
      <c r="B679" s="16"/>
      <c r="C679" s="16"/>
      <c r="D679" s="16"/>
      <c r="E679" s="16"/>
      <c r="F679" s="16"/>
      <c r="G679" s="138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16"/>
      <c r="B680" s="16"/>
      <c r="C680" s="16"/>
      <c r="D680" s="16"/>
      <c r="E680" s="16"/>
      <c r="F680" s="16"/>
      <c r="G680" s="138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16"/>
      <c r="B681" s="16"/>
      <c r="C681" s="16"/>
      <c r="D681" s="16"/>
      <c r="E681" s="16"/>
      <c r="F681" s="16"/>
      <c r="G681" s="138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16"/>
      <c r="B682" s="16"/>
      <c r="C682" s="16"/>
      <c r="D682" s="16"/>
      <c r="E682" s="16"/>
      <c r="F682" s="16"/>
      <c r="G682" s="138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16"/>
      <c r="B683" s="16"/>
      <c r="C683" s="16"/>
      <c r="D683" s="16"/>
      <c r="E683" s="16"/>
      <c r="F683" s="16"/>
      <c r="G683" s="138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6"/>
      <c r="B684" s="16"/>
      <c r="C684" s="16"/>
      <c r="D684" s="16"/>
      <c r="E684" s="16"/>
      <c r="F684" s="16"/>
      <c r="G684" s="138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16"/>
      <c r="B685" s="16"/>
      <c r="C685" s="16"/>
      <c r="D685" s="16"/>
      <c r="E685" s="16"/>
      <c r="F685" s="16"/>
      <c r="G685" s="138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16"/>
      <c r="B686" s="16"/>
      <c r="C686" s="16"/>
      <c r="D686" s="16"/>
      <c r="E686" s="16"/>
      <c r="F686" s="16"/>
      <c r="G686" s="138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16"/>
      <c r="B687" s="16"/>
      <c r="C687" s="16"/>
      <c r="D687" s="16"/>
      <c r="E687" s="16"/>
      <c r="F687" s="16"/>
      <c r="G687" s="138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16"/>
      <c r="B688" s="16"/>
      <c r="C688" s="16"/>
      <c r="D688" s="16"/>
      <c r="E688" s="16"/>
      <c r="F688" s="16"/>
      <c r="G688" s="138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16"/>
      <c r="B689" s="16"/>
      <c r="C689" s="16"/>
      <c r="D689" s="16"/>
      <c r="E689" s="16"/>
      <c r="F689" s="16"/>
      <c r="G689" s="138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16"/>
      <c r="B690" s="16"/>
      <c r="C690" s="16"/>
      <c r="D690" s="16"/>
      <c r="E690" s="16"/>
      <c r="F690" s="16"/>
      <c r="G690" s="138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16"/>
      <c r="B691" s="16"/>
      <c r="C691" s="16"/>
      <c r="D691" s="16"/>
      <c r="E691" s="16"/>
      <c r="F691" s="16"/>
      <c r="G691" s="138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16"/>
      <c r="B692" s="16"/>
      <c r="C692" s="16"/>
      <c r="D692" s="16"/>
      <c r="E692" s="16"/>
      <c r="F692" s="16"/>
      <c r="G692" s="138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16"/>
      <c r="B693" s="16"/>
      <c r="C693" s="16"/>
      <c r="D693" s="16"/>
      <c r="E693" s="16"/>
      <c r="F693" s="16"/>
      <c r="G693" s="138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16"/>
      <c r="B694" s="16"/>
      <c r="C694" s="16"/>
      <c r="D694" s="16"/>
      <c r="E694" s="16"/>
      <c r="F694" s="16"/>
      <c r="G694" s="138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16"/>
      <c r="B695" s="16"/>
      <c r="C695" s="16"/>
      <c r="D695" s="16"/>
      <c r="E695" s="16"/>
      <c r="F695" s="16"/>
      <c r="G695" s="138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16"/>
      <c r="B696" s="16"/>
      <c r="C696" s="16"/>
      <c r="D696" s="16"/>
      <c r="E696" s="16"/>
      <c r="F696" s="16"/>
      <c r="G696" s="138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16"/>
      <c r="B697" s="16"/>
      <c r="C697" s="16"/>
      <c r="D697" s="16"/>
      <c r="E697" s="16"/>
      <c r="F697" s="16"/>
      <c r="G697" s="138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16"/>
      <c r="B698" s="16"/>
      <c r="C698" s="16"/>
      <c r="D698" s="16"/>
      <c r="E698" s="16"/>
      <c r="F698" s="16"/>
      <c r="G698" s="138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16"/>
      <c r="B699" s="16"/>
      <c r="C699" s="16"/>
      <c r="D699" s="16"/>
      <c r="E699" s="16"/>
      <c r="F699" s="16"/>
      <c r="G699" s="138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16"/>
      <c r="B700" s="16"/>
      <c r="C700" s="16"/>
      <c r="D700" s="16"/>
      <c r="E700" s="16"/>
      <c r="F700" s="16"/>
      <c r="G700" s="138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16"/>
      <c r="B701" s="16"/>
      <c r="C701" s="16"/>
      <c r="D701" s="16"/>
      <c r="E701" s="16"/>
      <c r="F701" s="16"/>
      <c r="G701" s="138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16"/>
      <c r="B702" s="16"/>
      <c r="C702" s="16"/>
      <c r="D702" s="16"/>
      <c r="E702" s="16"/>
      <c r="F702" s="16"/>
      <c r="G702" s="138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16"/>
      <c r="B703" s="16"/>
      <c r="C703" s="16"/>
      <c r="D703" s="16"/>
      <c r="E703" s="16"/>
      <c r="F703" s="16"/>
      <c r="G703" s="138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16"/>
      <c r="B704" s="16"/>
      <c r="C704" s="16"/>
      <c r="D704" s="16"/>
      <c r="E704" s="16"/>
      <c r="F704" s="16"/>
      <c r="G704" s="138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16"/>
      <c r="B705" s="16"/>
      <c r="C705" s="16"/>
      <c r="D705" s="16"/>
      <c r="E705" s="16"/>
      <c r="F705" s="16"/>
      <c r="G705" s="138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16"/>
      <c r="B706" s="16"/>
      <c r="C706" s="16"/>
      <c r="D706" s="16"/>
      <c r="E706" s="16"/>
      <c r="F706" s="16"/>
      <c r="G706" s="138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16"/>
      <c r="B707" s="16"/>
      <c r="C707" s="16"/>
      <c r="D707" s="16"/>
      <c r="E707" s="16"/>
      <c r="F707" s="16"/>
      <c r="G707" s="138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16"/>
      <c r="B708" s="16"/>
      <c r="C708" s="16"/>
      <c r="D708" s="16"/>
      <c r="E708" s="16"/>
      <c r="F708" s="16"/>
      <c r="G708" s="138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16"/>
      <c r="B709" s="16"/>
      <c r="C709" s="16"/>
      <c r="D709" s="16"/>
      <c r="E709" s="16"/>
      <c r="F709" s="16"/>
      <c r="G709" s="138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16"/>
      <c r="B710" s="16"/>
      <c r="C710" s="16"/>
      <c r="D710" s="16"/>
      <c r="E710" s="16"/>
      <c r="F710" s="16"/>
      <c r="G710" s="138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16"/>
      <c r="B711" s="16"/>
      <c r="C711" s="16"/>
      <c r="D711" s="16"/>
      <c r="E711" s="16"/>
      <c r="F711" s="16"/>
      <c r="G711" s="138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16"/>
      <c r="B712" s="16"/>
      <c r="C712" s="16"/>
      <c r="D712" s="16"/>
      <c r="E712" s="16"/>
      <c r="F712" s="16"/>
      <c r="G712" s="138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16"/>
      <c r="B713" s="16"/>
      <c r="C713" s="16"/>
      <c r="D713" s="16"/>
      <c r="E713" s="16"/>
      <c r="F713" s="16"/>
      <c r="G713" s="138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16"/>
      <c r="B714" s="16"/>
      <c r="C714" s="16"/>
      <c r="D714" s="16"/>
      <c r="E714" s="16"/>
      <c r="F714" s="16"/>
      <c r="G714" s="138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16"/>
      <c r="B715" s="16"/>
      <c r="C715" s="16"/>
      <c r="D715" s="16"/>
      <c r="E715" s="16"/>
      <c r="F715" s="16"/>
      <c r="G715" s="138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16"/>
      <c r="B716" s="16"/>
      <c r="C716" s="16"/>
      <c r="D716" s="16"/>
      <c r="E716" s="16"/>
      <c r="F716" s="16"/>
      <c r="G716" s="138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16"/>
      <c r="B717" s="16"/>
      <c r="C717" s="16"/>
      <c r="D717" s="16"/>
      <c r="E717" s="16"/>
      <c r="F717" s="16"/>
      <c r="G717" s="138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16"/>
      <c r="B718" s="16"/>
      <c r="C718" s="16"/>
      <c r="D718" s="16"/>
      <c r="E718" s="16"/>
      <c r="F718" s="16"/>
      <c r="G718" s="138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16"/>
      <c r="B719" s="16"/>
      <c r="C719" s="16"/>
      <c r="D719" s="16"/>
      <c r="E719" s="16"/>
      <c r="F719" s="16"/>
      <c r="G719" s="138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16"/>
      <c r="B720" s="16"/>
      <c r="C720" s="16"/>
      <c r="D720" s="16"/>
      <c r="E720" s="16"/>
      <c r="F720" s="16"/>
      <c r="G720" s="138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16"/>
      <c r="B721" s="16"/>
      <c r="C721" s="16"/>
      <c r="D721" s="16"/>
      <c r="E721" s="16"/>
      <c r="F721" s="16"/>
      <c r="G721" s="138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16"/>
      <c r="B722" s="16"/>
      <c r="C722" s="16"/>
      <c r="D722" s="16"/>
      <c r="E722" s="16"/>
      <c r="F722" s="16"/>
      <c r="G722" s="138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16"/>
      <c r="B723" s="16"/>
      <c r="C723" s="16"/>
      <c r="D723" s="16"/>
      <c r="E723" s="16"/>
      <c r="F723" s="16"/>
      <c r="G723" s="138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6"/>
      <c r="B724" s="16"/>
      <c r="C724" s="16"/>
      <c r="D724" s="16"/>
      <c r="E724" s="16"/>
      <c r="F724" s="16"/>
      <c r="G724" s="138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16"/>
      <c r="B725" s="16"/>
      <c r="C725" s="16"/>
      <c r="D725" s="16"/>
      <c r="E725" s="16"/>
      <c r="F725" s="16"/>
      <c r="G725" s="138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16"/>
      <c r="B726" s="16"/>
      <c r="C726" s="16"/>
      <c r="D726" s="16"/>
      <c r="E726" s="16"/>
      <c r="F726" s="16"/>
      <c r="G726" s="138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16"/>
      <c r="B727" s="16"/>
      <c r="C727" s="16"/>
      <c r="D727" s="16"/>
      <c r="E727" s="16"/>
      <c r="F727" s="16"/>
      <c r="G727" s="138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16"/>
      <c r="B728" s="16"/>
      <c r="C728" s="16"/>
      <c r="D728" s="16"/>
      <c r="E728" s="16"/>
      <c r="F728" s="16"/>
      <c r="G728" s="138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16"/>
      <c r="B729" s="16"/>
      <c r="C729" s="16"/>
      <c r="D729" s="16"/>
      <c r="E729" s="16"/>
      <c r="F729" s="16"/>
      <c r="G729" s="138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16"/>
      <c r="B730" s="16"/>
      <c r="C730" s="16"/>
      <c r="D730" s="16"/>
      <c r="E730" s="16"/>
      <c r="F730" s="16"/>
      <c r="G730" s="138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16"/>
      <c r="B731" s="16"/>
      <c r="C731" s="16"/>
      <c r="D731" s="16"/>
      <c r="E731" s="16"/>
      <c r="F731" s="16"/>
      <c r="G731" s="138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16"/>
      <c r="B732" s="16"/>
      <c r="C732" s="16"/>
      <c r="D732" s="16"/>
      <c r="E732" s="16"/>
      <c r="F732" s="16"/>
      <c r="G732" s="138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16"/>
      <c r="B733" s="16"/>
      <c r="C733" s="16"/>
      <c r="D733" s="16"/>
      <c r="E733" s="16"/>
      <c r="F733" s="16"/>
      <c r="G733" s="138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16"/>
      <c r="B734" s="16"/>
      <c r="C734" s="16"/>
      <c r="D734" s="16"/>
      <c r="E734" s="16"/>
      <c r="F734" s="16"/>
      <c r="G734" s="138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16"/>
      <c r="B735" s="16"/>
      <c r="C735" s="16"/>
      <c r="D735" s="16"/>
      <c r="E735" s="16"/>
      <c r="F735" s="16"/>
      <c r="G735" s="138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16"/>
      <c r="B736" s="16"/>
      <c r="C736" s="16"/>
      <c r="D736" s="16"/>
      <c r="E736" s="16"/>
      <c r="F736" s="16"/>
      <c r="G736" s="138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16"/>
      <c r="B737" s="16"/>
      <c r="C737" s="16"/>
      <c r="D737" s="16"/>
      <c r="E737" s="16"/>
      <c r="F737" s="16"/>
      <c r="G737" s="138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16"/>
      <c r="B738" s="16"/>
      <c r="C738" s="16"/>
      <c r="D738" s="16"/>
      <c r="E738" s="16"/>
      <c r="F738" s="16"/>
      <c r="G738" s="138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16"/>
      <c r="B739" s="16"/>
      <c r="C739" s="16"/>
      <c r="D739" s="16"/>
      <c r="E739" s="16"/>
      <c r="F739" s="16"/>
      <c r="G739" s="138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16"/>
      <c r="B740" s="16"/>
      <c r="C740" s="16"/>
      <c r="D740" s="16"/>
      <c r="E740" s="16"/>
      <c r="F740" s="16"/>
      <c r="G740" s="138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16"/>
      <c r="B741" s="16"/>
      <c r="C741" s="16"/>
      <c r="D741" s="16"/>
      <c r="E741" s="16"/>
      <c r="F741" s="16"/>
      <c r="G741" s="138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16"/>
      <c r="B742" s="16"/>
      <c r="C742" s="16"/>
      <c r="D742" s="16"/>
      <c r="E742" s="16"/>
      <c r="F742" s="16"/>
      <c r="G742" s="138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16"/>
      <c r="B743" s="16"/>
      <c r="C743" s="16"/>
      <c r="D743" s="16"/>
      <c r="E743" s="16"/>
      <c r="F743" s="16"/>
      <c r="G743" s="138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16"/>
      <c r="B744" s="16"/>
      <c r="C744" s="16"/>
      <c r="D744" s="16"/>
      <c r="E744" s="16"/>
      <c r="F744" s="16"/>
      <c r="G744" s="138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16"/>
      <c r="B745" s="16"/>
      <c r="C745" s="16"/>
      <c r="D745" s="16"/>
      <c r="E745" s="16"/>
      <c r="F745" s="16"/>
      <c r="G745" s="138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16"/>
      <c r="B746" s="16"/>
      <c r="C746" s="16"/>
      <c r="D746" s="16"/>
      <c r="E746" s="16"/>
      <c r="F746" s="16"/>
      <c r="G746" s="138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16"/>
      <c r="B747" s="16"/>
      <c r="C747" s="16"/>
      <c r="D747" s="16"/>
      <c r="E747" s="16"/>
      <c r="F747" s="16"/>
      <c r="G747" s="138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16"/>
      <c r="B748" s="16"/>
      <c r="C748" s="16"/>
      <c r="D748" s="16"/>
      <c r="E748" s="16"/>
      <c r="F748" s="16"/>
      <c r="G748" s="138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16"/>
      <c r="B749" s="16"/>
      <c r="C749" s="16"/>
      <c r="D749" s="16"/>
      <c r="E749" s="16"/>
      <c r="F749" s="16"/>
      <c r="G749" s="138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16"/>
      <c r="B750" s="16"/>
      <c r="C750" s="16"/>
      <c r="D750" s="16"/>
      <c r="E750" s="16"/>
      <c r="F750" s="16"/>
      <c r="G750" s="138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16"/>
      <c r="B751" s="16"/>
      <c r="C751" s="16"/>
      <c r="D751" s="16"/>
      <c r="E751" s="16"/>
      <c r="F751" s="16"/>
      <c r="G751" s="138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16"/>
      <c r="B752" s="16"/>
      <c r="C752" s="16"/>
      <c r="D752" s="16"/>
      <c r="E752" s="16"/>
      <c r="F752" s="16"/>
      <c r="G752" s="138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16"/>
      <c r="B753" s="16"/>
      <c r="C753" s="16"/>
      <c r="D753" s="16"/>
      <c r="E753" s="16"/>
      <c r="F753" s="16"/>
      <c r="G753" s="138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16"/>
      <c r="B754" s="16"/>
      <c r="C754" s="16"/>
      <c r="D754" s="16"/>
      <c r="E754" s="16"/>
      <c r="F754" s="16"/>
      <c r="G754" s="138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16"/>
      <c r="B755" s="16"/>
      <c r="C755" s="16"/>
      <c r="D755" s="16"/>
      <c r="E755" s="16"/>
      <c r="F755" s="16"/>
      <c r="G755" s="138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16"/>
      <c r="B756" s="16"/>
      <c r="C756" s="16"/>
      <c r="D756" s="16"/>
      <c r="E756" s="16"/>
      <c r="F756" s="16"/>
      <c r="G756" s="138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16"/>
      <c r="B757" s="16"/>
      <c r="C757" s="16"/>
      <c r="D757" s="16"/>
      <c r="E757" s="16"/>
      <c r="F757" s="16"/>
      <c r="G757" s="138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16"/>
      <c r="B758" s="16"/>
      <c r="C758" s="16"/>
      <c r="D758" s="16"/>
      <c r="E758" s="16"/>
      <c r="F758" s="16"/>
      <c r="G758" s="138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16"/>
      <c r="B759" s="16"/>
      <c r="C759" s="16"/>
      <c r="D759" s="16"/>
      <c r="E759" s="16"/>
      <c r="F759" s="16"/>
      <c r="G759" s="138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16"/>
      <c r="B760" s="16"/>
      <c r="C760" s="16"/>
      <c r="D760" s="16"/>
      <c r="E760" s="16"/>
      <c r="F760" s="16"/>
      <c r="G760" s="138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16"/>
      <c r="B761" s="16"/>
      <c r="C761" s="16"/>
      <c r="D761" s="16"/>
      <c r="E761" s="16"/>
      <c r="F761" s="16"/>
      <c r="G761" s="138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16"/>
      <c r="B762" s="16"/>
      <c r="C762" s="16"/>
      <c r="D762" s="16"/>
      <c r="E762" s="16"/>
      <c r="F762" s="16"/>
      <c r="G762" s="138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16"/>
      <c r="B763" s="16"/>
      <c r="C763" s="16"/>
      <c r="D763" s="16"/>
      <c r="E763" s="16"/>
      <c r="F763" s="16"/>
      <c r="G763" s="138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6"/>
      <c r="B764" s="16"/>
      <c r="C764" s="16"/>
      <c r="D764" s="16"/>
      <c r="E764" s="16"/>
      <c r="F764" s="16"/>
      <c r="G764" s="138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16"/>
      <c r="B765" s="16"/>
      <c r="C765" s="16"/>
      <c r="D765" s="16"/>
      <c r="E765" s="16"/>
      <c r="F765" s="16"/>
      <c r="G765" s="138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16"/>
      <c r="B766" s="16"/>
      <c r="C766" s="16"/>
      <c r="D766" s="16"/>
      <c r="E766" s="16"/>
      <c r="F766" s="16"/>
      <c r="G766" s="138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16"/>
      <c r="B767" s="16"/>
      <c r="C767" s="16"/>
      <c r="D767" s="16"/>
      <c r="E767" s="16"/>
      <c r="F767" s="16"/>
      <c r="G767" s="138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16"/>
      <c r="B768" s="16"/>
      <c r="C768" s="16"/>
      <c r="D768" s="16"/>
      <c r="E768" s="16"/>
      <c r="F768" s="16"/>
      <c r="G768" s="138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16"/>
      <c r="B769" s="16"/>
      <c r="C769" s="16"/>
      <c r="D769" s="16"/>
      <c r="E769" s="16"/>
      <c r="F769" s="16"/>
      <c r="G769" s="138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16"/>
      <c r="B770" s="16"/>
      <c r="C770" s="16"/>
      <c r="D770" s="16"/>
      <c r="E770" s="16"/>
      <c r="F770" s="16"/>
      <c r="G770" s="138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16"/>
      <c r="B771" s="16"/>
      <c r="C771" s="16"/>
      <c r="D771" s="16"/>
      <c r="E771" s="16"/>
      <c r="F771" s="16"/>
      <c r="G771" s="138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16"/>
      <c r="B772" s="16"/>
      <c r="C772" s="16"/>
      <c r="D772" s="16"/>
      <c r="E772" s="16"/>
      <c r="F772" s="16"/>
      <c r="G772" s="138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16"/>
      <c r="B773" s="16"/>
      <c r="C773" s="16"/>
      <c r="D773" s="16"/>
      <c r="E773" s="16"/>
      <c r="F773" s="16"/>
      <c r="G773" s="138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16"/>
      <c r="B774" s="16"/>
      <c r="C774" s="16"/>
      <c r="D774" s="16"/>
      <c r="E774" s="16"/>
      <c r="F774" s="16"/>
      <c r="G774" s="138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16"/>
      <c r="B775" s="16"/>
      <c r="C775" s="16"/>
      <c r="D775" s="16"/>
      <c r="E775" s="16"/>
      <c r="F775" s="16"/>
      <c r="G775" s="138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16"/>
      <c r="B776" s="16"/>
      <c r="C776" s="16"/>
      <c r="D776" s="16"/>
      <c r="E776" s="16"/>
      <c r="F776" s="16"/>
      <c r="G776" s="138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16"/>
      <c r="B777" s="16"/>
      <c r="C777" s="16"/>
      <c r="D777" s="16"/>
      <c r="E777" s="16"/>
      <c r="F777" s="16"/>
      <c r="G777" s="138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16"/>
      <c r="B778" s="16"/>
      <c r="C778" s="16"/>
      <c r="D778" s="16"/>
      <c r="E778" s="16"/>
      <c r="F778" s="16"/>
      <c r="G778" s="138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16"/>
      <c r="B779" s="16"/>
      <c r="C779" s="16"/>
      <c r="D779" s="16"/>
      <c r="E779" s="16"/>
      <c r="F779" s="16"/>
      <c r="G779" s="138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16"/>
      <c r="B780" s="16"/>
      <c r="C780" s="16"/>
      <c r="D780" s="16"/>
      <c r="E780" s="16"/>
      <c r="F780" s="16"/>
      <c r="G780" s="138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16"/>
      <c r="B781" s="16"/>
      <c r="C781" s="16"/>
      <c r="D781" s="16"/>
      <c r="E781" s="16"/>
      <c r="F781" s="16"/>
      <c r="G781" s="138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16"/>
      <c r="B782" s="16"/>
      <c r="C782" s="16"/>
      <c r="D782" s="16"/>
      <c r="E782" s="16"/>
      <c r="F782" s="16"/>
      <c r="G782" s="138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16"/>
      <c r="B783" s="16"/>
      <c r="C783" s="16"/>
      <c r="D783" s="16"/>
      <c r="E783" s="16"/>
      <c r="F783" s="16"/>
      <c r="G783" s="138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16"/>
      <c r="B784" s="16"/>
      <c r="C784" s="16"/>
      <c r="D784" s="16"/>
      <c r="E784" s="16"/>
      <c r="F784" s="16"/>
      <c r="G784" s="138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16"/>
      <c r="B785" s="16"/>
      <c r="C785" s="16"/>
      <c r="D785" s="16"/>
      <c r="E785" s="16"/>
      <c r="F785" s="16"/>
      <c r="G785" s="138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16"/>
      <c r="B786" s="16"/>
      <c r="C786" s="16"/>
      <c r="D786" s="16"/>
      <c r="E786" s="16"/>
      <c r="F786" s="16"/>
      <c r="G786" s="138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16"/>
      <c r="B787" s="16"/>
      <c r="C787" s="16"/>
      <c r="D787" s="16"/>
      <c r="E787" s="16"/>
      <c r="F787" s="16"/>
      <c r="G787" s="138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16"/>
      <c r="B788" s="16"/>
      <c r="C788" s="16"/>
      <c r="D788" s="16"/>
      <c r="E788" s="16"/>
      <c r="F788" s="16"/>
      <c r="G788" s="138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16"/>
      <c r="B789" s="16"/>
      <c r="C789" s="16"/>
      <c r="D789" s="16"/>
      <c r="E789" s="16"/>
      <c r="F789" s="16"/>
      <c r="G789" s="138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16"/>
      <c r="B790" s="16"/>
      <c r="C790" s="16"/>
      <c r="D790" s="16"/>
      <c r="E790" s="16"/>
      <c r="F790" s="16"/>
      <c r="G790" s="138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16"/>
      <c r="B791" s="16"/>
      <c r="C791" s="16"/>
      <c r="D791" s="16"/>
      <c r="E791" s="16"/>
      <c r="F791" s="16"/>
      <c r="G791" s="138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16"/>
      <c r="B792" s="16"/>
      <c r="C792" s="16"/>
      <c r="D792" s="16"/>
      <c r="E792" s="16"/>
      <c r="F792" s="16"/>
      <c r="G792" s="138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16"/>
      <c r="B793" s="16"/>
      <c r="C793" s="16"/>
      <c r="D793" s="16"/>
      <c r="E793" s="16"/>
      <c r="F793" s="16"/>
      <c r="G793" s="138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16"/>
      <c r="B794" s="16"/>
      <c r="C794" s="16"/>
      <c r="D794" s="16"/>
      <c r="E794" s="16"/>
      <c r="F794" s="16"/>
      <c r="G794" s="138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16"/>
      <c r="B795" s="16"/>
      <c r="C795" s="16"/>
      <c r="D795" s="16"/>
      <c r="E795" s="16"/>
      <c r="F795" s="16"/>
      <c r="G795" s="138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16"/>
      <c r="B796" s="16"/>
      <c r="C796" s="16"/>
      <c r="D796" s="16"/>
      <c r="E796" s="16"/>
      <c r="F796" s="16"/>
      <c r="G796" s="138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16"/>
      <c r="B797" s="16"/>
      <c r="C797" s="16"/>
      <c r="D797" s="16"/>
      <c r="E797" s="16"/>
      <c r="F797" s="16"/>
      <c r="G797" s="138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16"/>
      <c r="B798" s="16"/>
      <c r="C798" s="16"/>
      <c r="D798" s="16"/>
      <c r="E798" s="16"/>
      <c r="F798" s="16"/>
      <c r="G798" s="138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16"/>
      <c r="B799" s="16"/>
      <c r="C799" s="16"/>
      <c r="D799" s="16"/>
      <c r="E799" s="16"/>
      <c r="F799" s="16"/>
      <c r="G799" s="138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16"/>
      <c r="B800" s="16"/>
      <c r="C800" s="16"/>
      <c r="D800" s="16"/>
      <c r="E800" s="16"/>
      <c r="F800" s="16"/>
      <c r="G800" s="138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16"/>
      <c r="B801" s="16"/>
      <c r="C801" s="16"/>
      <c r="D801" s="16"/>
      <c r="E801" s="16"/>
      <c r="F801" s="16"/>
      <c r="G801" s="138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16"/>
      <c r="B802" s="16"/>
      <c r="C802" s="16"/>
      <c r="D802" s="16"/>
      <c r="E802" s="16"/>
      <c r="F802" s="16"/>
      <c r="G802" s="138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16"/>
      <c r="B803" s="16"/>
      <c r="C803" s="16"/>
      <c r="D803" s="16"/>
      <c r="E803" s="16"/>
      <c r="F803" s="16"/>
      <c r="G803" s="138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6"/>
      <c r="B804" s="16"/>
      <c r="C804" s="16"/>
      <c r="D804" s="16"/>
      <c r="E804" s="16"/>
      <c r="F804" s="16"/>
      <c r="G804" s="138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16"/>
      <c r="B805" s="16"/>
      <c r="C805" s="16"/>
      <c r="D805" s="16"/>
      <c r="E805" s="16"/>
      <c r="F805" s="16"/>
      <c r="G805" s="138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16"/>
      <c r="B806" s="16"/>
      <c r="C806" s="16"/>
      <c r="D806" s="16"/>
      <c r="E806" s="16"/>
      <c r="F806" s="16"/>
      <c r="G806" s="138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16"/>
      <c r="B807" s="16"/>
      <c r="C807" s="16"/>
      <c r="D807" s="16"/>
      <c r="E807" s="16"/>
      <c r="F807" s="16"/>
      <c r="G807" s="138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16"/>
      <c r="B808" s="16"/>
      <c r="C808" s="16"/>
      <c r="D808" s="16"/>
      <c r="E808" s="16"/>
      <c r="F808" s="16"/>
      <c r="G808" s="138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16"/>
      <c r="B809" s="16"/>
      <c r="C809" s="16"/>
      <c r="D809" s="16"/>
      <c r="E809" s="16"/>
      <c r="F809" s="16"/>
      <c r="G809" s="138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16"/>
      <c r="B810" s="16"/>
      <c r="C810" s="16"/>
      <c r="D810" s="16"/>
      <c r="E810" s="16"/>
      <c r="F810" s="16"/>
      <c r="G810" s="138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16"/>
      <c r="B811" s="16"/>
      <c r="C811" s="16"/>
      <c r="D811" s="16"/>
      <c r="E811" s="16"/>
      <c r="F811" s="16"/>
      <c r="G811" s="138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16"/>
      <c r="B812" s="16"/>
      <c r="C812" s="16"/>
      <c r="D812" s="16"/>
      <c r="E812" s="16"/>
      <c r="F812" s="16"/>
      <c r="G812" s="138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16"/>
      <c r="B813" s="16"/>
      <c r="C813" s="16"/>
      <c r="D813" s="16"/>
      <c r="E813" s="16"/>
      <c r="F813" s="16"/>
      <c r="G813" s="138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16"/>
      <c r="B814" s="16"/>
      <c r="C814" s="16"/>
      <c r="D814" s="16"/>
      <c r="E814" s="16"/>
      <c r="F814" s="16"/>
      <c r="G814" s="138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16"/>
      <c r="B815" s="16"/>
      <c r="C815" s="16"/>
      <c r="D815" s="16"/>
      <c r="E815" s="16"/>
      <c r="F815" s="16"/>
      <c r="G815" s="138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16"/>
      <c r="B816" s="16"/>
      <c r="C816" s="16"/>
      <c r="D816" s="16"/>
      <c r="E816" s="16"/>
      <c r="F816" s="16"/>
      <c r="G816" s="138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16"/>
      <c r="B817" s="16"/>
      <c r="C817" s="16"/>
      <c r="D817" s="16"/>
      <c r="E817" s="16"/>
      <c r="F817" s="16"/>
      <c r="G817" s="138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16"/>
      <c r="B818" s="16"/>
      <c r="C818" s="16"/>
      <c r="D818" s="16"/>
      <c r="E818" s="16"/>
      <c r="F818" s="16"/>
      <c r="G818" s="138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16"/>
      <c r="B819" s="16"/>
      <c r="C819" s="16"/>
      <c r="D819" s="16"/>
      <c r="E819" s="16"/>
      <c r="F819" s="16"/>
      <c r="G819" s="138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16"/>
      <c r="B820" s="16"/>
      <c r="C820" s="16"/>
      <c r="D820" s="16"/>
      <c r="E820" s="16"/>
      <c r="F820" s="16"/>
      <c r="G820" s="138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16"/>
      <c r="B821" s="16"/>
      <c r="C821" s="16"/>
      <c r="D821" s="16"/>
      <c r="E821" s="16"/>
      <c r="F821" s="16"/>
      <c r="G821" s="138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16"/>
      <c r="B822" s="16"/>
      <c r="C822" s="16"/>
      <c r="D822" s="16"/>
      <c r="E822" s="16"/>
      <c r="F822" s="16"/>
      <c r="G822" s="138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16"/>
      <c r="B823" s="16"/>
      <c r="C823" s="16"/>
      <c r="D823" s="16"/>
      <c r="E823" s="16"/>
      <c r="F823" s="16"/>
      <c r="G823" s="138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16"/>
      <c r="B824" s="16"/>
      <c r="C824" s="16"/>
      <c r="D824" s="16"/>
      <c r="E824" s="16"/>
      <c r="F824" s="16"/>
      <c r="G824" s="138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16"/>
      <c r="B825" s="16"/>
      <c r="C825" s="16"/>
      <c r="D825" s="16"/>
      <c r="E825" s="16"/>
      <c r="F825" s="16"/>
      <c r="G825" s="138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16"/>
      <c r="B826" s="16"/>
      <c r="C826" s="16"/>
      <c r="D826" s="16"/>
      <c r="E826" s="16"/>
      <c r="F826" s="16"/>
      <c r="G826" s="138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16"/>
      <c r="B827" s="16"/>
      <c r="C827" s="16"/>
      <c r="D827" s="16"/>
      <c r="E827" s="16"/>
      <c r="F827" s="16"/>
      <c r="G827" s="138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16"/>
      <c r="B828" s="16"/>
      <c r="C828" s="16"/>
      <c r="D828" s="16"/>
      <c r="E828" s="16"/>
      <c r="F828" s="16"/>
      <c r="G828" s="138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16"/>
      <c r="B829" s="16"/>
      <c r="C829" s="16"/>
      <c r="D829" s="16"/>
      <c r="E829" s="16"/>
      <c r="F829" s="16"/>
      <c r="G829" s="138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16"/>
      <c r="B830" s="16"/>
      <c r="C830" s="16"/>
      <c r="D830" s="16"/>
      <c r="E830" s="16"/>
      <c r="F830" s="16"/>
      <c r="G830" s="138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16"/>
      <c r="B831" s="16"/>
      <c r="C831" s="16"/>
      <c r="D831" s="16"/>
      <c r="E831" s="16"/>
      <c r="F831" s="16"/>
      <c r="G831" s="138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16"/>
      <c r="B832" s="16"/>
      <c r="C832" s="16"/>
      <c r="D832" s="16"/>
      <c r="E832" s="16"/>
      <c r="F832" s="16"/>
      <c r="G832" s="138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16"/>
      <c r="B833" s="16"/>
      <c r="C833" s="16"/>
      <c r="D833" s="16"/>
      <c r="E833" s="16"/>
      <c r="F833" s="16"/>
      <c r="G833" s="138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16"/>
      <c r="B834" s="16"/>
      <c r="C834" s="16"/>
      <c r="D834" s="16"/>
      <c r="E834" s="16"/>
      <c r="F834" s="16"/>
      <c r="G834" s="138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16"/>
      <c r="B835" s="16"/>
      <c r="C835" s="16"/>
      <c r="D835" s="16"/>
      <c r="E835" s="16"/>
      <c r="F835" s="16"/>
      <c r="G835" s="138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16"/>
      <c r="B836" s="16"/>
      <c r="C836" s="16"/>
      <c r="D836" s="16"/>
      <c r="E836" s="16"/>
      <c r="F836" s="16"/>
      <c r="G836" s="138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16"/>
      <c r="B837" s="16"/>
      <c r="C837" s="16"/>
      <c r="D837" s="16"/>
      <c r="E837" s="16"/>
      <c r="F837" s="16"/>
      <c r="G837" s="138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16"/>
      <c r="B838" s="16"/>
      <c r="C838" s="16"/>
      <c r="D838" s="16"/>
      <c r="E838" s="16"/>
      <c r="F838" s="16"/>
      <c r="G838" s="138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16"/>
      <c r="B839" s="16"/>
      <c r="C839" s="16"/>
      <c r="D839" s="16"/>
      <c r="E839" s="16"/>
      <c r="F839" s="16"/>
      <c r="G839" s="138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16"/>
      <c r="B840" s="16"/>
      <c r="C840" s="16"/>
      <c r="D840" s="16"/>
      <c r="E840" s="16"/>
      <c r="F840" s="16"/>
      <c r="G840" s="138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16"/>
      <c r="B841" s="16"/>
      <c r="C841" s="16"/>
      <c r="D841" s="16"/>
      <c r="E841" s="16"/>
      <c r="F841" s="16"/>
      <c r="G841" s="138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16"/>
      <c r="B842" s="16"/>
      <c r="C842" s="16"/>
      <c r="D842" s="16"/>
      <c r="E842" s="16"/>
      <c r="F842" s="16"/>
      <c r="G842" s="138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16"/>
      <c r="B843" s="16"/>
      <c r="C843" s="16"/>
      <c r="D843" s="16"/>
      <c r="E843" s="16"/>
      <c r="F843" s="16"/>
      <c r="G843" s="138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6"/>
      <c r="B844" s="16"/>
      <c r="C844" s="16"/>
      <c r="D844" s="16"/>
      <c r="E844" s="16"/>
      <c r="F844" s="16"/>
      <c r="G844" s="138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16"/>
      <c r="B845" s="16"/>
      <c r="C845" s="16"/>
      <c r="D845" s="16"/>
      <c r="E845" s="16"/>
      <c r="F845" s="16"/>
      <c r="G845" s="138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16"/>
      <c r="B846" s="16"/>
      <c r="C846" s="16"/>
      <c r="D846" s="16"/>
      <c r="E846" s="16"/>
      <c r="F846" s="16"/>
      <c r="G846" s="138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16"/>
      <c r="B847" s="16"/>
      <c r="C847" s="16"/>
      <c r="D847" s="16"/>
      <c r="E847" s="16"/>
      <c r="F847" s="16"/>
      <c r="G847" s="138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16"/>
      <c r="B848" s="16"/>
      <c r="C848" s="16"/>
      <c r="D848" s="16"/>
      <c r="E848" s="16"/>
      <c r="F848" s="16"/>
      <c r="G848" s="138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16"/>
      <c r="B849" s="16"/>
      <c r="C849" s="16"/>
      <c r="D849" s="16"/>
      <c r="E849" s="16"/>
      <c r="F849" s="16"/>
      <c r="G849" s="138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16"/>
      <c r="B850" s="16"/>
      <c r="C850" s="16"/>
      <c r="D850" s="16"/>
      <c r="E850" s="16"/>
      <c r="F850" s="16"/>
      <c r="G850" s="138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16"/>
      <c r="B851" s="16"/>
      <c r="C851" s="16"/>
      <c r="D851" s="16"/>
      <c r="E851" s="16"/>
      <c r="F851" s="16"/>
      <c r="G851" s="138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16"/>
      <c r="B852" s="16"/>
      <c r="C852" s="16"/>
      <c r="D852" s="16"/>
      <c r="E852" s="16"/>
      <c r="F852" s="16"/>
      <c r="G852" s="138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16"/>
      <c r="B853" s="16"/>
      <c r="C853" s="16"/>
      <c r="D853" s="16"/>
      <c r="E853" s="16"/>
      <c r="F853" s="16"/>
      <c r="G853" s="138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16"/>
      <c r="B854" s="16"/>
      <c r="C854" s="16"/>
      <c r="D854" s="16"/>
      <c r="E854" s="16"/>
      <c r="F854" s="16"/>
      <c r="G854" s="138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16"/>
      <c r="B855" s="16"/>
      <c r="C855" s="16"/>
      <c r="D855" s="16"/>
      <c r="E855" s="16"/>
      <c r="F855" s="16"/>
      <c r="G855" s="138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16"/>
      <c r="B856" s="16"/>
      <c r="C856" s="16"/>
      <c r="D856" s="16"/>
      <c r="E856" s="16"/>
      <c r="F856" s="16"/>
      <c r="G856" s="138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16"/>
      <c r="B857" s="16"/>
      <c r="C857" s="16"/>
      <c r="D857" s="16"/>
      <c r="E857" s="16"/>
      <c r="F857" s="16"/>
      <c r="G857" s="138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16"/>
      <c r="B858" s="16"/>
      <c r="C858" s="16"/>
      <c r="D858" s="16"/>
      <c r="E858" s="16"/>
      <c r="F858" s="16"/>
      <c r="G858" s="138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16"/>
      <c r="B859" s="16"/>
      <c r="C859" s="16"/>
      <c r="D859" s="16"/>
      <c r="E859" s="16"/>
      <c r="F859" s="16"/>
      <c r="G859" s="138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16"/>
      <c r="B860" s="16"/>
      <c r="C860" s="16"/>
      <c r="D860" s="16"/>
      <c r="E860" s="16"/>
      <c r="F860" s="16"/>
      <c r="G860" s="138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16"/>
      <c r="B861" s="16"/>
      <c r="C861" s="16"/>
      <c r="D861" s="16"/>
      <c r="E861" s="16"/>
      <c r="F861" s="16"/>
      <c r="G861" s="138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16"/>
      <c r="B862" s="16"/>
      <c r="C862" s="16"/>
      <c r="D862" s="16"/>
      <c r="E862" s="16"/>
      <c r="F862" s="16"/>
      <c r="G862" s="138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16"/>
      <c r="B863" s="16"/>
      <c r="C863" s="16"/>
      <c r="D863" s="16"/>
      <c r="E863" s="16"/>
      <c r="F863" s="16"/>
      <c r="G863" s="138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16"/>
      <c r="B864" s="16"/>
      <c r="C864" s="16"/>
      <c r="D864" s="16"/>
      <c r="E864" s="16"/>
      <c r="F864" s="16"/>
      <c r="G864" s="138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16"/>
      <c r="B865" s="16"/>
      <c r="C865" s="16"/>
      <c r="D865" s="16"/>
      <c r="E865" s="16"/>
      <c r="F865" s="16"/>
      <c r="G865" s="138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16"/>
      <c r="B866" s="16"/>
      <c r="C866" s="16"/>
      <c r="D866" s="16"/>
      <c r="E866" s="16"/>
      <c r="F866" s="16"/>
      <c r="G866" s="138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16"/>
      <c r="B867" s="16"/>
      <c r="C867" s="16"/>
      <c r="D867" s="16"/>
      <c r="E867" s="16"/>
      <c r="F867" s="16"/>
      <c r="G867" s="138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16"/>
      <c r="B868" s="16"/>
      <c r="C868" s="16"/>
      <c r="D868" s="16"/>
      <c r="E868" s="16"/>
      <c r="F868" s="16"/>
      <c r="G868" s="138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16"/>
      <c r="B869" s="16"/>
      <c r="C869" s="16"/>
      <c r="D869" s="16"/>
      <c r="E869" s="16"/>
      <c r="F869" s="16"/>
      <c r="G869" s="138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16"/>
      <c r="B870" s="16"/>
      <c r="C870" s="16"/>
      <c r="D870" s="16"/>
      <c r="E870" s="16"/>
      <c r="F870" s="16"/>
      <c r="G870" s="138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16"/>
      <c r="B871" s="16"/>
      <c r="C871" s="16"/>
      <c r="D871" s="16"/>
      <c r="E871" s="16"/>
      <c r="F871" s="16"/>
      <c r="G871" s="138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16"/>
      <c r="B872" s="16"/>
      <c r="C872" s="16"/>
      <c r="D872" s="16"/>
      <c r="E872" s="16"/>
      <c r="F872" s="16"/>
      <c r="G872" s="138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16"/>
      <c r="B873" s="16"/>
      <c r="C873" s="16"/>
      <c r="D873" s="16"/>
      <c r="E873" s="16"/>
      <c r="F873" s="16"/>
      <c r="G873" s="138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16"/>
      <c r="B874" s="16"/>
      <c r="C874" s="16"/>
      <c r="D874" s="16"/>
      <c r="E874" s="16"/>
      <c r="F874" s="16"/>
      <c r="G874" s="138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16"/>
      <c r="B875" s="16"/>
      <c r="C875" s="16"/>
      <c r="D875" s="16"/>
      <c r="E875" s="16"/>
      <c r="F875" s="16"/>
      <c r="G875" s="138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16"/>
      <c r="B876" s="16"/>
      <c r="C876" s="16"/>
      <c r="D876" s="16"/>
      <c r="E876" s="16"/>
      <c r="F876" s="16"/>
      <c r="G876" s="138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16"/>
      <c r="B877" s="16"/>
      <c r="C877" s="16"/>
      <c r="D877" s="16"/>
      <c r="E877" s="16"/>
      <c r="F877" s="16"/>
      <c r="G877" s="138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16"/>
      <c r="B878" s="16"/>
      <c r="C878" s="16"/>
      <c r="D878" s="16"/>
      <c r="E878" s="16"/>
      <c r="F878" s="16"/>
      <c r="G878" s="138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16"/>
      <c r="B879" s="16"/>
      <c r="C879" s="16"/>
      <c r="D879" s="16"/>
      <c r="E879" s="16"/>
      <c r="F879" s="16"/>
      <c r="G879" s="138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16"/>
      <c r="B880" s="16"/>
      <c r="C880" s="16"/>
      <c r="D880" s="16"/>
      <c r="E880" s="16"/>
      <c r="F880" s="16"/>
      <c r="G880" s="138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16"/>
      <c r="B881" s="16"/>
      <c r="C881" s="16"/>
      <c r="D881" s="16"/>
      <c r="E881" s="16"/>
      <c r="F881" s="16"/>
      <c r="G881" s="138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16"/>
      <c r="B882" s="16"/>
      <c r="C882" s="16"/>
      <c r="D882" s="16"/>
      <c r="E882" s="16"/>
      <c r="F882" s="16"/>
      <c r="G882" s="138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16"/>
      <c r="B883" s="16"/>
      <c r="C883" s="16"/>
      <c r="D883" s="16"/>
      <c r="E883" s="16"/>
      <c r="F883" s="16"/>
      <c r="G883" s="138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6"/>
      <c r="B884" s="16"/>
      <c r="C884" s="16"/>
      <c r="D884" s="16"/>
      <c r="E884" s="16"/>
      <c r="F884" s="16"/>
      <c r="G884" s="138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16"/>
      <c r="B885" s="16"/>
      <c r="C885" s="16"/>
      <c r="D885" s="16"/>
      <c r="E885" s="16"/>
      <c r="F885" s="16"/>
      <c r="G885" s="138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16"/>
      <c r="B886" s="16"/>
      <c r="C886" s="16"/>
      <c r="D886" s="16"/>
      <c r="E886" s="16"/>
      <c r="F886" s="16"/>
      <c r="G886" s="138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16"/>
      <c r="B887" s="16"/>
      <c r="C887" s="16"/>
      <c r="D887" s="16"/>
      <c r="E887" s="16"/>
      <c r="F887" s="16"/>
      <c r="G887" s="138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16"/>
      <c r="B888" s="16"/>
      <c r="C888" s="16"/>
      <c r="D888" s="16"/>
      <c r="E888" s="16"/>
      <c r="F888" s="16"/>
      <c r="G888" s="138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16"/>
      <c r="B889" s="16"/>
      <c r="C889" s="16"/>
      <c r="D889" s="16"/>
      <c r="E889" s="16"/>
      <c r="F889" s="16"/>
      <c r="G889" s="138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16"/>
      <c r="B890" s="16"/>
      <c r="C890" s="16"/>
      <c r="D890" s="16"/>
      <c r="E890" s="16"/>
      <c r="F890" s="16"/>
      <c r="G890" s="138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16"/>
      <c r="B891" s="16"/>
      <c r="C891" s="16"/>
      <c r="D891" s="16"/>
      <c r="E891" s="16"/>
      <c r="F891" s="16"/>
      <c r="G891" s="138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16"/>
      <c r="B892" s="16"/>
      <c r="C892" s="16"/>
      <c r="D892" s="16"/>
      <c r="E892" s="16"/>
      <c r="F892" s="16"/>
      <c r="G892" s="138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16"/>
      <c r="B893" s="16"/>
      <c r="C893" s="16"/>
      <c r="D893" s="16"/>
      <c r="E893" s="16"/>
      <c r="F893" s="16"/>
      <c r="G893" s="138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16"/>
      <c r="B894" s="16"/>
      <c r="C894" s="16"/>
      <c r="D894" s="16"/>
      <c r="E894" s="16"/>
      <c r="F894" s="16"/>
      <c r="G894" s="138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16"/>
      <c r="B895" s="16"/>
      <c r="C895" s="16"/>
      <c r="D895" s="16"/>
      <c r="E895" s="16"/>
      <c r="F895" s="16"/>
      <c r="G895" s="138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16"/>
      <c r="B896" s="16"/>
      <c r="C896" s="16"/>
      <c r="D896" s="16"/>
      <c r="E896" s="16"/>
      <c r="F896" s="16"/>
      <c r="G896" s="138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16"/>
      <c r="B897" s="16"/>
      <c r="C897" s="16"/>
      <c r="D897" s="16"/>
      <c r="E897" s="16"/>
      <c r="F897" s="16"/>
      <c r="G897" s="138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16"/>
      <c r="B898" s="16"/>
      <c r="C898" s="16"/>
      <c r="D898" s="16"/>
      <c r="E898" s="16"/>
      <c r="F898" s="16"/>
      <c r="G898" s="138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16"/>
      <c r="B899" s="16"/>
      <c r="C899" s="16"/>
      <c r="D899" s="16"/>
      <c r="E899" s="16"/>
      <c r="F899" s="16"/>
      <c r="G899" s="138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16"/>
      <c r="B900" s="16"/>
      <c r="C900" s="16"/>
      <c r="D900" s="16"/>
      <c r="E900" s="16"/>
      <c r="F900" s="16"/>
      <c r="G900" s="138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16"/>
      <c r="B901" s="16"/>
      <c r="C901" s="16"/>
      <c r="D901" s="16"/>
      <c r="E901" s="16"/>
      <c r="F901" s="16"/>
      <c r="G901" s="138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16"/>
      <c r="B902" s="16"/>
      <c r="C902" s="16"/>
      <c r="D902" s="16"/>
      <c r="E902" s="16"/>
      <c r="F902" s="16"/>
      <c r="G902" s="138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16"/>
      <c r="B903" s="16"/>
      <c r="C903" s="16"/>
      <c r="D903" s="16"/>
      <c r="E903" s="16"/>
      <c r="F903" s="16"/>
      <c r="G903" s="138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16"/>
      <c r="B904" s="16"/>
      <c r="C904" s="16"/>
      <c r="D904" s="16"/>
      <c r="E904" s="16"/>
      <c r="F904" s="16"/>
      <c r="G904" s="138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16"/>
      <c r="B905" s="16"/>
      <c r="C905" s="16"/>
      <c r="D905" s="16"/>
      <c r="E905" s="16"/>
      <c r="F905" s="16"/>
      <c r="G905" s="138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16"/>
      <c r="B906" s="16"/>
      <c r="C906" s="16"/>
      <c r="D906" s="16"/>
      <c r="E906" s="16"/>
      <c r="F906" s="16"/>
      <c r="G906" s="138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16"/>
      <c r="B907" s="16"/>
      <c r="C907" s="16"/>
      <c r="D907" s="16"/>
      <c r="E907" s="16"/>
      <c r="F907" s="16"/>
      <c r="G907" s="138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16"/>
      <c r="B908" s="16"/>
      <c r="C908" s="16"/>
      <c r="D908" s="16"/>
      <c r="E908" s="16"/>
      <c r="F908" s="16"/>
      <c r="G908" s="138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16"/>
      <c r="B909" s="16"/>
      <c r="C909" s="16"/>
      <c r="D909" s="16"/>
      <c r="E909" s="16"/>
      <c r="F909" s="16"/>
      <c r="G909" s="138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16"/>
      <c r="B910" s="16"/>
      <c r="C910" s="16"/>
      <c r="D910" s="16"/>
      <c r="E910" s="16"/>
      <c r="F910" s="16"/>
      <c r="G910" s="138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16"/>
      <c r="B911" s="16"/>
      <c r="C911" s="16"/>
      <c r="D911" s="16"/>
      <c r="E911" s="16"/>
      <c r="F911" s="16"/>
      <c r="G911" s="138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16"/>
      <c r="B912" s="16"/>
      <c r="C912" s="16"/>
      <c r="D912" s="16"/>
      <c r="E912" s="16"/>
      <c r="F912" s="16"/>
      <c r="G912" s="138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16"/>
      <c r="B913" s="16"/>
      <c r="C913" s="16"/>
      <c r="D913" s="16"/>
      <c r="E913" s="16"/>
      <c r="F913" s="16"/>
      <c r="G913" s="138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16"/>
      <c r="B914" s="16"/>
      <c r="C914" s="16"/>
      <c r="D914" s="16"/>
      <c r="E914" s="16"/>
      <c r="F914" s="16"/>
      <c r="G914" s="138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16"/>
      <c r="B915" s="16"/>
      <c r="C915" s="16"/>
      <c r="D915" s="16"/>
      <c r="E915" s="16"/>
      <c r="F915" s="16"/>
      <c r="G915" s="138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16"/>
      <c r="B916" s="16"/>
      <c r="C916" s="16"/>
      <c r="D916" s="16"/>
      <c r="E916" s="16"/>
      <c r="F916" s="16"/>
      <c r="G916" s="138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16"/>
      <c r="B917" s="16"/>
      <c r="C917" s="16"/>
      <c r="D917" s="16"/>
      <c r="E917" s="16"/>
      <c r="F917" s="16"/>
      <c r="G917" s="138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16"/>
      <c r="B918" s="16"/>
      <c r="C918" s="16"/>
      <c r="D918" s="16"/>
      <c r="E918" s="16"/>
      <c r="F918" s="16"/>
      <c r="G918" s="138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16"/>
      <c r="B919" s="16"/>
      <c r="C919" s="16"/>
      <c r="D919" s="16"/>
      <c r="E919" s="16"/>
      <c r="F919" s="16"/>
      <c r="G919" s="138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16"/>
      <c r="B920" s="16"/>
      <c r="C920" s="16"/>
      <c r="D920" s="16"/>
      <c r="E920" s="16"/>
      <c r="F920" s="16"/>
      <c r="G920" s="138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16"/>
      <c r="B921" s="16"/>
      <c r="C921" s="16"/>
      <c r="D921" s="16"/>
      <c r="E921" s="16"/>
      <c r="F921" s="16"/>
      <c r="G921" s="138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16"/>
      <c r="B922" s="16"/>
      <c r="C922" s="16"/>
      <c r="D922" s="16"/>
      <c r="E922" s="16"/>
      <c r="F922" s="16"/>
      <c r="G922" s="138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16"/>
      <c r="B923" s="16"/>
      <c r="C923" s="16"/>
      <c r="D923" s="16"/>
      <c r="E923" s="16"/>
      <c r="F923" s="16"/>
      <c r="G923" s="138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6"/>
      <c r="B924" s="16"/>
      <c r="C924" s="16"/>
      <c r="D924" s="16"/>
      <c r="E924" s="16"/>
      <c r="F924" s="16"/>
      <c r="G924" s="138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16"/>
      <c r="B925" s="16"/>
      <c r="C925" s="16"/>
      <c r="D925" s="16"/>
      <c r="E925" s="16"/>
      <c r="F925" s="16"/>
      <c r="G925" s="138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16"/>
      <c r="B926" s="16"/>
      <c r="C926" s="16"/>
      <c r="D926" s="16"/>
      <c r="E926" s="16"/>
      <c r="F926" s="16"/>
      <c r="G926" s="138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16"/>
      <c r="B927" s="16"/>
      <c r="C927" s="16"/>
      <c r="D927" s="16"/>
      <c r="E927" s="16"/>
      <c r="F927" s="16"/>
      <c r="G927" s="138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16"/>
      <c r="B928" s="16"/>
      <c r="C928" s="16"/>
      <c r="D928" s="16"/>
      <c r="E928" s="16"/>
      <c r="F928" s="16"/>
      <c r="G928" s="138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16"/>
      <c r="B929" s="16"/>
      <c r="C929" s="16"/>
      <c r="D929" s="16"/>
      <c r="E929" s="16"/>
      <c r="F929" s="16"/>
      <c r="G929" s="138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16"/>
      <c r="B930" s="16"/>
      <c r="C930" s="16"/>
      <c r="D930" s="16"/>
      <c r="E930" s="16"/>
      <c r="F930" s="16"/>
      <c r="G930" s="138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16"/>
      <c r="B931" s="16"/>
      <c r="C931" s="16"/>
      <c r="D931" s="16"/>
      <c r="E931" s="16"/>
      <c r="F931" s="16"/>
      <c r="G931" s="138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16"/>
      <c r="B932" s="16"/>
      <c r="C932" s="16"/>
      <c r="D932" s="16"/>
      <c r="E932" s="16"/>
      <c r="F932" s="16"/>
      <c r="G932" s="138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16"/>
      <c r="B933" s="16"/>
      <c r="C933" s="16"/>
      <c r="D933" s="16"/>
      <c r="E933" s="16"/>
      <c r="F933" s="16"/>
      <c r="G933" s="138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16"/>
      <c r="B934" s="16"/>
      <c r="C934" s="16"/>
      <c r="D934" s="16"/>
      <c r="E934" s="16"/>
      <c r="F934" s="16"/>
      <c r="G934" s="138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16"/>
      <c r="B935" s="16"/>
      <c r="C935" s="16"/>
      <c r="D935" s="16"/>
      <c r="E935" s="16"/>
      <c r="F935" s="16"/>
      <c r="G935" s="138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16"/>
      <c r="B936" s="16"/>
      <c r="C936" s="16"/>
      <c r="D936" s="16"/>
      <c r="E936" s="16"/>
      <c r="F936" s="16"/>
      <c r="G936" s="138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16"/>
      <c r="B937" s="16"/>
      <c r="C937" s="16"/>
      <c r="D937" s="16"/>
      <c r="E937" s="16"/>
      <c r="F937" s="16"/>
      <c r="G937" s="138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16"/>
      <c r="B938" s="16"/>
      <c r="C938" s="16"/>
      <c r="D938" s="16"/>
      <c r="E938" s="16"/>
      <c r="F938" s="16"/>
      <c r="G938" s="138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16"/>
      <c r="B939" s="16"/>
      <c r="C939" s="16"/>
      <c r="D939" s="16"/>
      <c r="E939" s="16"/>
      <c r="F939" s="16"/>
      <c r="G939" s="138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16"/>
      <c r="B940" s="16"/>
      <c r="C940" s="16"/>
      <c r="D940" s="16"/>
      <c r="E940" s="16"/>
      <c r="F940" s="16"/>
      <c r="G940" s="138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16"/>
      <c r="B941" s="16"/>
      <c r="C941" s="16"/>
      <c r="D941" s="16"/>
      <c r="E941" s="16"/>
      <c r="F941" s="16"/>
      <c r="G941" s="138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16"/>
      <c r="B942" s="16"/>
      <c r="C942" s="16"/>
      <c r="D942" s="16"/>
      <c r="E942" s="16"/>
      <c r="F942" s="16"/>
      <c r="G942" s="138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16"/>
      <c r="B943" s="16"/>
      <c r="C943" s="16"/>
      <c r="D943" s="16"/>
      <c r="E943" s="16"/>
      <c r="F943" s="16"/>
      <c r="G943" s="138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16"/>
      <c r="B944" s="16"/>
      <c r="C944" s="16"/>
      <c r="D944" s="16"/>
      <c r="E944" s="16"/>
      <c r="F944" s="16"/>
      <c r="G944" s="138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16"/>
      <c r="B945" s="16"/>
      <c r="C945" s="16"/>
      <c r="D945" s="16"/>
      <c r="E945" s="16"/>
      <c r="F945" s="16"/>
      <c r="G945" s="138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16"/>
      <c r="B946" s="16"/>
      <c r="C946" s="16"/>
      <c r="D946" s="16"/>
      <c r="E946" s="16"/>
      <c r="F946" s="16"/>
      <c r="G946" s="138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16"/>
      <c r="B947" s="16"/>
      <c r="C947" s="16"/>
      <c r="D947" s="16"/>
      <c r="E947" s="16"/>
      <c r="F947" s="16"/>
      <c r="G947" s="138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16"/>
      <c r="B948" s="16"/>
      <c r="C948" s="16"/>
      <c r="D948" s="16"/>
      <c r="E948" s="16"/>
      <c r="F948" s="16"/>
      <c r="G948" s="138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16"/>
      <c r="B949" s="16"/>
      <c r="C949" s="16"/>
      <c r="D949" s="16"/>
      <c r="E949" s="16"/>
      <c r="F949" s="16"/>
      <c r="G949" s="138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16"/>
      <c r="B950" s="16"/>
      <c r="C950" s="16"/>
      <c r="D950" s="16"/>
      <c r="E950" s="16"/>
      <c r="F950" s="16"/>
      <c r="G950" s="138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16"/>
      <c r="B951" s="16"/>
      <c r="C951" s="16"/>
      <c r="D951" s="16"/>
      <c r="E951" s="16"/>
      <c r="F951" s="16"/>
      <c r="G951" s="138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16"/>
      <c r="B952" s="16"/>
      <c r="C952" s="16"/>
      <c r="D952" s="16"/>
      <c r="E952" s="16"/>
      <c r="F952" s="16"/>
      <c r="G952" s="138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16"/>
      <c r="B953" s="16"/>
      <c r="C953" s="16"/>
      <c r="D953" s="16"/>
      <c r="E953" s="16"/>
      <c r="F953" s="16"/>
      <c r="G953" s="138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16"/>
      <c r="B954" s="16"/>
      <c r="C954" s="16"/>
      <c r="D954" s="16"/>
      <c r="E954" s="16"/>
      <c r="F954" s="16"/>
      <c r="G954" s="138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16"/>
      <c r="B955" s="16"/>
      <c r="C955" s="16"/>
      <c r="D955" s="16"/>
      <c r="E955" s="16"/>
      <c r="F955" s="16"/>
      <c r="G955" s="138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16"/>
      <c r="B956" s="16"/>
      <c r="C956" s="16"/>
      <c r="D956" s="16"/>
      <c r="E956" s="16"/>
      <c r="F956" s="16"/>
      <c r="G956" s="138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16"/>
      <c r="B957" s="16"/>
      <c r="C957" s="16"/>
      <c r="D957" s="16"/>
      <c r="E957" s="16"/>
      <c r="F957" s="16"/>
      <c r="G957" s="138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16"/>
      <c r="B958" s="16"/>
      <c r="C958" s="16"/>
      <c r="D958" s="16"/>
      <c r="E958" s="16"/>
      <c r="F958" s="16"/>
      <c r="G958" s="138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16"/>
      <c r="B959" s="16"/>
      <c r="C959" s="16"/>
      <c r="D959" s="16"/>
      <c r="E959" s="16"/>
      <c r="F959" s="16"/>
      <c r="G959" s="138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16"/>
      <c r="B960" s="16"/>
      <c r="C960" s="16"/>
      <c r="D960" s="16"/>
      <c r="E960" s="16"/>
      <c r="F960" s="16"/>
      <c r="G960" s="138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16"/>
      <c r="B961" s="16"/>
      <c r="C961" s="16"/>
      <c r="D961" s="16"/>
      <c r="E961" s="16"/>
      <c r="F961" s="16"/>
      <c r="G961" s="138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16"/>
      <c r="B962" s="16"/>
      <c r="C962" s="16"/>
      <c r="D962" s="16"/>
      <c r="E962" s="16"/>
      <c r="F962" s="16"/>
      <c r="G962" s="138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16"/>
      <c r="B963" s="16"/>
      <c r="C963" s="16"/>
      <c r="D963" s="16"/>
      <c r="E963" s="16"/>
      <c r="F963" s="16"/>
      <c r="G963" s="138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16"/>
      <c r="B964" s="16"/>
      <c r="C964" s="16"/>
      <c r="D964" s="16"/>
      <c r="E964" s="16"/>
      <c r="F964" s="16"/>
      <c r="G964" s="138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16"/>
      <c r="B965" s="16"/>
      <c r="C965" s="16"/>
      <c r="D965" s="16"/>
      <c r="E965" s="16"/>
      <c r="F965" s="16"/>
      <c r="G965" s="138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16"/>
      <c r="B966" s="16"/>
      <c r="C966" s="16"/>
      <c r="D966" s="16"/>
      <c r="E966" s="16"/>
      <c r="F966" s="16"/>
      <c r="G966" s="138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16"/>
      <c r="B967" s="16"/>
      <c r="C967" s="16"/>
      <c r="D967" s="16"/>
      <c r="E967" s="16"/>
      <c r="F967" s="16"/>
      <c r="G967" s="138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16"/>
      <c r="B968" s="16"/>
      <c r="C968" s="16"/>
      <c r="D968" s="16"/>
      <c r="E968" s="16"/>
      <c r="F968" s="16"/>
      <c r="G968" s="138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16"/>
      <c r="B969" s="16"/>
      <c r="C969" s="16"/>
      <c r="D969" s="16"/>
      <c r="E969" s="16"/>
      <c r="F969" s="16"/>
      <c r="G969" s="138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16"/>
      <c r="B970" s="16"/>
      <c r="C970" s="16"/>
      <c r="D970" s="16"/>
      <c r="E970" s="16"/>
      <c r="F970" s="16"/>
      <c r="G970" s="138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16"/>
      <c r="B971" s="16"/>
      <c r="C971" s="16"/>
      <c r="D971" s="16"/>
      <c r="E971" s="16"/>
      <c r="F971" s="16"/>
      <c r="G971" s="138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16"/>
      <c r="B972" s="16"/>
      <c r="C972" s="16"/>
      <c r="D972" s="16"/>
      <c r="E972" s="16"/>
      <c r="F972" s="16"/>
      <c r="G972" s="138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16"/>
      <c r="B973" s="16"/>
      <c r="C973" s="16"/>
      <c r="D973" s="16"/>
      <c r="E973" s="16"/>
      <c r="F973" s="16"/>
      <c r="G973" s="138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16"/>
      <c r="B974" s="16"/>
      <c r="C974" s="16"/>
      <c r="D974" s="16"/>
      <c r="E974" s="16"/>
      <c r="F974" s="16"/>
      <c r="G974" s="138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16"/>
      <c r="B975" s="16"/>
      <c r="C975" s="16"/>
      <c r="D975" s="16"/>
      <c r="E975" s="16"/>
      <c r="F975" s="16"/>
      <c r="G975" s="138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16"/>
      <c r="B976" s="16"/>
      <c r="C976" s="16"/>
      <c r="D976" s="16"/>
      <c r="E976" s="16"/>
      <c r="F976" s="16"/>
      <c r="G976" s="138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16"/>
      <c r="B977" s="16"/>
      <c r="C977" s="16"/>
      <c r="D977" s="16"/>
      <c r="E977" s="16"/>
      <c r="F977" s="16"/>
      <c r="G977" s="138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16"/>
      <c r="B978" s="16"/>
      <c r="C978" s="16"/>
      <c r="D978" s="16"/>
      <c r="E978" s="16"/>
      <c r="F978" s="16"/>
      <c r="G978" s="138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16"/>
      <c r="B979" s="16"/>
      <c r="C979" s="16"/>
      <c r="D979" s="16"/>
      <c r="E979" s="16"/>
      <c r="F979" s="16"/>
      <c r="G979" s="138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16"/>
      <c r="B980" s="16"/>
      <c r="C980" s="16"/>
      <c r="D980" s="16"/>
      <c r="E980" s="16"/>
      <c r="F980" s="16"/>
      <c r="G980" s="138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16"/>
      <c r="B981" s="16"/>
      <c r="C981" s="16"/>
      <c r="D981" s="16"/>
      <c r="E981" s="16"/>
      <c r="F981" s="16"/>
      <c r="G981" s="138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16"/>
      <c r="B982" s="16"/>
      <c r="C982" s="16"/>
      <c r="D982" s="16"/>
      <c r="E982" s="16"/>
      <c r="F982" s="16"/>
      <c r="G982" s="138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16"/>
      <c r="B983" s="16"/>
      <c r="C983" s="16"/>
      <c r="D983" s="16"/>
      <c r="E983" s="16"/>
      <c r="F983" s="16"/>
      <c r="G983" s="138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16"/>
      <c r="B984" s="16"/>
      <c r="C984" s="16"/>
      <c r="D984" s="16"/>
      <c r="E984" s="16"/>
      <c r="F984" s="16"/>
      <c r="G984" s="138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16"/>
      <c r="B985" s="16"/>
      <c r="C985" s="16"/>
      <c r="D985" s="16"/>
      <c r="E985" s="16"/>
      <c r="F985" s="16"/>
      <c r="G985" s="138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16"/>
      <c r="B986" s="16"/>
      <c r="C986" s="16"/>
      <c r="D986" s="16"/>
      <c r="E986" s="16"/>
      <c r="F986" s="16"/>
      <c r="G986" s="138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16"/>
      <c r="B987" s="16"/>
      <c r="C987" s="16"/>
      <c r="D987" s="16"/>
      <c r="E987" s="16"/>
      <c r="F987" s="16"/>
      <c r="G987" s="138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16"/>
      <c r="B988" s="16"/>
      <c r="C988" s="16"/>
      <c r="D988" s="16"/>
      <c r="E988" s="16"/>
      <c r="F988" s="16"/>
      <c r="G988" s="138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16"/>
      <c r="B989" s="16"/>
      <c r="C989" s="16"/>
      <c r="D989" s="16"/>
      <c r="E989" s="16"/>
      <c r="F989" s="16"/>
      <c r="G989" s="138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16"/>
      <c r="B990" s="16"/>
      <c r="C990" s="16"/>
      <c r="D990" s="16"/>
      <c r="E990" s="16"/>
      <c r="F990" s="16"/>
      <c r="G990" s="138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16"/>
      <c r="B991" s="16"/>
      <c r="C991" s="16"/>
      <c r="D991" s="16"/>
      <c r="E991" s="16"/>
      <c r="F991" s="16"/>
      <c r="G991" s="138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16"/>
      <c r="B992" s="16"/>
      <c r="C992" s="16"/>
      <c r="D992" s="16"/>
      <c r="E992" s="16"/>
      <c r="F992" s="16"/>
      <c r="G992" s="138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16"/>
      <c r="B993" s="16"/>
      <c r="C993" s="16"/>
      <c r="D993" s="16"/>
      <c r="E993" s="16"/>
      <c r="F993" s="16"/>
      <c r="G993" s="138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16"/>
      <c r="B994" s="16"/>
      <c r="C994" s="16"/>
      <c r="D994" s="16"/>
      <c r="E994" s="16"/>
      <c r="F994" s="16"/>
      <c r="G994" s="138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16"/>
      <c r="B995" s="16"/>
      <c r="C995" s="16"/>
      <c r="D995" s="16"/>
      <c r="E995" s="16"/>
      <c r="F995" s="16"/>
      <c r="G995" s="138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16"/>
      <c r="B996" s="16"/>
      <c r="C996" s="16"/>
      <c r="D996" s="16"/>
      <c r="E996" s="16"/>
      <c r="F996" s="16"/>
      <c r="G996" s="138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>
      <c r="A997" s="16"/>
      <c r="B997" s="16"/>
      <c r="C997" s="16"/>
      <c r="D997" s="16"/>
      <c r="E997" s="16"/>
      <c r="F997" s="16"/>
      <c r="G997" s="138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>
      <c r="A998" s="16"/>
      <c r="B998" s="16"/>
      <c r="C998" s="16"/>
      <c r="D998" s="16"/>
      <c r="E998" s="16"/>
      <c r="F998" s="16"/>
      <c r="G998" s="138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>
      <c r="A999" s="16"/>
      <c r="B999" s="16"/>
      <c r="C999" s="16"/>
      <c r="D999" s="16"/>
      <c r="E999" s="16"/>
      <c r="F999" s="16"/>
      <c r="G999" s="138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>
      <c r="A1000" s="16"/>
      <c r="B1000" s="16"/>
      <c r="C1000" s="16"/>
      <c r="D1000" s="16"/>
      <c r="E1000" s="16"/>
      <c r="F1000" s="16"/>
      <c r="G1000" s="138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conditionalFormatting sqref="A2:A1000">
    <cfRule type="expression" dxfId="0" priority="1">
      <formula>IF(COUNTIF(A:A,A2)&gt;1,TRUE,FALSE)</formula>
    </cfRule>
  </conditionalFormatting>
  <conditionalFormatting sqref="K2:K6">
    <cfRule type="cellIs" dxfId="1" priority="2" operator="equal">
      <formula>"Fast Moving"</formula>
    </cfRule>
  </conditionalFormatting>
  <conditionalFormatting sqref="K2:K6">
    <cfRule type="cellIs" dxfId="2" priority="3" operator="equal">
      <formula>"Normal Moving"</formula>
    </cfRule>
  </conditionalFormatting>
  <conditionalFormatting sqref="K2:K6">
    <cfRule type="cellIs" dxfId="3" priority="4" operator="equal">
      <formula>"Slow Moving"</formula>
    </cfRule>
  </conditionalFormatting>
  <conditionalFormatting sqref="K2:K6">
    <cfRule type="cellIs" dxfId="4" priority="5" operator="equal">
      <formula>"Very Slow Moving"</formula>
    </cfRule>
  </conditionalFormatting>
  <conditionalFormatting sqref="K2:K6">
    <cfRule type="cellIs" dxfId="5" priority="6" operator="equal">
      <formula>"Deadstock"</formula>
    </cfRule>
  </conditionalFormatting>
  <drawing r:id="rId1"/>
</worksheet>
</file>