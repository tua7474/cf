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b89f6183bf550c4/งานโกดัง/ตัวอย่าง/บิลส่งของสาขา/"/>
    </mc:Choice>
  </mc:AlternateContent>
  <xr:revisionPtr revIDLastSave="375" documentId="13_ncr:1_{C279EE26-062E-488E-BE3B-BF2FED157E36}" xr6:coauthVersionLast="47" xr6:coauthVersionMax="47" xr10:uidLastSave="{A8E6ABA8-9B98-4F0E-8BA1-C4445294D804}"/>
  <bookViews>
    <workbookView xWindow="2340" yWindow="720" windowWidth="18330" windowHeight="15480" tabRatio="847" xr2:uid="{00000000-000D-0000-FFFF-FFFF00000000}"/>
  </bookViews>
  <sheets>
    <sheet name="+" sheetId="2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51" i="25" l="1"/>
  <c r="N41" i="25"/>
  <c r="D50" i="25" l="1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D4" i="25"/>
  <c r="D3" i="25"/>
  <c r="D2" i="25"/>
  <c r="D1" i="25"/>
  <c r="X50" i="25"/>
  <c r="L50" i="25"/>
  <c r="H50" i="25"/>
  <c r="X49" i="25"/>
  <c r="P49" i="25"/>
  <c r="L49" i="25"/>
  <c r="H49" i="25"/>
  <c r="X48" i="25"/>
  <c r="L48" i="25"/>
  <c r="H48" i="25"/>
  <c r="X47" i="25"/>
  <c r="L47" i="25"/>
  <c r="X46" i="25"/>
  <c r="L46" i="25"/>
  <c r="J51" i="25" s="1"/>
  <c r="N45" i="25" s="1"/>
  <c r="H46" i="25"/>
  <c r="X45" i="25"/>
  <c r="H45" i="25"/>
  <c r="X44" i="25"/>
  <c r="L44" i="25"/>
  <c r="H44" i="25"/>
  <c r="X43" i="25"/>
  <c r="L43" i="25"/>
  <c r="H43" i="25"/>
  <c r="X42" i="25"/>
  <c r="L42" i="25"/>
  <c r="H42" i="25"/>
  <c r="X41" i="25"/>
  <c r="H41" i="25"/>
  <c r="X40" i="25"/>
  <c r="L40" i="25"/>
  <c r="X39" i="25"/>
  <c r="L39" i="25"/>
  <c r="H39" i="25"/>
  <c r="X38" i="25"/>
  <c r="L38" i="25"/>
  <c r="H38" i="25"/>
  <c r="R37" i="25"/>
  <c r="N47" i="25" s="1"/>
  <c r="H37" i="25"/>
  <c r="X36" i="25"/>
  <c r="T36" i="25"/>
  <c r="L36" i="25"/>
  <c r="H36" i="25"/>
  <c r="T35" i="25"/>
  <c r="L35" i="25"/>
  <c r="X34" i="25"/>
  <c r="T34" i="25"/>
  <c r="L34" i="25"/>
  <c r="H34" i="25"/>
  <c r="P33" i="25"/>
  <c r="L33" i="25"/>
  <c r="H33" i="25"/>
  <c r="X32" i="25"/>
  <c r="T32" i="25"/>
  <c r="P32" i="25"/>
  <c r="P41" i="25" s="1"/>
  <c r="L32" i="25"/>
  <c r="H32" i="25"/>
  <c r="X31" i="25"/>
  <c r="T31" i="25"/>
  <c r="P31" i="25"/>
  <c r="L31" i="25"/>
  <c r="H31" i="25"/>
  <c r="X30" i="25"/>
  <c r="T30" i="25"/>
  <c r="L30" i="25"/>
  <c r="T29" i="25"/>
  <c r="P29" i="25"/>
  <c r="L29" i="25"/>
  <c r="H29" i="25"/>
  <c r="X28" i="25"/>
  <c r="T28" i="25"/>
  <c r="P28" i="25"/>
  <c r="H28" i="25"/>
  <c r="X27" i="25"/>
  <c r="T27" i="25"/>
  <c r="L27" i="25"/>
  <c r="H27" i="25"/>
  <c r="X26" i="25"/>
  <c r="T26" i="25"/>
  <c r="P26" i="25"/>
  <c r="L26" i="25"/>
  <c r="H26" i="25"/>
  <c r="H51" i="25" s="1"/>
  <c r="P25" i="25"/>
  <c r="X24" i="25"/>
  <c r="T24" i="25"/>
  <c r="P24" i="25"/>
  <c r="L24" i="25"/>
  <c r="H24" i="25"/>
  <c r="X23" i="25"/>
  <c r="T23" i="25"/>
  <c r="P23" i="25"/>
  <c r="H23" i="25"/>
  <c r="X22" i="25"/>
  <c r="T22" i="25"/>
  <c r="L22" i="25"/>
  <c r="H22" i="25"/>
  <c r="X21" i="25"/>
  <c r="T21" i="25"/>
  <c r="P21" i="25"/>
  <c r="L21" i="25"/>
  <c r="H21" i="25"/>
  <c r="X20" i="25"/>
  <c r="L20" i="25"/>
  <c r="H20" i="25"/>
  <c r="F51" i="25" s="1"/>
  <c r="N44" i="25" s="1"/>
  <c r="X19" i="25"/>
  <c r="T19" i="25"/>
  <c r="P19" i="25"/>
  <c r="L19" i="25"/>
  <c r="T18" i="25"/>
  <c r="P18" i="25"/>
  <c r="L18" i="25"/>
  <c r="H18" i="25"/>
  <c r="X17" i="25"/>
  <c r="T17" i="25"/>
  <c r="P17" i="25"/>
  <c r="H17" i="25"/>
  <c r="X16" i="25"/>
  <c r="T16" i="25"/>
  <c r="L16" i="25"/>
  <c r="H16" i="25"/>
  <c r="T15" i="25"/>
  <c r="P15" i="25"/>
  <c r="L15" i="25"/>
  <c r="X14" i="25"/>
  <c r="P14" i="25"/>
  <c r="L14" i="25"/>
  <c r="H14" i="25"/>
  <c r="T13" i="25"/>
  <c r="L13" i="25"/>
  <c r="H13" i="25"/>
  <c r="X12" i="25"/>
  <c r="T12" i="25"/>
  <c r="P12" i="25"/>
  <c r="L12" i="25"/>
  <c r="H12" i="25"/>
  <c r="X11" i="25"/>
  <c r="T11" i="25"/>
  <c r="P11" i="25"/>
  <c r="L11" i="25"/>
  <c r="T10" i="25"/>
  <c r="P10" i="25"/>
  <c r="H10" i="25"/>
  <c r="X9" i="25"/>
  <c r="T9" i="25"/>
  <c r="L9" i="25"/>
  <c r="H9" i="25"/>
  <c r="X8" i="25"/>
  <c r="T8" i="25"/>
  <c r="P8" i="25"/>
  <c r="L8" i="25"/>
  <c r="H8" i="25"/>
  <c r="X7" i="25"/>
  <c r="T7" i="25"/>
  <c r="P7" i="25"/>
  <c r="L7" i="25"/>
  <c r="X6" i="25"/>
  <c r="N48" i="25" s="1"/>
  <c r="T6" i="25"/>
  <c r="P6" i="25"/>
  <c r="L6" i="25"/>
  <c r="H6" i="25"/>
  <c r="T5" i="25"/>
  <c r="L5" i="25"/>
  <c r="H5" i="25"/>
  <c r="X4" i="25"/>
  <c r="T4" i="25"/>
  <c r="P4" i="25"/>
  <c r="L4" i="25"/>
  <c r="H4" i="25"/>
  <c r="X3" i="25"/>
  <c r="T3" i="25"/>
  <c r="P3" i="25"/>
  <c r="L3" i="25"/>
  <c r="H3" i="25"/>
  <c r="X2" i="25"/>
  <c r="T2" i="25"/>
  <c r="P2" i="25"/>
  <c r="L2" i="25"/>
  <c r="H2" i="25"/>
  <c r="L51" i="25" l="1"/>
  <c r="P45" i="25" s="1"/>
  <c r="X51" i="25"/>
  <c r="P48" i="25" s="1"/>
  <c r="N46" i="25"/>
  <c r="N50" i="25" s="1"/>
  <c r="T37" i="25"/>
  <c r="P47" i="25" s="1"/>
  <c r="B51" i="25"/>
  <c r="P43" i="25" s="1"/>
  <c r="O44" i="25"/>
  <c r="P44" i="25"/>
  <c r="O45" i="25" l="1"/>
  <c r="O48" i="25"/>
  <c r="P46" i="25"/>
  <c r="P51" i="25" s="1"/>
  <c r="O47" i="25"/>
  <c r="N43" i="25"/>
  <c r="O46" i="25"/>
  <c r="P50" i="25" l="1"/>
  <c r="O50" i="25"/>
  <c r="M51" i="25" s="1"/>
</calcChain>
</file>

<file path=xl/sharedStrings.xml><?xml version="1.0" encoding="utf-8"?>
<sst xmlns="http://schemas.openxmlformats.org/spreadsheetml/2006/main" count="407" uniqueCount="342">
  <si>
    <t>กล่อง</t>
  </si>
  <si>
    <t>ซองน้ำตาล</t>
  </si>
  <si>
    <t>บับเบิล</t>
  </si>
  <si>
    <t>กระดาษฝอย</t>
  </si>
  <si>
    <t>ซอง PP</t>
  </si>
  <si>
    <t>7x10</t>
  </si>
  <si>
    <t>32.5x100</t>
  </si>
  <si>
    <t>0/17x30</t>
  </si>
  <si>
    <t>00</t>
  </si>
  <si>
    <t>9x12.75</t>
  </si>
  <si>
    <t>65x100</t>
  </si>
  <si>
    <t>รุ่นสีอ่อน</t>
  </si>
  <si>
    <t>1/25x35</t>
  </si>
  <si>
    <t>10x15</t>
  </si>
  <si>
    <t>130x100</t>
  </si>
  <si>
    <t>รุ่นปุยนุ่น</t>
  </si>
  <si>
    <t>2/28x42</t>
  </si>
  <si>
    <t>00+</t>
  </si>
  <si>
    <t>15x19</t>
  </si>
  <si>
    <t>ถุงเปล่า 30 กรัม</t>
  </si>
  <si>
    <t>3/32x45</t>
  </si>
  <si>
    <t>0+4</t>
  </si>
  <si>
    <t>ซองขยายข้าง</t>
  </si>
  <si>
    <t>ถุง 30 กรัม</t>
  </si>
  <si>
    <t>4/38x52</t>
  </si>
  <si>
    <t>AA</t>
  </si>
  <si>
    <t>9x12.75+2</t>
  </si>
  <si>
    <t>รวม</t>
  </si>
  <si>
    <t>5/45x60</t>
  </si>
  <si>
    <t>A</t>
  </si>
  <si>
    <t>10x15+2</t>
  </si>
  <si>
    <t>กระดาษห่อ</t>
  </si>
  <si>
    <t>6/50x70</t>
  </si>
  <si>
    <t>AB</t>
  </si>
  <si>
    <t>11x17+2</t>
  </si>
  <si>
    <t>ตัดเทป</t>
  </si>
  <si>
    <t>A 80g</t>
  </si>
  <si>
    <t>7/60x80</t>
  </si>
  <si>
    <t>2A</t>
  </si>
  <si>
    <t>ซองจ่าหน้า</t>
  </si>
  <si>
    <t>A 110g</t>
  </si>
  <si>
    <t>ซองเมทาลิค</t>
  </si>
  <si>
    <t>AH</t>
  </si>
  <si>
    <t>6x9</t>
  </si>
  <si>
    <t>KA 125g</t>
  </si>
  <si>
    <t>B</t>
  </si>
  <si>
    <t>สายรัด PP</t>
  </si>
  <si>
    <t>2B</t>
  </si>
  <si>
    <t>B+7</t>
  </si>
  <si>
    <t>ซองบับเบิล</t>
  </si>
  <si>
    <t>BH</t>
  </si>
  <si>
    <t>ซองใสปะหน้า</t>
  </si>
  <si>
    <t>No.30</t>
  </si>
  <si>
    <t>C</t>
  </si>
  <si>
    <t>14.5x18cm.</t>
  </si>
  <si>
    <t>No.45</t>
  </si>
  <si>
    <t>2C</t>
  </si>
  <si>
    <t>17x25cm.</t>
  </si>
  <si>
    <t>No.610</t>
  </si>
  <si>
    <t>CD</t>
  </si>
  <si>
    <t>ฟิล์มยืด</t>
  </si>
  <si>
    <t>No.1016</t>
  </si>
  <si>
    <t>C+8</t>
  </si>
  <si>
    <t>15x250</t>
  </si>
  <si>
    <t>AirBag ม้วน</t>
  </si>
  <si>
    <t>ซองกันกระแทก</t>
  </si>
  <si>
    <t>15x300</t>
  </si>
  <si>
    <t>D-7</t>
  </si>
  <si>
    <t>กระบอก 2 inc</t>
  </si>
  <si>
    <t>D</t>
  </si>
  <si>
    <t>45 cm</t>
  </si>
  <si>
    <t>รวม5</t>
  </si>
  <si>
    <t>D+11</t>
  </si>
  <si>
    <t>55 cm</t>
  </si>
  <si>
    <t>เบิกของ ฟรี</t>
  </si>
  <si>
    <t>2D</t>
  </si>
  <si>
    <t>PP กันกระแทก</t>
  </si>
  <si>
    <t>65 cm</t>
  </si>
  <si>
    <t>MINI AIR</t>
  </si>
  <si>
    <t>E</t>
  </si>
  <si>
    <t>7x9.2</t>
  </si>
  <si>
    <t>75 cm</t>
  </si>
  <si>
    <t xml:space="preserve">F </t>
  </si>
  <si>
    <t>8x10</t>
  </si>
  <si>
    <t>85 cm</t>
  </si>
  <si>
    <t>Fกลาง</t>
  </si>
  <si>
    <t>10x12</t>
  </si>
  <si>
    <t>95 cm</t>
  </si>
  <si>
    <t>ถุงหิ้วบริการ</t>
  </si>
  <si>
    <t>F+</t>
  </si>
  <si>
    <t>เทป OPP</t>
  </si>
  <si>
    <t>100 cm</t>
  </si>
  <si>
    <t>9x18</t>
  </si>
  <si>
    <t>2F</t>
  </si>
  <si>
    <t>ใส 45</t>
  </si>
  <si>
    <t>120 cm</t>
  </si>
  <si>
    <t>12x20</t>
  </si>
  <si>
    <t>ฉ</t>
  </si>
  <si>
    <t>ใส 100</t>
  </si>
  <si>
    <t xml:space="preserve"> กระบอก 3 inc</t>
  </si>
  <si>
    <t>12x26</t>
  </si>
  <si>
    <t>G</t>
  </si>
  <si>
    <t>ทึบ 45</t>
  </si>
  <si>
    <t>15x30</t>
  </si>
  <si>
    <t>H</t>
  </si>
  <si>
    <t>ทึบ 100</t>
  </si>
  <si>
    <t>18x36</t>
  </si>
  <si>
    <t>L</t>
  </si>
  <si>
    <t>P1</t>
  </si>
  <si>
    <t>แถว 2</t>
  </si>
  <si>
    <t>P2</t>
  </si>
  <si>
    <t>500 g.</t>
  </si>
  <si>
    <t>แถว 3</t>
  </si>
  <si>
    <t>P3</t>
  </si>
  <si>
    <t>1 kg.</t>
  </si>
  <si>
    <t>แถว 4</t>
  </si>
  <si>
    <t>P4</t>
  </si>
  <si>
    <t>เชือกฟาง</t>
  </si>
  <si>
    <t>แถว 5</t>
  </si>
  <si>
    <t>I (5ชั้น)</t>
  </si>
  <si>
    <t>รวม 3</t>
  </si>
  <si>
    <t>M</t>
  </si>
  <si>
    <t>M+</t>
  </si>
  <si>
    <t>กระบอก 1.5 inc</t>
  </si>
  <si>
    <t>34cm</t>
  </si>
  <si>
    <t>ซองสี</t>
  </si>
  <si>
    <t>ฝากระบอก</t>
  </si>
  <si>
    <t>ฝามินิ</t>
  </si>
  <si>
    <t>ฝา2นิ้ว</t>
  </si>
  <si>
    <t>ฝา3นิ้ว</t>
  </si>
  <si>
    <t>โฟมบาง 2 มิล</t>
  </si>
  <si>
    <t>บิลสี 1000/ห่อ</t>
  </si>
  <si>
    <t>11x15+2</t>
  </si>
  <si>
    <t>เทประวังแตก</t>
  </si>
  <si>
    <t>ขาว</t>
  </si>
  <si>
    <t>แดง</t>
  </si>
  <si>
    <t>สติ๊กเกอร์ระวังแตก</t>
  </si>
  <si>
    <t>1.5</t>
  </si>
  <si>
    <t>5x8</t>
  </si>
  <si>
    <t>2หัว</t>
  </si>
  <si>
    <t>1หัว</t>
  </si>
  <si>
    <t>สายคาด 500/มัด</t>
  </si>
  <si>
    <t>ปากกาเขียนPP (แพ็ค10)</t>
  </si>
  <si>
    <t>โบรชัวร์ /200</t>
  </si>
  <si>
    <t>เทป OPP แกนส้ม (ใหม่)</t>
  </si>
  <si>
    <t>S+</t>
  </si>
  <si>
    <t>พิเศษ A</t>
  </si>
  <si>
    <t>พิเศษ B</t>
  </si>
  <si>
    <t>NO.01</t>
  </si>
  <si>
    <t>No.03</t>
  </si>
  <si>
    <t>No.04</t>
  </si>
  <si>
    <t>เทป THANK YOU</t>
  </si>
  <si>
    <t>ชมพู</t>
  </si>
  <si>
    <t>รุ่นล็อค</t>
  </si>
  <si>
    <t>รุ่นมีเบรค</t>
  </si>
  <si>
    <t>กล่องผลไม้</t>
  </si>
  <si>
    <t>บานเย็น</t>
  </si>
  <si>
    <t>C+9</t>
  </si>
  <si>
    <t>00ม.พ.</t>
  </si>
  <si>
    <t>7(5ชั้น)</t>
  </si>
  <si>
    <t>I (3ชั้น)</t>
  </si>
  <si>
    <t>เครื่อง Peripage /สติ๊กเกอร์ /เคส</t>
  </si>
  <si>
    <t>STK.เว้นขอบ</t>
  </si>
  <si>
    <t>STKปกติ</t>
  </si>
  <si>
    <t>เคสใส</t>
  </si>
  <si>
    <t>เคสซิลิโคน</t>
  </si>
  <si>
    <t>เครื่อง+STK</t>
  </si>
  <si>
    <t>เขียว</t>
  </si>
  <si>
    <t>42.80</t>
  </si>
  <si>
    <t>37.45</t>
  </si>
  <si>
    <t>Shocking Pink</t>
  </si>
  <si>
    <t>15</t>
  </si>
  <si>
    <t>1</t>
  </si>
  <si>
    <t>รุ่น 1003</t>
  </si>
  <si>
    <t>รุ่น1002</t>
  </si>
  <si>
    <t>รวม4</t>
  </si>
  <si>
    <t>ค่าสินค้า NO VAT</t>
  </si>
  <si>
    <t>ค่าสินค้ารวมVAT 7%</t>
  </si>
  <si>
    <t>รวม2</t>
  </si>
  <si>
    <t>ฟ้า</t>
  </si>
  <si>
    <t>ม่วง</t>
  </si>
  <si>
    <t>เหลือง</t>
  </si>
  <si>
    <t>28.36</t>
  </si>
  <si>
    <t>33.23</t>
  </si>
  <si>
    <t>Q</t>
  </si>
  <si>
    <t>230.99</t>
  </si>
  <si>
    <t>9.92</t>
  </si>
  <si>
    <t>10.99</t>
  </si>
  <si>
    <t>12.12</t>
  </si>
  <si>
    <t>ผู้รับสินค้า</t>
  </si>
  <si>
    <t>ผู้ส่งสินค้า</t>
  </si>
  <si>
    <t>12มิล</t>
  </si>
  <si>
    <t>15มิล</t>
  </si>
  <si>
    <t>5*8</t>
  </si>
  <si>
    <t>กล่อง Thank You</t>
  </si>
  <si>
    <t>สำเพ็ง</t>
  </si>
  <si>
    <t>สาย4</t>
  </si>
  <si>
    <t>มาเจริญ</t>
  </si>
  <si>
    <t>พระราม4</t>
  </si>
  <si>
    <t>มหาชัย</t>
  </si>
  <si>
    <t>สุขสวัสดิ์</t>
  </si>
  <si>
    <t>เพชรเกษม23</t>
  </si>
  <si>
    <t>อุดมสุข</t>
  </si>
  <si>
    <t>บางใหญ่</t>
  </si>
  <si>
    <t>ม.ราม2</t>
  </si>
  <si>
    <t>นครชัยศรี</t>
  </si>
  <si>
    <t>คลองโยง</t>
  </si>
  <si>
    <t>อ่อนนุช</t>
  </si>
  <si>
    <t>เอกชัยกอล์ฟ</t>
  </si>
  <si>
    <t>สวนผัก</t>
  </si>
  <si>
    <t>ต้น</t>
  </si>
  <si>
    <t>ฝากโรงงาน</t>
  </si>
  <si>
    <t>สต๊อค</t>
  </si>
  <si>
    <t>คืนของ</t>
  </si>
  <si>
    <t>เบิกของโกดัง</t>
  </si>
  <si>
    <t>ดำ</t>
  </si>
  <si>
    <t>193.67</t>
  </si>
  <si>
    <t>รถสาย4</t>
  </si>
  <si>
    <t>โกดัง</t>
  </si>
  <si>
    <t>เบิกของสาย4</t>
  </si>
  <si>
    <t>โรงพิมพ์</t>
  </si>
  <si>
    <t>STK.สี</t>
  </si>
  <si>
    <t>คูปองส่วนลด</t>
  </si>
  <si>
    <t>อ๊อฟ</t>
  </si>
  <si>
    <t>กระดาษฝอยหนา 4 มิล</t>
  </si>
  <si>
    <t>กระดาษฝอย เส้นหยัก</t>
  </si>
  <si>
    <t>รวม6</t>
  </si>
  <si>
    <t>T1</t>
  </si>
  <si>
    <t>อ๊อฟ+ต้น</t>
  </si>
  <si>
    <t>ถุงแก้วฝากาว 60 ไมครอน/แพ็ค 100ใบ</t>
  </si>
  <si>
    <t>20*34</t>
  </si>
  <si>
    <t>25*35</t>
  </si>
  <si>
    <t>28*40</t>
  </si>
  <si>
    <t>32*45</t>
  </si>
  <si>
    <t>15*20</t>
  </si>
  <si>
    <t>64.2</t>
  </si>
  <si>
    <t>20*25</t>
  </si>
  <si>
    <t>74.9</t>
  </si>
  <si>
    <t>25*30</t>
  </si>
  <si>
    <t>101.65</t>
  </si>
  <si>
    <t>30*35</t>
  </si>
  <si>
    <t>128.4</t>
  </si>
  <si>
    <t>35*45</t>
  </si>
  <si>
    <t>171.20</t>
  </si>
  <si>
    <t>40*50</t>
  </si>
  <si>
    <t>208.65</t>
  </si>
  <si>
    <t>50*60</t>
  </si>
  <si>
    <t>272.85</t>
  </si>
  <si>
    <t>ถุงซิปรูด/แพ็ค 50ใบ</t>
  </si>
  <si>
    <t>4.83</t>
  </si>
  <si>
    <t>11.86</t>
  </si>
  <si>
    <t>กล่องเอกสาร</t>
  </si>
  <si>
    <t>T2</t>
  </si>
  <si>
    <t>350 แผ่น</t>
  </si>
  <si>
    <t>สติ๊กเกอร์ลาเบล100*150</t>
  </si>
  <si>
    <t>กระดาษใบเสร็จ</t>
  </si>
  <si>
    <t>ใบเสร็จ</t>
  </si>
  <si>
    <t>65x150</t>
  </si>
  <si>
    <t>130x150</t>
  </si>
  <si>
    <t>32.5x150</t>
  </si>
  <si>
    <t>เชือกขาว / เชือกฟาง</t>
  </si>
  <si>
    <t>แถว 6</t>
  </si>
  <si>
    <t>สาย2</t>
  </si>
  <si>
    <t>บับเบิลสี</t>
  </si>
  <si>
    <t>J</t>
  </si>
  <si>
    <t>K</t>
  </si>
  <si>
    <t>X</t>
  </si>
  <si>
    <t>กล่อง5ชั้น</t>
  </si>
  <si>
    <t>2E</t>
  </si>
  <si>
    <t>244</t>
  </si>
  <si>
    <t>482</t>
  </si>
  <si>
    <t>900</t>
  </si>
  <si>
    <t>กรุงธนบุรี1/1</t>
  </si>
  <si>
    <t>0.90</t>
  </si>
  <si>
    <t>2.13</t>
  </si>
  <si>
    <t>2.93</t>
  </si>
  <si>
    <t>4.03</t>
  </si>
  <si>
    <t>12.37</t>
  </si>
  <si>
    <t>1.36</t>
  </si>
  <si>
    <t>2.89</t>
  </si>
  <si>
    <t>1.16</t>
  </si>
  <si>
    <t>1.21</t>
  </si>
  <si>
    <t>0.72</t>
  </si>
  <si>
    <t>1.59</t>
  </si>
  <si>
    <t>3.30</t>
  </si>
  <si>
    <t>5.09</t>
  </si>
  <si>
    <t>7.71</t>
  </si>
  <si>
    <t>16.01</t>
  </si>
  <si>
    <t>55.78</t>
  </si>
  <si>
    <t>35.89</t>
  </si>
  <si>
    <t>9.6</t>
  </si>
  <si>
    <t>23.28</t>
  </si>
  <si>
    <t>10.23</t>
  </si>
  <si>
    <t>12.85</t>
  </si>
  <si>
    <t>28.62</t>
  </si>
  <si>
    <t>T3</t>
  </si>
  <si>
    <t>0.83</t>
  </si>
  <si>
    <t>0.88</t>
  </si>
  <si>
    <t>1.10</t>
  </si>
  <si>
    <t>1.42</t>
  </si>
  <si>
    <t>2.62</t>
  </si>
  <si>
    <t>1.48</t>
  </si>
  <si>
    <t>1.66</t>
  </si>
  <si>
    <t>1.94</t>
  </si>
  <si>
    <t>2.11</t>
  </si>
  <si>
    <t>4.24</t>
  </si>
  <si>
    <t>2.60</t>
  </si>
  <si>
    <t>3.37</t>
  </si>
  <si>
    <t>3.53</t>
  </si>
  <si>
    <t>5.47</t>
  </si>
  <si>
    <t>3.57</t>
  </si>
  <si>
    <t>4.97</t>
  </si>
  <si>
    <t>2.18</t>
  </si>
  <si>
    <t>4.62</t>
  </si>
  <si>
    <t>4.91</t>
  </si>
  <si>
    <t>6.39</t>
  </si>
  <si>
    <t>6.75</t>
  </si>
  <si>
    <t>5.62</t>
  </si>
  <si>
    <t>6.21</t>
  </si>
  <si>
    <t>7.22</t>
  </si>
  <si>
    <t>8.76</t>
  </si>
  <si>
    <t>11.72</t>
  </si>
  <si>
    <t>8.11</t>
  </si>
  <si>
    <t>9.47</t>
  </si>
  <si>
    <t>7.93</t>
  </si>
  <si>
    <t>11.36</t>
  </si>
  <si>
    <t>8.88</t>
  </si>
  <si>
    <t>15.09</t>
  </si>
  <si>
    <t>14.73</t>
  </si>
  <si>
    <t>13.73</t>
  </si>
  <si>
    <t>8.34</t>
  </si>
  <si>
    <t>19.35</t>
  </si>
  <si>
    <t>26.51</t>
  </si>
  <si>
    <t>19.53</t>
  </si>
  <si>
    <t>35.38</t>
  </si>
  <si>
    <t>1.93</t>
  </si>
  <si>
    <t>109.14</t>
  </si>
  <si>
    <t>417.3</t>
  </si>
  <si>
    <t>98.98</t>
  </si>
  <si>
    <t>187.25</t>
  </si>
  <si>
    <t>374.5</t>
  </si>
  <si>
    <t>7.99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</si>
</sst>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187041E]d\ mmm\ yy;@"/>
    <numFmt numFmtId="165" formatCode="0.0"/>
    <numFmt numFmtId="166" formatCode="_(* #,##0_);_(* \(#,##0\);_(* &quot;-&quot;??_);_(@_)"/>
    <numFmt numFmtId="167" formatCode="_(* #,##0.0_);_(* \(#,##0.0\);_(* &quot;-&quot;??_);_(@_)"/>
    <numFmt numFmtId="168" formatCode="[$-107041E]d\ mmm\ yy;@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4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2" tint="-0.74999237037263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4" tint="-0.249977111117893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2" tint="-0.749992370372631"/>
      <name val="Calibri"/>
      <family val="2"/>
      <scheme val="minor"/>
    </font>
    <font>
      <b/>
      <sz val="8"/>
      <color theme="2" tint="-0.74999237037263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4" tint="-0.499984740745262"/>
      <name val="Calibri"/>
      <family val="2"/>
      <scheme val="minor"/>
    </font>
    <font>
      <sz val="7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color rgb="FFFF0000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7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4" tint="-0.249977111117893"/>
      <name val="Calibri"/>
      <family val="2"/>
      <scheme val="minor"/>
    </font>
    <font>
      <sz val="8"/>
      <name val="AngsanaUPC"/>
      <family val="1"/>
    </font>
    <font>
      <b/>
      <sz val="12"/>
      <color theme="1"/>
      <name val="Calibri"/>
      <family val="2"/>
      <scheme val="minor"/>
    </font>
    <font>
      <b/>
      <sz val="9"/>
      <color theme="4" tint="-0.24997711111789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</fills>
  <borders count="6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2" applyNumberFormat="0" applyAlignment="0" applyProtection="0"/>
    <xf numFmtId="0" fontId="1" fillId="5" borderId="3" applyNumberFormat="0" applyFont="0" applyAlignment="0" applyProtection="0"/>
    <xf numFmtId="0" fontId="5" fillId="0" borderId="4" applyNumberFormat="0" applyFill="0" applyAlignment="0" applyProtection="0"/>
  </cellStyleXfs>
  <cellXfs count="536">
    <xf numFmtId="0" fontId="0" fillId="0" borderId="0" xfId="0"/>
    <xf numFmtId="49" fontId="6" fillId="0" borderId="25" xfId="0" applyNumberFormat="1" applyFont="1" applyBorder="1" applyAlignment="1">
      <alignment horizontal="left" vertical="center"/>
    </xf>
    <xf numFmtId="49" fontId="6" fillId="0" borderId="10" xfId="0" applyNumberFormat="1" applyFont="1" applyBorder="1" applyAlignment="1">
      <alignment horizontal="left" vertical="center"/>
    </xf>
    <xf numFmtId="49" fontId="6" fillId="0" borderId="14" xfId="0" applyNumberFormat="1" applyFont="1" applyBorder="1" applyAlignment="1">
      <alignment horizontal="left" vertical="center"/>
    </xf>
    <xf numFmtId="49" fontId="6" fillId="0" borderId="21" xfId="0" applyNumberFormat="1" applyFont="1" applyBorder="1" applyAlignment="1">
      <alignment horizontal="left" vertical="center"/>
    </xf>
    <xf numFmtId="2" fontId="6" fillId="0" borderId="2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7" fillId="6" borderId="9" xfId="0" applyFont="1" applyFill="1" applyBorder="1" applyAlignment="1">
      <alignment horizontal="left" vertical="center"/>
    </xf>
    <xf numFmtId="0" fontId="7" fillId="0" borderId="39" xfId="0" applyFont="1" applyBorder="1" applyAlignment="1">
      <alignment vertical="center"/>
    </xf>
    <xf numFmtId="2" fontId="6" fillId="0" borderId="25" xfId="0" applyNumberFormat="1" applyFont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2" fontId="6" fillId="0" borderId="10" xfId="0" applyNumberFormat="1" applyFont="1" applyBorder="1" applyAlignment="1">
      <alignment horizontal="left" vertical="center"/>
    </xf>
    <xf numFmtId="0" fontId="7" fillId="0" borderId="15" xfId="0" applyFont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13" fillId="6" borderId="10" xfId="0" applyFont="1" applyFill="1" applyBorder="1" applyAlignment="1">
      <alignment horizontal="right" vertical="center"/>
    </xf>
    <xf numFmtId="0" fontId="7" fillId="6" borderId="9" xfId="0" applyFont="1" applyFill="1" applyBorder="1" applyAlignment="1">
      <alignment vertical="center"/>
    </xf>
    <xf numFmtId="0" fontId="13" fillId="6" borderId="10" xfId="0" applyFont="1" applyFill="1" applyBorder="1" applyAlignment="1">
      <alignment vertical="center"/>
    </xf>
    <xf numFmtId="2" fontId="6" fillId="6" borderId="21" xfId="0" applyNumberFormat="1" applyFont="1" applyFill="1" applyBorder="1" applyAlignment="1">
      <alignment horizontal="left" vertical="center"/>
    </xf>
    <xf numFmtId="0" fontId="13" fillId="6" borderId="21" xfId="0" applyFont="1" applyFill="1" applyBorder="1" applyAlignment="1">
      <alignment horizontal="right" vertical="center"/>
    </xf>
    <xf numFmtId="0" fontId="7" fillId="6" borderId="20" xfId="0" applyFont="1" applyFill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6" fillId="6" borderId="14" xfId="0" applyFont="1" applyFill="1" applyBorder="1" applyAlignment="1">
      <alignment vertical="center"/>
    </xf>
    <xf numFmtId="0" fontId="15" fillId="6" borderId="38" xfId="0" applyFont="1" applyFill="1" applyBorder="1" applyAlignment="1">
      <alignment horizontal="left" vertical="center"/>
    </xf>
    <xf numFmtId="0" fontId="7" fillId="6" borderId="15" xfId="0" applyFont="1" applyFill="1" applyBorder="1" applyAlignment="1">
      <alignment vertical="center"/>
    </xf>
    <xf numFmtId="0" fontId="16" fillId="0" borderId="25" xfId="0" applyFont="1" applyBorder="1" applyAlignment="1">
      <alignment vertical="center"/>
    </xf>
    <xf numFmtId="0" fontId="15" fillId="0" borderId="39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5" fillId="0" borderId="20" xfId="0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16" fillId="6" borderId="10" xfId="0" applyFont="1" applyFill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16" fillId="6" borderId="5" xfId="0" applyFont="1" applyFill="1" applyBorder="1" applyAlignment="1">
      <alignment horizontal="right" vertical="center"/>
    </xf>
    <xf numFmtId="0" fontId="15" fillId="6" borderId="15" xfId="0" applyFont="1" applyFill="1" applyBorder="1" applyAlignment="1">
      <alignment vertical="center"/>
    </xf>
    <xf numFmtId="0" fontId="23" fillId="6" borderId="9" xfId="0" applyFont="1" applyFill="1" applyBorder="1" applyAlignment="1">
      <alignment vertical="center"/>
    </xf>
    <xf numFmtId="0" fontId="16" fillId="6" borderId="21" xfId="0" applyFont="1" applyFill="1" applyBorder="1" applyAlignment="1">
      <alignment vertical="center"/>
    </xf>
    <xf numFmtId="0" fontId="23" fillId="6" borderId="20" xfId="0" applyFont="1" applyFill="1" applyBorder="1" applyAlignment="1">
      <alignment vertical="center"/>
    </xf>
    <xf numFmtId="166" fontId="6" fillId="0" borderId="10" xfId="1" applyNumberFormat="1" applyFont="1" applyBorder="1" applyAlignment="1" applyProtection="1">
      <alignment horizontal="left" vertical="center"/>
    </xf>
    <xf numFmtId="0" fontId="20" fillId="0" borderId="0" xfId="0" applyFont="1"/>
    <xf numFmtId="165" fontId="6" fillId="0" borderId="25" xfId="0" applyNumberFormat="1" applyFont="1" applyBorder="1" applyAlignment="1">
      <alignment horizontal="left" vertical="center"/>
    </xf>
    <xf numFmtId="165" fontId="6" fillId="0" borderId="10" xfId="0" applyNumberFormat="1" applyFont="1" applyBorder="1" applyAlignment="1">
      <alignment horizontal="left" vertical="center"/>
    </xf>
    <xf numFmtId="165" fontId="6" fillId="0" borderId="14" xfId="0" applyNumberFormat="1" applyFont="1" applyBorder="1" applyAlignment="1">
      <alignment horizontal="left" vertical="center"/>
    </xf>
    <xf numFmtId="2" fontId="15" fillId="6" borderId="35" xfId="0" applyNumberFormat="1" applyFont="1" applyFill="1" applyBorder="1" applyAlignment="1">
      <alignment vertical="center"/>
    </xf>
    <xf numFmtId="0" fontId="0" fillId="6" borderId="0" xfId="0" applyFill="1"/>
    <xf numFmtId="0" fontId="31" fillId="0" borderId="0" xfId="0" applyFont="1" applyAlignment="1">
      <alignment horizontal="left"/>
    </xf>
    <xf numFmtId="0" fontId="9" fillId="11" borderId="35" xfId="0" applyFont="1" applyFill="1" applyBorder="1" applyAlignment="1">
      <alignment vertical="center"/>
    </xf>
    <xf numFmtId="49" fontId="13" fillId="0" borderId="10" xfId="0" applyNumberFormat="1" applyFont="1" applyBorder="1" applyAlignment="1">
      <alignment horizontal="right" vertical="center"/>
    </xf>
    <xf numFmtId="43" fontId="22" fillId="0" borderId="25" xfId="1" applyFont="1" applyBorder="1" applyAlignment="1">
      <alignment vertical="center"/>
    </xf>
    <xf numFmtId="43" fontId="22" fillId="0" borderId="10" xfId="1" applyFont="1" applyBorder="1" applyAlignment="1">
      <alignment vertical="center"/>
    </xf>
    <xf numFmtId="43" fontId="22" fillId="0" borderId="14" xfId="1" applyFont="1" applyBorder="1" applyAlignment="1">
      <alignment vertical="center"/>
    </xf>
    <xf numFmtId="43" fontId="6" fillId="6" borderId="10" xfId="1" applyFont="1" applyFill="1" applyBorder="1" applyAlignment="1" applyProtection="1">
      <alignment vertical="center"/>
    </xf>
    <xf numFmtId="0" fontId="7" fillId="6" borderId="39" xfId="0" applyFont="1" applyFill="1" applyBorder="1" applyAlignment="1">
      <alignment vertical="center"/>
    </xf>
    <xf numFmtId="0" fontId="7" fillId="6" borderId="0" xfId="0" applyFont="1" applyFill="1" applyAlignment="1">
      <alignment vertical="center"/>
    </xf>
    <xf numFmtId="0" fontId="12" fillId="6" borderId="0" xfId="0" applyFont="1" applyFill="1" applyAlignment="1">
      <alignment horizontal="left" vertical="center"/>
    </xf>
    <xf numFmtId="2" fontId="19" fillId="6" borderId="0" xfId="0" applyNumberFormat="1" applyFont="1" applyFill="1" applyAlignment="1">
      <alignment horizontal="left" vertical="center"/>
    </xf>
    <xf numFmtId="2" fontId="19" fillId="6" borderId="0" xfId="0" applyNumberFormat="1" applyFont="1" applyFill="1" applyAlignment="1">
      <alignment vertical="center"/>
    </xf>
    <xf numFmtId="2" fontId="19" fillId="6" borderId="0" xfId="0" applyNumberFormat="1" applyFont="1" applyFill="1" applyAlignment="1">
      <alignment horizontal="right" vertical="center"/>
    </xf>
    <xf numFmtId="0" fontId="20" fillId="6" borderId="0" xfId="0" applyFont="1" applyFill="1"/>
    <xf numFmtId="43" fontId="33" fillId="0" borderId="11" xfId="1" applyFont="1" applyBorder="1" applyAlignment="1">
      <alignment horizontal="right" vertical="center"/>
    </xf>
    <xf numFmtId="43" fontId="34" fillId="6" borderId="11" xfId="1" applyFont="1" applyFill="1" applyBorder="1" applyAlignment="1">
      <alignment horizontal="right" vertical="center"/>
    </xf>
    <xf numFmtId="43" fontId="33" fillId="0" borderId="16" xfId="1" applyFont="1" applyBorder="1" applyAlignment="1">
      <alignment horizontal="right" vertical="center"/>
    </xf>
    <xf numFmtId="43" fontId="33" fillId="0" borderId="0" xfId="1" applyFont="1"/>
    <xf numFmtId="43" fontId="37" fillId="6" borderId="0" xfId="1" applyFont="1" applyFill="1" applyBorder="1" applyAlignment="1">
      <alignment horizontal="left" vertical="center"/>
    </xf>
    <xf numFmtId="43" fontId="33" fillId="0" borderId="26" xfId="1" applyFont="1" applyBorder="1" applyAlignment="1">
      <alignment vertical="center"/>
    </xf>
    <xf numFmtId="43" fontId="33" fillId="0" borderId="11" xfId="1" applyFont="1" applyBorder="1" applyAlignment="1">
      <alignment vertical="center"/>
    </xf>
    <xf numFmtId="43" fontId="33" fillId="0" borderId="16" xfId="1" applyFont="1" applyBorder="1" applyAlignment="1">
      <alignment vertical="center"/>
    </xf>
    <xf numFmtId="43" fontId="33" fillId="0" borderId="46" xfId="1" applyFont="1" applyBorder="1" applyAlignment="1">
      <alignment vertical="center"/>
    </xf>
    <xf numFmtId="43" fontId="33" fillId="0" borderId="22" xfId="1" applyFont="1" applyBorder="1" applyAlignment="1">
      <alignment vertical="center"/>
    </xf>
    <xf numFmtId="43" fontId="34" fillId="0" borderId="16" xfId="1" applyFont="1" applyBorder="1" applyAlignment="1">
      <alignment vertical="center"/>
    </xf>
    <xf numFmtId="43" fontId="33" fillId="0" borderId="18" xfId="1" applyFont="1" applyBorder="1" applyAlignment="1">
      <alignment vertical="center"/>
    </xf>
    <xf numFmtId="43" fontId="33" fillId="6" borderId="0" xfId="1" applyFont="1" applyFill="1" applyAlignment="1">
      <alignment horizontal="right" vertical="center"/>
    </xf>
    <xf numFmtId="43" fontId="33" fillId="6" borderId="0" xfId="1" applyFont="1" applyFill="1"/>
    <xf numFmtId="43" fontId="35" fillId="6" borderId="11" xfId="1" applyFont="1" applyFill="1" applyBorder="1" applyAlignment="1" applyProtection="1">
      <alignment vertical="center"/>
    </xf>
    <xf numFmtId="43" fontId="35" fillId="6" borderId="22" xfId="1" applyFont="1" applyFill="1" applyBorder="1" applyAlignment="1">
      <alignment vertical="center"/>
    </xf>
    <xf numFmtId="43" fontId="35" fillId="6" borderId="11" xfId="1" applyFont="1" applyFill="1" applyBorder="1" applyAlignment="1">
      <alignment horizontal="right" vertical="center"/>
    </xf>
    <xf numFmtId="43" fontId="35" fillId="6" borderId="37" xfId="1" applyFont="1" applyFill="1" applyBorder="1" applyAlignment="1">
      <alignment vertical="center"/>
    </xf>
    <xf numFmtId="43" fontId="35" fillId="6" borderId="16" xfId="1" applyFont="1" applyFill="1" applyBorder="1" applyAlignment="1">
      <alignment vertical="center"/>
    </xf>
    <xf numFmtId="43" fontId="34" fillId="6" borderId="26" xfId="1" applyFont="1" applyFill="1" applyBorder="1" applyAlignment="1">
      <alignment horizontal="right" vertical="center"/>
    </xf>
    <xf numFmtId="43" fontId="37" fillId="6" borderId="0" xfId="1" applyFont="1" applyFill="1" applyAlignment="1">
      <alignment horizontal="left" vertical="center"/>
    </xf>
    <xf numFmtId="43" fontId="33" fillId="6" borderId="0" xfId="1" applyFont="1" applyFill="1" applyAlignment="1">
      <alignment vertical="center"/>
    </xf>
    <xf numFmtId="43" fontId="34" fillId="0" borderId="26" xfId="1" applyFont="1" applyBorder="1" applyAlignment="1">
      <alignment horizontal="right" vertical="center"/>
    </xf>
    <xf numFmtId="43" fontId="34" fillId="0" borderId="11" xfId="1" applyFont="1" applyBorder="1" applyAlignment="1">
      <alignment horizontal="right" vertical="center"/>
    </xf>
    <xf numFmtId="43" fontId="34" fillId="0" borderId="16" xfId="1" applyFont="1" applyBorder="1" applyAlignment="1">
      <alignment horizontal="right" vertical="center"/>
    </xf>
    <xf numFmtId="0" fontId="24" fillId="0" borderId="10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1" fontId="17" fillId="6" borderId="0" xfId="1" applyNumberFormat="1" applyFont="1" applyFill="1" applyBorder="1" applyAlignment="1">
      <alignment horizontal="left" vertical="center"/>
    </xf>
    <xf numFmtId="49" fontId="6" fillId="0" borderId="5" xfId="0" applyNumberFormat="1" applyFont="1" applyBorder="1" applyAlignment="1">
      <alignment horizontal="left" vertical="center"/>
    </xf>
    <xf numFmtId="43" fontId="33" fillId="0" borderId="37" xfId="1" applyFont="1" applyBorder="1" applyAlignment="1">
      <alignment vertical="center"/>
    </xf>
    <xf numFmtId="43" fontId="22" fillId="0" borderId="10" xfId="1" applyFont="1" applyFill="1" applyBorder="1" applyAlignment="1" applyProtection="1">
      <alignment horizontal="left" vertical="center"/>
    </xf>
    <xf numFmtId="43" fontId="22" fillId="0" borderId="14" xfId="1" applyFont="1" applyFill="1" applyBorder="1" applyAlignment="1" applyProtection="1">
      <alignment horizontal="left" vertical="center"/>
    </xf>
    <xf numFmtId="166" fontId="22" fillId="6" borderId="25" xfId="1" applyNumberFormat="1" applyFont="1" applyFill="1" applyBorder="1" applyAlignment="1" applyProtection="1">
      <alignment horizontal="left" vertical="center"/>
    </xf>
    <xf numFmtId="167" fontId="22" fillId="0" borderId="14" xfId="1" applyNumberFormat="1" applyFont="1" applyBorder="1" applyAlignment="1" applyProtection="1">
      <alignment horizontal="left" vertical="center"/>
    </xf>
    <xf numFmtId="0" fontId="10" fillId="0" borderId="0" xfId="0" applyFont="1"/>
    <xf numFmtId="0" fontId="11" fillId="0" borderId="0" xfId="0" applyFont="1"/>
    <xf numFmtId="0" fontId="40" fillId="0" borderId="0" xfId="0" applyFont="1"/>
    <xf numFmtId="43" fontId="41" fillId="13" borderId="10" xfId="1" applyFont="1" applyFill="1" applyBorder="1" applyAlignment="1">
      <alignment vertical="center"/>
    </xf>
    <xf numFmtId="43" fontId="43" fillId="0" borderId="26" xfId="1" applyFont="1" applyBorder="1" applyAlignment="1">
      <alignment horizontal="right" vertical="center"/>
    </xf>
    <xf numFmtId="43" fontId="43" fillId="0" borderId="11" xfId="1" applyFont="1" applyBorder="1" applyAlignment="1">
      <alignment horizontal="right" vertical="center"/>
    </xf>
    <xf numFmtId="43" fontId="43" fillId="0" borderId="16" xfId="1" applyFont="1" applyBorder="1" applyAlignment="1">
      <alignment horizontal="right" vertical="center"/>
    </xf>
    <xf numFmtId="43" fontId="44" fillId="6" borderId="11" xfId="1" applyFont="1" applyFill="1" applyBorder="1" applyAlignment="1">
      <alignment horizontal="right" vertical="center"/>
    </xf>
    <xf numFmtId="43" fontId="43" fillId="6" borderId="11" xfId="1" applyFont="1" applyFill="1" applyBorder="1" applyAlignment="1">
      <alignment horizontal="right" vertical="center"/>
    </xf>
    <xf numFmtId="43" fontId="44" fillId="0" borderId="0" xfId="1" applyFont="1"/>
    <xf numFmtId="43" fontId="44" fillId="6" borderId="0" xfId="1" applyFont="1" applyFill="1"/>
    <xf numFmtId="0" fontId="33" fillId="0" borderId="39" xfId="0" applyFont="1" applyBorder="1" applyAlignment="1">
      <alignment vertical="center"/>
    </xf>
    <xf numFmtId="0" fontId="33" fillId="0" borderId="9" xfId="0" applyFont="1" applyBorder="1" applyAlignment="1">
      <alignment vertical="center"/>
    </xf>
    <xf numFmtId="0" fontId="33" fillId="0" borderId="15" xfId="0" applyFont="1" applyBorder="1" applyAlignment="1">
      <alignment vertical="center"/>
    </xf>
    <xf numFmtId="0" fontId="33" fillId="6" borderId="9" xfId="0" applyFont="1" applyFill="1" applyBorder="1" applyAlignment="1">
      <alignment vertical="center"/>
    </xf>
    <xf numFmtId="0" fontId="37" fillId="6" borderId="9" xfId="0" applyFont="1" applyFill="1" applyBorder="1" applyAlignment="1">
      <alignment vertical="center"/>
    </xf>
    <xf numFmtId="0" fontId="37" fillId="6" borderId="20" xfId="5" applyFont="1" applyFill="1" applyBorder="1" applyAlignment="1">
      <alignment vertical="center"/>
    </xf>
    <xf numFmtId="0" fontId="33" fillId="0" borderId="0" xfId="0" applyFont="1"/>
    <xf numFmtId="0" fontId="33" fillId="6" borderId="0" xfId="0" applyFont="1" applyFill="1"/>
    <xf numFmtId="0" fontId="38" fillId="0" borderId="25" xfId="0" applyFont="1" applyBorder="1" applyAlignment="1">
      <alignment horizontal="right" vertical="center"/>
    </xf>
    <xf numFmtId="0" fontId="38" fillId="0" borderId="10" xfId="0" applyFont="1" applyBorder="1" applyAlignment="1">
      <alignment horizontal="right" vertical="center"/>
    </xf>
    <xf numFmtId="0" fontId="38" fillId="0" borderId="14" xfId="0" applyFont="1" applyBorder="1" applyAlignment="1">
      <alignment horizontal="right" vertical="center"/>
    </xf>
    <xf numFmtId="0" fontId="38" fillId="6" borderId="10" xfId="0" applyFont="1" applyFill="1" applyBorder="1" applyAlignment="1">
      <alignment vertical="center"/>
    </xf>
    <xf numFmtId="0" fontId="38" fillId="6" borderId="21" xfId="5" applyFont="1" applyFill="1" applyBorder="1" applyAlignment="1">
      <alignment horizontal="right" vertical="center"/>
    </xf>
    <xf numFmtId="1" fontId="37" fillId="6" borderId="0" xfId="1" applyNumberFormat="1" applyFont="1" applyFill="1" applyBorder="1" applyAlignment="1">
      <alignment horizontal="left" vertical="center"/>
    </xf>
    <xf numFmtId="1" fontId="33" fillId="6" borderId="0" xfId="1" applyNumberFormat="1" applyFont="1" applyFill="1" applyBorder="1" applyAlignment="1">
      <alignment vertical="center"/>
    </xf>
    <xf numFmtId="1" fontId="33" fillId="6" borderId="0" xfId="1" applyNumberFormat="1" applyFont="1" applyFill="1" applyBorder="1" applyAlignment="1">
      <alignment horizontal="right" vertical="center"/>
    </xf>
    <xf numFmtId="0" fontId="13" fillId="0" borderId="25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7" fillId="6" borderId="0" xfId="0" applyFont="1" applyFill="1" applyAlignment="1">
      <alignment horizontal="left" vertical="center"/>
    </xf>
    <xf numFmtId="0" fontId="7" fillId="6" borderId="0" xfId="0" applyFont="1" applyFill="1"/>
    <xf numFmtId="0" fontId="13" fillId="6" borderId="21" xfId="0" applyFont="1" applyFill="1" applyBorder="1" applyAlignment="1">
      <alignment vertical="center"/>
    </xf>
    <xf numFmtId="0" fontId="13" fillId="6" borderId="25" xfId="4" applyFont="1" applyFill="1" applyBorder="1" applyAlignment="1">
      <alignment vertical="center"/>
    </xf>
    <xf numFmtId="1" fontId="13" fillId="6" borderId="21" xfId="0" applyNumberFormat="1" applyFont="1" applyFill="1" applyBorder="1" applyAlignment="1">
      <alignment vertical="center"/>
    </xf>
    <xf numFmtId="2" fontId="47" fillId="6" borderId="10" xfId="0" applyNumberFormat="1" applyFont="1" applyFill="1" applyBorder="1" applyAlignment="1">
      <alignment horizontal="left" vertical="center"/>
    </xf>
    <xf numFmtId="2" fontId="47" fillId="6" borderId="21" xfId="5" applyNumberFormat="1" applyFont="1" applyFill="1" applyBorder="1" applyAlignment="1">
      <alignment horizontal="left" vertical="center"/>
    </xf>
    <xf numFmtId="0" fontId="15" fillId="6" borderId="9" xfId="0" applyFont="1" applyFill="1" applyBorder="1" applyAlignment="1">
      <alignment vertical="center"/>
    </xf>
    <xf numFmtId="43" fontId="35" fillId="6" borderId="11" xfId="1" applyFont="1" applyFill="1" applyBorder="1" applyAlignment="1">
      <alignment vertical="center"/>
    </xf>
    <xf numFmtId="0" fontId="15" fillId="6" borderId="9" xfId="0" applyFont="1" applyFill="1" applyBorder="1" applyAlignment="1">
      <alignment horizontal="left" vertical="center"/>
    </xf>
    <xf numFmtId="0" fontId="16" fillId="6" borderId="10" xfId="0" applyFont="1" applyFill="1" applyBorder="1" applyAlignment="1">
      <alignment horizontal="right" vertical="center"/>
    </xf>
    <xf numFmtId="43" fontId="35" fillId="6" borderId="22" xfId="1" applyFont="1" applyFill="1" applyBorder="1" applyAlignment="1">
      <alignment horizontal="right" vertical="center"/>
    </xf>
    <xf numFmtId="43" fontId="33" fillId="0" borderId="35" xfId="1" applyFont="1" applyBorder="1" applyAlignment="1">
      <alignment vertical="center"/>
    </xf>
    <xf numFmtId="0" fontId="7" fillId="0" borderId="0" xfId="0" applyFont="1" applyAlignment="1">
      <alignment horizontal="left"/>
    </xf>
    <xf numFmtId="43" fontId="37" fillId="6" borderId="0" xfId="1" applyFont="1" applyFill="1" applyBorder="1" applyAlignment="1">
      <alignment vertical="center"/>
    </xf>
    <xf numFmtId="2" fontId="33" fillId="6" borderId="0" xfId="0" applyNumberFormat="1" applyFont="1" applyFill="1" applyAlignment="1">
      <alignment horizontal="left" vertical="center"/>
    </xf>
    <xf numFmtId="43" fontId="37" fillId="0" borderId="0" xfId="1" applyFont="1" applyBorder="1" applyAlignment="1">
      <alignment vertical="center"/>
    </xf>
    <xf numFmtId="2" fontId="33" fillId="6" borderId="0" xfId="0" applyNumberFormat="1" applyFont="1" applyFill="1" applyAlignment="1">
      <alignment horizontal="right" vertical="center"/>
    </xf>
    <xf numFmtId="0" fontId="0" fillId="0" borderId="0" xfId="0" applyAlignment="1">
      <alignment horizontal="left"/>
    </xf>
    <xf numFmtId="0" fontId="21" fillId="6" borderId="0" xfId="0" applyFont="1" applyFill="1" applyAlignment="1">
      <alignment horizontal="left" vertical="center"/>
    </xf>
    <xf numFmtId="0" fontId="0" fillId="6" borderId="0" xfId="0" applyFill="1" applyAlignment="1">
      <alignment horizontal="left"/>
    </xf>
    <xf numFmtId="43" fontId="44" fillId="0" borderId="11" xfId="1" applyFont="1" applyFill="1" applyBorder="1" applyAlignment="1">
      <alignment horizontal="right" vertical="center"/>
    </xf>
    <xf numFmtId="43" fontId="43" fillId="0" borderId="11" xfId="1" applyFont="1" applyFill="1" applyBorder="1" applyAlignment="1">
      <alignment horizontal="right" vertical="center"/>
    </xf>
    <xf numFmtId="0" fontId="38" fillId="0" borderId="21" xfId="0" applyFont="1" applyBorder="1" applyAlignment="1">
      <alignment horizontal="right" vertical="center"/>
    </xf>
    <xf numFmtId="43" fontId="44" fillId="0" borderId="22" xfId="1" applyFont="1" applyFill="1" applyBorder="1" applyAlignment="1">
      <alignment horizontal="right" vertical="center"/>
    </xf>
    <xf numFmtId="43" fontId="41" fillId="13" borderId="49" xfId="1" applyFont="1" applyFill="1" applyBorder="1" applyAlignment="1">
      <alignment vertical="center"/>
    </xf>
    <xf numFmtId="0" fontId="15" fillId="0" borderId="39" xfId="0" applyFont="1" applyBorder="1" applyAlignment="1">
      <alignment horizontal="left" vertical="center"/>
    </xf>
    <xf numFmtId="43" fontId="33" fillId="0" borderId="26" xfId="1" applyFont="1" applyFill="1" applyBorder="1" applyAlignment="1">
      <alignment vertical="center"/>
    </xf>
    <xf numFmtId="0" fontId="15" fillId="0" borderId="9" xfId="0" applyFont="1" applyBorder="1" applyAlignment="1">
      <alignment horizontal="left" vertical="center"/>
    </xf>
    <xf numFmtId="43" fontId="33" fillId="0" borderId="11" xfId="1" applyFont="1" applyFill="1" applyBorder="1" applyAlignment="1">
      <alignment vertical="center"/>
    </xf>
    <xf numFmtId="0" fontId="26" fillId="0" borderId="35" xfId="0" applyFont="1" applyBorder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2" fontId="6" fillId="6" borderId="0" xfId="0" applyNumberFormat="1" applyFont="1" applyFill="1" applyAlignment="1">
      <alignment horizontal="left" vertical="center"/>
    </xf>
    <xf numFmtId="0" fontId="6" fillId="0" borderId="0" xfId="0" applyFont="1"/>
    <xf numFmtId="43" fontId="22" fillId="0" borderId="25" xfId="1" applyFont="1" applyFill="1" applyBorder="1" applyAlignment="1">
      <alignment horizontal="right" vertical="center"/>
    </xf>
    <xf numFmtId="43" fontId="22" fillId="0" borderId="10" xfId="1" applyFont="1" applyFill="1" applyBorder="1" applyAlignment="1">
      <alignment horizontal="right" vertical="center"/>
    </xf>
    <xf numFmtId="43" fontId="22" fillId="0" borderId="10" xfId="1" applyFont="1" applyBorder="1" applyAlignment="1">
      <alignment horizontal="right" vertical="center"/>
    </xf>
    <xf numFmtId="43" fontId="20" fillId="0" borderId="0" xfId="1" applyFont="1" applyAlignment="1">
      <alignment horizontal="right" vertical="center"/>
    </xf>
    <xf numFmtId="43" fontId="17" fillId="6" borderId="0" xfId="1" applyFont="1" applyFill="1" applyAlignment="1">
      <alignment horizontal="right" vertical="center"/>
    </xf>
    <xf numFmtId="43" fontId="20" fillId="6" borderId="0" xfId="1" applyFont="1" applyFill="1" applyAlignment="1">
      <alignment horizontal="right" vertical="center"/>
    </xf>
    <xf numFmtId="0" fontId="21" fillId="0" borderId="9" xfId="0" applyFont="1" applyBorder="1" applyAlignment="1">
      <alignment horizontal="left" vertical="center"/>
    </xf>
    <xf numFmtId="166" fontId="16" fillId="0" borderId="25" xfId="1" applyNumberFormat="1" applyFont="1" applyBorder="1" applyAlignment="1">
      <alignment horizontal="right" vertical="center"/>
    </xf>
    <xf numFmtId="166" fontId="16" fillId="0" borderId="10" xfId="1" applyNumberFormat="1" applyFont="1" applyBorder="1" applyAlignment="1">
      <alignment horizontal="right" vertical="center"/>
    </xf>
    <xf numFmtId="166" fontId="16" fillId="0" borderId="14" xfId="1" applyNumberFormat="1" applyFont="1" applyBorder="1" applyAlignment="1">
      <alignment horizontal="right" vertical="center"/>
    </xf>
    <xf numFmtId="166" fontId="13" fillId="6" borderId="25" xfId="1" applyNumberFormat="1" applyFont="1" applyFill="1" applyBorder="1" applyAlignment="1">
      <alignment horizontal="right" vertical="center"/>
    </xf>
    <xf numFmtId="166" fontId="13" fillId="6" borderId="10" xfId="1" applyNumberFormat="1" applyFont="1" applyFill="1" applyBorder="1" applyAlignment="1">
      <alignment horizontal="right" vertical="center"/>
    </xf>
    <xf numFmtId="0" fontId="4" fillId="0" borderId="0" xfId="0" applyFont="1"/>
    <xf numFmtId="1" fontId="17" fillId="6" borderId="0" xfId="1" applyNumberFormat="1" applyFont="1" applyFill="1" applyBorder="1" applyAlignment="1">
      <alignment vertical="center"/>
    </xf>
    <xf numFmtId="0" fontId="4" fillId="6" borderId="0" xfId="0" applyFont="1" applyFill="1"/>
    <xf numFmtId="2" fontId="6" fillId="0" borderId="5" xfId="0" applyNumberFormat="1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0" fontId="36" fillId="6" borderId="0" xfId="4" applyFont="1" applyFill="1" applyBorder="1" applyAlignment="1" applyProtection="1">
      <alignment vertical="center"/>
    </xf>
    <xf numFmtId="166" fontId="22" fillId="6" borderId="0" xfId="1" applyNumberFormat="1" applyFont="1" applyFill="1" applyBorder="1" applyAlignment="1" applyProtection="1">
      <alignment horizontal="left" vertical="center"/>
    </xf>
    <xf numFmtId="0" fontId="13" fillId="6" borderId="0" xfId="4" applyFont="1" applyFill="1" applyBorder="1" applyAlignment="1">
      <alignment vertical="center"/>
    </xf>
    <xf numFmtId="43" fontId="36" fillId="6" borderId="0" xfId="1" applyFont="1" applyFill="1" applyBorder="1" applyAlignment="1" applyProtection="1">
      <alignment vertical="center"/>
    </xf>
    <xf numFmtId="0" fontId="21" fillId="6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2" fontId="7" fillId="6" borderId="0" xfId="0" applyNumberFormat="1" applyFont="1" applyFill="1" applyAlignment="1">
      <alignment vertical="center"/>
    </xf>
    <xf numFmtId="1" fontId="13" fillId="6" borderId="0" xfId="0" applyNumberFormat="1" applyFont="1" applyFill="1" applyAlignment="1">
      <alignment vertical="center"/>
    </xf>
    <xf numFmtId="43" fontId="6" fillId="6" borderId="21" xfId="1" applyFont="1" applyFill="1" applyBorder="1" applyAlignment="1" applyProtection="1">
      <alignment vertical="center"/>
    </xf>
    <xf numFmtId="43" fontId="35" fillId="6" borderId="22" xfId="1" applyFont="1" applyFill="1" applyBorder="1" applyAlignment="1" applyProtection="1">
      <alignment vertical="center"/>
    </xf>
    <xf numFmtId="43" fontId="33" fillId="0" borderId="22" xfId="1" applyFont="1" applyFill="1" applyBorder="1" applyAlignment="1">
      <alignment vertical="center"/>
    </xf>
    <xf numFmtId="0" fontId="7" fillId="6" borderId="12" xfId="0" applyFont="1" applyFill="1" applyBorder="1" applyAlignment="1">
      <alignment vertical="center"/>
    </xf>
    <xf numFmtId="0" fontId="15" fillId="13" borderId="47" xfId="0" applyFont="1" applyFill="1" applyBorder="1" applyAlignment="1">
      <alignment horizontal="left" vertical="center"/>
    </xf>
    <xf numFmtId="0" fontId="15" fillId="13" borderId="12" xfId="0" applyFont="1" applyFill="1" applyBorder="1" applyAlignment="1">
      <alignment horizontal="left" vertical="center"/>
    </xf>
    <xf numFmtId="0" fontId="18" fillId="13" borderId="31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5" fillId="6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43" fontId="34" fillId="6" borderId="0" xfId="1" applyFont="1" applyFill="1" applyBorder="1" applyAlignment="1">
      <alignment horizontal="right" vertical="center"/>
    </xf>
    <xf numFmtId="49" fontId="15" fillId="0" borderId="51" xfId="0" applyNumberFormat="1" applyFont="1" applyBorder="1" applyAlignment="1">
      <alignment horizontal="left" vertical="center"/>
    </xf>
    <xf numFmtId="49" fontId="15" fillId="0" borderId="57" xfId="0" applyNumberFormat="1" applyFont="1" applyBorder="1" applyAlignment="1">
      <alignment horizontal="left" vertical="center"/>
    </xf>
    <xf numFmtId="49" fontId="13" fillId="0" borderId="21" xfId="0" applyNumberFormat="1" applyFont="1" applyBorder="1" applyAlignment="1">
      <alignment horizontal="right" vertical="center"/>
    </xf>
    <xf numFmtId="0" fontId="15" fillId="0" borderId="51" xfId="0" applyFont="1" applyBorder="1" applyAlignment="1">
      <alignment horizontal="left" vertical="center"/>
    </xf>
    <xf numFmtId="49" fontId="13" fillId="6" borderId="0" xfId="0" applyNumberFormat="1" applyFont="1" applyFill="1" applyAlignment="1">
      <alignment horizontal="right" vertical="center"/>
    </xf>
    <xf numFmtId="49" fontId="15" fillId="6" borderId="0" xfId="0" applyNumberFormat="1" applyFont="1" applyFill="1" applyAlignment="1">
      <alignment horizontal="left" vertical="center"/>
    </xf>
    <xf numFmtId="2" fontId="6" fillId="6" borderId="0" xfId="0" applyNumberFormat="1" applyFont="1" applyFill="1" applyAlignment="1">
      <alignment horizontal="center" vertical="center"/>
    </xf>
    <xf numFmtId="1" fontId="13" fillId="6" borderId="0" xfId="0" applyNumberFormat="1" applyFont="1" applyFill="1" applyAlignment="1">
      <alignment horizontal="center" vertical="center"/>
    </xf>
    <xf numFmtId="43" fontId="33" fillId="6" borderId="0" xfId="1" applyFont="1" applyFill="1" applyBorder="1" applyAlignment="1">
      <alignment vertical="center"/>
    </xf>
    <xf numFmtId="43" fontId="43" fillId="6" borderId="22" xfId="1" applyFont="1" applyFill="1" applyBorder="1" applyAlignment="1">
      <alignment horizontal="right" vertical="center"/>
    </xf>
    <xf numFmtId="43" fontId="34" fillId="0" borderId="11" xfId="1" applyFont="1" applyBorder="1" applyAlignment="1">
      <alignment vertical="center"/>
    </xf>
    <xf numFmtId="0" fontId="36" fillId="6" borderId="39" xfId="4" applyFont="1" applyFill="1" applyBorder="1" applyAlignment="1" applyProtection="1">
      <alignment vertical="center"/>
    </xf>
    <xf numFmtId="2" fontId="7" fillId="6" borderId="20" xfId="0" applyNumberFormat="1" applyFont="1" applyFill="1" applyBorder="1" applyAlignment="1">
      <alignment vertical="center"/>
    </xf>
    <xf numFmtId="43" fontId="35" fillId="6" borderId="26" xfId="1" applyFont="1" applyFill="1" applyBorder="1" applyAlignment="1">
      <alignment vertical="center"/>
    </xf>
    <xf numFmtId="43" fontId="34" fillId="0" borderId="26" xfId="1" applyFont="1" applyBorder="1" applyAlignment="1">
      <alignment vertical="center"/>
    </xf>
    <xf numFmtId="0" fontId="33" fillId="0" borderId="20" xfId="0" applyFont="1" applyBorder="1" applyAlignment="1">
      <alignment vertical="center"/>
    </xf>
    <xf numFmtId="0" fontId="13" fillId="6" borderId="25" xfId="0" applyFont="1" applyFill="1" applyBorder="1" applyAlignment="1">
      <alignment vertical="center"/>
    </xf>
    <xf numFmtId="43" fontId="22" fillId="6" borderId="0" xfId="1" applyFont="1" applyFill="1" applyBorder="1" applyAlignment="1">
      <alignment vertical="center"/>
    </xf>
    <xf numFmtId="43" fontId="33" fillId="6" borderId="0" xfId="1" applyFont="1" applyFill="1" applyBorder="1" applyAlignment="1">
      <alignment horizontal="right" vertical="center"/>
    </xf>
    <xf numFmtId="2" fontId="13" fillId="6" borderId="0" xfId="0" applyNumberFormat="1" applyFont="1" applyFill="1" applyAlignment="1">
      <alignment horizontal="center" vertical="center"/>
    </xf>
    <xf numFmtId="0" fontId="23" fillId="6" borderId="39" xfId="0" applyFont="1" applyFill="1" applyBorder="1" applyAlignment="1">
      <alignment vertical="center"/>
    </xf>
    <xf numFmtId="43" fontId="35" fillId="6" borderId="26" xfId="1" applyFont="1" applyFill="1" applyBorder="1" applyAlignment="1" applyProtection="1">
      <alignment vertical="center"/>
    </xf>
    <xf numFmtId="43" fontId="43" fillId="6" borderId="0" xfId="1" applyFont="1" applyFill="1" applyBorder="1" applyAlignment="1">
      <alignment horizontal="right" vertical="center"/>
    </xf>
    <xf numFmtId="0" fontId="33" fillId="6" borderId="0" xfId="0" applyFont="1" applyFill="1" applyAlignment="1">
      <alignment vertical="center"/>
    </xf>
    <xf numFmtId="43" fontId="43" fillId="6" borderId="26" xfId="1" applyFont="1" applyFill="1" applyBorder="1" applyAlignment="1">
      <alignment horizontal="right" vertical="center"/>
    </xf>
    <xf numFmtId="0" fontId="38" fillId="6" borderId="0" xfId="0" applyFont="1" applyFill="1" applyAlignment="1">
      <alignment horizontal="right" vertical="center"/>
    </xf>
    <xf numFmtId="43" fontId="44" fillId="6" borderId="0" xfId="1" applyFont="1" applyFill="1" applyBorder="1" applyAlignment="1">
      <alignment horizontal="right" vertical="center"/>
    </xf>
    <xf numFmtId="166" fontId="13" fillId="6" borderId="21" xfId="1" applyNumberFormat="1" applyFont="1" applyFill="1" applyBorder="1" applyAlignment="1">
      <alignment horizontal="right" vertical="center"/>
    </xf>
    <xf numFmtId="43" fontId="22" fillId="6" borderId="0" xfId="1" applyFont="1" applyFill="1" applyBorder="1" applyAlignment="1">
      <alignment horizontal="right" vertical="center"/>
    </xf>
    <xf numFmtId="0" fontId="7" fillId="0" borderId="38" xfId="0" applyFont="1" applyBorder="1" applyAlignment="1">
      <alignment vertical="center"/>
    </xf>
    <xf numFmtId="0" fontId="21" fillId="6" borderId="20" xfId="0" applyFont="1" applyFill="1" applyBorder="1" applyAlignment="1">
      <alignment vertical="center"/>
    </xf>
    <xf numFmtId="0" fontId="6" fillId="6" borderId="21" xfId="0" applyFont="1" applyFill="1" applyBorder="1" applyAlignment="1">
      <alignment horizontal="left" vertical="center"/>
    </xf>
    <xf numFmtId="0" fontId="33" fillId="6" borderId="39" xfId="5" applyFont="1" applyFill="1" applyBorder="1" applyAlignment="1">
      <alignment vertical="center"/>
    </xf>
    <xf numFmtId="2" fontId="47" fillId="6" borderId="25" xfId="5" applyNumberFormat="1" applyFont="1" applyFill="1" applyBorder="1" applyAlignment="1">
      <alignment horizontal="left" vertical="center"/>
    </xf>
    <xf numFmtId="0" fontId="38" fillId="6" borderId="25" xfId="5" applyFont="1" applyFill="1" applyBorder="1" applyAlignment="1">
      <alignment horizontal="right" vertical="center"/>
    </xf>
    <xf numFmtId="166" fontId="6" fillId="0" borderId="25" xfId="1" applyNumberFormat="1" applyFont="1" applyBorder="1" applyAlignment="1" applyProtection="1">
      <alignment horizontal="left" vertical="center"/>
    </xf>
    <xf numFmtId="0" fontId="15" fillId="0" borderId="20" xfId="0" applyFont="1" applyBorder="1" applyAlignment="1">
      <alignment horizontal="left" vertical="center"/>
    </xf>
    <xf numFmtId="43" fontId="22" fillId="0" borderId="21" xfId="1" applyFont="1" applyFill="1" applyBorder="1" applyAlignment="1">
      <alignment horizontal="right" vertical="center"/>
    </xf>
    <xf numFmtId="43" fontId="33" fillId="6" borderId="22" xfId="1" applyFont="1" applyFill="1" applyBorder="1" applyAlignment="1">
      <alignment horizontal="right" vertical="center"/>
    </xf>
    <xf numFmtId="0" fontId="7" fillId="0" borderId="12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14" fillId="0" borderId="3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3" fillId="6" borderId="25" xfId="0" applyFont="1" applyFill="1" applyBorder="1" applyAlignment="1">
      <alignment horizontal="right" vertical="center"/>
    </xf>
    <xf numFmtId="43" fontId="35" fillId="6" borderId="26" xfId="1" applyFont="1" applyFill="1" applyBorder="1" applyAlignment="1">
      <alignment horizontal="right" vertical="center"/>
    </xf>
    <xf numFmtId="43" fontId="6" fillId="6" borderId="34" xfId="0" applyNumberFormat="1" applyFont="1" applyFill="1" applyBorder="1" applyAlignment="1">
      <alignment horizontal="right" vertical="center"/>
    </xf>
    <xf numFmtId="0" fontId="24" fillId="0" borderId="25" xfId="0" applyFont="1" applyBorder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43" fontId="33" fillId="0" borderId="26" xfId="1" applyFont="1" applyBorder="1" applyAlignment="1">
      <alignment horizontal="right" vertical="center"/>
    </xf>
    <xf numFmtId="43" fontId="35" fillId="6" borderId="46" xfId="1" applyFont="1" applyFill="1" applyBorder="1" applyAlignment="1">
      <alignment vertical="center"/>
    </xf>
    <xf numFmtId="0" fontId="15" fillId="0" borderId="15" xfId="0" applyFont="1" applyBorder="1" applyAlignment="1">
      <alignment horizontal="left" vertical="center"/>
    </xf>
    <xf numFmtId="0" fontId="18" fillId="0" borderId="39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43" fontId="22" fillId="0" borderId="5" xfId="1" applyFont="1" applyFill="1" applyBorder="1" applyAlignment="1" applyProtection="1">
      <alignment horizontal="left" vertical="center"/>
    </xf>
    <xf numFmtId="43" fontId="34" fillId="0" borderId="37" xfId="1" applyFont="1" applyBorder="1" applyAlignment="1">
      <alignment vertical="center"/>
    </xf>
    <xf numFmtId="43" fontId="44" fillId="0" borderId="26" xfId="1" applyFont="1" applyFill="1" applyBorder="1" applyAlignment="1">
      <alignment horizontal="right" vertical="center"/>
    </xf>
    <xf numFmtId="49" fontId="22" fillId="6" borderId="10" xfId="0" applyNumberFormat="1" applyFont="1" applyFill="1" applyBorder="1" applyAlignment="1">
      <alignment horizontal="left" vertical="center"/>
    </xf>
    <xf numFmtId="43" fontId="22" fillId="6" borderId="25" xfId="1" applyFont="1" applyFill="1" applyBorder="1" applyAlignment="1">
      <alignment horizontal="left" vertical="center"/>
    </xf>
    <xf numFmtId="43" fontId="22" fillId="6" borderId="10" xfId="1" applyFont="1" applyFill="1" applyBorder="1" applyAlignment="1">
      <alignment horizontal="left" vertical="center"/>
    </xf>
    <xf numFmtId="43" fontId="22" fillId="0" borderId="53" xfId="1" applyFont="1" applyBorder="1" applyAlignment="1">
      <alignment horizontal="left" vertical="center"/>
    </xf>
    <xf numFmtId="0" fontId="22" fillId="0" borderId="0" xfId="0" applyFont="1" applyAlignment="1">
      <alignment horizontal="left"/>
    </xf>
    <xf numFmtId="0" fontId="50" fillId="6" borderId="0" xfId="0" applyFont="1" applyFill="1" applyAlignment="1">
      <alignment horizontal="left" vertical="center"/>
    </xf>
    <xf numFmtId="0" fontId="22" fillId="6" borderId="0" xfId="0" applyFont="1" applyFill="1" applyAlignment="1">
      <alignment horizontal="left"/>
    </xf>
    <xf numFmtId="2" fontId="22" fillId="0" borderId="25" xfId="0" applyNumberFormat="1" applyFont="1" applyBorder="1" applyAlignment="1">
      <alignment horizontal="left" vertical="center"/>
    </xf>
    <xf numFmtId="2" fontId="22" fillId="0" borderId="10" xfId="0" applyNumberFormat="1" applyFont="1" applyBorder="1" applyAlignment="1">
      <alignment horizontal="left" vertical="center"/>
    </xf>
    <xf numFmtId="2" fontId="22" fillId="0" borderId="14" xfId="0" applyNumberFormat="1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2" fontId="22" fillId="0" borderId="21" xfId="0" applyNumberFormat="1" applyFont="1" applyBorder="1" applyAlignment="1">
      <alignment horizontal="left" vertical="center"/>
    </xf>
    <xf numFmtId="2" fontId="22" fillId="6" borderId="0" xfId="0" applyNumberFormat="1" applyFont="1" applyFill="1" applyAlignment="1">
      <alignment horizontal="left" vertical="center"/>
    </xf>
    <xf numFmtId="43" fontId="33" fillId="6" borderId="0" xfId="0" applyNumberFormat="1" applyFont="1" applyFill="1" applyAlignment="1">
      <alignment vertical="center"/>
    </xf>
    <xf numFmtId="43" fontId="33" fillId="6" borderId="0" xfId="1" applyFont="1" applyFill="1" applyBorder="1"/>
    <xf numFmtId="43" fontId="22" fillId="6" borderId="0" xfId="1" applyFont="1" applyFill="1" applyBorder="1"/>
    <xf numFmtId="43" fontId="22" fillId="0" borderId="0" xfId="1" applyFont="1"/>
    <xf numFmtId="0" fontId="13" fillId="6" borderId="14" xfId="0" applyFont="1" applyFill="1" applyBorder="1" applyAlignment="1">
      <alignment horizontal="right" vertical="center"/>
    </xf>
    <xf numFmtId="0" fontId="22" fillId="6" borderId="0" xfId="0" applyFont="1" applyFill="1" applyAlignment="1">
      <alignment horizontal="left" vertical="center"/>
    </xf>
    <xf numFmtId="2" fontId="22" fillId="0" borderId="14" xfId="6" applyNumberFormat="1" applyFont="1" applyBorder="1" applyAlignment="1" applyProtection="1">
      <alignment horizontal="left" vertical="center"/>
    </xf>
    <xf numFmtId="43" fontId="35" fillId="6" borderId="16" xfId="1" applyFont="1" applyFill="1" applyBorder="1" applyAlignment="1">
      <alignment horizontal="right" vertical="center"/>
    </xf>
    <xf numFmtId="0" fontId="25" fillId="0" borderId="49" xfId="0" applyFont="1" applyBorder="1" applyAlignment="1">
      <alignment horizontal="left" vertical="center"/>
    </xf>
    <xf numFmtId="2" fontId="6" fillId="0" borderId="58" xfId="0" applyNumberFormat="1" applyFont="1" applyBorder="1" applyAlignment="1">
      <alignment horizontal="left" vertical="center"/>
    </xf>
    <xf numFmtId="0" fontId="13" fillId="0" borderId="58" xfId="0" applyFont="1" applyBorder="1" applyAlignment="1">
      <alignment vertical="center"/>
    </xf>
    <xf numFmtId="43" fontId="33" fillId="0" borderId="50" xfId="1" applyFont="1" applyBorder="1" applyAlignment="1">
      <alignment vertical="center"/>
    </xf>
    <xf numFmtId="0" fontId="8" fillId="6" borderId="39" xfId="0" applyFont="1" applyFill="1" applyBorder="1" applyAlignment="1">
      <alignment vertical="center"/>
    </xf>
    <xf numFmtId="43" fontId="22" fillId="0" borderId="56" xfId="1" applyFont="1" applyBorder="1" applyAlignment="1">
      <alignment horizontal="right" vertical="center"/>
    </xf>
    <xf numFmtId="43" fontId="34" fillId="0" borderId="22" xfId="1" applyFont="1" applyBorder="1" applyAlignment="1">
      <alignment horizontal="right" vertical="center"/>
    </xf>
    <xf numFmtId="0" fontId="18" fillId="13" borderId="27" xfId="0" applyFont="1" applyFill="1" applyBorder="1" applyAlignment="1">
      <alignment horizontal="left" vertical="center"/>
    </xf>
    <xf numFmtId="1" fontId="38" fillId="6" borderId="10" xfId="0" applyNumberFormat="1" applyFont="1" applyFill="1" applyBorder="1" applyAlignment="1">
      <alignment vertical="center"/>
    </xf>
    <xf numFmtId="43" fontId="35" fillId="6" borderId="46" xfId="1" applyFont="1" applyFill="1" applyBorder="1" applyAlignment="1" applyProtection="1">
      <alignment vertical="center"/>
    </xf>
    <xf numFmtId="0" fontId="15" fillId="0" borderId="45" xfId="0" applyFont="1" applyBorder="1" applyAlignment="1">
      <alignment vertical="center"/>
    </xf>
    <xf numFmtId="43" fontId="6" fillId="0" borderId="34" xfId="1" applyFont="1" applyBorder="1" applyAlignment="1">
      <alignment vertical="center"/>
    </xf>
    <xf numFmtId="0" fontId="16" fillId="0" borderId="34" xfId="0" applyFont="1" applyBorder="1" applyAlignment="1">
      <alignment vertical="center"/>
    </xf>
    <xf numFmtId="166" fontId="13" fillId="0" borderId="25" xfId="1" applyNumberFormat="1" applyFont="1" applyBorder="1" applyAlignment="1">
      <alignment vertical="center"/>
    </xf>
    <xf numFmtId="166" fontId="13" fillId="0" borderId="10" xfId="1" applyNumberFormat="1" applyFont="1" applyBorder="1" applyAlignment="1">
      <alignment vertical="center"/>
    </xf>
    <xf numFmtId="166" fontId="13" fillId="0" borderId="14" xfId="1" applyNumberFormat="1" applyFont="1" applyBorder="1" applyAlignment="1">
      <alignment vertical="center"/>
    </xf>
    <xf numFmtId="166" fontId="13" fillId="0" borderId="25" xfId="1" applyNumberFormat="1" applyFont="1" applyBorder="1" applyAlignment="1">
      <alignment horizontal="right" vertical="center"/>
    </xf>
    <xf numFmtId="166" fontId="13" fillId="0" borderId="10" xfId="1" applyNumberFormat="1" applyFont="1" applyBorder="1" applyAlignment="1">
      <alignment horizontal="right" vertical="center"/>
    </xf>
    <xf numFmtId="166" fontId="13" fillId="0" borderId="14" xfId="1" applyNumberFormat="1" applyFont="1" applyBorder="1" applyAlignment="1">
      <alignment horizontal="right" vertical="center"/>
    </xf>
    <xf numFmtId="166" fontId="13" fillId="0" borderId="5" xfId="1" applyNumberFormat="1" applyFont="1" applyBorder="1" applyAlignment="1">
      <alignment vertical="center"/>
    </xf>
    <xf numFmtId="166" fontId="13" fillId="0" borderId="21" xfId="1" applyNumberFormat="1" applyFont="1" applyBorder="1" applyAlignment="1">
      <alignment vertical="center"/>
    </xf>
    <xf numFmtId="166" fontId="16" fillId="6" borderId="10" xfId="1" applyNumberFormat="1" applyFont="1" applyFill="1" applyBorder="1" applyAlignment="1" applyProtection="1">
      <alignment vertical="center"/>
      <protection locked="0"/>
    </xf>
    <xf numFmtId="166" fontId="16" fillId="6" borderId="21" xfId="1" applyNumberFormat="1" applyFont="1" applyFill="1" applyBorder="1" applyAlignment="1" applyProtection="1">
      <alignment vertical="center"/>
      <protection locked="0"/>
    </xf>
    <xf numFmtId="166" fontId="16" fillId="6" borderId="34" xfId="1" applyNumberFormat="1" applyFont="1" applyFill="1" applyBorder="1" applyAlignment="1">
      <alignment horizontal="right" vertical="center"/>
    </xf>
    <xf numFmtId="166" fontId="16" fillId="0" borderId="25" xfId="1" applyNumberFormat="1" applyFont="1" applyBorder="1" applyAlignment="1">
      <alignment vertical="center"/>
    </xf>
    <xf numFmtId="166" fontId="16" fillId="0" borderId="10" xfId="1" applyNumberFormat="1" applyFont="1" applyBorder="1" applyAlignment="1">
      <alignment vertical="center"/>
    </xf>
    <xf numFmtId="166" fontId="16" fillId="0" borderId="14" xfId="1" applyNumberFormat="1" applyFont="1" applyBorder="1" applyAlignment="1">
      <alignment vertical="center"/>
    </xf>
    <xf numFmtId="166" fontId="42" fillId="13" borderId="11" xfId="1" applyNumberFormat="1" applyFont="1" applyFill="1" applyBorder="1" applyAlignment="1">
      <alignment vertical="center"/>
    </xf>
    <xf numFmtId="166" fontId="49" fillId="17" borderId="19" xfId="1" applyNumberFormat="1" applyFont="1" applyFill="1" applyBorder="1" applyAlignment="1">
      <alignment vertical="center"/>
    </xf>
    <xf numFmtId="166" fontId="42" fillId="13" borderId="50" xfId="1" applyNumberFormat="1" applyFont="1" applyFill="1" applyBorder="1" applyAlignment="1">
      <alignment vertical="center"/>
    </xf>
    <xf numFmtId="166" fontId="0" fillId="0" borderId="0" xfId="1" applyNumberFormat="1" applyFont="1"/>
    <xf numFmtId="166" fontId="0" fillId="6" borderId="0" xfId="1" applyNumberFormat="1" applyFont="1" applyFill="1"/>
    <xf numFmtId="0" fontId="22" fillId="6" borderId="34" xfId="0" applyFont="1" applyFill="1" applyBorder="1" applyAlignment="1">
      <alignment horizontal="left" vertical="center"/>
    </xf>
    <xf numFmtId="1" fontId="22" fillId="0" borderId="21" xfId="0" applyNumberFormat="1" applyFont="1" applyBorder="1" applyAlignment="1">
      <alignment horizontal="left" vertical="center"/>
    </xf>
    <xf numFmtId="43" fontId="33" fillId="0" borderId="24" xfId="1" applyFont="1" applyBorder="1" applyAlignment="1">
      <alignment vertical="center"/>
    </xf>
    <xf numFmtId="0" fontId="33" fillId="0" borderId="32" xfId="0" applyFont="1" applyBorder="1" applyAlignment="1">
      <alignment horizontal="left" vertical="center"/>
    </xf>
    <xf numFmtId="0" fontId="33" fillId="0" borderId="12" xfId="0" applyFont="1" applyBorder="1" applyAlignment="1">
      <alignment horizontal="left" vertical="center"/>
    </xf>
    <xf numFmtId="0" fontId="33" fillId="0" borderId="13" xfId="0" applyFont="1" applyBorder="1" applyAlignment="1">
      <alignment horizontal="left" vertical="center"/>
    </xf>
    <xf numFmtId="0" fontId="51" fillId="0" borderId="13" xfId="0" applyFont="1" applyBorder="1" applyAlignment="1">
      <alignment horizontal="left" vertical="center"/>
    </xf>
    <xf numFmtId="0" fontId="34" fillId="0" borderId="47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3" fillId="6" borderId="54" xfId="0" applyFont="1" applyFill="1" applyBorder="1" applyAlignment="1">
      <alignment horizontal="left" vertical="center"/>
    </xf>
    <xf numFmtId="0" fontId="35" fillId="6" borderId="12" xfId="4" applyFont="1" applyFill="1" applyBorder="1" applyAlignment="1" applyProtection="1">
      <alignment horizontal="left" vertical="center"/>
    </xf>
    <xf numFmtId="0" fontId="35" fillId="6" borderId="27" xfId="4" applyFont="1" applyFill="1" applyBorder="1" applyAlignment="1" applyProtection="1">
      <alignment horizontal="left" vertical="center"/>
    </xf>
    <xf numFmtId="2" fontId="22" fillId="0" borderId="25" xfId="0" applyNumberFormat="1" applyFont="1" applyBorder="1" applyAlignment="1">
      <alignment vertical="center"/>
    </xf>
    <xf numFmtId="2" fontId="22" fillId="0" borderId="10" xfId="0" applyNumberFormat="1" applyFont="1" applyBorder="1" applyAlignment="1">
      <alignment vertical="center"/>
    </xf>
    <xf numFmtId="2" fontId="22" fillId="0" borderId="14" xfId="0" applyNumberFormat="1" applyFont="1" applyBorder="1" applyAlignment="1">
      <alignment vertical="center"/>
    </xf>
    <xf numFmtId="2" fontId="22" fillId="6" borderId="10" xfId="0" applyNumberFormat="1" applyFont="1" applyFill="1" applyBorder="1" applyAlignment="1">
      <alignment vertical="center"/>
    </xf>
    <xf numFmtId="2" fontId="22" fillId="6" borderId="21" xfId="0" applyNumberFormat="1" applyFont="1" applyFill="1" applyBorder="1" applyAlignment="1">
      <alignment vertical="center"/>
    </xf>
    <xf numFmtId="2" fontId="22" fillId="6" borderId="25" xfId="0" applyNumberFormat="1" applyFont="1" applyFill="1" applyBorder="1" applyAlignment="1">
      <alignment vertical="center"/>
    </xf>
    <xf numFmtId="43" fontId="22" fillId="6" borderId="10" xfId="1" applyFont="1" applyFill="1" applyBorder="1" applyAlignment="1">
      <alignment vertical="center"/>
    </xf>
    <xf numFmtId="43" fontId="22" fillId="6" borderId="5" xfId="0" applyNumberFormat="1" applyFont="1" applyFill="1" applyBorder="1" applyAlignment="1">
      <alignment vertical="center"/>
    </xf>
    <xf numFmtId="43" fontId="22" fillId="6" borderId="10" xfId="0" applyNumberFormat="1" applyFont="1" applyFill="1" applyBorder="1" applyAlignment="1">
      <alignment vertical="center"/>
    </xf>
    <xf numFmtId="43" fontId="22" fillId="6" borderId="14" xfId="0" applyNumberFormat="1" applyFont="1" applyFill="1" applyBorder="1" applyAlignment="1">
      <alignment vertical="center"/>
    </xf>
    <xf numFmtId="43" fontId="22" fillId="6" borderId="21" xfId="0" applyNumberFormat="1" applyFont="1" applyFill="1" applyBorder="1" applyAlignment="1">
      <alignment vertical="center"/>
    </xf>
    <xf numFmtId="2" fontId="49" fillId="0" borderId="0" xfId="0" applyNumberFormat="1" applyFont="1" applyAlignment="1">
      <alignment vertical="center"/>
    </xf>
    <xf numFmtId="0" fontId="49" fillId="0" borderId="0" xfId="0" applyFont="1"/>
    <xf numFmtId="2" fontId="22" fillId="0" borderId="0" xfId="0" applyNumberFormat="1" applyFont="1"/>
    <xf numFmtId="49" fontId="21" fillId="0" borderId="39" xfId="0" applyNumberFormat="1" applyFont="1" applyBorder="1" applyAlignment="1">
      <alignment horizontal="left" vertical="center"/>
    </xf>
    <xf numFmtId="49" fontId="22" fillId="0" borderId="10" xfId="0" applyNumberFormat="1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49" fontId="22" fillId="0" borderId="14" xfId="0" applyNumberFormat="1" applyFont="1" applyBorder="1" applyAlignment="1">
      <alignment horizontal="left" vertical="center"/>
    </xf>
    <xf numFmtId="49" fontId="22" fillId="6" borderId="5" xfId="0" applyNumberFormat="1" applyFont="1" applyFill="1" applyBorder="1" applyAlignment="1">
      <alignment horizontal="left" vertical="center"/>
    </xf>
    <xf numFmtId="0" fontId="13" fillId="6" borderId="5" xfId="0" applyFont="1" applyFill="1" applyBorder="1" applyAlignment="1">
      <alignment horizontal="right" vertical="center"/>
    </xf>
    <xf numFmtId="43" fontId="35" fillId="6" borderId="37" xfId="1" applyFont="1" applyFill="1" applyBorder="1" applyAlignment="1">
      <alignment horizontal="right" vertical="center"/>
    </xf>
    <xf numFmtId="2" fontId="22" fillId="0" borderId="10" xfId="6" applyNumberFormat="1" applyFont="1" applyBorder="1" applyAlignment="1" applyProtection="1">
      <alignment horizontal="left" vertical="center"/>
    </xf>
    <xf numFmtId="43" fontId="34" fillId="0" borderId="37" xfId="1" applyFont="1" applyBorder="1" applyAlignment="1">
      <alignment horizontal="right" vertical="center"/>
    </xf>
    <xf numFmtId="43" fontId="33" fillId="0" borderId="63" xfId="1" applyFont="1" applyBorder="1" applyAlignment="1">
      <alignment vertical="center"/>
    </xf>
    <xf numFmtId="43" fontId="33" fillId="0" borderId="64" xfId="1" applyFont="1" applyBorder="1" applyAlignment="1">
      <alignment vertical="center"/>
    </xf>
    <xf numFmtId="43" fontId="33" fillId="0" borderId="65" xfId="1" applyFont="1" applyBorder="1" applyAlignment="1">
      <alignment vertical="center"/>
    </xf>
    <xf numFmtId="43" fontId="33" fillId="0" borderId="66" xfId="1" applyFont="1" applyBorder="1" applyAlignment="1">
      <alignment vertical="center"/>
    </xf>
    <xf numFmtId="0" fontId="46" fillId="0" borderId="33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49" fontId="13" fillId="0" borderId="47" xfId="0" applyNumberFormat="1" applyFont="1" applyBorder="1" applyAlignment="1">
      <alignment horizontal="right" vertical="center"/>
    </xf>
    <xf numFmtId="49" fontId="13" fillId="0" borderId="12" xfId="0" applyNumberFormat="1" applyFont="1" applyBorder="1" applyAlignment="1">
      <alignment horizontal="right" vertical="center"/>
    </xf>
    <xf numFmtId="49" fontId="13" fillId="6" borderId="12" xfId="0" applyNumberFormat="1" applyFont="1" applyFill="1" applyBorder="1" applyAlignment="1">
      <alignment horizontal="right" vertical="center"/>
    </xf>
    <xf numFmtId="0" fontId="33" fillId="0" borderId="27" xfId="0" applyFont="1" applyBorder="1" applyAlignment="1">
      <alignment horizontal="left" vertical="center"/>
    </xf>
    <xf numFmtId="166" fontId="13" fillId="0" borderId="21" xfId="1" applyNumberFormat="1" applyFont="1" applyBorder="1" applyAlignment="1">
      <alignment horizontal="right" vertical="center"/>
    </xf>
    <xf numFmtId="43" fontId="33" fillId="0" borderId="22" xfId="1" applyFont="1" applyBorder="1" applyAlignment="1">
      <alignment horizontal="right" vertical="center"/>
    </xf>
    <xf numFmtId="0" fontId="7" fillId="6" borderId="38" xfId="0" applyFont="1" applyFill="1" applyBorder="1" applyAlignment="1">
      <alignment horizontal="left" vertical="center"/>
    </xf>
    <xf numFmtId="1" fontId="13" fillId="0" borderId="13" xfId="6" applyNumberFormat="1" applyFont="1" applyBorder="1" applyAlignment="1" applyProtection="1">
      <alignment horizontal="right" vertical="center"/>
    </xf>
    <xf numFmtId="0" fontId="21" fillId="0" borderId="6" xfId="0" applyFont="1" applyBorder="1" applyAlignment="1">
      <alignment horizontal="left" vertical="center"/>
    </xf>
    <xf numFmtId="49" fontId="21" fillId="0" borderId="67" xfId="0" applyNumberFormat="1" applyFont="1" applyBorder="1" applyAlignment="1">
      <alignment horizontal="left" vertical="center"/>
    </xf>
    <xf numFmtId="49" fontId="22" fillId="0" borderId="61" xfId="0" applyNumberFormat="1" applyFont="1" applyBorder="1" applyAlignment="1">
      <alignment horizontal="left" vertical="center"/>
    </xf>
    <xf numFmtId="0" fontId="21" fillId="0" borderId="67" xfId="0" applyFont="1" applyBorder="1" applyAlignment="1">
      <alignment horizontal="left" vertical="center"/>
    </xf>
    <xf numFmtId="0" fontId="12" fillId="0" borderId="67" xfId="0" applyFont="1" applyBorder="1" applyAlignment="1">
      <alignment horizontal="left" vertical="center"/>
    </xf>
    <xf numFmtId="0" fontId="12" fillId="6" borderId="67" xfId="0" applyFont="1" applyFill="1" applyBorder="1" applyAlignment="1">
      <alignment horizontal="left" vertical="center"/>
    </xf>
    <xf numFmtId="49" fontId="22" fillId="6" borderId="62" xfId="0" applyNumberFormat="1" applyFont="1" applyFill="1" applyBorder="1" applyAlignment="1">
      <alignment horizontal="left" vertical="center"/>
    </xf>
    <xf numFmtId="0" fontId="52" fillId="0" borderId="28" xfId="0" applyFont="1" applyBorder="1" applyAlignment="1">
      <alignment vertical="center"/>
    </xf>
    <xf numFmtId="0" fontId="52" fillId="0" borderId="29" xfId="0" applyFont="1" applyBorder="1" applyAlignment="1">
      <alignment vertical="center"/>
    </xf>
    <xf numFmtId="0" fontId="52" fillId="0" borderId="30" xfId="0" applyFont="1" applyBorder="1" applyAlignment="1">
      <alignment vertical="center"/>
    </xf>
    <xf numFmtId="0" fontId="52" fillId="0" borderId="40" xfId="0" applyFont="1" applyBorder="1" applyAlignment="1">
      <alignment vertical="center"/>
    </xf>
    <xf numFmtId="43" fontId="52" fillId="0" borderId="41" xfId="1" applyFont="1" applyFill="1" applyBorder="1" applyAlignment="1">
      <alignment horizontal="right" vertical="center"/>
    </xf>
    <xf numFmtId="0" fontId="52" fillId="0" borderId="40" xfId="0" applyFont="1" applyBorder="1" applyAlignment="1">
      <alignment horizontal="left" vertical="center"/>
    </xf>
    <xf numFmtId="2" fontId="52" fillId="0" borderId="0" xfId="6" applyNumberFormat="1" applyFont="1" applyFill="1" applyBorder="1" applyAlignment="1" applyProtection="1">
      <alignment horizontal="left" vertical="center"/>
    </xf>
    <xf numFmtId="0" fontId="52" fillId="0" borderId="41" xfId="0" applyFont="1" applyBorder="1" applyAlignment="1">
      <alignment vertical="center"/>
    </xf>
    <xf numFmtId="0" fontId="52" fillId="0" borderId="17" xfId="0" applyFont="1" applyBorder="1" applyAlignment="1">
      <alignment vertical="center"/>
    </xf>
    <xf numFmtId="0" fontId="52" fillId="0" borderId="31" xfId="0" applyFont="1" applyBorder="1" applyAlignment="1">
      <alignment vertical="center"/>
    </xf>
    <xf numFmtId="0" fontId="52" fillId="0" borderId="18" xfId="0" applyFont="1" applyBorder="1" applyAlignment="1">
      <alignment vertical="center"/>
    </xf>
    <xf numFmtId="0" fontId="13" fillId="6" borderId="0" xfId="0" applyFont="1" applyFill="1" applyAlignment="1">
      <alignment horizontal="left" vertical="center"/>
    </xf>
    <xf numFmtId="49" fontId="11" fillId="6" borderId="0" xfId="0" applyNumberFormat="1" applyFont="1" applyFill="1" applyAlignment="1">
      <alignment horizontal="right" vertical="center"/>
    </xf>
    <xf numFmtId="49" fontId="11" fillId="0" borderId="0" xfId="0" applyNumberFormat="1" applyFont="1" applyAlignment="1">
      <alignment horizontal="right" vertical="center"/>
    </xf>
    <xf numFmtId="43" fontId="49" fillId="0" borderId="0" xfId="1" applyFont="1" applyFill="1"/>
    <xf numFmtId="43" fontId="49" fillId="0" borderId="0" xfId="1" applyFont="1"/>
    <xf numFmtId="49" fontId="50" fillId="0" borderId="61" xfId="0" applyNumberFormat="1" applyFont="1" applyBorder="1" applyAlignment="1">
      <alignment horizontal="left" vertical="center"/>
    </xf>
    <xf numFmtId="0" fontId="16" fillId="0" borderId="67" xfId="0" applyFont="1" applyBorder="1" applyAlignment="1">
      <alignment horizontal="left" vertical="center"/>
    </xf>
    <xf numFmtId="49" fontId="6" fillId="0" borderId="12" xfId="0" applyNumberFormat="1" applyFont="1" applyBorder="1" applyAlignment="1">
      <alignment horizontal="left" vertical="center"/>
    </xf>
    <xf numFmtId="49" fontId="50" fillId="0" borderId="10" xfId="0" applyNumberFormat="1" applyFont="1" applyBorder="1" applyAlignment="1">
      <alignment horizontal="left" vertical="center"/>
    </xf>
    <xf numFmtId="43" fontId="50" fillId="6" borderId="10" xfId="1" applyFont="1" applyFill="1" applyBorder="1" applyAlignment="1">
      <alignment horizontal="left" vertical="center"/>
    </xf>
    <xf numFmtId="49" fontId="52" fillId="0" borderId="0" xfId="0" applyNumberFormat="1" applyFont="1" applyAlignment="1">
      <alignment horizontal="left" vertical="center"/>
    </xf>
    <xf numFmtId="0" fontId="52" fillId="0" borderId="0" xfId="0" applyFont="1" applyAlignment="1">
      <alignment horizontal="right" vertical="center"/>
    </xf>
    <xf numFmtId="0" fontId="52" fillId="0" borderId="0" xfId="0" applyFont="1" applyAlignment="1">
      <alignment vertical="center"/>
    </xf>
    <xf numFmtId="0" fontId="31" fillId="0" borderId="0" xfId="0" applyFont="1"/>
    <xf numFmtId="2" fontId="22" fillId="0" borderId="0" xfId="0" applyNumberFormat="1" applyFont="1" applyAlignment="1">
      <alignment vertical="center"/>
    </xf>
    <xf numFmtId="0" fontId="22" fillId="0" borderId="0" xfId="0" applyFont="1"/>
    <xf numFmtId="43" fontId="47" fillId="6" borderId="25" xfId="1" applyFont="1" applyFill="1" applyBorder="1" applyAlignment="1">
      <alignment horizontal="left" vertical="center"/>
    </xf>
    <xf numFmtId="43" fontId="47" fillId="6" borderId="10" xfId="1" applyFont="1" applyFill="1" applyBorder="1" applyAlignment="1">
      <alignment horizontal="left" vertical="center"/>
    </xf>
    <xf numFmtId="43" fontId="50" fillId="6" borderId="21" xfId="1" applyFont="1" applyFill="1" applyBorder="1" applyAlignment="1">
      <alignment horizontal="left" vertical="center"/>
    </xf>
    <xf numFmtId="49" fontId="53" fillId="0" borderId="25" xfId="0" applyNumberFormat="1" applyFont="1" applyBorder="1" applyAlignment="1">
      <alignment horizontal="left" vertical="center"/>
    </xf>
    <xf numFmtId="49" fontId="53" fillId="0" borderId="10" xfId="0" applyNumberFormat="1" applyFont="1" applyBorder="1" applyAlignment="1">
      <alignment horizontal="left" vertical="center"/>
    </xf>
    <xf numFmtId="49" fontId="53" fillId="0" borderId="14" xfId="0" applyNumberFormat="1" applyFont="1" applyBorder="1" applyAlignment="1">
      <alignment horizontal="left" vertical="center"/>
    </xf>
    <xf numFmtId="49" fontId="53" fillId="0" borderId="21" xfId="0" applyNumberFormat="1" applyFont="1" applyBorder="1" applyAlignment="1">
      <alignment horizontal="left" vertical="center"/>
    </xf>
    <xf numFmtId="49" fontId="50" fillId="6" borderId="10" xfId="0" applyNumberFormat="1" applyFont="1" applyFill="1" applyBorder="1" applyAlignment="1">
      <alignment horizontal="left" vertical="center"/>
    </xf>
    <xf numFmtId="2" fontId="50" fillId="0" borderId="14" xfId="6" applyNumberFormat="1" applyFont="1" applyBorder="1" applyAlignment="1" applyProtection="1">
      <alignment horizontal="left" vertical="center"/>
    </xf>
    <xf numFmtId="49" fontId="50" fillId="0" borderId="60" xfId="0" applyNumberFormat="1" applyFont="1" applyBorder="1" applyAlignment="1">
      <alignment horizontal="left" vertical="center"/>
    </xf>
    <xf numFmtId="0" fontId="12" fillId="6" borderId="67" xfId="0" applyFont="1" applyFill="1" applyBorder="1" applyAlignment="1">
      <alignment vertical="center"/>
    </xf>
    <xf numFmtId="2" fontId="50" fillId="0" borderId="61" xfId="6" applyNumberFormat="1" applyFont="1" applyBorder="1" applyAlignment="1" applyProtection="1">
      <alignment horizontal="left" vertical="center"/>
    </xf>
    <xf numFmtId="2" fontId="50" fillId="0" borderId="10" xfId="0" applyNumberFormat="1" applyFont="1" applyBorder="1" applyAlignment="1">
      <alignment vertical="center"/>
    </xf>
    <xf numFmtId="2" fontId="50" fillId="0" borderId="21" xfId="0" applyNumberFormat="1" applyFont="1" applyBorder="1" applyAlignment="1">
      <alignment vertical="center"/>
    </xf>
    <xf numFmtId="0" fontId="17" fillId="12" borderId="6" xfId="0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center" vertical="center"/>
    </xf>
    <xf numFmtId="0" fontId="17" fillId="12" borderId="8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7" fillId="7" borderId="33" xfId="0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17" fillId="7" borderId="23" xfId="0" applyFont="1" applyFill="1" applyBorder="1" applyAlignment="1">
      <alignment horizontal="center" vertical="center"/>
    </xf>
    <xf numFmtId="0" fontId="9" fillId="7" borderId="23" xfId="3" applyFont="1" applyFill="1" applyBorder="1" applyAlignment="1" applyProtection="1">
      <alignment horizontal="center" vertical="center"/>
    </xf>
    <xf numFmtId="0" fontId="9" fillId="7" borderId="33" xfId="3" applyFont="1" applyFill="1" applyBorder="1" applyAlignment="1" applyProtection="1">
      <alignment horizontal="center" vertical="center"/>
    </xf>
    <xf numFmtId="0" fontId="9" fillId="7" borderId="24" xfId="3" applyFont="1" applyFill="1" applyBorder="1" applyAlignment="1" applyProtection="1">
      <alignment horizontal="center" vertical="center"/>
    </xf>
    <xf numFmtId="0" fontId="17" fillId="12" borderId="33" xfId="0" applyFont="1" applyFill="1" applyBorder="1" applyAlignment="1">
      <alignment horizontal="center" vertical="center"/>
    </xf>
    <xf numFmtId="0" fontId="17" fillId="12" borderId="24" xfId="0" applyFont="1" applyFill="1" applyBorder="1" applyAlignment="1">
      <alignment horizontal="center" vertical="center"/>
    </xf>
    <xf numFmtId="0" fontId="9" fillId="7" borderId="23" xfId="4" applyFont="1" applyFill="1" applyBorder="1" applyAlignment="1" applyProtection="1">
      <alignment horizontal="center" vertical="center"/>
    </xf>
    <xf numFmtId="0" fontId="9" fillId="7" borderId="33" xfId="4" applyFont="1" applyFill="1" applyBorder="1" applyAlignment="1" applyProtection="1">
      <alignment horizontal="center" vertical="center"/>
    </xf>
    <xf numFmtId="0" fontId="9" fillId="7" borderId="24" xfId="4" applyFont="1" applyFill="1" applyBorder="1" applyAlignment="1" applyProtection="1">
      <alignment horizontal="center" vertical="center"/>
    </xf>
    <xf numFmtId="43" fontId="7" fillId="0" borderId="17" xfId="1" applyFont="1" applyBorder="1" applyAlignment="1" applyProtection="1">
      <alignment horizontal="center" vertical="center"/>
    </xf>
    <xf numFmtId="43" fontId="7" fillId="0" borderId="31" xfId="1" applyFont="1" applyBorder="1" applyAlignment="1" applyProtection="1">
      <alignment horizontal="center" vertical="center"/>
    </xf>
    <xf numFmtId="43" fontId="7" fillId="0" borderId="18" xfId="1" applyFont="1" applyBorder="1" applyAlignment="1" applyProtection="1">
      <alignment horizontal="center" vertical="center"/>
    </xf>
    <xf numFmtId="43" fontId="27" fillId="0" borderId="17" xfId="1" applyFont="1" applyBorder="1" applyAlignment="1">
      <alignment horizontal="center" vertical="center"/>
    </xf>
    <xf numFmtId="43" fontId="27" fillId="0" borderId="18" xfId="1" applyFont="1" applyBorder="1" applyAlignment="1">
      <alignment horizontal="center" vertical="center"/>
    </xf>
    <xf numFmtId="43" fontId="28" fillId="13" borderId="17" xfId="1" applyFont="1" applyFill="1" applyBorder="1" applyAlignment="1">
      <alignment horizontal="center" vertical="center"/>
    </xf>
    <xf numFmtId="43" fontId="28" fillId="13" borderId="31" xfId="1" applyFont="1" applyFill="1" applyBorder="1" applyAlignment="1">
      <alignment horizontal="center" vertical="center"/>
    </xf>
    <xf numFmtId="43" fontId="28" fillId="13" borderId="18" xfId="1" applyFont="1" applyFill="1" applyBorder="1" applyAlignment="1">
      <alignment horizontal="center" vertical="center"/>
    </xf>
    <xf numFmtId="43" fontId="29" fillId="10" borderId="17" xfId="1" applyFont="1" applyFill="1" applyBorder="1" applyAlignment="1">
      <alignment horizontal="center" vertical="center"/>
    </xf>
    <xf numFmtId="43" fontId="29" fillId="10" borderId="31" xfId="1" applyFont="1" applyFill="1" applyBorder="1" applyAlignment="1">
      <alignment horizontal="center" vertical="center"/>
    </xf>
    <xf numFmtId="43" fontId="29" fillId="10" borderId="18" xfId="1" applyFont="1" applyFill="1" applyBorder="1" applyAlignment="1">
      <alignment horizontal="center" vertical="center"/>
    </xf>
    <xf numFmtId="0" fontId="9" fillId="6" borderId="0" xfId="3" applyFont="1" applyFill="1" applyBorder="1" applyAlignment="1" applyProtection="1">
      <alignment horizontal="center" vertical="center"/>
    </xf>
    <xf numFmtId="0" fontId="17" fillId="6" borderId="0" xfId="0" applyFont="1" applyFill="1" applyAlignment="1">
      <alignment horizontal="center" vertical="center"/>
    </xf>
    <xf numFmtId="43" fontId="18" fillId="10" borderId="36" xfId="1" applyFont="1" applyFill="1" applyBorder="1" applyAlignment="1">
      <alignment vertical="center"/>
    </xf>
    <xf numFmtId="43" fontId="18" fillId="10" borderId="43" xfId="1" applyFont="1" applyFill="1" applyBorder="1" applyAlignment="1">
      <alignment vertical="center"/>
    </xf>
    <xf numFmtId="43" fontId="18" fillId="10" borderId="44" xfId="1" applyFont="1" applyFill="1" applyBorder="1" applyAlignment="1">
      <alignment vertical="center"/>
    </xf>
    <xf numFmtId="2" fontId="30" fillId="6" borderId="28" xfId="0" applyNumberFormat="1" applyFont="1" applyFill="1" applyBorder="1" applyAlignment="1">
      <alignment horizontal="center" vertical="center" wrapText="1"/>
    </xf>
    <xf numFmtId="2" fontId="30" fillId="6" borderId="30" xfId="0" applyNumberFormat="1" applyFont="1" applyFill="1" applyBorder="1" applyAlignment="1">
      <alignment horizontal="center" vertical="center" wrapText="1"/>
    </xf>
    <xf numFmtId="2" fontId="30" fillId="6" borderId="17" xfId="0" applyNumberFormat="1" applyFont="1" applyFill="1" applyBorder="1" applyAlignment="1">
      <alignment horizontal="center" vertical="center" wrapText="1"/>
    </xf>
    <xf numFmtId="2" fontId="30" fillId="6" borderId="18" xfId="0" applyNumberFormat="1" applyFont="1" applyFill="1" applyBorder="1" applyAlignment="1">
      <alignment horizontal="center" vertical="center" wrapText="1"/>
    </xf>
    <xf numFmtId="43" fontId="15" fillId="10" borderId="12" xfId="1" applyFont="1" applyFill="1" applyBorder="1" applyAlignment="1">
      <alignment vertical="center"/>
    </xf>
    <xf numFmtId="43" fontId="15" fillId="10" borderId="10" xfId="1" applyFont="1" applyFill="1" applyBorder="1" applyAlignment="1">
      <alignment vertical="center"/>
    </xf>
    <xf numFmtId="43" fontId="15" fillId="10" borderId="11" xfId="1" applyFont="1" applyFill="1" applyBorder="1" applyAlignment="1">
      <alignment vertical="center"/>
    </xf>
    <xf numFmtId="164" fontId="48" fillId="16" borderId="29" xfId="0" applyNumberFormat="1" applyFont="1" applyFill="1" applyBorder="1" applyAlignment="1">
      <alignment horizontal="center" vertical="center"/>
    </xf>
    <xf numFmtId="164" fontId="48" fillId="16" borderId="30" xfId="0" applyNumberFormat="1" applyFont="1" applyFill="1" applyBorder="1" applyAlignment="1">
      <alignment horizontal="center" vertical="center"/>
    </xf>
    <xf numFmtId="164" fontId="48" fillId="16" borderId="31" xfId="0" applyNumberFormat="1" applyFont="1" applyFill="1" applyBorder="1" applyAlignment="1">
      <alignment horizontal="center" vertical="center"/>
    </xf>
    <xf numFmtId="164" fontId="48" fillId="16" borderId="18" xfId="0" applyNumberFormat="1" applyFont="1" applyFill="1" applyBorder="1" applyAlignment="1">
      <alignment horizontal="center" vertical="center"/>
    </xf>
    <xf numFmtId="164" fontId="30" fillId="6" borderId="29" xfId="0" applyNumberFormat="1" applyFont="1" applyFill="1" applyBorder="1" applyAlignment="1">
      <alignment horizontal="center" vertical="center"/>
    </xf>
    <xf numFmtId="164" fontId="30" fillId="6" borderId="30" xfId="0" applyNumberFormat="1" applyFont="1" applyFill="1" applyBorder="1" applyAlignment="1">
      <alignment horizontal="center" vertical="center"/>
    </xf>
    <xf numFmtId="164" fontId="30" fillId="6" borderId="31" xfId="0" applyNumberFormat="1" applyFont="1" applyFill="1" applyBorder="1" applyAlignment="1">
      <alignment horizontal="center" vertical="center"/>
    </xf>
    <xf numFmtId="164" fontId="30" fillId="6" borderId="18" xfId="0" applyNumberFormat="1" applyFont="1" applyFill="1" applyBorder="1" applyAlignment="1">
      <alignment horizontal="center" vertical="center"/>
    </xf>
    <xf numFmtId="43" fontId="17" fillId="17" borderId="48" xfId="1" applyFont="1" applyFill="1" applyBorder="1" applyAlignment="1">
      <alignment vertical="center"/>
    </xf>
    <xf numFmtId="43" fontId="17" fillId="17" borderId="43" xfId="1" applyFont="1" applyFill="1" applyBorder="1" applyAlignment="1">
      <alignment vertical="center"/>
    </xf>
    <xf numFmtId="43" fontId="17" fillId="17" borderId="44" xfId="1" applyFont="1" applyFill="1" applyBorder="1" applyAlignment="1">
      <alignment vertical="center"/>
    </xf>
    <xf numFmtId="164" fontId="33" fillId="6" borderId="59" xfId="0" applyNumberFormat="1" applyFont="1" applyFill="1" applyBorder="1" applyAlignment="1">
      <alignment horizontal="center" vertical="center" wrapText="1"/>
    </xf>
    <xf numFmtId="164" fontId="33" fillId="6" borderId="35" xfId="0" applyNumberFormat="1" applyFont="1" applyFill="1" applyBorder="1" applyAlignment="1">
      <alignment horizontal="center" vertical="center" wrapText="1"/>
    </xf>
    <xf numFmtId="0" fontId="17" fillId="18" borderId="28" xfId="0" applyFont="1" applyFill="1" applyBorder="1" applyAlignment="1">
      <alignment horizontal="center" vertical="center"/>
    </xf>
    <xf numFmtId="0" fontId="17" fillId="18" borderId="29" xfId="0" applyFont="1" applyFill="1" applyBorder="1" applyAlignment="1">
      <alignment horizontal="center" vertical="center"/>
    </xf>
    <xf numFmtId="0" fontId="17" fillId="18" borderId="30" xfId="0" applyFont="1" applyFill="1" applyBorder="1" applyAlignment="1">
      <alignment horizontal="center" vertical="center"/>
    </xf>
    <xf numFmtId="0" fontId="9" fillId="12" borderId="33" xfId="0" applyFont="1" applyFill="1" applyBorder="1" applyAlignment="1">
      <alignment horizontal="center" vertical="center"/>
    </xf>
    <xf numFmtId="0" fontId="9" fillId="12" borderId="24" xfId="0" applyFont="1" applyFill="1" applyBorder="1" applyAlignment="1">
      <alignment horizontal="center" vertical="center"/>
    </xf>
    <xf numFmtId="0" fontId="12" fillId="8" borderId="23" xfId="2" applyFont="1" applyFill="1" applyBorder="1" applyAlignment="1" applyProtection="1">
      <alignment horizontal="center" vertical="center"/>
    </xf>
    <xf numFmtId="0" fontId="12" fillId="8" borderId="33" xfId="2" applyFont="1" applyFill="1" applyBorder="1" applyAlignment="1" applyProtection="1">
      <alignment horizontal="center" vertical="center"/>
    </xf>
    <xf numFmtId="0" fontId="12" fillId="8" borderId="24" xfId="2" applyFont="1" applyFill="1" applyBorder="1" applyAlignment="1" applyProtection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0" fontId="9" fillId="7" borderId="33" xfId="0" applyFont="1" applyFill="1" applyBorder="1" applyAlignment="1">
      <alignment horizontal="center" vertical="center"/>
    </xf>
    <xf numFmtId="0" fontId="9" fillId="7" borderId="2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164" fontId="29" fillId="0" borderId="0" xfId="0" applyNumberFormat="1" applyFont="1" applyAlignment="1">
      <alignment horizontal="center" vertical="center"/>
    </xf>
    <xf numFmtId="168" fontId="32" fillId="0" borderId="0" xfId="0" applyNumberFormat="1" applyFont="1" applyAlignment="1">
      <alignment horizontal="center" vertical="center"/>
    </xf>
    <xf numFmtId="43" fontId="27" fillId="0" borderId="31" xfId="1" applyFont="1" applyBorder="1" applyAlignment="1">
      <alignment horizontal="center" vertical="center"/>
    </xf>
    <xf numFmtId="0" fontId="21" fillId="8" borderId="54" xfId="5" applyFont="1" applyFill="1" applyBorder="1" applyAlignment="1">
      <alignment horizontal="center" vertical="center"/>
    </xf>
    <xf numFmtId="0" fontId="21" fillId="8" borderId="34" xfId="5" applyFont="1" applyFill="1" applyBorder="1" applyAlignment="1">
      <alignment horizontal="center" vertical="center"/>
    </xf>
    <xf numFmtId="0" fontId="21" fillId="8" borderId="46" xfId="5" applyFont="1" applyFill="1" applyBorder="1" applyAlignment="1">
      <alignment horizontal="center" vertical="center"/>
    </xf>
    <xf numFmtId="9" fontId="21" fillId="10" borderId="40" xfId="5" applyNumberFormat="1" applyFont="1" applyFill="1" applyBorder="1" applyAlignment="1">
      <alignment horizontal="center" vertical="center"/>
    </xf>
    <xf numFmtId="9" fontId="21" fillId="10" borderId="29" xfId="5" applyNumberFormat="1" applyFont="1" applyFill="1" applyBorder="1" applyAlignment="1">
      <alignment horizontal="center" vertical="center"/>
    </xf>
    <xf numFmtId="9" fontId="21" fillId="10" borderId="30" xfId="5" applyNumberFormat="1" applyFont="1" applyFill="1" applyBorder="1" applyAlignment="1">
      <alignment horizontal="center" vertical="center"/>
    </xf>
    <xf numFmtId="164" fontId="33" fillId="15" borderId="59" xfId="0" applyNumberFormat="1" applyFont="1" applyFill="1" applyBorder="1" applyAlignment="1">
      <alignment horizontal="center" vertical="center" wrapText="1"/>
    </xf>
    <xf numFmtId="164" fontId="33" fillId="15" borderId="35" xfId="0" applyNumberFormat="1" applyFont="1" applyFill="1" applyBorder="1" applyAlignment="1">
      <alignment horizontal="center" vertical="center" wrapText="1"/>
    </xf>
    <xf numFmtId="43" fontId="42" fillId="13" borderId="5" xfId="1" applyFont="1" applyFill="1" applyBorder="1" applyAlignment="1">
      <alignment horizontal="center" vertical="center"/>
    </xf>
    <xf numFmtId="43" fontId="42" fillId="13" borderId="37" xfId="1" applyFont="1" applyFill="1" applyBorder="1" applyAlignment="1">
      <alignment horizontal="center" vertical="center"/>
    </xf>
    <xf numFmtId="43" fontId="15" fillId="10" borderId="47" xfId="1" applyFont="1" applyFill="1" applyBorder="1" applyAlignment="1">
      <alignment vertical="center"/>
    </xf>
    <xf numFmtId="43" fontId="15" fillId="10" borderId="5" xfId="1" applyFont="1" applyFill="1" applyBorder="1" applyAlignment="1">
      <alignment vertical="center"/>
    </xf>
    <xf numFmtId="43" fontId="15" fillId="10" borderId="37" xfId="1" applyFont="1" applyFill="1" applyBorder="1" applyAlignment="1">
      <alignment vertical="center"/>
    </xf>
    <xf numFmtId="164" fontId="45" fillId="15" borderId="30" xfId="0" applyNumberFormat="1" applyFont="1" applyFill="1" applyBorder="1" applyAlignment="1">
      <alignment horizontal="center" vertical="center" wrapText="1"/>
    </xf>
    <xf numFmtId="164" fontId="45" fillId="15" borderId="18" xfId="0" applyNumberFormat="1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left" vertical="center"/>
    </xf>
    <xf numFmtId="0" fontId="17" fillId="17" borderId="33" xfId="0" applyFont="1" applyFill="1" applyBorder="1" applyAlignment="1">
      <alignment horizontal="center" vertical="center"/>
    </xf>
    <xf numFmtId="164" fontId="5" fillId="6" borderId="30" xfId="0" applyNumberFormat="1" applyFont="1" applyFill="1" applyBorder="1" applyAlignment="1">
      <alignment horizontal="center" vertical="center" wrapText="1"/>
    </xf>
    <xf numFmtId="164" fontId="5" fillId="6" borderId="18" xfId="0" applyNumberFormat="1" applyFont="1" applyFill="1" applyBorder="1" applyAlignment="1">
      <alignment horizontal="center" vertical="center" wrapText="1"/>
    </xf>
    <xf numFmtId="0" fontId="12" fillId="8" borderId="23" xfId="5" applyFont="1" applyFill="1" applyBorder="1" applyAlignment="1" applyProtection="1">
      <alignment horizontal="center" vertical="center"/>
    </xf>
    <xf numFmtId="0" fontId="12" fillId="8" borderId="33" xfId="5" applyFont="1" applyFill="1" applyBorder="1" applyAlignment="1" applyProtection="1">
      <alignment horizontal="center" vertical="center"/>
    </xf>
    <xf numFmtId="0" fontId="12" fillId="8" borderId="24" xfId="5" applyFont="1" applyFill="1" applyBorder="1" applyAlignment="1" applyProtection="1">
      <alignment horizontal="center" vertical="center"/>
    </xf>
    <xf numFmtId="0" fontId="17" fillId="12" borderId="23" xfId="0" applyFont="1" applyFill="1" applyBorder="1" applyAlignment="1">
      <alignment horizontal="center" vertical="center"/>
    </xf>
    <xf numFmtId="0" fontId="9" fillId="12" borderId="23" xfId="0" applyFont="1" applyFill="1" applyBorder="1" applyAlignment="1">
      <alignment horizontal="center" vertical="center"/>
    </xf>
    <xf numFmtId="0" fontId="9" fillId="6" borderId="0" xfId="4" applyFont="1" applyFill="1" applyBorder="1" applyAlignment="1" applyProtection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2" fillId="8" borderId="33" xfId="0" applyFont="1" applyFill="1" applyBorder="1" applyAlignment="1">
      <alignment horizontal="center" vertical="center"/>
    </xf>
    <xf numFmtId="0" fontId="12" fillId="8" borderId="24" xfId="0" applyFont="1" applyFill="1" applyBorder="1" applyAlignment="1">
      <alignment horizontal="center" vertical="center"/>
    </xf>
    <xf numFmtId="0" fontId="9" fillId="7" borderId="23" xfId="5" applyFont="1" applyFill="1" applyBorder="1" applyAlignment="1">
      <alignment horizontal="center" vertical="center"/>
    </xf>
    <xf numFmtId="0" fontId="9" fillId="7" borderId="33" xfId="5" applyFont="1" applyFill="1" applyBorder="1" applyAlignment="1">
      <alignment horizontal="center" vertical="center"/>
    </xf>
    <xf numFmtId="0" fontId="9" fillId="7" borderId="24" xfId="5" applyFont="1" applyFill="1" applyBorder="1" applyAlignment="1">
      <alignment horizontal="center" vertical="center"/>
    </xf>
    <xf numFmtId="0" fontId="17" fillId="7" borderId="33" xfId="4" applyFont="1" applyFill="1" applyBorder="1" applyAlignment="1" applyProtection="1">
      <alignment horizontal="center" vertical="center"/>
    </xf>
    <xf numFmtId="0" fontId="17" fillId="7" borderId="24" xfId="4" applyFont="1" applyFill="1" applyBorder="1" applyAlignment="1" applyProtection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0" fontId="10" fillId="7" borderId="24" xfId="0" applyFont="1" applyFill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8" borderId="33" xfId="0" applyFont="1" applyFill="1" applyBorder="1" applyAlignment="1">
      <alignment horizontal="center" vertical="center"/>
    </xf>
    <xf numFmtId="0" fontId="21" fillId="8" borderId="24" xfId="0" applyFont="1" applyFill="1" applyBorder="1" applyAlignment="1">
      <alignment horizontal="center" vertical="center"/>
    </xf>
    <xf numFmtId="0" fontId="9" fillId="7" borderId="28" xfId="0" applyFont="1" applyFill="1" applyBorder="1" applyAlignment="1">
      <alignment horizontal="center" vertical="center"/>
    </xf>
    <xf numFmtId="0" fontId="9" fillId="7" borderId="29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39" fillId="9" borderId="29" xfId="5" applyFont="1" applyFill="1" applyBorder="1" applyAlignment="1">
      <alignment horizontal="center" vertical="center"/>
    </xf>
    <xf numFmtId="0" fontId="39" fillId="9" borderId="30" xfId="5" applyFont="1" applyFill="1" applyBorder="1" applyAlignment="1">
      <alignment horizontal="center" vertical="center"/>
    </xf>
    <xf numFmtId="0" fontId="17" fillId="14" borderId="23" xfId="0" applyFont="1" applyFill="1" applyBorder="1" applyAlignment="1">
      <alignment horizontal="center" vertical="center"/>
    </xf>
    <xf numFmtId="0" fontId="17" fillId="14" borderId="33" xfId="0" applyFont="1" applyFill="1" applyBorder="1" applyAlignment="1">
      <alignment horizontal="center" vertical="center"/>
    </xf>
    <xf numFmtId="43" fontId="11" fillId="0" borderId="23" xfId="1" applyFont="1" applyBorder="1" applyAlignment="1">
      <alignment horizontal="center" vertical="center"/>
    </xf>
    <xf numFmtId="43" fontId="11" fillId="0" borderId="24" xfId="1" applyFont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1" fillId="8" borderId="7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horizontal="center" vertical="center"/>
    </xf>
    <xf numFmtId="0" fontId="9" fillId="6" borderId="0" xfId="5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</cellXfs>
  <cellStyles count="7">
    <cellStyle name="เซลล์ตรวจสอบ" xfId="4" builtinId="23"/>
    <cellStyle name="แสดงผล" xfId="3" builtinId="21"/>
    <cellStyle name="จุลภาค" xfId="1" builtinId="3"/>
    <cellStyle name="ดี" xfId="2" builtinId="26"/>
    <cellStyle name="ปกติ" xfId="0" builtinId="0"/>
    <cellStyle name="ผลรวม" xfId="6" builtinId="25"/>
    <cellStyle name="หมายเหตุ" xfId="5" builtinId="10"/>
  </cellStyles>
  <dxfs count="0"/>
  <tableStyles count="0" defaultTableStyle="TableStyleMedium2" defaultPivotStyle="PivotStyleLight16"/>
  <colors>
    <mruColors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74940-3B9F-496F-B623-B09A942C375B}">
  <dimension ref="A1:AC86"/>
  <sheetViews>
    <sheetView tabSelected="1" zoomScale="82" zoomScaleNormal="82" workbookViewId="0">
      <selection sqref="A1:B50"/>
    </sheetView>
  </sheetViews>
  <sheetFormatPr defaultRowHeight="15" x14ac:dyDescent="0.25"/>
  <cols>
    <col min="1" max="1" width="6.42578125" customWidth="1"/>
    <col min="2" max="2" width="5.85546875" style="389" customWidth="1"/>
    <col min="3" max="3" width="6.42578125" style="7" customWidth="1"/>
    <col min="4" max="4" width="7.85546875" style="62" customWidth="1"/>
    <col min="5" max="5" width="7" customWidth="1"/>
    <col min="6" max="6" width="6.140625" style="332" customWidth="1"/>
    <col min="7" max="7" width="7" style="7" customWidth="1"/>
    <col min="8" max="8" width="8.42578125" style="62" customWidth="1"/>
    <col min="9" max="9" width="7.5703125" style="138" customWidth="1"/>
    <col min="10" max="10" width="6.5703125" style="6" customWidth="1"/>
    <col min="11" max="11" width="5.28515625" style="7" customWidth="1"/>
    <col min="12" max="12" width="8.28515625" style="62" customWidth="1"/>
    <col min="13" max="13" width="7.7109375" style="143" customWidth="1"/>
    <col min="14" max="14" width="8.7109375" style="270" customWidth="1"/>
    <col min="15" max="15" width="8.42578125" style="305" customWidth="1"/>
    <col min="16" max="16" width="8.85546875" style="62" customWidth="1"/>
    <col min="17" max="17" width="6.28515625" style="110" customWidth="1"/>
    <col min="18" max="18" width="7.5703125" style="258" customWidth="1"/>
    <col min="19" max="19" width="7.42578125" style="110" customWidth="1"/>
    <col min="20" max="20" width="8.7109375" style="102" customWidth="1"/>
    <col min="21" max="21" width="9.140625" style="39"/>
    <col min="22" max="22" width="9.140625" style="162"/>
    <col min="23" max="23" width="9.140625" style="171"/>
    <col min="24" max="24" width="9.140625" customWidth="1"/>
  </cols>
  <sheetData>
    <row r="1" spans="1:28" ht="10.5" customHeight="1" thickBot="1" x14ac:dyDescent="0.3">
      <c r="A1" s="356" t="s">
        <v>158</v>
      </c>
      <c r="B1" s="399" t="s">
        <v>296</v>
      </c>
      <c r="C1" s="348"/>
      <c r="D1" s="341">
        <f>SUM(B1*C1)</f>
        <v>0</v>
      </c>
      <c r="E1" s="412" t="s">
        <v>1</v>
      </c>
      <c r="F1" s="410"/>
      <c r="G1" s="410"/>
      <c r="H1" s="411"/>
      <c r="I1" s="413" t="s">
        <v>4</v>
      </c>
      <c r="J1" s="414"/>
      <c r="K1" s="414"/>
      <c r="L1" s="415"/>
      <c r="M1" s="416" t="s">
        <v>2</v>
      </c>
      <c r="N1" s="416"/>
      <c r="O1" s="416"/>
      <c r="P1" s="417"/>
      <c r="Q1" s="457" t="s">
        <v>194</v>
      </c>
      <c r="R1" s="458"/>
      <c r="S1" s="458"/>
      <c r="T1" s="459"/>
      <c r="U1" s="412" t="s">
        <v>65</v>
      </c>
      <c r="V1" s="410"/>
      <c r="W1" s="410"/>
      <c r="X1" s="411"/>
      <c r="Y1" s="432"/>
      <c r="Z1" s="432"/>
      <c r="AA1" s="432"/>
      <c r="AB1" s="432"/>
    </row>
    <row r="2" spans="1:28" ht="11.25" customHeight="1" x14ac:dyDescent="0.25">
      <c r="A2" s="357" t="s">
        <v>8</v>
      </c>
      <c r="B2" s="379" t="s">
        <v>297</v>
      </c>
      <c r="C2" s="349"/>
      <c r="D2" s="82">
        <f>SUM(B2*C2)</f>
        <v>0</v>
      </c>
      <c r="E2" s="26" t="s">
        <v>138</v>
      </c>
      <c r="F2" s="319">
        <v>0.88</v>
      </c>
      <c r="G2" s="120"/>
      <c r="H2" s="64">
        <f>SUM(F2*G2)</f>
        <v>0</v>
      </c>
      <c r="I2" s="104" t="s">
        <v>7</v>
      </c>
      <c r="J2" s="261">
        <v>0.75</v>
      </c>
      <c r="K2" s="112"/>
      <c r="L2" s="97">
        <f>J2*K2</f>
        <v>0</v>
      </c>
      <c r="M2" s="310" t="s">
        <v>6</v>
      </c>
      <c r="N2" s="393" t="s">
        <v>336</v>
      </c>
      <c r="O2" s="288"/>
      <c r="P2" s="64">
        <f>SUM(N2*O2)</f>
        <v>0</v>
      </c>
      <c r="Q2" s="333" t="s">
        <v>8</v>
      </c>
      <c r="R2" s="381" t="s">
        <v>282</v>
      </c>
      <c r="S2" s="166"/>
      <c r="T2" s="81">
        <f t="shared" ref="T2:T13" si="0">SUM(R2*S2)</f>
        <v>0</v>
      </c>
      <c r="U2" s="26" t="s">
        <v>43</v>
      </c>
      <c r="V2" s="10">
        <v>2.68</v>
      </c>
      <c r="W2" s="120"/>
      <c r="X2" s="64">
        <f>SUM(V2*W2)</f>
        <v>0</v>
      </c>
      <c r="Y2" s="218"/>
      <c r="Z2" s="266"/>
      <c r="AA2" s="220"/>
      <c r="AB2" s="217"/>
    </row>
    <row r="3" spans="1:28" ht="11.25" customHeight="1" x14ac:dyDescent="0.25">
      <c r="A3" s="359">
        <v>0</v>
      </c>
      <c r="B3" s="379" t="s">
        <v>298</v>
      </c>
      <c r="C3" s="349"/>
      <c r="D3" s="82">
        <f t="shared" ref="D3:D50" si="1">SUM(B3*C3)</f>
        <v>0</v>
      </c>
      <c r="E3" s="21" t="s">
        <v>5</v>
      </c>
      <c r="F3" s="320">
        <v>0.92</v>
      </c>
      <c r="G3" s="121"/>
      <c r="H3" s="65">
        <f>SUM(F3*G3)</f>
        <v>0</v>
      </c>
      <c r="I3" s="105" t="s">
        <v>12</v>
      </c>
      <c r="J3" s="262">
        <v>1.25</v>
      </c>
      <c r="K3" s="113"/>
      <c r="L3" s="98">
        <f t="shared" ref="L3:L9" si="2">J3*K3</f>
        <v>0</v>
      </c>
      <c r="M3" s="311" t="s">
        <v>10</v>
      </c>
      <c r="N3" s="394" t="s">
        <v>245</v>
      </c>
      <c r="O3" s="289"/>
      <c r="P3" s="65">
        <f>SUM(N3*O3)</f>
        <v>0</v>
      </c>
      <c r="Q3" s="165">
        <v>0</v>
      </c>
      <c r="R3" s="381" t="s">
        <v>273</v>
      </c>
      <c r="S3" s="167"/>
      <c r="T3" s="82">
        <f t="shared" si="0"/>
        <v>0</v>
      </c>
      <c r="U3" s="21" t="s">
        <v>5</v>
      </c>
      <c r="V3" s="12">
        <v>3.08</v>
      </c>
      <c r="W3" s="121"/>
      <c r="X3" s="65">
        <f>SUM(V3*W3)</f>
        <v>0</v>
      </c>
      <c r="Y3" s="218"/>
      <c r="Z3" s="266"/>
      <c r="AA3" s="220"/>
      <c r="AB3" s="217"/>
    </row>
    <row r="4" spans="1:28" ht="11.25" customHeight="1" thickBot="1" x14ac:dyDescent="0.3">
      <c r="A4" s="359" t="s">
        <v>21</v>
      </c>
      <c r="B4" s="379" t="s">
        <v>299</v>
      </c>
      <c r="C4" s="349"/>
      <c r="D4" s="82">
        <f t="shared" si="1"/>
        <v>0</v>
      </c>
      <c r="E4" s="21" t="s">
        <v>9</v>
      </c>
      <c r="F4" s="320">
        <v>1.35</v>
      </c>
      <c r="G4" s="121"/>
      <c r="H4" s="65">
        <f>SUM(F4*G4)</f>
        <v>0</v>
      </c>
      <c r="I4" s="105" t="s">
        <v>16</v>
      </c>
      <c r="J4" s="262">
        <v>1.69</v>
      </c>
      <c r="K4" s="113"/>
      <c r="L4" s="98">
        <f t="shared" si="2"/>
        <v>0</v>
      </c>
      <c r="M4" s="312" t="s">
        <v>14</v>
      </c>
      <c r="N4" s="395" t="s">
        <v>337</v>
      </c>
      <c r="O4" s="290"/>
      <c r="P4" s="65">
        <f>SUM(N4*O4)</f>
        <v>0</v>
      </c>
      <c r="Q4" s="165" t="s">
        <v>21</v>
      </c>
      <c r="R4" s="381" t="s">
        <v>280</v>
      </c>
      <c r="S4" s="167"/>
      <c r="T4" s="82">
        <f t="shared" si="0"/>
        <v>0</v>
      </c>
      <c r="U4" s="29" t="s">
        <v>9</v>
      </c>
      <c r="V4" s="5">
        <v>3.7</v>
      </c>
      <c r="W4" s="124"/>
      <c r="X4" s="68">
        <f>SUM(V4*W4)</f>
        <v>0</v>
      </c>
      <c r="Y4" s="218"/>
      <c r="Z4" s="266"/>
      <c r="AA4" s="220"/>
      <c r="AB4" s="217"/>
    </row>
    <row r="5" spans="1:28" ht="11.25" customHeight="1" thickBot="1" x14ac:dyDescent="0.3">
      <c r="A5" s="359" t="s">
        <v>17</v>
      </c>
      <c r="B5" s="379" t="s">
        <v>300</v>
      </c>
      <c r="C5" s="349"/>
      <c r="D5" s="82">
        <f t="shared" si="1"/>
        <v>0</v>
      </c>
      <c r="E5" s="21" t="s">
        <v>13</v>
      </c>
      <c r="F5" s="320">
        <v>1.63</v>
      </c>
      <c r="G5" s="121"/>
      <c r="H5" s="65">
        <f>SUM(F5*G5)</f>
        <v>0</v>
      </c>
      <c r="I5" s="105" t="s">
        <v>20</v>
      </c>
      <c r="J5" s="262">
        <v>2.1</v>
      </c>
      <c r="K5" s="113"/>
      <c r="L5" s="98">
        <f t="shared" si="2"/>
        <v>0</v>
      </c>
      <c r="M5" s="460" t="s">
        <v>130</v>
      </c>
      <c r="N5" s="460"/>
      <c r="O5" s="460"/>
      <c r="P5" s="461"/>
      <c r="Q5" s="165" t="s">
        <v>29</v>
      </c>
      <c r="R5" s="334" t="s">
        <v>278</v>
      </c>
      <c r="S5" s="167"/>
      <c r="T5" s="82">
        <f t="shared" si="0"/>
        <v>0</v>
      </c>
      <c r="U5" s="462" t="s">
        <v>64</v>
      </c>
      <c r="V5" s="463"/>
      <c r="W5" s="463"/>
      <c r="X5" s="464"/>
      <c r="Y5" s="218"/>
      <c r="Z5" s="266"/>
      <c r="AA5" s="220"/>
      <c r="AB5" s="217"/>
    </row>
    <row r="6" spans="1:28" ht="11.25" customHeight="1" thickBot="1" x14ac:dyDescent="0.3">
      <c r="A6" s="359" t="s">
        <v>25</v>
      </c>
      <c r="B6" s="379" t="s">
        <v>301</v>
      </c>
      <c r="C6" s="349"/>
      <c r="D6" s="82">
        <f t="shared" si="1"/>
        <v>0</v>
      </c>
      <c r="E6" s="28" t="s">
        <v>18</v>
      </c>
      <c r="F6" s="321">
        <v>3.42</v>
      </c>
      <c r="G6" s="122"/>
      <c r="H6" s="66">
        <f>SUM(F6*G6)</f>
        <v>0</v>
      </c>
      <c r="I6" s="105" t="s">
        <v>24</v>
      </c>
      <c r="J6" s="262">
        <v>2.85</v>
      </c>
      <c r="K6" s="113"/>
      <c r="L6" s="98">
        <f t="shared" si="2"/>
        <v>0</v>
      </c>
      <c r="M6" s="310" t="s">
        <v>259</v>
      </c>
      <c r="N6" s="1" t="s">
        <v>269</v>
      </c>
      <c r="O6" s="291"/>
      <c r="P6" s="244">
        <f>SUM(N6*O6)</f>
        <v>0</v>
      </c>
      <c r="Q6" s="165" t="s">
        <v>25</v>
      </c>
      <c r="R6" s="334" t="s">
        <v>281</v>
      </c>
      <c r="S6" s="167"/>
      <c r="T6" s="82">
        <f t="shared" si="0"/>
        <v>0</v>
      </c>
      <c r="U6" s="9" t="s">
        <v>52</v>
      </c>
      <c r="V6" s="230">
        <v>1200</v>
      </c>
      <c r="W6" s="120"/>
      <c r="X6" s="209">
        <f>V6*W6</f>
        <v>0</v>
      </c>
      <c r="Y6" s="218"/>
      <c r="Z6" s="266"/>
      <c r="AA6" s="220"/>
      <c r="AB6" s="217"/>
    </row>
    <row r="7" spans="1:28" ht="11.25" customHeight="1" x14ac:dyDescent="0.25">
      <c r="A7" s="359" t="s">
        <v>29</v>
      </c>
      <c r="B7" s="379" t="s">
        <v>302</v>
      </c>
      <c r="C7" s="349"/>
      <c r="D7" s="82">
        <f t="shared" si="1"/>
        <v>0</v>
      </c>
      <c r="E7" s="404" t="s">
        <v>22</v>
      </c>
      <c r="F7" s="405"/>
      <c r="G7" s="405"/>
      <c r="H7" s="406"/>
      <c r="I7" s="105" t="s">
        <v>28</v>
      </c>
      <c r="J7" s="262">
        <v>3.75</v>
      </c>
      <c r="K7" s="113"/>
      <c r="L7" s="98">
        <f t="shared" si="2"/>
        <v>0</v>
      </c>
      <c r="M7" s="311" t="s">
        <v>257</v>
      </c>
      <c r="N7" s="2" t="s">
        <v>270</v>
      </c>
      <c r="O7" s="292"/>
      <c r="P7" s="59">
        <f>SUM(N7*O7)</f>
        <v>0</v>
      </c>
      <c r="Q7" s="165" t="s">
        <v>38</v>
      </c>
      <c r="R7" s="382" t="s">
        <v>304</v>
      </c>
      <c r="S7" s="167"/>
      <c r="T7" s="82">
        <f t="shared" si="0"/>
        <v>0</v>
      </c>
      <c r="U7" s="11" t="s">
        <v>55</v>
      </c>
      <c r="V7" s="38">
        <v>1200</v>
      </c>
      <c r="W7" s="121"/>
      <c r="X7" s="205">
        <f>V7*W7</f>
        <v>0</v>
      </c>
      <c r="Y7" s="218"/>
      <c r="Z7" s="266"/>
      <c r="AA7" s="220"/>
      <c r="AB7" s="217"/>
    </row>
    <row r="8" spans="1:28" ht="11.25" customHeight="1" thickBot="1" x14ac:dyDescent="0.3">
      <c r="A8" s="359" t="s">
        <v>33</v>
      </c>
      <c r="B8" s="379" t="s">
        <v>303</v>
      </c>
      <c r="C8" s="349"/>
      <c r="D8" s="82">
        <f t="shared" si="1"/>
        <v>0</v>
      </c>
      <c r="E8" s="21" t="s">
        <v>26</v>
      </c>
      <c r="F8" s="320">
        <v>2.31</v>
      </c>
      <c r="G8" s="121"/>
      <c r="H8" s="65">
        <f>SUM(F8*G8)</f>
        <v>0</v>
      </c>
      <c r="I8" s="105" t="s">
        <v>32</v>
      </c>
      <c r="J8" s="262">
        <v>5.2</v>
      </c>
      <c r="K8" s="113"/>
      <c r="L8" s="98">
        <f t="shared" si="2"/>
        <v>0</v>
      </c>
      <c r="M8" s="312" t="s">
        <v>258</v>
      </c>
      <c r="N8" s="3" t="s">
        <v>271</v>
      </c>
      <c r="O8" s="293"/>
      <c r="P8" s="61">
        <f>SUM(N8*O8)</f>
        <v>0</v>
      </c>
      <c r="Q8" s="165" t="s">
        <v>33</v>
      </c>
      <c r="R8" s="334" t="s">
        <v>283</v>
      </c>
      <c r="S8" s="167"/>
      <c r="T8" s="82">
        <f t="shared" si="0"/>
        <v>0</v>
      </c>
      <c r="U8" s="11" t="s">
        <v>58</v>
      </c>
      <c r="V8" s="38">
        <v>1200</v>
      </c>
      <c r="W8" s="121"/>
      <c r="X8" s="205">
        <f>V8*W8</f>
        <v>0</v>
      </c>
      <c r="Y8" s="218"/>
      <c r="Z8" s="266"/>
      <c r="AA8" s="220"/>
      <c r="AB8" s="217"/>
    </row>
    <row r="9" spans="1:28" ht="11.25" customHeight="1" thickBot="1" x14ac:dyDescent="0.3">
      <c r="A9" s="359" t="s">
        <v>38</v>
      </c>
      <c r="B9" s="379" t="s">
        <v>304</v>
      </c>
      <c r="C9" s="349"/>
      <c r="D9" s="82">
        <f t="shared" si="1"/>
        <v>0</v>
      </c>
      <c r="E9" s="21" t="s">
        <v>30</v>
      </c>
      <c r="F9" s="320">
        <v>3.47</v>
      </c>
      <c r="G9" s="121"/>
      <c r="H9" s="65">
        <f>SUM(F9*G9)</f>
        <v>0</v>
      </c>
      <c r="I9" s="106" t="s">
        <v>37</v>
      </c>
      <c r="J9" s="263">
        <v>6.7</v>
      </c>
      <c r="K9" s="114"/>
      <c r="L9" s="99">
        <f t="shared" si="2"/>
        <v>0</v>
      </c>
      <c r="M9" s="410" t="s">
        <v>35</v>
      </c>
      <c r="N9" s="410"/>
      <c r="O9" s="410"/>
      <c r="P9" s="411"/>
      <c r="Q9" s="165" t="s">
        <v>45</v>
      </c>
      <c r="R9" s="334" t="s">
        <v>274</v>
      </c>
      <c r="S9" s="167"/>
      <c r="T9" s="82">
        <f t="shared" si="0"/>
        <v>0</v>
      </c>
      <c r="U9" s="13" t="s">
        <v>61</v>
      </c>
      <c r="V9" s="92">
        <v>700</v>
      </c>
      <c r="W9" s="122"/>
      <c r="X9" s="69">
        <f>V9*W9</f>
        <v>0</v>
      </c>
      <c r="Y9" s="218"/>
      <c r="Z9" s="266"/>
      <c r="AA9" s="220"/>
      <c r="AB9" s="217"/>
    </row>
    <row r="10" spans="1:28" ht="11.25" customHeight="1" thickBot="1" x14ac:dyDescent="0.3">
      <c r="A10" s="359" t="s">
        <v>42</v>
      </c>
      <c r="B10" s="379" t="s">
        <v>305</v>
      </c>
      <c r="C10" s="349"/>
      <c r="D10" s="82">
        <f t="shared" si="1"/>
        <v>0</v>
      </c>
      <c r="E10" s="28" t="s">
        <v>34</v>
      </c>
      <c r="F10" s="321">
        <v>3.53</v>
      </c>
      <c r="G10" s="122"/>
      <c r="H10" s="65">
        <f>SUM(F10*G10)</f>
        <v>0</v>
      </c>
      <c r="I10" s="418" t="s">
        <v>41</v>
      </c>
      <c r="J10" s="419"/>
      <c r="K10" s="419"/>
      <c r="L10" s="420"/>
      <c r="M10" s="310" t="s">
        <v>153</v>
      </c>
      <c r="N10" s="1" t="s">
        <v>168</v>
      </c>
      <c r="O10" s="291"/>
      <c r="P10" s="244">
        <f>SUM(N10*O10)</f>
        <v>0</v>
      </c>
      <c r="Q10" s="165" t="s">
        <v>47</v>
      </c>
      <c r="R10" s="334" t="s">
        <v>279</v>
      </c>
      <c r="S10" s="167"/>
      <c r="T10" s="82">
        <f t="shared" si="0"/>
        <v>0</v>
      </c>
      <c r="U10" s="418" t="s">
        <v>78</v>
      </c>
      <c r="V10" s="419"/>
      <c r="W10" s="419"/>
      <c r="X10" s="420"/>
      <c r="Y10" s="502"/>
      <c r="Z10" s="502"/>
      <c r="AA10" s="502"/>
      <c r="AB10" s="502"/>
    </row>
    <row r="11" spans="1:28" ht="11.25" customHeight="1" x14ac:dyDescent="0.25">
      <c r="A11" s="359" t="s">
        <v>184</v>
      </c>
      <c r="B11" s="379" t="s">
        <v>274</v>
      </c>
      <c r="C11" s="349"/>
      <c r="D11" s="82">
        <f t="shared" si="1"/>
        <v>0</v>
      </c>
      <c r="E11" s="407" t="s">
        <v>39</v>
      </c>
      <c r="F11" s="408"/>
      <c r="G11" s="408"/>
      <c r="H11" s="409"/>
      <c r="I11" s="104" t="s">
        <v>7</v>
      </c>
      <c r="J11" s="261">
        <v>0.7</v>
      </c>
      <c r="K11" s="112"/>
      <c r="L11" s="97">
        <f t="shared" ref="L11:L16" si="3">J11*K11</f>
        <v>0</v>
      </c>
      <c r="M11" s="311" t="s">
        <v>154</v>
      </c>
      <c r="N11" s="2" t="s">
        <v>169</v>
      </c>
      <c r="O11" s="292"/>
      <c r="P11" s="59">
        <f>SUM(N11*O11)</f>
        <v>0</v>
      </c>
      <c r="Q11" s="165" t="s">
        <v>53</v>
      </c>
      <c r="R11" s="334" t="s">
        <v>275</v>
      </c>
      <c r="S11" s="167"/>
      <c r="T11" s="82">
        <f t="shared" si="0"/>
        <v>0</v>
      </c>
      <c r="U11" s="206" t="s">
        <v>173</v>
      </c>
      <c r="V11" s="91">
        <v>8346</v>
      </c>
      <c r="W11" s="128"/>
      <c r="X11" s="216">
        <f>V11*W11</f>
        <v>0</v>
      </c>
      <c r="Y11" s="218"/>
      <c r="Z11" s="266"/>
      <c r="AA11" s="220"/>
      <c r="AB11" s="217"/>
    </row>
    <row r="12" spans="1:28" ht="11.25" customHeight="1" thickBot="1" x14ac:dyDescent="0.3">
      <c r="A12" s="359" t="s">
        <v>45</v>
      </c>
      <c r="B12" s="379" t="s">
        <v>306</v>
      </c>
      <c r="C12" s="349"/>
      <c r="D12" s="82">
        <f t="shared" si="1"/>
        <v>0</v>
      </c>
      <c r="E12" s="21" t="s">
        <v>43</v>
      </c>
      <c r="F12" s="320">
        <v>1.44</v>
      </c>
      <c r="G12" s="121"/>
      <c r="H12" s="65">
        <f>SUM(F12*G12)</f>
        <v>0</v>
      </c>
      <c r="I12" s="105" t="s">
        <v>12</v>
      </c>
      <c r="J12" s="262">
        <v>1</v>
      </c>
      <c r="K12" s="113"/>
      <c r="L12" s="100">
        <f t="shared" si="3"/>
        <v>0</v>
      </c>
      <c r="M12" s="313" t="s">
        <v>170</v>
      </c>
      <c r="N12" s="3" t="s">
        <v>171</v>
      </c>
      <c r="O12" s="293"/>
      <c r="P12" s="61">
        <f>SUM(N12*O12)</f>
        <v>0</v>
      </c>
      <c r="Q12" s="165" t="s">
        <v>69</v>
      </c>
      <c r="R12" s="334" t="s">
        <v>276</v>
      </c>
      <c r="S12" s="167"/>
      <c r="T12" s="82">
        <f t="shared" si="0"/>
        <v>0</v>
      </c>
      <c r="U12" s="225" t="s">
        <v>174</v>
      </c>
      <c r="V12" s="226">
        <v>5493</v>
      </c>
      <c r="W12" s="127"/>
      <c r="X12" s="284">
        <f>V12*W12</f>
        <v>0</v>
      </c>
      <c r="Y12" s="218"/>
      <c r="Z12" s="266"/>
      <c r="AA12" s="220"/>
      <c r="AB12" s="221"/>
    </row>
    <row r="13" spans="1:28" ht="11.25" customHeight="1" thickBot="1" x14ac:dyDescent="0.3">
      <c r="A13" s="359" t="s">
        <v>48</v>
      </c>
      <c r="B13" s="379" t="s">
        <v>307</v>
      </c>
      <c r="C13" s="349"/>
      <c r="D13" s="82">
        <f t="shared" si="1"/>
        <v>0</v>
      </c>
      <c r="E13" s="21" t="s">
        <v>5</v>
      </c>
      <c r="F13" s="320">
        <v>1.55</v>
      </c>
      <c r="G13" s="121"/>
      <c r="H13" s="65">
        <f>SUM(F13*G13)</f>
        <v>0</v>
      </c>
      <c r="I13" s="105" t="s">
        <v>16</v>
      </c>
      <c r="J13" s="262">
        <v>1.2</v>
      </c>
      <c r="K13" s="113"/>
      <c r="L13" s="98">
        <f t="shared" si="3"/>
        <v>0</v>
      </c>
      <c r="M13" s="416" t="s">
        <v>46</v>
      </c>
      <c r="N13" s="416"/>
      <c r="O13" s="416"/>
      <c r="P13" s="417"/>
      <c r="Q13" s="335" t="s">
        <v>79</v>
      </c>
      <c r="R13" s="336" t="s">
        <v>285</v>
      </c>
      <c r="S13" s="168"/>
      <c r="T13" s="83">
        <f t="shared" si="0"/>
        <v>0</v>
      </c>
      <c r="U13" s="503" t="s">
        <v>255</v>
      </c>
      <c r="V13" s="504"/>
      <c r="W13" s="504"/>
      <c r="X13" s="505"/>
      <c r="Y13" s="218"/>
      <c r="Z13" s="266"/>
      <c r="AA13" s="220"/>
      <c r="AB13" s="217"/>
    </row>
    <row r="14" spans="1:28" ht="11.25" customHeight="1" thickBot="1" x14ac:dyDescent="0.3">
      <c r="A14" s="359" t="s">
        <v>47</v>
      </c>
      <c r="B14" s="379" t="s">
        <v>308</v>
      </c>
      <c r="C14" s="349"/>
      <c r="D14" s="82">
        <f t="shared" si="1"/>
        <v>0</v>
      </c>
      <c r="E14" s="28" t="s">
        <v>9</v>
      </c>
      <c r="F14" s="321">
        <v>1.85</v>
      </c>
      <c r="G14" s="122"/>
      <c r="H14" s="65">
        <f>SUM(F14*G14)</f>
        <v>0</v>
      </c>
      <c r="I14" s="105" t="s">
        <v>20</v>
      </c>
      <c r="J14" s="262">
        <v>1.6</v>
      </c>
      <c r="K14" s="113"/>
      <c r="L14" s="98">
        <f t="shared" si="3"/>
        <v>0</v>
      </c>
      <c r="M14" s="314" t="s">
        <v>191</v>
      </c>
      <c r="N14" s="87" t="s">
        <v>185</v>
      </c>
      <c r="O14" s="294"/>
      <c r="P14" s="88">
        <f>SUM(N14*O14)</f>
        <v>0</v>
      </c>
      <c r="Q14" s="506" t="s">
        <v>155</v>
      </c>
      <c r="R14" s="507"/>
      <c r="S14" s="507"/>
      <c r="T14" s="508"/>
      <c r="U14" s="224" t="s">
        <v>256</v>
      </c>
      <c r="V14" s="174">
        <v>21</v>
      </c>
      <c r="W14" s="175"/>
      <c r="X14" s="65">
        <f t="shared" ref="X14" si="4">SUM(V14*W14)</f>
        <v>0</v>
      </c>
      <c r="Y14" s="218"/>
      <c r="Z14" s="266"/>
      <c r="AA14" s="220"/>
      <c r="AB14" s="217"/>
    </row>
    <row r="15" spans="1:28" ht="11.25" customHeight="1" thickBot="1" x14ac:dyDescent="0.3">
      <c r="A15" s="359" t="s">
        <v>50</v>
      </c>
      <c r="B15" s="379" t="s">
        <v>309</v>
      </c>
      <c r="C15" s="349"/>
      <c r="D15" s="82">
        <f t="shared" si="1"/>
        <v>0</v>
      </c>
      <c r="E15" s="407" t="s">
        <v>49</v>
      </c>
      <c r="F15" s="408"/>
      <c r="G15" s="408"/>
      <c r="H15" s="409"/>
      <c r="I15" s="105" t="s">
        <v>24</v>
      </c>
      <c r="J15" s="262">
        <v>2.2999999999999998</v>
      </c>
      <c r="K15" s="113"/>
      <c r="L15" s="98">
        <f t="shared" si="3"/>
        <v>0</v>
      </c>
      <c r="M15" s="315" t="s">
        <v>192</v>
      </c>
      <c r="N15" s="4" t="s">
        <v>216</v>
      </c>
      <c r="O15" s="295"/>
      <c r="P15" s="68">
        <f>SUM(N15*O15)</f>
        <v>0</v>
      </c>
      <c r="Q15" s="52" t="s">
        <v>145</v>
      </c>
      <c r="R15" s="390">
        <v>16</v>
      </c>
      <c r="S15" s="169"/>
      <c r="T15" s="78">
        <f>R15*S15</f>
        <v>0</v>
      </c>
      <c r="U15" s="503" t="s">
        <v>142</v>
      </c>
      <c r="V15" s="504"/>
      <c r="W15" s="504"/>
      <c r="X15" s="505"/>
      <c r="Y15" s="218"/>
      <c r="Z15" s="266"/>
      <c r="AA15" s="220"/>
      <c r="AB15" s="217"/>
    </row>
    <row r="16" spans="1:28" ht="11.25" customHeight="1" thickBot="1" x14ac:dyDescent="0.3">
      <c r="A16" s="359" t="s">
        <v>53</v>
      </c>
      <c r="B16" s="379" t="s">
        <v>310</v>
      </c>
      <c r="C16" s="349"/>
      <c r="D16" s="82">
        <f t="shared" si="1"/>
        <v>0</v>
      </c>
      <c r="E16" s="35" t="s">
        <v>43</v>
      </c>
      <c r="F16" s="322">
        <v>0.74</v>
      </c>
      <c r="G16" s="17"/>
      <c r="H16" s="133">
        <f>SUM(F16*G16)</f>
        <v>0</v>
      </c>
      <c r="I16" s="106" t="s">
        <v>28</v>
      </c>
      <c r="J16" s="263">
        <v>3.1</v>
      </c>
      <c r="K16" s="114"/>
      <c r="L16" s="99">
        <f t="shared" si="3"/>
        <v>0</v>
      </c>
      <c r="M16" s="509" t="s">
        <v>31</v>
      </c>
      <c r="N16" s="509"/>
      <c r="O16" s="509"/>
      <c r="P16" s="510"/>
      <c r="Q16" s="16" t="s">
        <v>72</v>
      </c>
      <c r="R16" s="391">
        <v>18</v>
      </c>
      <c r="S16" s="170"/>
      <c r="T16" s="60">
        <f>R16*S16</f>
        <v>0</v>
      </c>
      <c r="U16" s="9" t="s">
        <v>140</v>
      </c>
      <c r="V16" s="10">
        <v>2</v>
      </c>
      <c r="W16" s="120"/>
      <c r="X16" s="64">
        <f t="shared" ref="X16:X17" si="5">SUM(V16*W16)</f>
        <v>0</v>
      </c>
      <c r="Y16" s="218"/>
      <c r="Z16" s="266"/>
      <c r="AA16" s="220"/>
      <c r="AB16" s="217"/>
    </row>
    <row r="17" spans="1:28" ht="11.25" customHeight="1" thickBot="1" x14ac:dyDescent="0.3">
      <c r="A17" s="359" t="s">
        <v>56</v>
      </c>
      <c r="B17" s="379" t="s">
        <v>311</v>
      </c>
      <c r="C17" s="349"/>
      <c r="D17" s="82">
        <f t="shared" si="1"/>
        <v>0</v>
      </c>
      <c r="E17" s="35" t="s">
        <v>5</v>
      </c>
      <c r="F17" s="322">
        <v>1.03</v>
      </c>
      <c r="G17" s="17"/>
      <c r="H17" s="133">
        <f>SUM(F17*G17)</f>
        <v>0</v>
      </c>
      <c r="I17" s="506" t="s">
        <v>125</v>
      </c>
      <c r="J17" s="507"/>
      <c r="K17" s="507"/>
      <c r="L17" s="508"/>
      <c r="M17" s="317" t="s">
        <v>36</v>
      </c>
      <c r="N17" s="51">
        <v>2.8</v>
      </c>
      <c r="O17" s="296"/>
      <c r="P17" s="73">
        <f>N17*O17</f>
        <v>0</v>
      </c>
      <c r="Q17" s="16" t="s">
        <v>121</v>
      </c>
      <c r="R17" s="391">
        <v>20</v>
      </c>
      <c r="S17" s="170"/>
      <c r="T17" s="60">
        <f>R17*S17</f>
        <v>0</v>
      </c>
      <c r="U17" s="207" t="s">
        <v>139</v>
      </c>
      <c r="V17" s="18">
        <v>3</v>
      </c>
      <c r="W17" s="129"/>
      <c r="X17" s="68">
        <f t="shared" si="5"/>
        <v>0</v>
      </c>
      <c r="Y17" s="534"/>
      <c r="Z17" s="534"/>
      <c r="AA17" s="534"/>
      <c r="AB17" s="534"/>
    </row>
    <row r="18" spans="1:28" ht="11.25" customHeight="1" thickBot="1" x14ac:dyDescent="0.3">
      <c r="A18" s="359" t="s">
        <v>59</v>
      </c>
      <c r="B18" s="379" t="s">
        <v>312</v>
      </c>
      <c r="C18" s="349"/>
      <c r="D18" s="82">
        <f t="shared" si="1"/>
        <v>0</v>
      </c>
      <c r="E18" s="37" t="s">
        <v>9</v>
      </c>
      <c r="F18" s="323">
        <v>1.35</v>
      </c>
      <c r="G18" s="127"/>
      <c r="H18" s="74">
        <f>SUM(F18*G18)</f>
        <v>0</v>
      </c>
      <c r="I18" s="104" t="s">
        <v>7</v>
      </c>
      <c r="J18" s="264">
        <v>0.75</v>
      </c>
      <c r="K18" s="112"/>
      <c r="L18" s="253">
        <f>J18*K18</f>
        <v>0</v>
      </c>
      <c r="M18" s="317" t="s">
        <v>40</v>
      </c>
      <c r="N18" s="51">
        <v>3.4</v>
      </c>
      <c r="O18" s="296"/>
      <c r="P18" s="73">
        <f>N18*O18</f>
        <v>0</v>
      </c>
      <c r="Q18" s="16" t="s">
        <v>122</v>
      </c>
      <c r="R18" s="383">
        <v>24.4</v>
      </c>
      <c r="S18" s="170"/>
      <c r="T18" s="60">
        <f>R18*S18</f>
        <v>0</v>
      </c>
      <c r="U18" s="511" t="s">
        <v>161</v>
      </c>
      <c r="V18" s="512"/>
      <c r="W18" s="512"/>
      <c r="X18" s="513"/>
      <c r="Y18" s="218"/>
      <c r="Z18" s="272"/>
      <c r="AA18" s="220"/>
      <c r="AB18" s="221"/>
    </row>
    <row r="19" spans="1:28" ht="11.25" customHeight="1" thickBot="1" x14ac:dyDescent="0.3">
      <c r="A19" s="359" t="s">
        <v>62</v>
      </c>
      <c r="B19" s="379" t="s">
        <v>313</v>
      </c>
      <c r="C19" s="349"/>
      <c r="D19" s="82">
        <f t="shared" si="1"/>
        <v>0</v>
      </c>
      <c r="E19" s="514" t="s">
        <v>76</v>
      </c>
      <c r="F19" s="515"/>
      <c r="G19" s="515"/>
      <c r="H19" s="516"/>
      <c r="I19" s="105" t="s">
        <v>12</v>
      </c>
      <c r="J19" s="262">
        <v>1.25</v>
      </c>
      <c r="K19" s="113"/>
      <c r="L19" s="147">
        <f>J19*K19</f>
        <v>0</v>
      </c>
      <c r="M19" s="318" t="s">
        <v>44</v>
      </c>
      <c r="N19" s="184">
        <v>4.9000000000000004</v>
      </c>
      <c r="O19" s="297"/>
      <c r="P19" s="185">
        <f>N19*O19</f>
        <v>0</v>
      </c>
      <c r="Q19" s="20" t="s">
        <v>107</v>
      </c>
      <c r="R19" s="392">
        <v>30.5</v>
      </c>
      <c r="S19" s="222"/>
      <c r="T19" s="233">
        <f>R19*S19</f>
        <v>0</v>
      </c>
      <c r="U19" s="227" t="s">
        <v>166</v>
      </c>
      <c r="V19" s="228">
        <v>856</v>
      </c>
      <c r="W19" s="229"/>
      <c r="X19" s="219">
        <f>V19*W19</f>
        <v>0</v>
      </c>
      <c r="Y19" s="218"/>
      <c r="Z19" s="266"/>
      <c r="AA19" s="220"/>
      <c r="AB19" s="217"/>
    </row>
    <row r="20" spans="1:28" ht="11.25" customHeight="1" thickBot="1" x14ac:dyDescent="0.3">
      <c r="A20" s="380" t="s">
        <v>157</v>
      </c>
      <c r="B20" s="358" t="s">
        <v>249</v>
      </c>
      <c r="C20" s="350"/>
      <c r="D20" s="60">
        <f t="shared" si="1"/>
        <v>0</v>
      </c>
      <c r="E20" s="215" t="s">
        <v>193</v>
      </c>
      <c r="F20" s="324">
        <v>0.9</v>
      </c>
      <c r="G20" s="211"/>
      <c r="H20" s="208">
        <f>SUM(F20*G20)</f>
        <v>0</v>
      </c>
      <c r="I20" s="105" t="s">
        <v>16</v>
      </c>
      <c r="J20" s="262">
        <v>1.69</v>
      </c>
      <c r="K20" s="113"/>
      <c r="L20" s="147">
        <f>J20*K20</f>
        <v>0</v>
      </c>
      <c r="M20" s="410" t="s">
        <v>136</v>
      </c>
      <c r="N20" s="410"/>
      <c r="O20" s="410"/>
      <c r="P20" s="411"/>
      <c r="Q20" s="412" t="s">
        <v>229</v>
      </c>
      <c r="R20" s="410"/>
      <c r="S20" s="410"/>
      <c r="T20" s="411"/>
      <c r="U20" s="107" t="s">
        <v>162</v>
      </c>
      <c r="V20" s="130">
        <v>27.3</v>
      </c>
      <c r="W20" s="115"/>
      <c r="X20" s="101">
        <f t="shared" ref="X20:X24" si="6">V20*W20</f>
        <v>0</v>
      </c>
      <c r="Y20" s="218"/>
      <c r="Z20" s="266"/>
      <c r="AA20" s="220"/>
      <c r="AB20" s="217"/>
    </row>
    <row r="21" spans="1:28" ht="11.25" customHeight="1" thickBot="1" x14ac:dyDescent="0.3">
      <c r="A21" s="380" t="s">
        <v>67</v>
      </c>
      <c r="B21" s="358" t="s">
        <v>284</v>
      </c>
      <c r="C21" s="349"/>
      <c r="D21" s="82">
        <f t="shared" si="1"/>
        <v>0</v>
      </c>
      <c r="E21" s="35" t="s">
        <v>80</v>
      </c>
      <c r="F21" s="322">
        <v>1.44</v>
      </c>
      <c r="G21" s="17"/>
      <c r="H21" s="133">
        <f>SUM(F21*G21)</f>
        <v>0</v>
      </c>
      <c r="I21" s="105" t="s">
        <v>20</v>
      </c>
      <c r="J21" s="262">
        <v>2.1</v>
      </c>
      <c r="K21" s="113"/>
      <c r="L21" s="146">
        <f>J21*K21</f>
        <v>0</v>
      </c>
      <c r="M21" s="316" t="s">
        <v>135</v>
      </c>
      <c r="N21" s="240">
        <v>95</v>
      </c>
      <c r="O21" s="298"/>
      <c r="P21" s="245">
        <f>SUM(N21*O21)</f>
        <v>0</v>
      </c>
      <c r="Q21" s="52" t="s">
        <v>230</v>
      </c>
      <c r="R21" s="255">
        <v>64.2</v>
      </c>
      <c r="S21" s="169"/>
      <c r="T21" s="78">
        <f>R21*S21</f>
        <v>0</v>
      </c>
      <c r="U21" s="107" t="s">
        <v>163</v>
      </c>
      <c r="V21" s="130">
        <v>26</v>
      </c>
      <c r="W21" s="115"/>
      <c r="X21" s="101">
        <f t="shared" si="6"/>
        <v>0</v>
      </c>
      <c r="Y21" s="218"/>
      <c r="Z21" s="266"/>
      <c r="AA21" s="220"/>
      <c r="AB21" s="221"/>
    </row>
    <row r="22" spans="1:28" ht="11.25" customHeight="1" thickBot="1" x14ac:dyDescent="0.3">
      <c r="A22" s="359" t="s">
        <v>69</v>
      </c>
      <c r="B22" s="379" t="s">
        <v>314</v>
      </c>
      <c r="C22" s="349"/>
      <c r="D22" s="82">
        <f t="shared" si="1"/>
        <v>0</v>
      </c>
      <c r="E22" s="35" t="s">
        <v>83</v>
      </c>
      <c r="F22" s="322">
        <v>1.73</v>
      </c>
      <c r="G22" s="17"/>
      <c r="H22" s="133">
        <f>SUM(F22*G22)</f>
        <v>0</v>
      </c>
      <c r="I22" s="210" t="s">
        <v>24</v>
      </c>
      <c r="J22" s="265">
        <v>2.85</v>
      </c>
      <c r="K22" s="148"/>
      <c r="L22" s="149">
        <f>J22*K22</f>
        <v>0</v>
      </c>
      <c r="M22" s="514" t="s">
        <v>3</v>
      </c>
      <c r="N22" s="515"/>
      <c r="O22" s="515"/>
      <c r="P22" s="516"/>
      <c r="Q22" s="16" t="s">
        <v>231</v>
      </c>
      <c r="R22" s="256">
        <v>74.900000000000006</v>
      </c>
      <c r="S22" s="170"/>
      <c r="T22" s="60">
        <f>R22*S22</f>
        <v>0</v>
      </c>
      <c r="U22" s="107" t="s">
        <v>221</v>
      </c>
      <c r="V22" s="130">
        <v>27.3</v>
      </c>
      <c r="W22" s="283"/>
      <c r="X22" s="101">
        <f t="shared" si="6"/>
        <v>0</v>
      </c>
      <c r="Y22" s="218"/>
      <c r="Z22" s="266"/>
      <c r="AA22" s="220"/>
      <c r="AB22" s="221"/>
    </row>
    <row r="23" spans="1:28" ht="11.25" customHeight="1" thickBot="1" x14ac:dyDescent="0.3">
      <c r="A23" s="359" t="s">
        <v>72</v>
      </c>
      <c r="B23" s="379" t="s">
        <v>315</v>
      </c>
      <c r="C23" s="349"/>
      <c r="D23" s="82">
        <f t="shared" si="1"/>
        <v>0</v>
      </c>
      <c r="E23" s="37" t="s">
        <v>86</v>
      </c>
      <c r="F23" s="323">
        <v>2.67</v>
      </c>
      <c r="G23" s="127"/>
      <c r="H23" s="74">
        <f>SUM(F23*G23)</f>
        <v>0</v>
      </c>
      <c r="I23" s="412" t="s">
        <v>254</v>
      </c>
      <c r="J23" s="410"/>
      <c r="K23" s="410"/>
      <c r="L23" s="411"/>
      <c r="M23" s="104" t="s">
        <v>146</v>
      </c>
      <c r="N23" s="48">
        <v>225</v>
      </c>
      <c r="O23" s="299"/>
      <c r="P23" s="64">
        <f>SUM(N23*O23)</f>
        <v>0</v>
      </c>
      <c r="Q23" s="187" t="s">
        <v>232</v>
      </c>
      <c r="R23" s="256">
        <v>90.95</v>
      </c>
      <c r="S23" s="170"/>
      <c r="T23" s="60">
        <f>R23*S23</f>
        <v>0</v>
      </c>
      <c r="U23" s="108" t="s">
        <v>164</v>
      </c>
      <c r="V23" s="130">
        <v>53.5</v>
      </c>
      <c r="W23" s="283"/>
      <c r="X23" s="101">
        <f t="shared" si="6"/>
        <v>0</v>
      </c>
      <c r="Y23" s="433"/>
      <c r="Z23" s="433"/>
      <c r="AA23" s="433"/>
      <c r="AB23" s="433"/>
    </row>
    <row r="24" spans="1:28" ht="11.25" customHeight="1" thickBot="1" x14ac:dyDescent="0.3">
      <c r="A24" s="359" t="s">
        <v>75</v>
      </c>
      <c r="B24" s="379" t="s">
        <v>316</v>
      </c>
      <c r="C24" s="349"/>
      <c r="D24" s="82">
        <f t="shared" si="1"/>
        <v>0</v>
      </c>
      <c r="E24" s="37" t="s">
        <v>132</v>
      </c>
      <c r="F24" s="323">
        <v>3.63</v>
      </c>
      <c r="G24" s="127"/>
      <c r="H24" s="74">
        <f>SUM(F24*G24)</f>
        <v>0</v>
      </c>
      <c r="I24" s="196" t="s">
        <v>253</v>
      </c>
      <c r="J24" s="280">
        <v>85</v>
      </c>
      <c r="K24" s="197"/>
      <c r="L24" s="281">
        <f t="shared" ref="L24" si="7">SUM(J24*K24)</f>
        <v>0</v>
      </c>
      <c r="M24" s="105" t="s">
        <v>147</v>
      </c>
      <c r="N24" s="49">
        <v>200</v>
      </c>
      <c r="O24" s="300"/>
      <c r="P24" s="65">
        <f>SUM(N24*O24)</f>
        <v>0</v>
      </c>
      <c r="Q24" s="187" t="s">
        <v>233</v>
      </c>
      <c r="R24" s="256">
        <v>112.35</v>
      </c>
      <c r="S24" s="170"/>
      <c r="T24" s="60">
        <f>R24*S24</f>
        <v>0</v>
      </c>
      <c r="U24" s="109" t="s">
        <v>165</v>
      </c>
      <c r="V24" s="131">
        <v>53.5</v>
      </c>
      <c r="W24" s="116"/>
      <c r="X24" s="204">
        <f t="shared" si="6"/>
        <v>0</v>
      </c>
      <c r="Y24" s="200"/>
      <c r="Z24" s="223"/>
      <c r="AA24" s="199"/>
      <c r="AB24" s="194"/>
    </row>
    <row r="25" spans="1:28" ht="11.25" customHeight="1" thickBot="1" x14ac:dyDescent="0.3">
      <c r="A25" s="359" t="s">
        <v>145</v>
      </c>
      <c r="B25" s="379" t="s">
        <v>317</v>
      </c>
      <c r="C25" s="349"/>
      <c r="D25" s="82">
        <f t="shared" si="1"/>
        <v>0</v>
      </c>
      <c r="E25" s="465" t="s">
        <v>90</v>
      </c>
      <c r="F25" s="466"/>
      <c r="G25" s="466"/>
      <c r="H25" s="467"/>
      <c r="I25" s="501" t="s">
        <v>60</v>
      </c>
      <c r="J25" s="460"/>
      <c r="K25" s="460"/>
      <c r="L25" s="461"/>
      <c r="M25" s="105" t="s">
        <v>11</v>
      </c>
      <c r="N25" s="49">
        <v>100</v>
      </c>
      <c r="O25" s="300"/>
      <c r="P25" s="65">
        <f>SUM(N25*O25)</f>
        <v>0</v>
      </c>
      <c r="Q25" s="412" t="s">
        <v>248</v>
      </c>
      <c r="R25" s="410"/>
      <c r="S25" s="410"/>
      <c r="T25" s="411"/>
      <c r="U25" s="514" t="s">
        <v>224</v>
      </c>
      <c r="V25" s="515"/>
      <c r="W25" s="515"/>
      <c r="X25" s="516"/>
      <c r="Y25" s="535"/>
      <c r="Z25" s="535"/>
      <c r="AA25" s="535"/>
      <c r="AB25" s="535"/>
    </row>
    <row r="26" spans="1:28" ht="11.25" customHeight="1" thickBot="1" x14ac:dyDescent="0.3">
      <c r="A26" s="359" t="s">
        <v>79</v>
      </c>
      <c r="B26" s="379" t="s">
        <v>318</v>
      </c>
      <c r="C26" s="349"/>
      <c r="D26" s="82">
        <f t="shared" si="1"/>
        <v>0</v>
      </c>
      <c r="E26" s="279" t="s">
        <v>94</v>
      </c>
      <c r="F26" s="324">
        <v>12.04</v>
      </c>
      <c r="G26" s="238"/>
      <c r="H26" s="239">
        <f>SUM(F26*G26)</f>
        <v>0</v>
      </c>
      <c r="I26" s="11" t="s">
        <v>63</v>
      </c>
      <c r="J26" s="402">
        <v>117.7</v>
      </c>
      <c r="K26" s="121"/>
      <c r="L26" s="59">
        <f>SUM(J26*K26)</f>
        <v>0</v>
      </c>
      <c r="M26" s="106" t="s">
        <v>15</v>
      </c>
      <c r="N26" s="50">
        <v>150</v>
      </c>
      <c r="O26" s="301"/>
      <c r="P26" s="66">
        <f>SUM(N26*O26)</f>
        <v>0</v>
      </c>
      <c r="Q26" s="195" t="s">
        <v>234</v>
      </c>
      <c r="R26" s="257" t="s">
        <v>235</v>
      </c>
      <c r="S26" s="47"/>
      <c r="T26" s="82">
        <f t="shared" ref="T26:T32" si="8">SUM(R26*S26)</f>
        <v>0</v>
      </c>
      <c r="U26" s="151" t="s">
        <v>146</v>
      </c>
      <c r="V26" s="159">
        <v>250</v>
      </c>
      <c r="W26" s="25"/>
      <c r="X26" s="152">
        <f>SUM(V26*W26)</f>
        <v>0</v>
      </c>
      <c r="Y26" s="192"/>
      <c r="Z26" s="212"/>
      <c r="AA26" s="193"/>
      <c r="AB26" s="203"/>
    </row>
    <row r="27" spans="1:28" ht="11.25" customHeight="1" thickBot="1" x14ac:dyDescent="0.3">
      <c r="A27" s="359" t="s">
        <v>82</v>
      </c>
      <c r="B27" s="379" t="s">
        <v>319</v>
      </c>
      <c r="C27" s="349"/>
      <c r="D27" s="82">
        <f t="shared" si="1"/>
        <v>0</v>
      </c>
      <c r="E27" s="14" t="s">
        <v>98</v>
      </c>
      <c r="F27" s="325">
        <v>23.6</v>
      </c>
      <c r="G27" s="15"/>
      <c r="H27" s="75">
        <f>SUM(F27*G27)</f>
        <v>0</v>
      </c>
      <c r="I27" s="32" t="s">
        <v>66</v>
      </c>
      <c r="J27" s="403">
        <v>144.44999999999999</v>
      </c>
      <c r="K27" s="124"/>
      <c r="L27" s="68">
        <f>SUM(J27*K27)</f>
        <v>0</v>
      </c>
      <c r="M27" s="531" t="s">
        <v>51</v>
      </c>
      <c r="N27" s="532"/>
      <c r="O27" s="532"/>
      <c r="P27" s="533"/>
      <c r="Q27" s="198" t="s">
        <v>236</v>
      </c>
      <c r="R27" s="257" t="s">
        <v>237</v>
      </c>
      <c r="S27" s="47"/>
      <c r="T27" s="82">
        <f t="shared" si="8"/>
        <v>0</v>
      </c>
      <c r="U27" s="153" t="s">
        <v>147</v>
      </c>
      <c r="V27" s="160">
        <v>225</v>
      </c>
      <c r="W27" s="27"/>
      <c r="X27" s="154">
        <f>SUM(V27*W27)</f>
        <v>0</v>
      </c>
      <c r="Y27" s="192"/>
      <c r="Z27" s="212"/>
      <c r="AA27" s="193"/>
      <c r="AB27" s="203"/>
    </row>
    <row r="28" spans="1:28" ht="11.25" customHeight="1" thickBot="1" x14ac:dyDescent="0.3">
      <c r="A28" s="359" t="s">
        <v>85</v>
      </c>
      <c r="B28" s="379" t="s">
        <v>320</v>
      </c>
      <c r="C28" s="349"/>
      <c r="D28" s="82">
        <f t="shared" si="1"/>
        <v>0</v>
      </c>
      <c r="E28" s="14" t="s">
        <v>102</v>
      </c>
      <c r="F28" s="322">
        <v>12.04</v>
      </c>
      <c r="G28" s="15"/>
      <c r="H28" s="75">
        <f>SUM(F28*G28)</f>
        <v>0</v>
      </c>
      <c r="I28" s="500" t="s">
        <v>68</v>
      </c>
      <c r="J28" s="416"/>
      <c r="K28" s="416"/>
      <c r="L28" s="417"/>
      <c r="M28" s="11" t="s">
        <v>54</v>
      </c>
      <c r="N28" s="2" t="s">
        <v>172</v>
      </c>
      <c r="O28" s="121"/>
      <c r="P28" s="65">
        <f>SUM(N28*O28)</f>
        <v>0</v>
      </c>
      <c r="Q28" s="198" t="s">
        <v>238</v>
      </c>
      <c r="R28" s="257" t="s">
        <v>239</v>
      </c>
      <c r="S28" s="47"/>
      <c r="T28" s="82">
        <f t="shared" si="8"/>
        <v>0</v>
      </c>
      <c r="U28" s="153" t="s">
        <v>11</v>
      </c>
      <c r="V28" s="161">
        <v>125</v>
      </c>
      <c r="W28" s="27"/>
      <c r="X28" s="65">
        <f>SUM(V28*W28)</f>
        <v>0</v>
      </c>
      <c r="Y28" s="192"/>
      <c r="Z28" s="212"/>
      <c r="AA28" s="193"/>
      <c r="AB28" s="203"/>
    </row>
    <row r="29" spans="1:28" ht="11.25" customHeight="1" thickBot="1" x14ac:dyDescent="0.3">
      <c r="A29" s="359" t="s">
        <v>89</v>
      </c>
      <c r="B29" s="379" t="s">
        <v>321</v>
      </c>
      <c r="C29" s="349"/>
      <c r="D29" s="82">
        <f t="shared" si="1"/>
        <v>0</v>
      </c>
      <c r="E29" s="14" t="s">
        <v>105</v>
      </c>
      <c r="F29" s="325">
        <v>23.6</v>
      </c>
      <c r="G29" s="15"/>
      <c r="H29" s="75">
        <f>SUM(F29*G29)</f>
        <v>0</v>
      </c>
      <c r="I29" s="151" t="s">
        <v>70</v>
      </c>
      <c r="J29" s="241">
        <v>7.43</v>
      </c>
      <c r="K29" s="120"/>
      <c r="L29" s="64">
        <f t="shared" ref="L29:L36" si="9">SUM(J29*K29)</f>
        <v>0</v>
      </c>
      <c r="M29" s="13" t="s">
        <v>57</v>
      </c>
      <c r="N29" s="3" t="s">
        <v>137</v>
      </c>
      <c r="O29" s="122"/>
      <c r="P29" s="66">
        <f>SUM(N29*O29)</f>
        <v>0</v>
      </c>
      <c r="Q29" s="198" t="s">
        <v>240</v>
      </c>
      <c r="R29" s="257" t="s">
        <v>241</v>
      </c>
      <c r="S29" s="47"/>
      <c r="T29" s="82">
        <f t="shared" si="8"/>
        <v>0</v>
      </c>
      <c r="U29" s="514" t="s">
        <v>225</v>
      </c>
      <c r="V29" s="515"/>
      <c r="W29" s="515"/>
      <c r="X29" s="516"/>
      <c r="Y29" s="192"/>
      <c r="Z29" s="212"/>
      <c r="AA29" s="193"/>
      <c r="AB29" s="203"/>
    </row>
    <row r="30" spans="1:28" ht="11.25" customHeight="1" thickBot="1" x14ac:dyDescent="0.3">
      <c r="A30" s="359" t="s">
        <v>93</v>
      </c>
      <c r="B30" s="379" t="s">
        <v>322</v>
      </c>
      <c r="C30" s="349"/>
      <c r="D30" s="82">
        <f t="shared" si="1"/>
        <v>0</v>
      </c>
      <c r="E30" s="412" t="s">
        <v>133</v>
      </c>
      <c r="F30" s="410"/>
      <c r="G30" s="410"/>
      <c r="H30" s="411"/>
      <c r="I30" s="153" t="s">
        <v>73</v>
      </c>
      <c r="J30" s="84">
        <v>8.07</v>
      </c>
      <c r="K30" s="121"/>
      <c r="L30" s="65">
        <f t="shared" si="9"/>
        <v>0</v>
      </c>
      <c r="M30" s="466" t="s">
        <v>263</v>
      </c>
      <c r="N30" s="466"/>
      <c r="O30" s="466"/>
      <c r="P30" s="467"/>
      <c r="Q30" s="198" t="s">
        <v>242</v>
      </c>
      <c r="R30" s="257" t="s">
        <v>243</v>
      </c>
      <c r="S30" s="47"/>
      <c r="T30" s="82">
        <f t="shared" si="8"/>
        <v>0</v>
      </c>
      <c r="U30" s="151" t="s">
        <v>146</v>
      </c>
      <c r="V30" s="159">
        <v>275</v>
      </c>
      <c r="W30" s="25"/>
      <c r="X30" s="152">
        <f>SUM(V30*W30)</f>
        <v>0</v>
      </c>
      <c r="Y30" s="535"/>
      <c r="Z30" s="535"/>
      <c r="AA30" s="535"/>
      <c r="AB30" s="535"/>
    </row>
    <row r="31" spans="1:28" ht="11.25" customHeight="1" x14ac:dyDescent="0.25">
      <c r="A31" s="359" t="s">
        <v>97</v>
      </c>
      <c r="B31" s="379" t="s">
        <v>323</v>
      </c>
      <c r="C31" s="349"/>
      <c r="D31" s="82">
        <f t="shared" si="1"/>
        <v>0</v>
      </c>
      <c r="E31" s="23" t="s">
        <v>181</v>
      </c>
      <c r="F31" s="326">
        <v>12.4</v>
      </c>
      <c r="G31" s="33"/>
      <c r="H31" s="76">
        <f>SUM(F31*G31)</f>
        <v>0</v>
      </c>
      <c r="I31" s="153" t="s">
        <v>77</v>
      </c>
      <c r="J31" s="84">
        <v>8.82</v>
      </c>
      <c r="K31" s="121"/>
      <c r="L31" s="65">
        <f t="shared" si="9"/>
        <v>0</v>
      </c>
      <c r="M31" s="310" t="s">
        <v>259</v>
      </c>
      <c r="N31" s="393" t="s">
        <v>338</v>
      </c>
      <c r="O31" s="291"/>
      <c r="P31" s="244">
        <f>SUM(N31*O31)</f>
        <v>0</v>
      </c>
      <c r="Q31" s="198" t="s">
        <v>244</v>
      </c>
      <c r="R31" s="257" t="s">
        <v>245</v>
      </c>
      <c r="S31" s="47"/>
      <c r="T31" s="82">
        <f t="shared" si="8"/>
        <v>0</v>
      </c>
      <c r="U31" s="153" t="s">
        <v>147</v>
      </c>
      <c r="V31" s="160">
        <v>250</v>
      </c>
      <c r="W31" s="27"/>
      <c r="X31" s="154">
        <f>SUM(V31*W31)</f>
        <v>0</v>
      </c>
      <c r="Y31" s="191"/>
      <c r="Z31" s="223"/>
      <c r="AA31" s="193"/>
      <c r="AB31" s="203"/>
    </row>
    <row r="32" spans="1:28" ht="11.25" customHeight="1" thickBot="1" x14ac:dyDescent="0.3">
      <c r="A32" s="359" t="s">
        <v>121</v>
      </c>
      <c r="B32" s="379" t="s">
        <v>324</v>
      </c>
      <c r="C32" s="349"/>
      <c r="D32" s="82">
        <f t="shared" si="1"/>
        <v>0</v>
      </c>
      <c r="E32" s="132" t="s">
        <v>215</v>
      </c>
      <c r="F32" s="327">
        <v>12.4</v>
      </c>
      <c r="G32" s="31"/>
      <c r="H32" s="133">
        <f>SUM(F32*G32)</f>
        <v>0</v>
      </c>
      <c r="I32" s="153" t="s">
        <v>81</v>
      </c>
      <c r="J32" s="84">
        <v>9.56</v>
      </c>
      <c r="K32" s="121"/>
      <c r="L32" s="65">
        <f t="shared" si="9"/>
        <v>0</v>
      </c>
      <c r="M32" s="311" t="s">
        <v>257</v>
      </c>
      <c r="N32" s="394" t="s">
        <v>339</v>
      </c>
      <c r="O32" s="292"/>
      <c r="P32" s="59">
        <f>SUM(N32*O32)</f>
        <v>0</v>
      </c>
      <c r="Q32" s="198" t="s">
        <v>246</v>
      </c>
      <c r="R32" s="257" t="s">
        <v>247</v>
      </c>
      <c r="S32" s="47"/>
      <c r="T32" s="82">
        <f t="shared" si="8"/>
        <v>0</v>
      </c>
      <c r="U32" s="231" t="s">
        <v>11</v>
      </c>
      <c r="V32" s="232">
        <v>150</v>
      </c>
      <c r="W32" s="30"/>
      <c r="X32" s="186">
        <f>SUM(V32*W32)</f>
        <v>0</v>
      </c>
      <c r="Y32" s="191"/>
      <c r="Z32" s="223"/>
      <c r="AA32" s="193"/>
      <c r="AB32" s="203"/>
    </row>
    <row r="33" spans="1:28" ht="11.25" customHeight="1" thickBot="1" x14ac:dyDescent="0.3">
      <c r="A33" s="359" t="s">
        <v>122</v>
      </c>
      <c r="B33" s="379" t="s">
        <v>325</v>
      </c>
      <c r="C33" s="349"/>
      <c r="D33" s="82">
        <f t="shared" si="1"/>
        <v>0</v>
      </c>
      <c r="E33" s="134" t="s">
        <v>135</v>
      </c>
      <c r="F33" s="327">
        <v>12.4</v>
      </c>
      <c r="G33" s="135"/>
      <c r="H33" s="133">
        <f>SUM(F33*G33)</f>
        <v>0</v>
      </c>
      <c r="I33" s="153" t="s">
        <v>84</v>
      </c>
      <c r="J33" s="84">
        <v>10.210000000000001</v>
      </c>
      <c r="K33" s="121"/>
      <c r="L33" s="65">
        <f t="shared" si="9"/>
        <v>0</v>
      </c>
      <c r="M33" s="351" t="s">
        <v>258</v>
      </c>
      <c r="N33" s="396" t="s">
        <v>340</v>
      </c>
      <c r="O33" s="352"/>
      <c r="P33" s="353">
        <f>SUM(N33*O33)</f>
        <v>0</v>
      </c>
      <c r="Q33" s="515" t="s">
        <v>260</v>
      </c>
      <c r="R33" s="515"/>
      <c r="S33" s="515"/>
      <c r="T33" s="516"/>
      <c r="U33" s="514" t="s">
        <v>19</v>
      </c>
      <c r="V33" s="515"/>
      <c r="W33" s="515"/>
      <c r="X33" s="516"/>
      <c r="Y33" s="191"/>
      <c r="Z33" s="223"/>
      <c r="AA33" s="193"/>
      <c r="AB33" s="203"/>
    </row>
    <row r="34" spans="1:28" ht="11.25" customHeight="1" thickBot="1" x14ac:dyDescent="0.3">
      <c r="A34" s="359" t="s">
        <v>101</v>
      </c>
      <c r="B34" s="379" t="s">
        <v>326</v>
      </c>
      <c r="C34" s="349"/>
      <c r="D34" s="82">
        <f t="shared" si="1"/>
        <v>0</v>
      </c>
      <c r="E34" s="34" t="s">
        <v>134</v>
      </c>
      <c r="F34" s="328">
        <v>12.4</v>
      </c>
      <c r="G34" s="22"/>
      <c r="H34" s="77">
        <f>SUM(F34*G34)</f>
        <v>0</v>
      </c>
      <c r="I34" s="153" t="s">
        <v>87</v>
      </c>
      <c r="J34" s="84">
        <v>10.96</v>
      </c>
      <c r="K34" s="121"/>
      <c r="L34" s="342">
        <f t="shared" si="9"/>
        <v>0</v>
      </c>
      <c r="M34" s="363"/>
      <c r="N34" s="364"/>
      <c r="O34" s="364"/>
      <c r="P34" s="365"/>
      <c r="Q34" s="234" t="s">
        <v>117</v>
      </c>
      <c r="R34" s="307">
        <v>32</v>
      </c>
      <c r="S34" s="121"/>
      <c r="T34" s="65">
        <f>SUM(R34*S34)</f>
        <v>0</v>
      </c>
      <c r="U34" s="285" t="s">
        <v>23</v>
      </c>
      <c r="V34" s="286">
        <v>1</v>
      </c>
      <c r="W34" s="287"/>
      <c r="X34" s="67">
        <f>SUM(V34*W34)</f>
        <v>0</v>
      </c>
      <c r="Y34" s="191"/>
      <c r="Z34" s="223"/>
      <c r="AA34" s="193"/>
      <c r="AB34" s="203"/>
    </row>
    <row r="35" spans="1:28" ht="11.25" customHeight="1" thickBot="1" x14ac:dyDescent="0.3">
      <c r="A35" s="359" t="s">
        <v>104</v>
      </c>
      <c r="B35" s="379" t="s">
        <v>327</v>
      </c>
      <c r="C35" s="349"/>
      <c r="D35" s="82">
        <f t="shared" si="1"/>
        <v>0</v>
      </c>
      <c r="E35" s="412" t="s">
        <v>144</v>
      </c>
      <c r="F35" s="410"/>
      <c r="G35" s="410"/>
      <c r="H35" s="411"/>
      <c r="I35" s="153" t="s">
        <v>91</v>
      </c>
      <c r="J35" s="84">
        <v>11.33</v>
      </c>
      <c r="K35" s="121"/>
      <c r="L35" s="342">
        <f t="shared" si="9"/>
        <v>0</v>
      </c>
      <c r="M35" s="366"/>
      <c r="N35" s="384"/>
      <c r="O35" s="385"/>
      <c r="P35" s="367"/>
      <c r="Q35" s="234" t="s">
        <v>111</v>
      </c>
      <c r="R35" s="262">
        <v>55</v>
      </c>
      <c r="S35" s="121"/>
      <c r="T35" s="65">
        <f>SUM(R35*S35)</f>
        <v>0</v>
      </c>
      <c r="U35" s="514" t="s">
        <v>123</v>
      </c>
      <c r="V35" s="515"/>
      <c r="W35" s="515"/>
      <c r="X35" s="516"/>
      <c r="Y35" s="535"/>
      <c r="Z35" s="535"/>
      <c r="AA35" s="535"/>
      <c r="AB35" s="535"/>
    </row>
    <row r="36" spans="1:28" ht="11.25" customHeight="1" thickBot="1" x14ac:dyDescent="0.3">
      <c r="A36" s="359" t="s">
        <v>107</v>
      </c>
      <c r="B36" s="379" t="s">
        <v>328</v>
      </c>
      <c r="C36" s="349"/>
      <c r="D36" s="82">
        <f t="shared" si="1"/>
        <v>0</v>
      </c>
      <c r="E36" s="35" t="s">
        <v>94</v>
      </c>
      <c r="F36" s="327">
        <v>9.6300000000000008</v>
      </c>
      <c r="G36" s="31"/>
      <c r="H36" s="133">
        <f>SUM(F36*G36)</f>
        <v>0</v>
      </c>
      <c r="I36" s="246" t="s">
        <v>95</v>
      </c>
      <c r="J36" s="85">
        <v>12.83</v>
      </c>
      <c r="K36" s="122"/>
      <c r="L36" s="343">
        <f t="shared" si="9"/>
        <v>0</v>
      </c>
      <c r="M36" s="368"/>
      <c r="N36" s="384"/>
      <c r="O36" s="385"/>
      <c r="P36" s="367"/>
      <c r="Q36" s="235" t="s">
        <v>114</v>
      </c>
      <c r="R36" s="308">
        <v>114</v>
      </c>
      <c r="S36" s="124"/>
      <c r="T36" s="68">
        <f>SUM(R36*S36)</f>
        <v>0</v>
      </c>
      <c r="U36" s="275" t="s">
        <v>124</v>
      </c>
      <c r="V36" s="276">
        <v>6.8</v>
      </c>
      <c r="W36" s="277"/>
      <c r="X36" s="278">
        <f>SUM(V36*W36)</f>
        <v>0</v>
      </c>
      <c r="Y36" s="191"/>
      <c r="Z36" s="223"/>
      <c r="AA36" s="193"/>
      <c r="AB36" s="203"/>
    </row>
    <row r="37" spans="1:28" ht="11.25" customHeight="1" thickBot="1" x14ac:dyDescent="0.3">
      <c r="A37" s="359">
        <v>7</v>
      </c>
      <c r="B37" s="379" t="s">
        <v>329</v>
      </c>
      <c r="C37" s="349"/>
      <c r="D37" s="82">
        <f t="shared" si="1"/>
        <v>0</v>
      </c>
      <c r="E37" s="35" t="s">
        <v>98</v>
      </c>
      <c r="F37" s="327">
        <v>19.260000000000002</v>
      </c>
      <c r="G37" s="31"/>
      <c r="H37" s="133">
        <f>SUM(F37*G37)</f>
        <v>0</v>
      </c>
      <c r="I37" s="526" t="s">
        <v>99</v>
      </c>
      <c r="J37" s="527"/>
      <c r="K37" s="527"/>
      <c r="L37" s="527"/>
      <c r="M37" s="366"/>
      <c r="N37" s="369"/>
      <c r="O37" s="385"/>
      <c r="P37" s="367"/>
      <c r="Q37" s="346" t="s">
        <v>71</v>
      </c>
      <c r="R37" s="528">
        <f>SUM(T34:T36)</f>
        <v>0</v>
      </c>
      <c r="S37" s="529"/>
      <c r="T37" s="309">
        <f>SUM(T2:T13,T15:T19,T21:T24,T26:T32)</f>
        <v>0</v>
      </c>
      <c r="U37" s="517" t="s">
        <v>267</v>
      </c>
      <c r="V37" s="518"/>
      <c r="W37" s="518"/>
      <c r="X37" s="519"/>
      <c r="Y37" s="191"/>
      <c r="Z37" s="223"/>
      <c r="AA37" s="193"/>
      <c r="AB37" s="203"/>
    </row>
    <row r="38" spans="1:28" ht="11.25" customHeight="1" thickBot="1" x14ac:dyDescent="0.3">
      <c r="A38" s="359" t="s">
        <v>108</v>
      </c>
      <c r="B38" s="379" t="s">
        <v>330</v>
      </c>
      <c r="C38" s="349"/>
      <c r="D38" s="82">
        <f t="shared" si="1"/>
        <v>0</v>
      </c>
      <c r="E38" s="35" t="s">
        <v>102</v>
      </c>
      <c r="F38" s="327">
        <v>9.6300000000000008</v>
      </c>
      <c r="G38" s="31"/>
      <c r="H38" s="133">
        <f>SUM(F38*G38)</f>
        <v>0</v>
      </c>
      <c r="I38" s="151" t="s">
        <v>70</v>
      </c>
      <c r="J38" s="1" t="s">
        <v>186</v>
      </c>
      <c r="K38" s="120"/>
      <c r="L38" s="344">
        <f>SUM(J38*K38)</f>
        <v>0</v>
      </c>
      <c r="M38" s="366"/>
      <c r="N38" s="386"/>
      <c r="O38" s="386"/>
      <c r="P38" s="370"/>
      <c r="Q38" s="524" t="s">
        <v>74</v>
      </c>
      <c r="R38" s="524"/>
      <c r="S38" s="524"/>
      <c r="T38" s="525"/>
      <c r="U38" s="354" t="s">
        <v>145</v>
      </c>
      <c r="V38" s="337" t="s">
        <v>290</v>
      </c>
      <c r="W38" s="338"/>
      <c r="X38" s="339">
        <f>SUM(V38*W38)</f>
        <v>0</v>
      </c>
      <c r="Y38" s="191"/>
      <c r="Z38" s="223"/>
      <c r="AA38" s="193"/>
      <c r="AB38" s="203"/>
    </row>
    <row r="39" spans="1:28" ht="11.25" customHeight="1" thickBot="1" x14ac:dyDescent="0.3">
      <c r="A39" s="380" t="s">
        <v>110</v>
      </c>
      <c r="B39" s="358" t="s">
        <v>292</v>
      </c>
      <c r="C39" s="349"/>
      <c r="D39" s="82">
        <f t="shared" si="1"/>
        <v>0</v>
      </c>
      <c r="E39" s="37" t="s">
        <v>105</v>
      </c>
      <c r="F39" s="329">
        <v>19.260000000000002</v>
      </c>
      <c r="G39" s="36"/>
      <c r="H39" s="74">
        <f>SUM(F39*G39)</f>
        <v>0</v>
      </c>
      <c r="I39" s="153" t="s">
        <v>73</v>
      </c>
      <c r="J39" s="2" t="s">
        <v>187</v>
      </c>
      <c r="K39" s="121"/>
      <c r="L39" s="342">
        <f>SUM(J39*K39)</f>
        <v>0</v>
      </c>
      <c r="M39" s="366"/>
      <c r="N39" s="386"/>
      <c r="O39" s="386"/>
      <c r="P39" s="370"/>
      <c r="Q39" s="468" t="s">
        <v>131</v>
      </c>
      <c r="R39" s="469"/>
      <c r="S39" s="470"/>
      <c r="T39" s="471"/>
      <c r="U39" s="8" t="s">
        <v>121</v>
      </c>
      <c r="V39" s="254" t="s">
        <v>277</v>
      </c>
      <c r="W39" s="15"/>
      <c r="X39" s="75">
        <f t="shared" ref="X39:X40" si="10">SUM(V39*W39)</f>
        <v>0</v>
      </c>
      <c r="Y39" s="191"/>
      <c r="Z39" s="223"/>
      <c r="AA39" s="193"/>
      <c r="AB39" s="203"/>
    </row>
    <row r="40" spans="1:28" ht="11.25" customHeight="1" thickBot="1" x14ac:dyDescent="0.3">
      <c r="A40" s="380" t="s">
        <v>113</v>
      </c>
      <c r="B40" s="358" t="s">
        <v>286</v>
      </c>
      <c r="C40" s="350"/>
      <c r="D40" s="82">
        <f t="shared" si="1"/>
        <v>0</v>
      </c>
      <c r="E40" s="465" t="s">
        <v>151</v>
      </c>
      <c r="F40" s="466"/>
      <c r="G40" s="466"/>
      <c r="H40" s="467"/>
      <c r="I40" s="231" t="s">
        <v>77</v>
      </c>
      <c r="J40" s="4" t="s">
        <v>188</v>
      </c>
      <c r="K40" s="124"/>
      <c r="L40" s="345">
        <f>SUM(J40*K40)</f>
        <v>0</v>
      </c>
      <c r="M40" s="371"/>
      <c r="N40" s="372"/>
      <c r="O40" s="372"/>
      <c r="P40" s="373"/>
      <c r="Q40" s="472" t="s">
        <v>143</v>
      </c>
      <c r="R40" s="473"/>
      <c r="S40" s="470"/>
      <c r="T40" s="471"/>
      <c r="U40" s="8" t="s">
        <v>122</v>
      </c>
      <c r="V40" s="340">
        <v>17.46</v>
      </c>
      <c r="W40" s="15"/>
      <c r="X40" s="75">
        <f t="shared" si="10"/>
        <v>0</v>
      </c>
      <c r="Y40" s="176"/>
      <c r="Z40" s="177"/>
      <c r="AA40" s="178"/>
      <c r="AB40" s="179"/>
    </row>
    <row r="41" spans="1:28" ht="11.25" customHeight="1" thickBot="1" x14ac:dyDescent="0.3">
      <c r="A41" s="380" t="s">
        <v>116</v>
      </c>
      <c r="B41" s="358" t="s">
        <v>293</v>
      </c>
      <c r="C41" s="350"/>
      <c r="D41" s="82">
        <f t="shared" si="1"/>
        <v>0</v>
      </c>
      <c r="E41" s="52" t="s">
        <v>167</v>
      </c>
      <c r="F41" s="324">
        <v>20.329999999999998</v>
      </c>
      <c r="G41" s="238"/>
      <c r="H41" s="239">
        <f t="shared" ref="H41:H46" si="11">SUM(F41*G41)</f>
        <v>0</v>
      </c>
      <c r="I41" s="514" t="s">
        <v>126</v>
      </c>
      <c r="J41" s="515"/>
      <c r="K41" s="515"/>
      <c r="L41" s="516"/>
      <c r="M41" s="347" t="s">
        <v>175</v>
      </c>
      <c r="N41" s="424">
        <f>SUM(P23:P26,P28:P29)</f>
        <v>0</v>
      </c>
      <c r="O41" s="476"/>
      <c r="P41" s="137">
        <f>SUM(P2:P4,P6:P8,P10:P12,P14:P15,P17:P19,P21,P31:P33)</f>
        <v>0</v>
      </c>
      <c r="Q41" s="520" t="s">
        <v>141</v>
      </c>
      <c r="R41" s="521"/>
      <c r="S41" s="522"/>
      <c r="T41" s="523"/>
      <c r="U41" s="8" t="s">
        <v>107</v>
      </c>
      <c r="V41" s="254" t="s">
        <v>291</v>
      </c>
      <c r="W41" s="15"/>
      <c r="X41" s="75">
        <f>SUM(V41*W41)</f>
        <v>0</v>
      </c>
      <c r="Y41" s="180"/>
      <c r="Z41" s="156"/>
      <c r="AA41" s="181"/>
      <c r="AB41" s="179"/>
    </row>
    <row r="42" spans="1:28" ht="11.25" customHeight="1" thickBot="1" x14ac:dyDescent="0.3">
      <c r="A42" s="359">
        <v>1</v>
      </c>
      <c r="B42" s="379" t="s">
        <v>331</v>
      </c>
      <c r="C42" s="350"/>
      <c r="D42" s="82">
        <f t="shared" si="1"/>
        <v>0</v>
      </c>
      <c r="E42" s="16" t="s">
        <v>152</v>
      </c>
      <c r="F42" s="322">
        <v>20.329999999999998</v>
      </c>
      <c r="G42" s="15"/>
      <c r="H42" s="75">
        <f t="shared" si="11"/>
        <v>0</v>
      </c>
      <c r="I42" s="247" t="s">
        <v>127</v>
      </c>
      <c r="J42" s="40">
        <v>1.5</v>
      </c>
      <c r="K42" s="120"/>
      <c r="L42" s="64">
        <f>SUM(J42*K42)</f>
        <v>0</v>
      </c>
      <c r="M42" s="477" t="s">
        <v>176</v>
      </c>
      <c r="N42" s="478"/>
      <c r="O42" s="479"/>
      <c r="P42" s="480" t="s">
        <v>177</v>
      </c>
      <c r="Q42" s="481"/>
      <c r="R42" s="482"/>
      <c r="S42" s="483" t="s">
        <v>189</v>
      </c>
      <c r="T42" s="490"/>
      <c r="U42" s="8" t="s">
        <v>101</v>
      </c>
      <c r="V42" s="254" t="s">
        <v>287</v>
      </c>
      <c r="W42" s="15"/>
      <c r="X42" s="75">
        <f t="shared" ref="X42:X45" si="12">SUM(V42*W42)</f>
        <v>0</v>
      </c>
      <c r="Y42" s="530"/>
      <c r="Z42" s="530"/>
      <c r="AA42" s="530"/>
      <c r="AB42" s="530"/>
    </row>
    <row r="43" spans="1:28" ht="11.25" customHeight="1" thickBot="1" x14ac:dyDescent="0.3">
      <c r="A43" s="380">
        <v>2</v>
      </c>
      <c r="B43" s="358" t="s">
        <v>250</v>
      </c>
      <c r="C43" s="350"/>
      <c r="D43" s="60">
        <f t="shared" si="1"/>
        <v>0</v>
      </c>
      <c r="E43" s="16" t="s">
        <v>156</v>
      </c>
      <c r="F43" s="322">
        <v>20.329999999999998</v>
      </c>
      <c r="G43" s="15"/>
      <c r="H43" s="75">
        <f t="shared" si="11"/>
        <v>0</v>
      </c>
      <c r="I43" s="248" t="s">
        <v>128</v>
      </c>
      <c r="J43" s="41">
        <v>2</v>
      </c>
      <c r="K43" s="121"/>
      <c r="L43" s="65">
        <f>SUM(J43*K43)</f>
        <v>0</v>
      </c>
      <c r="M43" s="188" t="s">
        <v>0</v>
      </c>
      <c r="N43" s="485">
        <f>SUM(B51)</f>
        <v>0</v>
      </c>
      <c r="O43" s="486"/>
      <c r="P43" s="487">
        <f>B51</f>
        <v>0</v>
      </c>
      <c r="Q43" s="488"/>
      <c r="R43" s="489"/>
      <c r="S43" s="484"/>
      <c r="T43" s="491"/>
      <c r="U43" s="8" t="s">
        <v>104</v>
      </c>
      <c r="V43" s="340">
        <v>24.06</v>
      </c>
      <c r="W43" s="15"/>
      <c r="X43" s="75">
        <f t="shared" si="12"/>
        <v>0</v>
      </c>
      <c r="Y43" s="53"/>
      <c r="Z43" s="157"/>
      <c r="AA43" s="181"/>
      <c r="AB43" s="213"/>
    </row>
    <row r="44" spans="1:28" ht="11.25" customHeight="1" thickBot="1" x14ac:dyDescent="0.3">
      <c r="A44" s="359" t="s">
        <v>159</v>
      </c>
      <c r="B44" s="379" t="s">
        <v>332</v>
      </c>
      <c r="C44" s="349"/>
      <c r="D44" s="82">
        <f t="shared" si="1"/>
        <v>0</v>
      </c>
      <c r="E44" s="16" t="s">
        <v>179</v>
      </c>
      <c r="F44" s="322">
        <v>20.329999999999998</v>
      </c>
      <c r="G44" s="15"/>
      <c r="H44" s="75">
        <f t="shared" si="11"/>
        <v>0</v>
      </c>
      <c r="I44" s="249" t="s">
        <v>129</v>
      </c>
      <c r="J44" s="42">
        <v>2.5</v>
      </c>
      <c r="K44" s="122"/>
      <c r="L44" s="66">
        <f>SUM(J44*K44)</f>
        <v>0</v>
      </c>
      <c r="M44" s="189" t="s">
        <v>109</v>
      </c>
      <c r="N44" s="96">
        <f>SUM(F51)</f>
        <v>0</v>
      </c>
      <c r="O44" s="302">
        <f>SUM(H51)</f>
        <v>0</v>
      </c>
      <c r="P44" s="441">
        <f>H51+F51+(F51*7%)</f>
        <v>0</v>
      </c>
      <c r="Q44" s="442"/>
      <c r="R44" s="443"/>
      <c r="S44" s="455" t="s">
        <v>190</v>
      </c>
      <c r="T44" s="495"/>
      <c r="U44" s="8">
        <v>1</v>
      </c>
      <c r="V44" s="254" t="s">
        <v>294</v>
      </c>
      <c r="W44" s="15"/>
      <c r="X44" s="75">
        <f t="shared" si="12"/>
        <v>0</v>
      </c>
      <c r="Y44" s="53"/>
      <c r="Z44" s="157"/>
      <c r="AA44" s="181"/>
      <c r="AB44" s="203"/>
    </row>
    <row r="45" spans="1:28" ht="11.25" customHeight="1" thickBot="1" x14ac:dyDescent="0.3">
      <c r="A45" s="359" t="s">
        <v>160</v>
      </c>
      <c r="B45" s="379" t="s">
        <v>333</v>
      </c>
      <c r="C45" s="350"/>
      <c r="D45" s="60">
        <f t="shared" si="1"/>
        <v>0</v>
      </c>
      <c r="E45" s="16" t="s">
        <v>180</v>
      </c>
      <c r="F45" s="322">
        <v>20.329999999999998</v>
      </c>
      <c r="G45" s="15"/>
      <c r="H45" s="75">
        <f t="shared" si="11"/>
        <v>0</v>
      </c>
      <c r="I45" s="497" t="s">
        <v>88</v>
      </c>
      <c r="J45" s="498"/>
      <c r="K45" s="498"/>
      <c r="L45" s="499"/>
      <c r="M45" s="189" t="s">
        <v>112</v>
      </c>
      <c r="N45" s="96">
        <f>SUM(J51)</f>
        <v>0</v>
      </c>
      <c r="O45" s="302">
        <f>SUM(L51)</f>
        <v>0</v>
      </c>
      <c r="P45" s="441">
        <f>L51+J51+(J51*7%)</f>
        <v>0</v>
      </c>
      <c r="Q45" s="442"/>
      <c r="R45" s="443"/>
      <c r="S45" s="456"/>
      <c r="T45" s="496"/>
      <c r="U45" s="8">
        <v>2</v>
      </c>
      <c r="V45" s="340">
        <v>17.899999999999999</v>
      </c>
      <c r="W45" s="15"/>
      <c r="X45" s="75">
        <f t="shared" si="12"/>
        <v>0</v>
      </c>
      <c r="Y45" s="492"/>
      <c r="Z45" s="492"/>
      <c r="AA45" s="492"/>
      <c r="AB45" s="492"/>
    </row>
    <row r="46" spans="1:28" ht="11.25" customHeight="1" thickBot="1" x14ac:dyDescent="0.3">
      <c r="A46" s="359" t="s">
        <v>119</v>
      </c>
      <c r="B46" s="379" t="s">
        <v>334</v>
      </c>
      <c r="C46" s="349"/>
      <c r="D46" s="82">
        <f t="shared" si="1"/>
        <v>0</v>
      </c>
      <c r="E46" s="20" t="s">
        <v>181</v>
      </c>
      <c r="F46" s="323">
        <v>20.329999999999998</v>
      </c>
      <c r="G46" s="19"/>
      <c r="H46" s="136">
        <f t="shared" si="11"/>
        <v>0</v>
      </c>
      <c r="I46" s="250" t="s">
        <v>92</v>
      </c>
      <c r="J46" s="251">
        <v>30</v>
      </c>
      <c r="K46" s="123"/>
      <c r="L46" s="252">
        <f>J46*K46</f>
        <v>0</v>
      </c>
      <c r="M46" s="189" t="s">
        <v>115</v>
      </c>
      <c r="N46" s="96">
        <f>SUM(N41)</f>
        <v>0</v>
      </c>
      <c r="O46" s="302">
        <f>SUM(P41)</f>
        <v>0</v>
      </c>
      <c r="P46" s="441">
        <f>P41+N41+(N41*7%)</f>
        <v>0</v>
      </c>
      <c r="Q46" s="442"/>
      <c r="R46" s="443"/>
      <c r="S46" s="444"/>
      <c r="T46" s="445"/>
      <c r="U46" s="16" t="s">
        <v>264</v>
      </c>
      <c r="V46" s="254" t="s">
        <v>288</v>
      </c>
      <c r="W46" s="15"/>
      <c r="X46" s="75">
        <f>SUM(V46*W46)</f>
        <v>0</v>
      </c>
      <c r="Y46" s="53"/>
      <c r="Z46" s="157"/>
      <c r="AA46" s="181"/>
      <c r="AB46" s="203"/>
    </row>
    <row r="47" spans="1:28" ht="11.25" customHeight="1" thickBot="1" x14ac:dyDescent="0.3">
      <c r="A47" s="359" t="s">
        <v>227</v>
      </c>
      <c r="B47" s="379" t="s">
        <v>335</v>
      </c>
      <c r="C47" s="349"/>
      <c r="D47" s="82">
        <f t="shared" si="1"/>
        <v>0</v>
      </c>
      <c r="E47" s="465" t="s">
        <v>251</v>
      </c>
      <c r="F47" s="466"/>
      <c r="G47" s="466"/>
      <c r="H47" s="467"/>
      <c r="I47" s="242" t="s">
        <v>96</v>
      </c>
      <c r="J47" s="89">
        <v>30</v>
      </c>
      <c r="K47" s="121"/>
      <c r="L47" s="205">
        <f>J47*K47</f>
        <v>0</v>
      </c>
      <c r="M47" s="189" t="s">
        <v>118</v>
      </c>
      <c r="N47" s="96">
        <f>SUM(R37)</f>
        <v>0</v>
      </c>
      <c r="O47" s="302">
        <f>SUM(T37)</f>
        <v>0</v>
      </c>
      <c r="P47" s="441">
        <f>T37+R37+(R37*7%)</f>
        <v>0</v>
      </c>
      <c r="Q47" s="442"/>
      <c r="R47" s="443"/>
      <c r="S47" s="446"/>
      <c r="T47" s="447"/>
      <c r="U47" s="8" t="s">
        <v>265</v>
      </c>
      <c r="V47" s="254" t="s">
        <v>289</v>
      </c>
      <c r="W47" s="15"/>
      <c r="X47" s="75">
        <f t="shared" ref="X47:X50" si="13">SUM(V47*W47)</f>
        <v>0</v>
      </c>
      <c r="Y47" s="182"/>
      <c r="Z47" s="157"/>
      <c r="AA47" s="183"/>
      <c r="AB47" s="203"/>
    </row>
    <row r="48" spans="1:28" ht="11.25" customHeight="1" thickBot="1" x14ac:dyDescent="0.3">
      <c r="A48" s="360" t="s">
        <v>252</v>
      </c>
      <c r="B48" s="379" t="s">
        <v>313</v>
      </c>
      <c r="C48" s="350"/>
      <c r="D48" s="60">
        <f t="shared" si="1"/>
        <v>0</v>
      </c>
      <c r="E48" s="16" t="s">
        <v>148</v>
      </c>
      <c r="F48" s="254" t="s">
        <v>182</v>
      </c>
      <c r="G48" s="15"/>
      <c r="H48" s="75">
        <f>SUM(F48*G48)</f>
        <v>0</v>
      </c>
      <c r="I48" s="242" t="s">
        <v>100</v>
      </c>
      <c r="J48" s="89">
        <v>30</v>
      </c>
      <c r="K48" s="121"/>
      <c r="L48" s="205">
        <f>J48*K48</f>
        <v>0</v>
      </c>
      <c r="M48" s="282" t="s">
        <v>261</v>
      </c>
      <c r="N48" s="96">
        <f>SUM(V51)</f>
        <v>0</v>
      </c>
      <c r="O48" s="302">
        <f>SUM(X51)</f>
        <v>0</v>
      </c>
      <c r="P48" s="441">
        <f>X51+V51+(V51*7%)</f>
        <v>0</v>
      </c>
      <c r="Q48" s="442"/>
      <c r="R48" s="443"/>
      <c r="S48" s="448"/>
      <c r="T48" s="449"/>
      <c r="U48" s="16" t="s">
        <v>266</v>
      </c>
      <c r="V48" s="340">
        <v>54.32</v>
      </c>
      <c r="W48" s="15"/>
      <c r="X48" s="75">
        <f t="shared" si="13"/>
        <v>0</v>
      </c>
      <c r="Y48" s="492"/>
      <c r="Z48" s="492"/>
      <c r="AA48" s="492"/>
      <c r="AB48" s="492"/>
    </row>
    <row r="49" spans="1:29" ht="11.25" customHeight="1" thickBot="1" x14ac:dyDescent="0.3">
      <c r="A49" s="400" t="s">
        <v>268</v>
      </c>
      <c r="B49" s="401">
        <v>11.6</v>
      </c>
      <c r="C49" s="350"/>
      <c r="D49" s="60">
        <f t="shared" si="1"/>
        <v>0</v>
      </c>
      <c r="E49" s="8" t="s">
        <v>149</v>
      </c>
      <c r="F49" s="254" t="s">
        <v>183</v>
      </c>
      <c r="G49" s="15"/>
      <c r="H49" s="75">
        <f t="shared" ref="H49:H50" si="14">SUM(F49*G49)</f>
        <v>0</v>
      </c>
      <c r="I49" s="242" t="s">
        <v>103</v>
      </c>
      <c r="J49" s="89">
        <v>30</v>
      </c>
      <c r="K49" s="121"/>
      <c r="L49" s="205">
        <f>J49*K49</f>
        <v>0</v>
      </c>
      <c r="M49" s="494" t="s">
        <v>222</v>
      </c>
      <c r="N49" s="494"/>
      <c r="O49" s="303"/>
      <c r="P49" s="452">
        <f>SUM(O49)</f>
        <v>0</v>
      </c>
      <c r="Q49" s="453"/>
      <c r="R49" s="454"/>
      <c r="S49" s="450"/>
      <c r="T49" s="451"/>
      <c r="U49" s="8" t="s">
        <v>69</v>
      </c>
      <c r="V49" s="397" t="s">
        <v>341</v>
      </c>
      <c r="W49" s="15"/>
      <c r="X49" s="75">
        <f t="shared" si="13"/>
        <v>0</v>
      </c>
      <c r="Y49" s="53"/>
      <c r="Z49" s="201"/>
      <c r="AA49" s="202"/>
      <c r="AB49" s="203"/>
    </row>
    <row r="50" spans="1:29" ht="14.25" customHeight="1" thickBot="1" x14ac:dyDescent="0.3">
      <c r="A50" s="361"/>
      <c r="B50" s="362"/>
      <c r="C50" s="355"/>
      <c r="D50" s="83">
        <f t="shared" si="1"/>
        <v>0</v>
      </c>
      <c r="E50" s="24" t="s">
        <v>150</v>
      </c>
      <c r="F50" s="273">
        <v>38</v>
      </c>
      <c r="G50" s="271"/>
      <c r="H50" s="274">
        <f t="shared" si="14"/>
        <v>0</v>
      </c>
      <c r="I50" s="243" t="s">
        <v>106</v>
      </c>
      <c r="J50" s="90">
        <v>30</v>
      </c>
      <c r="K50" s="122"/>
      <c r="L50" s="69">
        <f>J50*K50</f>
        <v>0</v>
      </c>
      <c r="M50" s="190" t="s">
        <v>27</v>
      </c>
      <c r="N50" s="150">
        <f>SUM(N44:N48)-O49</f>
        <v>0</v>
      </c>
      <c r="O50" s="304">
        <f>SUM(N43,O44:O48)</f>
        <v>0</v>
      </c>
      <c r="P50" s="434">
        <f>SUM(P43:R48)-P49</f>
        <v>0</v>
      </c>
      <c r="Q50" s="435"/>
      <c r="R50" s="436"/>
      <c r="S50" s="437"/>
      <c r="T50" s="438"/>
      <c r="U50" s="24" t="s">
        <v>295</v>
      </c>
      <c r="V50" s="398">
        <v>3.67</v>
      </c>
      <c r="W50" s="271"/>
      <c r="X50" s="274">
        <f t="shared" si="13"/>
        <v>0</v>
      </c>
      <c r="Y50" s="182"/>
      <c r="Z50" s="214"/>
      <c r="AA50" s="214"/>
      <c r="AB50" s="214"/>
    </row>
    <row r="51" spans="1:29" ht="18.75" customHeight="1" thickBot="1" x14ac:dyDescent="0.3">
      <c r="A51" s="46" t="s">
        <v>27</v>
      </c>
      <c r="B51" s="421">
        <f>SUM(D1:D50)</f>
        <v>0</v>
      </c>
      <c r="C51" s="422"/>
      <c r="D51" s="423"/>
      <c r="E51" s="43" t="s">
        <v>178</v>
      </c>
      <c r="F51" s="424">
        <f>SUM(H20:H24)</f>
        <v>0</v>
      </c>
      <c r="G51" s="425"/>
      <c r="H51" s="137">
        <f>SUM(,H26:H29,H16:H18,H41:H46,H2:H6,H12:H14,H8:H10,H48:H50,H31:H34,H36:H39)</f>
        <v>0</v>
      </c>
      <c r="I51" s="236" t="s">
        <v>120</v>
      </c>
      <c r="J51" s="424">
        <f>SUM(L46:L50,L42:L44)</f>
        <v>0</v>
      </c>
      <c r="K51" s="425"/>
      <c r="L51" s="70">
        <f>SUM(L2:L9,L11:L16,L29:L36,L38:L40,L18:L22,L24,L26:L27)</f>
        <v>0</v>
      </c>
      <c r="M51" s="426">
        <f>SUM(N50:O50)</f>
        <v>0</v>
      </c>
      <c r="N51" s="427"/>
      <c r="O51" s="428"/>
      <c r="P51" s="429">
        <f>SUM(P43:R48)-P49</f>
        <v>0</v>
      </c>
      <c r="Q51" s="430"/>
      <c r="R51" s="431"/>
      <c r="S51" s="439"/>
      <c r="T51" s="440"/>
      <c r="U51" s="155" t="s">
        <v>226</v>
      </c>
      <c r="V51" s="424">
        <f>SUM(X6:X9,X14,X16:X17,X26:X28,X30:X32,X34,X36)</f>
        <v>0</v>
      </c>
      <c r="W51" s="476"/>
      <c r="X51" s="137">
        <f>SUM(X2:X4,X11:X12,X19:X24,X38:X50)</f>
        <v>0</v>
      </c>
      <c r="Y51" s="44"/>
      <c r="Z51" s="44"/>
      <c r="AA51" s="44"/>
      <c r="AB51" s="44"/>
    </row>
    <row r="52" spans="1:29" x14ac:dyDescent="0.25">
      <c r="A52" s="39" t="s">
        <v>220</v>
      </c>
      <c r="B52" s="331" t="s">
        <v>228</v>
      </c>
      <c r="C52" s="93" t="s">
        <v>217</v>
      </c>
      <c r="D52" s="377"/>
      <c r="E52" s="39"/>
      <c r="F52" s="330"/>
      <c r="G52" s="374"/>
      <c r="H52" s="63"/>
      <c r="I52" s="54"/>
      <c r="J52" s="138"/>
      <c r="N52" s="62"/>
      <c r="Y52" s="44"/>
      <c r="Z52" s="44"/>
      <c r="AA52" s="44"/>
      <c r="AB52" s="44"/>
    </row>
    <row r="53" spans="1:29" x14ac:dyDescent="0.25">
      <c r="A53" s="39" t="s">
        <v>218</v>
      </c>
      <c r="B53" s="331" t="s">
        <v>210</v>
      </c>
      <c r="C53" s="93" t="s">
        <v>214</v>
      </c>
      <c r="D53" s="377"/>
      <c r="E53" s="39"/>
      <c r="F53" s="388"/>
      <c r="G53" s="375"/>
      <c r="H53" s="139"/>
      <c r="I53" s="125"/>
      <c r="J53" s="138"/>
      <c r="K53" s="493"/>
      <c r="L53" s="493"/>
      <c r="M53" s="493"/>
      <c r="N53" s="493"/>
      <c r="O53" s="306"/>
      <c r="P53" s="79"/>
      <c r="Q53" s="140"/>
      <c r="R53" s="259"/>
      <c r="S53" s="117"/>
      <c r="T53" s="103"/>
      <c r="U53" s="493"/>
      <c r="V53" s="493"/>
      <c r="W53" s="493"/>
      <c r="X53" s="493"/>
      <c r="Y53" s="306"/>
      <c r="Z53" s="79"/>
      <c r="AA53" s="140"/>
      <c r="AB53" s="259"/>
      <c r="AC53" s="117"/>
    </row>
    <row r="54" spans="1:29" x14ac:dyDescent="0.25">
      <c r="A54" s="93" t="s">
        <v>196</v>
      </c>
      <c r="B54" s="331" t="s">
        <v>223</v>
      </c>
      <c r="C54" s="93" t="s">
        <v>219</v>
      </c>
      <c r="D54" s="377"/>
      <c r="E54" s="39"/>
      <c r="F54" s="388"/>
      <c r="G54" s="376"/>
      <c r="H54" s="141"/>
      <c r="I54" s="237"/>
      <c r="J54" s="138"/>
      <c r="K54" s="125"/>
      <c r="L54" s="71"/>
      <c r="M54" s="144"/>
      <c r="N54" s="267"/>
      <c r="O54" s="306"/>
      <c r="P54" s="80"/>
      <c r="Q54" s="142"/>
      <c r="R54" s="259"/>
      <c r="S54" s="118"/>
      <c r="T54" s="103"/>
      <c r="U54" s="125"/>
      <c r="V54" s="71"/>
      <c r="W54" s="144"/>
      <c r="X54" s="267"/>
      <c r="Y54" s="306"/>
      <c r="Z54" s="80"/>
      <c r="AA54" s="142"/>
      <c r="AB54" s="259"/>
      <c r="AC54" s="118"/>
    </row>
    <row r="55" spans="1:29" x14ac:dyDescent="0.25">
      <c r="A55" s="93" t="s">
        <v>197</v>
      </c>
      <c r="B55" s="331"/>
      <c r="C55" s="93" t="s">
        <v>211</v>
      </c>
      <c r="D55" s="377"/>
      <c r="E55" s="39"/>
      <c r="F55" s="388"/>
      <c r="G55" s="376"/>
      <c r="H55" s="141"/>
      <c r="I55" s="237"/>
      <c r="J55" s="138"/>
      <c r="K55" s="53"/>
      <c r="L55" s="71"/>
      <c r="M55" s="144"/>
      <c r="N55" s="267"/>
      <c r="O55" s="474"/>
      <c r="P55" s="474"/>
      <c r="Q55" s="474"/>
      <c r="R55" s="475"/>
      <c r="S55" s="475"/>
      <c r="T55" s="103"/>
      <c r="U55" s="53"/>
      <c r="V55" s="71"/>
      <c r="W55" s="144"/>
      <c r="X55" s="267"/>
      <c r="Y55" s="474"/>
      <c r="Z55" s="474"/>
      <c r="AA55" s="474"/>
      <c r="AB55" s="475"/>
      <c r="AC55" s="475"/>
    </row>
    <row r="56" spans="1:29" x14ac:dyDescent="0.25">
      <c r="A56" s="93" t="s">
        <v>198</v>
      </c>
      <c r="B56" s="331"/>
      <c r="C56" s="93" t="s">
        <v>212</v>
      </c>
      <c r="D56" s="377"/>
      <c r="E56" s="93"/>
      <c r="G56" s="94"/>
      <c r="J56" s="138"/>
      <c r="K56" s="126"/>
      <c r="L56" s="72"/>
      <c r="M56" s="145"/>
      <c r="N56" s="268"/>
      <c r="O56" s="474"/>
      <c r="P56" s="474"/>
      <c r="Q56" s="474"/>
      <c r="R56" s="475"/>
      <c r="S56" s="475"/>
      <c r="T56" s="103"/>
      <c r="U56" s="126"/>
      <c r="V56" s="72"/>
      <c r="W56" s="145"/>
      <c r="X56" s="268"/>
      <c r="Y56" s="474"/>
      <c r="Z56" s="474"/>
      <c r="AA56" s="474"/>
      <c r="AB56" s="475"/>
      <c r="AC56" s="475"/>
    </row>
    <row r="57" spans="1:29" x14ac:dyDescent="0.25">
      <c r="A57" s="93" t="s">
        <v>272</v>
      </c>
      <c r="B57" s="331"/>
      <c r="C57" s="93" t="s">
        <v>213</v>
      </c>
      <c r="D57" s="377"/>
      <c r="E57" s="93"/>
      <c r="G57" s="94"/>
      <c r="J57" s="138"/>
      <c r="K57" s="126"/>
      <c r="L57" s="72"/>
      <c r="M57" s="145"/>
      <c r="N57" s="268"/>
      <c r="O57" s="306"/>
      <c r="P57" s="80"/>
      <c r="Q57" s="142"/>
      <c r="R57" s="259"/>
      <c r="S57" s="119"/>
      <c r="T57" s="103"/>
      <c r="U57" s="126"/>
      <c r="V57" s="72"/>
      <c r="W57" s="145"/>
      <c r="X57" s="268"/>
      <c r="Y57" s="306"/>
      <c r="Z57" s="80"/>
      <c r="AA57" s="142"/>
      <c r="AB57" s="259"/>
      <c r="AC57" s="119"/>
    </row>
    <row r="58" spans="1:29" x14ac:dyDescent="0.25">
      <c r="A58" s="93" t="s">
        <v>199</v>
      </c>
      <c r="B58" s="331"/>
      <c r="C58" s="93"/>
      <c r="D58" s="377"/>
      <c r="E58" s="93"/>
      <c r="G58" s="94"/>
      <c r="J58" s="138"/>
      <c r="K58" s="126"/>
      <c r="L58" s="72"/>
      <c r="M58" s="145"/>
      <c r="N58" s="268"/>
      <c r="O58" s="306"/>
      <c r="P58" s="80"/>
      <c r="Q58" s="142"/>
      <c r="R58" s="259"/>
      <c r="S58" s="118"/>
      <c r="T58" s="103"/>
      <c r="U58" s="126"/>
      <c r="V58" s="72"/>
      <c r="W58" s="145"/>
      <c r="X58" s="268"/>
      <c r="Y58" s="306"/>
      <c r="Z58" s="80"/>
      <c r="AA58" s="142"/>
      <c r="AB58" s="259"/>
      <c r="AC58" s="118"/>
    </row>
    <row r="59" spans="1:29" x14ac:dyDescent="0.25">
      <c r="A59" s="93" t="s">
        <v>200</v>
      </c>
      <c r="B59" s="331"/>
      <c r="C59" s="93"/>
      <c r="D59" s="377"/>
      <c r="E59" s="39"/>
      <c r="G59" s="94"/>
      <c r="J59" s="138"/>
      <c r="K59" s="126"/>
      <c r="L59" s="72"/>
      <c r="M59" s="145"/>
      <c r="N59" s="268"/>
      <c r="O59" s="306"/>
      <c r="P59" s="72"/>
      <c r="Q59" s="111"/>
      <c r="R59" s="260"/>
      <c r="S59" s="111"/>
      <c r="T59" s="103"/>
      <c r="U59" s="57"/>
      <c r="V59" s="163"/>
      <c r="W59" s="172"/>
      <c r="X59" s="44"/>
      <c r="Y59" s="44"/>
      <c r="Z59" s="44"/>
    </row>
    <row r="60" spans="1:29" x14ac:dyDescent="0.25">
      <c r="A60" s="93" t="s">
        <v>201</v>
      </c>
      <c r="B60" s="331"/>
      <c r="C60" s="93"/>
      <c r="D60" s="377"/>
      <c r="E60" s="39"/>
      <c r="G60" s="94"/>
      <c r="J60" s="138"/>
      <c r="K60" s="126"/>
      <c r="L60" s="72"/>
      <c r="M60" s="145"/>
      <c r="N60" s="268"/>
      <c r="O60" s="306"/>
      <c r="P60" s="72"/>
      <c r="Q60" s="111"/>
      <c r="R60" s="260"/>
      <c r="S60" s="111"/>
      <c r="T60" s="103"/>
      <c r="U60" s="57"/>
      <c r="V60" s="163"/>
      <c r="W60" s="172"/>
      <c r="X60" s="44"/>
      <c r="Y60" s="44"/>
      <c r="Z60" s="44"/>
    </row>
    <row r="61" spans="1:29" x14ac:dyDescent="0.25">
      <c r="A61" s="93" t="s">
        <v>202</v>
      </c>
      <c r="B61" s="331"/>
      <c r="C61" s="93"/>
      <c r="D61" s="377"/>
      <c r="E61" s="39"/>
      <c r="G61" s="94"/>
      <c r="J61" s="138"/>
      <c r="K61" s="126"/>
      <c r="L61" s="72"/>
      <c r="M61" s="145"/>
      <c r="N61" s="268"/>
      <c r="O61" s="306"/>
      <c r="P61" s="72"/>
      <c r="Q61" s="111"/>
      <c r="R61" s="260"/>
      <c r="S61" s="111"/>
      <c r="T61" s="103"/>
      <c r="U61" s="55"/>
      <c r="V61" s="163"/>
      <c r="W61" s="86"/>
      <c r="X61" s="44"/>
      <c r="Y61" s="44"/>
      <c r="Z61" s="44"/>
    </row>
    <row r="62" spans="1:29" x14ac:dyDescent="0.25">
      <c r="A62" s="93" t="s">
        <v>203</v>
      </c>
      <c r="B62" s="331"/>
      <c r="C62" s="93"/>
      <c r="D62" s="377"/>
      <c r="E62" s="39"/>
      <c r="G62" s="94"/>
      <c r="J62" s="138"/>
      <c r="K62" s="126"/>
      <c r="L62" s="72"/>
      <c r="M62" s="145"/>
      <c r="N62" s="268"/>
      <c r="O62" s="306"/>
      <c r="P62" s="72"/>
      <c r="Q62" s="111"/>
      <c r="R62" s="260"/>
      <c r="S62" s="111"/>
      <c r="T62" s="103"/>
      <c r="U62" s="56"/>
      <c r="V62" s="163"/>
      <c r="W62" s="172"/>
      <c r="X62" s="44"/>
      <c r="Y62" s="44"/>
      <c r="Z62" s="44"/>
    </row>
    <row r="63" spans="1:29" x14ac:dyDescent="0.25">
      <c r="A63" s="93" t="s">
        <v>204</v>
      </c>
      <c r="B63" s="331"/>
      <c r="C63" s="93"/>
      <c r="D63" s="377"/>
      <c r="E63" s="39"/>
      <c r="G63" s="94"/>
      <c r="J63" s="138"/>
      <c r="K63" s="126"/>
      <c r="L63" s="72"/>
      <c r="M63" s="145"/>
      <c r="N63" s="268"/>
      <c r="O63" s="306"/>
      <c r="P63" s="72"/>
      <c r="Q63" s="111"/>
      <c r="R63" s="260"/>
      <c r="S63" s="111"/>
      <c r="T63" s="103"/>
      <c r="U63" s="56"/>
      <c r="V63" s="163"/>
      <c r="W63" s="172"/>
      <c r="X63" s="44"/>
      <c r="Y63" s="44"/>
      <c r="Z63" s="44"/>
    </row>
    <row r="64" spans="1:29" x14ac:dyDescent="0.25">
      <c r="A64" s="93" t="s">
        <v>205</v>
      </c>
      <c r="B64" s="331"/>
      <c r="C64" s="93"/>
      <c r="D64" s="377"/>
      <c r="E64" s="39"/>
      <c r="G64" s="94"/>
      <c r="J64" s="138"/>
      <c r="K64" s="126"/>
      <c r="L64" s="72"/>
      <c r="M64" s="145"/>
      <c r="N64" s="268"/>
      <c r="O64" s="306"/>
      <c r="P64" s="72"/>
      <c r="Q64" s="111"/>
      <c r="R64" s="260"/>
      <c r="S64" s="111"/>
      <c r="T64" s="103"/>
      <c r="U64" s="56"/>
      <c r="V64" s="163"/>
      <c r="W64" s="172"/>
      <c r="X64" s="44"/>
      <c r="Y64" s="44"/>
      <c r="Z64" s="44"/>
    </row>
    <row r="65" spans="1:26" x14ac:dyDescent="0.25">
      <c r="A65" s="93" t="s">
        <v>206</v>
      </c>
      <c r="B65" s="331"/>
      <c r="C65" s="93"/>
      <c r="D65" s="377"/>
      <c r="E65" s="39"/>
      <c r="F65" s="389"/>
      <c r="G65" s="94"/>
      <c r="I65" s="143"/>
      <c r="J65" s="143"/>
      <c r="K65" s="126"/>
      <c r="L65" s="72"/>
      <c r="M65" s="145"/>
      <c r="N65" s="268"/>
      <c r="O65" s="306"/>
      <c r="P65" s="72"/>
      <c r="Q65" s="111"/>
      <c r="R65" s="260"/>
      <c r="S65" s="111"/>
      <c r="T65" s="103"/>
      <c r="U65" s="56"/>
      <c r="V65" s="163"/>
      <c r="W65" s="172"/>
      <c r="X65" s="44"/>
      <c r="Y65" s="44"/>
      <c r="Z65" s="44"/>
    </row>
    <row r="66" spans="1:26" x14ac:dyDescent="0.25">
      <c r="A66" s="93" t="s">
        <v>207</v>
      </c>
      <c r="B66" s="331"/>
      <c r="C66" s="93"/>
      <c r="D66" s="377"/>
      <c r="E66" s="39"/>
      <c r="F66" s="389"/>
      <c r="G66" s="94"/>
      <c r="I66" s="143"/>
      <c r="J66" s="45"/>
      <c r="K66" s="126"/>
      <c r="L66" s="72"/>
      <c r="M66" s="145"/>
      <c r="N66" s="269"/>
      <c r="O66" s="306"/>
      <c r="P66" s="72"/>
      <c r="Q66" s="111"/>
      <c r="R66" s="260"/>
      <c r="S66" s="111"/>
      <c r="T66" s="103"/>
      <c r="U66" s="55"/>
      <c r="V66" s="163"/>
      <c r="W66" s="86"/>
      <c r="X66" s="44"/>
      <c r="Y66" s="44"/>
      <c r="Z66" s="44"/>
    </row>
    <row r="67" spans="1:26" x14ac:dyDescent="0.25">
      <c r="A67" s="93" t="s">
        <v>208</v>
      </c>
      <c r="B67" s="331"/>
      <c r="C67" s="93"/>
      <c r="D67" s="377"/>
      <c r="E67" s="39"/>
      <c r="F67" s="389"/>
      <c r="G67" s="94"/>
      <c r="I67" s="143"/>
      <c r="J67" s="45"/>
      <c r="K67" s="126"/>
      <c r="L67" s="72"/>
      <c r="M67" s="145"/>
      <c r="N67" s="269"/>
      <c r="O67" s="306"/>
      <c r="P67" s="72"/>
      <c r="Q67" s="111"/>
      <c r="R67" s="260"/>
      <c r="S67" s="111"/>
      <c r="T67" s="103"/>
      <c r="U67" s="57"/>
      <c r="V67" s="163"/>
      <c r="W67" s="172"/>
      <c r="X67" s="44"/>
      <c r="Y67" s="44"/>
      <c r="Z67" s="44"/>
    </row>
    <row r="68" spans="1:26" x14ac:dyDescent="0.25">
      <c r="A68" s="93" t="s">
        <v>209</v>
      </c>
      <c r="B68" s="331"/>
      <c r="C68" s="93"/>
      <c r="D68" s="378"/>
      <c r="E68" s="39"/>
      <c r="F68" s="389"/>
      <c r="G68" s="94"/>
      <c r="I68" s="143"/>
      <c r="J68" s="45"/>
      <c r="K68" s="126"/>
      <c r="L68" s="72"/>
      <c r="M68" s="145"/>
      <c r="N68" s="269"/>
      <c r="O68" s="306"/>
      <c r="P68" s="72"/>
      <c r="Q68" s="111"/>
      <c r="R68" s="260"/>
      <c r="S68" s="111"/>
      <c r="T68" s="103"/>
      <c r="U68" s="58"/>
      <c r="V68" s="164"/>
      <c r="W68" s="173"/>
      <c r="X68" s="44"/>
      <c r="Y68" s="44"/>
      <c r="Z68" s="44"/>
    </row>
    <row r="69" spans="1:26" x14ac:dyDescent="0.25">
      <c r="A69" s="93" t="s">
        <v>195</v>
      </c>
      <c r="B69" s="331"/>
      <c r="C69" s="93"/>
      <c r="D69" s="378"/>
      <c r="E69" s="39"/>
      <c r="F69" s="389"/>
      <c r="G69" s="94"/>
      <c r="I69" s="143"/>
      <c r="J69" s="45"/>
      <c r="K69" s="126"/>
      <c r="L69" s="72"/>
      <c r="M69" s="145"/>
      <c r="N69" s="269"/>
      <c r="O69" s="306"/>
      <c r="P69" s="72"/>
      <c r="Q69" s="111"/>
      <c r="R69" s="260"/>
      <c r="S69" s="111"/>
      <c r="T69" s="103"/>
      <c r="U69" s="58"/>
      <c r="V69" s="164"/>
      <c r="W69" s="173"/>
      <c r="X69" s="44"/>
      <c r="Y69" s="44"/>
      <c r="Z69" s="44"/>
    </row>
    <row r="70" spans="1:26" x14ac:dyDescent="0.25">
      <c r="A70" s="93" t="s">
        <v>262</v>
      </c>
      <c r="B70" s="331"/>
      <c r="C70" s="93"/>
      <c r="D70" s="378"/>
      <c r="E70" s="39"/>
      <c r="F70" s="389"/>
      <c r="G70" s="94"/>
      <c r="I70" s="143"/>
      <c r="J70" s="45"/>
      <c r="K70" s="126"/>
      <c r="L70" s="72"/>
      <c r="M70" s="145"/>
      <c r="N70" s="269"/>
      <c r="O70" s="306"/>
      <c r="P70" s="72"/>
      <c r="Q70" s="111"/>
      <c r="R70" s="260"/>
      <c r="S70" s="111"/>
      <c r="T70" s="103"/>
      <c r="U70" s="58"/>
      <c r="V70" s="164"/>
      <c r="W70" s="173"/>
      <c r="X70" s="44"/>
      <c r="Y70" s="44"/>
      <c r="Z70" s="44"/>
    </row>
    <row r="71" spans="1:26" x14ac:dyDescent="0.25">
      <c r="A71" s="93"/>
      <c r="B71" s="331"/>
      <c r="C71" s="93"/>
      <c r="D71" s="378"/>
      <c r="E71" s="39"/>
      <c r="F71" s="389"/>
      <c r="G71" s="94"/>
      <c r="I71" s="143"/>
      <c r="J71" s="45"/>
      <c r="K71" s="126"/>
      <c r="L71" s="72"/>
      <c r="M71" s="145"/>
      <c r="N71" s="269"/>
      <c r="O71" s="306"/>
      <c r="P71" s="72"/>
      <c r="Q71" s="111"/>
      <c r="R71" s="260"/>
      <c r="S71" s="111"/>
      <c r="T71" s="103"/>
      <c r="U71" s="58"/>
      <c r="V71" s="164"/>
      <c r="W71" s="173"/>
      <c r="X71" s="44"/>
      <c r="Y71" s="44"/>
      <c r="Z71" s="44"/>
    </row>
    <row r="72" spans="1:26" x14ac:dyDescent="0.25">
      <c r="A72" s="93"/>
      <c r="B72" s="331"/>
      <c r="C72" s="93"/>
      <c r="D72" s="378"/>
      <c r="E72" s="39"/>
      <c r="F72" s="389"/>
      <c r="G72" s="94"/>
      <c r="I72" s="143"/>
      <c r="J72" s="45"/>
      <c r="K72" s="126"/>
      <c r="L72" s="72"/>
      <c r="M72" s="145"/>
      <c r="N72" s="269"/>
      <c r="O72" s="306"/>
      <c r="P72" s="72"/>
      <c r="Q72" s="111"/>
      <c r="R72" s="260"/>
      <c r="S72" s="111"/>
      <c r="T72" s="103"/>
      <c r="U72" s="58"/>
      <c r="V72" s="164"/>
      <c r="W72" s="173"/>
      <c r="X72" s="44"/>
      <c r="Y72" s="44"/>
      <c r="Z72" s="44"/>
    </row>
    <row r="73" spans="1:26" x14ac:dyDescent="0.25">
      <c r="A73" s="158"/>
      <c r="C73" s="158"/>
      <c r="D73" s="270"/>
      <c r="E73" s="387"/>
      <c r="F73" s="389"/>
      <c r="G73" s="94"/>
      <c r="I73" s="143"/>
      <c r="J73" s="45"/>
      <c r="K73" s="126"/>
      <c r="L73" s="72"/>
      <c r="M73" s="145"/>
      <c r="N73" s="269"/>
      <c r="O73" s="306"/>
      <c r="P73" s="72"/>
      <c r="Q73" s="111"/>
      <c r="R73" s="260"/>
      <c r="S73" s="111"/>
      <c r="T73" s="103"/>
      <c r="U73" s="58"/>
      <c r="V73" s="164"/>
      <c r="W73" s="173"/>
      <c r="X73" s="44"/>
      <c r="Y73" s="44"/>
      <c r="Z73" s="44"/>
    </row>
    <row r="74" spans="1:26" x14ac:dyDescent="0.25">
      <c r="A74" s="158"/>
      <c r="C74" s="158"/>
      <c r="D74" s="270"/>
      <c r="E74" s="387"/>
      <c r="F74" s="389"/>
      <c r="G74" s="94"/>
      <c r="I74" s="143"/>
      <c r="J74" s="45"/>
      <c r="K74" s="126"/>
      <c r="L74" s="72"/>
      <c r="M74" s="145"/>
      <c r="N74" s="269"/>
      <c r="O74" s="306"/>
      <c r="P74" s="72"/>
      <c r="Q74" s="111"/>
      <c r="R74" s="260"/>
      <c r="S74" s="111"/>
      <c r="T74" s="103"/>
      <c r="U74" s="58"/>
      <c r="V74" s="164"/>
      <c r="W74" s="173"/>
      <c r="X74" s="44"/>
      <c r="Y74" s="44"/>
      <c r="Z74" s="44"/>
    </row>
    <row r="75" spans="1:26" x14ac:dyDescent="0.25">
      <c r="A75" s="158"/>
      <c r="C75" s="158"/>
      <c r="D75" s="270"/>
      <c r="E75" s="387"/>
      <c r="F75" s="389"/>
      <c r="G75" s="94"/>
      <c r="I75" s="143"/>
      <c r="J75" s="45"/>
      <c r="K75" s="126"/>
      <c r="L75" s="72"/>
      <c r="M75" s="145"/>
      <c r="N75" s="269"/>
      <c r="O75" s="306"/>
      <c r="P75" s="72"/>
      <c r="Q75" s="111"/>
      <c r="R75" s="260"/>
      <c r="S75" s="111"/>
      <c r="T75" s="103"/>
      <c r="U75" s="58"/>
      <c r="V75" s="164"/>
      <c r="W75" s="173"/>
      <c r="X75" s="44"/>
      <c r="Y75" s="44"/>
      <c r="Z75" s="44"/>
    </row>
    <row r="76" spans="1:26" x14ac:dyDescent="0.25">
      <c r="A76" s="158"/>
      <c r="C76" s="158"/>
      <c r="D76" s="270"/>
      <c r="E76" s="387"/>
      <c r="G76" s="94"/>
    </row>
    <row r="77" spans="1:26" x14ac:dyDescent="0.25">
      <c r="A77" s="158"/>
      <c r="C77" s="158"/>
      <c r="D77" s="270"/>
      <c r="E77" s="387"/>
      <c r="G77" s="94"/>
    </row>
    <row r="78" spans="1:26" x14ac:dyDescent="0.25">
      <c r="A78" s="158"/>
      <c r="C78" s="158"/>
      <c r="D78" s="270"/>
      <c r="E78" s="387"/>
      <c r="G78" s="94"/>
    </row>
    <row r="79" spans="1:26" x14ac:dyDescent="0.25">
      <c r="A79" s="158"/>
      <c r="C79" s="158"/>
      <c r="D79" s="270"/>
      <c r="E79" s="387"/>
      <c r="G79" s="94"/>
    </row>
    <row r="80" spans="1:26" x14ac:dyDescent="0.25">
      <c r="A80" s="158"/>
      <c r="C80" s="158"/>
      <c r="D80" s="270"/>
      <c r="E80" s="387"/>
      <c r="G80" s="94"/>
    </row>
    <row r="81" spans="1:23" s="158" customFormat="1" x14ac:dyDescent="0.25">
      <c r="B81" s="389"/>
      <c r="D81" s="270"/>
      <c r="E81" s="387"/>
      <c r="F81" s="332"/>
      <c r="G81" s="7"/>
      <c r="H81" s="62"/>
      <c r="I81" s="138"/>
      <c r="J81" s="6"/>
      <c r="K81" s="7"/>
      <c r="L81" s="62"/>
      <c r="M81" s="143"/>
      <c r="N81" s="270"/>
      <c r="O81" s="305"/>
      <c r="P81" s="62"/>
      <c r="Q81" s="110"/>
      <c r="R81" s="258"/>
      <c r="S81" s="110"/>
      <c r="T81" s="102"/>
      <c r="U81" s="39"/>
      <c r="V81" s="162"/>
      <c r="W81" s="171"/>
    </row>
    <row r="82" spans="1:23" s="158" customFormat="1" x14ac:dyDescent="0.25">
      <c r="B82" s="389"/>
      <c r="D82" s="270"/>
      <c r="E82" s="387"/>
      <c r="F82" s="332"/>
      <c r="G82" s="7"/>
      <c r="H82" s="62"/>
      <c r="I82" s="138"/>
      <c r="J82" s="6"/>
      <c r="K82" s="7"/>
      <c r="L82" s="62"/>
      <c r="M82" s="143"/>
      <c r="N82" s="270"/>
      <c r="O82" s="305"/>
      <c r="P82" s="62"/>
      <c r="Q82" s="110"/>
      <c r="R82" s="258"/>
      <c r="S82" s="110"/>
      <c r="T82" s="102"/>
      <c r="U82" s="39"/>
      <c r="V82" s="162"/>
      <c r="W82" s="171"/>
    </row>
    <row r="83" spans="1:23" s="158" customFormat="1" x14ac:dyDescent="0.25">
      <c r="A83" s="95"/>
      <c r="B83" s="389"/>
      <c r="C83" s="7"/>
      <c r="D83" s="62"/>
      <c r="E83"/>
      <c r="F83" s="332"/>
      <c r="G83" s="7"/>
      <c r="H83" s="62"/>
      <c r="I83" s="138"/>
      <c r="J83" s="6"/>
      <c r="K83" s="7"/>
      <c r="L83" s="62"/>
      <c r="M83" s="143"/>
      <c r="N83" s="270"/>
      <c r="O83" s="305"/>
      <c r="P83" s="62"/>
      <c r="Q83" s="110"/>
      <c r="R83" s="258"/>
      <c r="S83" s="110"/>
      <c r="T83" s="102"/>
      <c r="U83" s="39"/>
      <c r="V83" s="162"/>
      <c r="W83" s="171"/>
    </row>
    <row r="84" spans="1:23" s="158" customFormat="1" x14ac:dyDescent="0.25">
      <c r="A84" s="95"/>
      <c r="B84" s="389"/>
      <c r="C84" s="7"/>
      <c r="D84" s="62"/>
      <c r="E84"/>
      <c r="F84" s="332"/>
      <c r="G84" s="7"/>
      <c r="H84" s="62"/>
      <c r="I84" s="138"/>
      <c r="J84" s="6"/>
      <c r="K84" s="7"/>
      <c r="L84" s="62"/>
      <c r="M84" s="143"/>
      <c r="N84" s="270"/>
      <c r="O84" s="305"/>
      <c r="P84" s="62"/>
      <c r="Q84" s="110"/>
      <c r="R84" s="258"/>
      <c r="S84" s="110"/>
      <c r="T84" s="102"/>
      <c r="U84" s="39"/>
      <c r="V84" s="162"/>
      <c r="W84" s="171"/>
    </row>
    <row r="85" spans="1:23" s="158" customFormat="1" x14ac:dyDescent="0.25">
      <c r="A85" s="95"/>
      <c r="B85" s="389"/>
      <c r="C85" s="7"/>
      <c r="D85" s="62"/>
      <c r="E85"/>
      <c r="F85" s="332"/>
      <c r="G85" s="7"/>
      <c r="H85" s="62"/>
      <c r="I85" s="138"/>
      <c r="J85" s="6"/>
      <c r="K85" s="7"/>
      <c r="L85" s="62"/>
      <c r="M85" s="143"/>
      <c r="N85" s="270"/>
      <c r="O85" s="305"/>
      <c r="P85" s="62"/>
      <c r="Q85" s="110"/>
      <c r="R85" s="258"/>
      <c r="S85" s="110"/>
      <c r="T85" s="102"/>
      <c r="U85" s="39"/>
      <c r="V85" s="162"/>
      <c r="W85" s="171"/>
    </row>
    <row r="86" spans="1:23" s="158" customFormat="1" x14ac:dyDescent="0.25">
      <c r="A86" s="95"/>
      <c r="B86" s="389"/>
      <c r="C86" s="7"/>
      <c r="D86" s="62"/>
      <c r="E86"/>
      <c r="F86" s="332"/>
      <c r="G86" s="7"/>
      <c r="H86" s="62"/>
      <c r="I86" s="138"/>
      <c r="J86" s="6"/>
      <c r="K86" s="7"/>
      <c r="L86" s="62"/>
      <c r="M86" s="143"/>
      <c r="N86" s="270"/>
      <c r="O86" s="305"/>
      <c r="P86" s="62"/>
      <c r="Q86" s="110"/>
      <c r="R86" s="258"/>
      <c r="S86" s="110"/>
      <c r="T86" s="102"/>
      <c r="U86" s="39"/>
      <c r="V86" s="162"/>
      <c r="W86" s="171"/>
    </row>
  </sheetData>
  <mergeCells count="94">
    <mergeCell ref="Y55:AA56"/>
    <mergeCell ref="AB55:AC56"/>
    <mergeCell ref="U13:X13"/>
    <mergeCell ref="U25:X25"/>
    <mergeCell ref="M30:P30"/>
    <mergeCell ref="U35:X35"/>
    <mergeCell ref="U53:X53"/>
    <mergeCell ref="Y42:AB42"/>
    <mergeCell ref="M22:P22"/>
    <mergeCell ref="M27:P27"/>
    <mergeCell ref="Y17:AB17"/>
    <mergeCell ref="Y30:AB30"/>
    <mergeCell ref="Y35:AB35"/>
    <mergeCell ref="Y25:AB25"/>
    <mergeCell ref="Q25:T25"/>
    <mergeCell ref="Q33:T33"/>
    <mergeCell ref="U29:X29"/>
    <mergeCell ref="U33:X33"/>
    <mergeCell ref="U37:X37"/>
    <mergeCell ref="E30:H30"/>
    <mergeCell ref="Q41:R41"/>
    <mergeCell ref="S41:T41"/>
    <mergeCell ref="Q38:T38"/>
    <mergeCell ref="I37:L37"/>
    <mergeCell ref="R37:S37"/>
    <mergeCell ref="E35:H35"/>
    <mergeCell ref="I41:L41"/>
    <mergeCell ref="E40:H40"/>
    <mergeCell ref="S40:T40"/>
    <mergeCell ref="I28:L28"/>
    <mergeCell ref="I25:L25"/>
    <mergeCell ref="I23:L23"/>
    <mergeCell ref="Y10:AB10"/>
    <mergeCell ref="E25:H25"/>
    <mergeCell ref="M13:P13"/>
    <mergeCell ref="E15:H15"/>
    <mergeCell ref="U15:X15"/>
    <mergeCell ref="Q20:T20"/>
    <mergeCell ref="I17:L17"/>
    <mergeCell ref="M16:P16"/>
    <mergeCell ref="Q14:T14"/>
    <mergeCell ref="U18:X18"/>
    <mergeCell ref="E19:H19"/>
    <mergeCell ref="M20:P20"/>
    <mergeCell ref="U10:X10"/>
    <mergeCell ref="Y48:AB48"/>
    <mergeCell ref="V51:W51"/>
    <mergeCell ref="K53:N53"/>
    <mergeCell ref="M49:N49"/>
    <mergeCell ref="Y45:AB45"/>
    <mergeCell ref="T44:T45"/>
    <mergeCell ref="I45:L45"/>
    <mergeCell ref="P45:R45"/>
    <mergeCell ref="E47:H47"/>
    <mergeCell ref="Q39:R39"/>
    <mergeCell ref="S39:T39"/>
    <mergeCell ref="Q40:R40"/>
    <mergeCell ref="O55:Q56"/>
    <mergeCell ref="R55:S56"/>
    <mergeCell ref="N41:O41"/>
    <mergeCell ref="M42:O42"/>
    <mergeCell ref="P42:R42"/>
    <mergeCell ref="S42:S43"/>
    <mergeCell ref="N43:O43"/>
    <mergeCell ref="P43:R43"/>
    <mergeCell ref="T42:T43"/>
    <mergeCell ref="Y1:AB1"/>
    <mergeCell ref="Y23:AB23"/>
    <mergeCell ref="P50:R50"/>
    <mergeCell ref="S50:T51"/>
    <mergeCell ref="P46:R46"/>
    <mergeCell ref="S46:T47"/>
    <mergeCell ref="P47:R47"/>
    <mergeCell ref="P48:R48"/>
    <mergeCell ref="S48:T49"/>
    <mergeCell ref="P49:R49"/>
    <mergeCell ref="P44:R44"/>
    <mergeCell ref="S44:S45"/>
    <mergeCell ref="Q1:T1"/>
    <mergeCell ref="U1:X1"/>
    <mergeCell ref="M5:P5"/>
    <mergeCell ref="U5:X5"/>
    <mergeCell ref="B51:D51"/>
    <mergeCell ref="F51:G51"/>
    <mergeCell ref="J51:K51"/>
    <mergeCell ref="M51:O51"/>
    <mergeCell ref="P51:R51"/>
    <mergeCell ref="E7:H7"/>
    <mergeCell ref="E11:H11"/>
    <mergeCell ref="M9:P9"/>
    <mergeCell ref="E1:H1"/>
    <mergeCell ref="I1:L1"/>
    <mergeCell ref="M1:P1"/>
    <mergeCell ref="I10:L10"/>
  </mergeCells>
  <dataValidations count="4">
    <dataValidation type="list" showInputMessage="1" showErrorMessage="1" sqref="T44:T45" xr:uid="{3CB74A44-1B51-473F-B4F3-86D35513488A}">
      <formula1>$B$52:$B$54</formula1>
    </dataValidation>
    <dataValidation type="list" showInputMessage="1" showErrorMessage="1" sqref="S46:T47" xr:uid="{6CF4D5C2-8AB0-4DFF-9714-ECAE1351556F}">
      <formula1>$C$52:$C$58</formula1>
    </dataValidation>
    <dataValidation type="list" showInputMessage="1" showErrorMessage="1" sqref="S50:T51" xr:uid="{AB920286-9EAB-4E6B-8C81-51AA07A6E7D1}">
      <formula1>$A$52:$A$77</formula1>
    </dataValidation>
    <dataValidation type="list" allowBlank="1" showInputMessage="1" showErrorMessage="1" sqref="R55:S56 AB55:AC56" xr:uid="{A27948D1-1E3E-4DD6-86FF-88A0D17769FC}">
      <formula1>$U$1:$U$33</formula1>
    </dataValidation>
  </dataValidations>
  <pageMargins left="0" right="0" top="0" bottom="0" header="0" footer="0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sapao2535@gmail.com</cp:lastModifiedBy>
  <cp:lastPrinted>2026-04-10T01:34:56Z</cp:lastPrinted>
  <dcterms:created xsi:type="dcterms:W3CDTF">2020-02-24T06:42:30Z</dcterms:created>
  <dcterms:modified xsi:type="dcterms:W3CDTF">2026-04-10T06:55:28Z</dcterms:modified>
</cp:coreProperties>
</file>